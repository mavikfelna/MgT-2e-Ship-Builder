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vik\Documents\Gaming\Traveller\Traveller Ships and Vehicles\"/>
    </mc:Choice>
  </mc:AlternateContent>
  <xr:revisionPtr revIDLastSave="0" documentId="13_ncr:1_{226A03CB-8483-4CCA-85EC-B4301254F9B1}" xr6:coauthVersionLast="47" xr6:coauthVersionMax="47" xr10:uidLastSave="{00000000-0000-0000-0000-000000000000}"/>
  <bookViews>
    <workbookView xWindow="384" yWindow="384" windowWidth="17280" windowHeight="9960" tabRatio="874" firstSheet="1" activeTab="1" xr2:uid="{D065147E-43FF-4F00-9D2A-CB2AA0AAE841}"/>
  </bookViews>
  <sheets>
    <sheet name="Instructions" sheetId="18" r:id="rId1"/>
    <sheet name="Jank Build Info" sheetId="24" r:id="rId2"/>
    <sheet name="Cluster Truck Builder" sheetId="25" r:id="rId3"/>
    <sheet name="Summary" sheetId="21" r:id="rId4"/>
    <sheet name="Profitability" sheetId="22" r:id="rId5"/>
    <sheet name="Ship Info" sheetId="1" r:id="rId6"/>
    <sheet name="1-Hull" sheetId="2" r:id="rId7"/>
    <sheet name="2-Drives" sheetId="3" r:id="rId8"/>
    <sheet name="3-Pwr Plant" sheetId="4" r:id="rId9"/>
    <sheet name="4-Fuel" sheetId="5" r:id="rId10"/>
    <sheet name="5-Bridge" sheetId="6" r:id="rId11"/>
    <sheet name="6-Comp" sheetId="7" r:id="rId12"/>
    <sheet name="7-Sensors" sheetId="8" r:id="rId13"/>
    <sheet name="8a-Weapons" sheetId="19" r:id="rId14"/>
    <sheet name="8b-Screens" sheetId="15" r:id="rId15"/>
    <sheet name="9a-Optional" sheetId="10" r:id="rId16"/>
    <sheet name="9b-Optional" sheetId="16" r:id="rId17"/>
    <sheet name="10-Crew" sheetId="11" r:id="rId18"/>
    <sheet name="11-Staterooms" sheetId="12" r:id="rId19"/>
    <sheet name="12-Cargo" sheetId="13" r:id="rId20"/>
    <sheet name="SSD" sheetId="17" r:id="rId21"/>
    <sheet name="Capital SSD" sheetId="20" r:id="rId22"/>
    <sheet name="Changelog" sheetId="23" r:id="rId23"/>
  </sheets>
  <externalReferences>
    <externalReference r:id="rId24"/>
    <externalReference r:id="rId25"/>
  </externalReferences>
  <definedNames>
    <definedName name="FtrArmr" localSheetId="2">'[1]1-Hull'!$AA$17</definedName>
    <definedName name="FtrArmr" localSheetId="1">'[2]1-Hull'!$AA$17</definedName>
    <definedName name="FtrArmr">'1-Hull'!$AA$17</definedName>
    <definedName name="HullConfig">#REF!</definedName>
    <definedName name="Tech_Level" localSheetId="2">'[1]Ship Info'!$F$2</definedName>
    <definedName name="Tech_Level" localSheetId="1">'[2]Ship Info'!$F$2</definedName>
    <definedName name="Tech_Level">'Ship Info'!$F$2</definedName>
    <definedName name="TL" localSheetId="2">'[1]Ship Info'!$F$2</definedName>
    <definedName name="TL" localSheetId="1">'[2]Ship Info'!$F$2</definedName>
    <definedName name="TL">'Ship Info'!$F$2</definedName>
    <definedName name="Tonnage" localSheetId="2">'[1]1-Hull'!$B$4</definedName>
    <definedName name="Tonnage" localSheetId="1">'[2]1-Hull'!$B$4</definedName>
    <definedName name="Tonnage">'1-Hull'!$B$4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25" l="1"/>
  <c r="C21" i="25" s="1"/>
  <c r="D18" i="25"/>
  <c r="C19" i="25"/>
  <c r="D19" i="25"/>
  <c r="C20" i="25"/>
  <c r="D20" i="25"/>
  <c r="D21" i="25" s="1"/>
  <c r="E6" i="25"/>
  <c r="E7" i="25"/>
  <c r="E8" i="25"/>
  <c r="B18" i="25"/>
  <c r="B19" i="25"/>
  <c r="B20" i="25"/>
  <c r="B26" i="25"/>
  <c r="B28" i="25" s="1"/>
  <c r="B33" i="25"/>
  <c r="B34" i="25"/>
  <c r="B53" i="25"/>
  <c r="D5" i="24"/>
  <c r="F5" i="24"/>
  <c r="D6" i="24"/>
  <c r="F6" i="24"/>
  <c r="D7" i="24"/>
  <c r="F7" i="24"/>
  <c r="O36" i="10"/>
  <c r="N36" i="10"/>
  <c r="O35" i="10"/>
  <c r="N35" i="10"/>
  <c r="O34" i="10"/>
  <c r="N34" i="10"/>
  <c r="O33" i="10"/>
  <c r="N33" i="10"/>
  <c r="O32" i="10"/>
  <c r="N32" i="10"/>
  <c r="O31" i="10"/>
  <c r="N31" i="10"/>
  <c r="O30" i="10"/>
  <c r="N30" i="10"/>
  <c r="O29" i="10"/>
  <c r="N29" i="10"/>
  <c r="O28" i="10"/>
  <c r="N28" i="10"/>
  <c r="O27" i="10"/>
  <c r="N27" i="10"/>
  <c r="BJ759" i="10"/>
  <c r="AR759" i="10"/>
  <c r="BJ758" i="10"/>
  <c r="AR758" i="10"/>
  <c r="BJ757" i="10"/>
  <c r="AR757" i="10"/>
  <c r="BJ756" i="10"/>
  <c r="AR756" i="10"/>
  <c r="BJ755" i="10"/>
  <c r="AR755" i="10"/>
  <c r="BJ754" i="10"/>
  <c r="AR754" i="10"/>
  <c r="BJ753" i="10"/>
  <c r="AR753" i="10"/>
  <c r="BJ752" i="10"/>
  <c r="AR752" i="10"/>
  <c r="BJ751" i="10"/>
  <c r="AR751" i="10"/>
  <c r="BJ750" i="10"/>
  <c r="AR750" i="10"/>
  <c r="BJ749" i="10"/>
  <c r="AR749" i="10"/>
  <c r="BJ748" i="10"/>
  <c r="AR748" i="10"/>
  <c r="BJ747" i="10"/>
  <c r="AR747" i="10"/>
  <c r="BJ746" i="10"/>
  <c r="AR746" i="10"/>
  <c r="BJ745" i="10"/>
  <c r="AR745" i="10"/>
  <c r="BJ744" i="10"/>
  <c r="AR744" i="10"/>
  <c r="BJ743" i="10"/>
  <c r="AR743" i="10"/>
  <c r="BJ742" i="10"/>
  <c r="AR742" i="10"/>
  <c r="BJ741" i="10"/>
  <c r="AR741" i="10"/>
  <c r="BJ740" i="10"/>
  <c r="AR740" i="10"/>
  <c r="BJ739" i="10"/>
  <c r="AR739" i="10"/>
  <c r="BJ738" i="10"/>
  <c r="AR738" i="10"/>
  <c r="BJ737" i="10"/>
  <c r="AR737" i="10"/>
  <c r="BJ736" i="10"/>
  <c r="AR736" i="10"/>
  <c r="BJ735" i="10"/>
  <c r="AR735" i="10"/>
  <c r="BJ734" i="10"/>
  <c r="AR734" i="10"/>
  <c r="BJ733" i="10"/>
  <c r="AR733" i="10"/>
  <c r="BJ732" i="10"/>
  <c r="AR732" i="10"/>
  <c r="BJ731" i="10"/>
  <c r="AR731" i="10"/>
  <c r="BJ730" i="10"/>
  <c r="AR730" i="10"/>
  <c r="BJ729" i="10"/>
  <c r="AR729" i="10"/>
  <c r="BJ728" i="10"/>
  <c r="AR728" i="10"/>
  <c r="BJ727" i="10"/>
  <c r="AR727" i="10"/>
  <c r="BJ726" i="10"/>
  <c r="AR726" i="10"/>
  <c r="BJ725" i="10"/>
  <c r="AR725" i="10"/>
  <c r="BJ724" i="10"/>
  <c r="AR724" i="10"/>
  <c r="BJ723" i="10"/>
  <c r="AR723" i="10"/>
  <c r="BJ722" i="10"/>
  <c r="AR722" i="10"/>
  <c r="BJ721" i="10"/>
  <c r="AR721" i="10"/>
  <c r="BJ720" i="10"/>
  <c r="AR720" i="10"/>
  <c r="BJ719" i="10"/>
  <c r="AR719" i="10"/>
  <c r="BJ718" i="10"/>
  <c r="AR718" i="10"/>
  <c r="BJ717" i="10"/>
  <c r="AR717" i="10"/>
  <c r="BJ716" i="10"/>
  <c r="AR716" i="10"/>
  <c r="BJ715" i="10"/>
  <c r="AR715" i="10"/>
  <c r="BJ714" i="10"/>
  <c r="AR714" i="10"/>
  <c r="BJ713" i="10"/>
  <c r="AR713" i="10"/>
  <c r="BJ712" i="10"/>
  <c r="AR712" i="10"/>
  <c r="BJ711" i="10"/>
  <c r="AR711" i="10"/>
  <c r="BJ710" i="10"/>
  <c r="AR710" i="10"/>
  <c r="BJ709" i="10"/>
  <c r="AR709" i="10"/>
  <c r="BJ708" i="10"/>
  <c r="AR708" i="10"/>
  <c r="BJ707" i="10"/>
  <c r="AR707" i="10"/>
  <c r="BJ706" i="10"/>
  <c r="AR706" i="10"/>
  <c r="BJ705" i="10"/>
  <c r="AR705" i="10"/>
  <c r="BJ704" i="10"/>
  <c r="AR704" i="10"/>
  <c r="BJ703" i="10"/>
  <c r="AR703" i="10"/>
  <c r="BJ702" i="10"/>
  <c r="AR702" i="10"/>
  <c r="BJ701" i="10"/>
  <c r="AR701" i="10"/>
  <c r="BJ700" i="10"/>
  <c r="AR700" i="10"/>
  <c r="BJ699" i="10"/>
  <c r="AR699" i="10"/>
  <c r="BJ698" i="10"/>
  <c r="AR698" i="10"/>
  <c r="BJ697" i="10"/>
  <c r="AR697" i="10"/>
  <c r="BJ696" i="10"/>
  <c r="AR696" i="10"/>
  <c r="BJ695" i="10"/>
  <c r="AR695" i="10"/>
  <c r="BJ694" i="10"/>
  <c r="AR694" i="10"/>
  <c r="BJ693" i="10"/>
  <c r="AR693" i="10"/>
  <c r="BJ692" i="10"/>
  <c r="AR692" i="10"/>
  <c r="BJ691" i="10"/>
  <c r="AR691" i="10"/>
  <c r="BJ690" i="10"/>
  <c r="AR690" i="10"/>
  <c r="BJ689" i="10"/>
  <c r="AR689" i="10"/>
  <c r="BJ688" i="10"/>
  <c r="AR688" i="10"/>
  <c r="BJ687" i="10"/>
  <c r="AR687" i="10"/>
  <c r="BJ686" i="10"/>
  <c r="AR686" i="10"/>
  <c r="BJ685" i="10"/>
  <c r="AR685" i="10"/>
  <c r="BJ684" i="10"/>
  <c r="AR684" i="10"/>
  <c r="BJ683" i="10"/>
  <c r="AR683" i="10"/>
  <c r="BJ682" i="10"/>
  <c r="AR682" i="10"/>
  <c r="BJ681" i="10"/>
  <c r="AR681" i="10"/>
  <c r="BJ680" i="10"/>
  <c r="AR680" i="10"/>
  <c r="BJ679" i="10"/>
  <c r="AR679" i="10"/>
  <c r="BJ678" i="10"/>
  <c r="AR678" i="10"/>
  <c r="BJ677" i="10"/>
  <c r="AR677" i="10"/>
  <c r="BJ676" i="10"/>
  <c r="AR676" i="10"/>
  <c r="BJ675" i="10"/>
  <c r="AR675" i="10"/>
  <c r="BJ674" i="10"/>
  <c r="AR674" i="10"/>
  <c r="BJ673" i="10"/>
  <c r="AR673" i="10"/>
  <c r="BJ672" i="10"/>
  <c r="AR672" i="10"/>
  <c r="BJ671" i="10"/>
  <c r="AR671" i="10"/>
  <c r="BJ670" i="10"/>
  <c r="AR670" i="10"/>
  <c r="BJ669" i="10"/>
  <c r="AR669" i="10"/>
  <c r="BJ668" i="10"/>
  <c r="AR668" i="10"/>
  <c r="BJ667" i="10"/>
  <c r="AR667" i="10"/>
  <c r="BJ666" i="10"/>
  <c r="AR666" i="10"/>
  <c r="BJ665" i="10"/>
  <c r="AR665" i="10"/>
  <c r="BJ664" i="10"/>
  <c r="AR664" i="10"/>
  <c r="BJ663" i="10"/>
  <c r="AR663" i="10"/>
  <c r="BJ662" i="10"/>
  <c r="AR662" i="10"/>
  <c r="BJ661" i="10"/>
  <c r="AR661" i="10"/>
  <c r="BJ660" i="10"/>
  <c r="AR660" i="10"/>
  <c r="BJ659" i="10"/>
  <c r="AR659" i="10"/>
  <c r="BJ658" i="10"/>
  <c r="AR658" i="10"/>
  <c r="BJ657" i="10"/>
  <c r="AR657" i="10"/>
  <c r="BJ656" i="10"/>
  <c r="AR656" i="10"/>
  <c r="BJ655" i="10"/>
  <c r="AR655" i="10"/>
  <c r="BJ654" i="10"/>
  <c r="AR654" i="10"/>
  <c r="BJ653" i="10"/>
  <c r="AR653" i="10"/>
  <c r="BJ652" i="10"/>
  <c r="AR652" i="10"/>
  <c r="BJ651" i="10"/>
  <c r="AR651" i="10"/>
  <c r="BJ650" i="10"/>
  <c r="AR650" i="10"/>
  <c r="BJ649" i="10"/>
  <c r="AR649" i="10"/>
  <c r="BJ648" i="10"/>
  <c r="AR648" i="10"/>
  <c r="BJ647" i="10"/>
  <c r="AR647" i="10"/>
  <c r="BJ646" i="10"/>
  <c r="AR646" i="10"/>
  <c r="BJ645" i="10"/>
  <c r="AR645" i="10"/>
  <c r="BJ644" i="10"/>
  <c r="AR644" i="10"/>
  <c r="BJ643" i="10"/>
  <c r="AR643" i="10"/>
  <c r="BJ642" i="10"/>
  <c r="AR642" i="10"/>
  <c r="BJ641" i="10"/>
  <c r="AR641" i="10"/>
  <c r="BJ640" i="10"/>
  <c r="AR640" i="10"/>
  <c r="BJ639" i="10"/>
  <c r="AR639" i="10"/>
  <c r="BJ638" i="10"/>
  <c r="AR638" i="10"/>
  <c r="BJ637" i="10"/>
  <c r="AR637" i="10"/>
  <c r="BJ636" i="10"/>
  <c r="AR636" i="10"/>
  <c r="BJ635" i="10"/>
  <c r="AR635" i="10"/>
  <c r="BJ634" i="10"/>
  <c r="AR634" i="10"/>
  <c r="BJ633" i="10"/>
  <c r="AR633" i="10"/>
  <c r="BJ632" i="10"/>
  <c r="AR632" i="10"/>
  <c r="BJ631" i="10"/>
  <c r="AR631" i="10"/>
  <c r="BJ630" i="10"/>
  <c r="AR630" i="10"/>
  <c r="BJ629" i="10"/>
  <c r="AR629" i="10"/>
  <c r="BJ628" i="10"/>
  <c r="AR628" i="10"/>
  <c r="BJ627" i="10"/>
  <c r="AR627" i="10"/>
  <c r="BJ626" i="10"/>
  <c r="AR626" i="10"/>
  <c r="BJ625" i="10"/>
  <c r="AR625" i="10"/>
  <c r="BJ624" i="10"/>
  <c r="AR624" i="10"/>
  <c r="BJ623" i="10"/>
  <c r="AR623" i="10"/>
  <c r="BJ622" i="10"/>
  <c r="AR622" i="10"/>
  <c r="BJ621" i="10"/>
  <c r="AR621" i="10"/>
  <c r="BJ620" i="10"/>
  <c r="AR620" i="10"/>
  <c r="BJ619" i="10"/>
  <c r="AR619" i="10"/>
  <c r="BJ618" i="10"/>
  <c r="AR618" i="10"/>
  <c r="BJ617" i="10"/>
  <c r="AR617" i="10"/>
  <c r="BJ616" i="10"/>
  <c r="AR616" i="10"/>
  <c r="BJ615" i="10"/>
  <c r="AR615" i="10"/>
  <c r="BJ614" i="10"/>
  <c r="AR614" i="10"/>
  <c r="BJ613" i="10"/>
  <c r="AR613" i="10"/>
  <c r="BJ612" i="10"/>
  <c r="AR612" i="10"/>
  <c r="BJ611" i="10"/>
  <c r="AR611" i="10"/>
  <c r="BJ610" i="10"/>
  <c r="AR610" i="10"/>
  <c r="BJ609" i="10"/>
  <c r="AR609" i="10"/>
  <c r="BJ608" i="10"/>
  <c r="AR608" i="10"/>
  <c r="BJ607" i="10"/>
  <c r="AR607" i="10"/>
  <c r="BJ606" i="10"/>
  <c r="AR606" i="10"/>
  <c r="BJ605" i="10"/>
  <c r="AR605" i="10"/>
  <c r="BJ604" i="10"/>
  <c r="AR604" i="10"/>
  <c r="BJ603" i="10"/>
  <c r="AR603" i="10"/>
  <c r="BJ602" i="10"/>
  <c r="AR602" i="10"/>
  <c r="BJ601" i="10"/>
  <c r="AR601" i="10"/>
  <c r="BJ600" i="10"/>
  <c r="AR600" i="10"/>
  <c r="BJ599" i="10"/>
  <c r="AR599" i="10"/>
  <c r="BJ598" i="10"/>
  <c r="AR598" i="10"/>
  <c r="BJ597" i="10"/>
  <c r="AR597" i="10"/>
  <c r="BJ596" i="10"/>
  <c r="AR596" i="10"/>
  <c r="BJ595" i="10"/>
  <c r="AR595" i="10"/>
  <c r="BJ594" i="10"/>
  <c r="AR594" i="10"/>
  <c r="BJ593" i="10"/>
  <c r="AR593" i="10"/>
  <c r="BJ592" i="10"/>
  <c r="AR592" i="10"/>
  <c r="BJ591" i="10"/>
  <c r="AR591" i="10"/>
  <c r="BJ590" i="10"/>
  <c r="AR590" i="10"/>
  <c r="BJ589" i="10"/>
  <c r="AR589" i="10"/>
  <c r="BJ588" i="10"/>
  <c r="AR588" i="10"/>
  <c r="BJ587" i="10"/>
  <c r="AR587" i="10"/>
  <c r="BJ586" i="10"/>
  <c r="AR586" i="10"/>
  <c r="BJ585" i="10"/>
  <c r="AR585" i="10"/>
  <c r="BJ584" i="10"/>
  <c r="AR584" i="10"/>
  <c r="BJ583" i="10"/>
  <c r="AR583" i="10"/>
  <c r="BJ582" i="10"/>
  <c r="AR582" i="10"/>
  <c r="BJ581" i="10"/>
  <c r="AR581" i="10"/>
  <c r="BJ580" i="10"/>
  <c r="AR580" i="10"/>
  <c r="BJ579" i="10"/>
  <c r="AR579" i="10"/>
  <c r="BJ578" i="10"/>
  <c r="AR578" i="10"/>
  <c r="BJ577" i="10"/>
  <c r="AR577" i="10"/>
  <c r="BJ576" i="10"/>
  <c r="AR576" i="10"/>
  <c r="BJ575" i="10"/>
  <c r="AR575" i="10"/>
  <c r="BJ574" i="10"/>
  <c r="AR574" i="10"/>
  <c r="BJ573" i="10"/>
  <c r="AR573" i="10"/>
  <c r="BJ572" i="10"/>
  <c r="AR572" i="10"/>
  <c r="BJ571" i="10"/>
  <c r="AR571" i="10"/>
  <c r="BJ570" i="10"/>
  <c r="AR570" i="10"/>
  <c r="BJ569" i="10"/>
  <c r="AR569" i="10"/>
  <c r="BJ568" i="10"/>
  <c r="AR568" i="10"/>
  <c r="BJ567" i="10"/>
  <c r="AR567" i="10"/>
  <c r="BJ566" i="10"/>
  <c r="AR566" i="10"/>
  <c r="BJ565" i="10"/>
  <c r="AR565" i="10"/>
  <c r="BJ564" i="10"/>
  <c r="AR564" i="10"/>
  <c r="BJ563" i="10"/>
  <c r="AR563" i="10"/>
  <c r="BJ562" i="10"/>
  <c r="AR562" i="10"/>
  <c r="BJ561" i="10"/>
  <c r="AR561" i="10"/>
  <c r="BJ560" i="10"/>
  <c r="AR560" i="10"/>
  <c r="BJ559" i="10"/>
  <c r="AR559" i="10"/>
  <c r="BJ558" i="10"/>
  <c r="AR558" i="10"/>
  <c r="BJ557" i="10"/>
  <c r="AR557" i="10"/>
  <c r="BJ556" i="10"/>
  <c r="AR556" i="10"/>
  <c r="BJ555" i="10"/>
  <c r="AR555" i="10"/>
  <c r="BJ554" i="10"/>
  <c r="AR554" i="10"/>
  <c r="BJ553" i="10"/>
  <c r="AR553" i="10"/>
  <c r="BJ552" i="10"/>
  <c r="AR552" i="10"/>
  <c r="BJ551" i="10"/>
  <c r="AR551" i="10"/>
  <c r="BJ550" i="10"/>
  <c r="AR550" i="10"/>
  <c r="BJ549" i="10"/>
  <c r="AR549" i="10"/>
  <c r="BJ548" i="10"/>
  <c r="AR548" i="10"/>
  <c r="BJ547" i="10"/>
  <c r="AR547" i="10"/>
  <c r="BJ546" i="10"/>
  <c r="AR546" i="10"/>
  <c r="BJ545" i="10"/>
  <c r="AR545" i="10"/>
  <c r="BJ544" i="10"/>
  <c r="AR544" i="10"/>
  <c r="BJ543" i="10"/>
  <c r="AR543" i="10"/>
  <c r="BJ542" i="10"/>
  <c r="AR542" i="10"/>
  <c r="BJ541" i="10"/>
  <c r="AR541" i="10"/>
  <c r="BJ540" i="10"/>
  <c r="AR540" i="10"/>
  <c r="BJ539" i="10"/>
  <c r="AR539" i="10"/>
  <c r="BJ538" i="10"/>
  <c r="AR538" i="10"/>
  <c r="BJ537" i="10"/>
  <c r="AR537" i="10"/>
  <c r="BJ536" i="10"/>
  <c r="AR536" i="10"/>
  <c r="BJ535" i="10"/>
  <c r="AR535" i="10"/>
  <c r="BJ534" i="10"/>
  <c r="AR534" i="10"/>
  <c r="BJ533" i="10"/>
  <c r="AR533" i="10"/>
  <c r="BJ532" i="10"/>
  <c r="AR532" i="10"/>
  <c r="BJ531" i="10"/>
  <c r="AR531" i="10"/>
  <c r="BJ530" i="10"/>
  <c r="AR530" i="10"/>
  <c r="BJ529" i="10"/>
  <c r="AR529" i="10"/>
  <c r="BJ528" i="10"/>
  <c r="AR528" i="10"/>
  <c r="BJ527" i="10"/>
  <c r="AR527" i="10"/>
  <c r="BJ526" i="10"/>
  <c r="AR526" i="10"/>
  <c r="BJ525" i="10"/>
  <c r="AR525" i="10"/>
  <c r="BJ524" i="10"/>
  <c r="AR524" i="10"/>
  <c r="BJ523" i="10"/>
  <c r="AR523" i="10"/>
  <c r="BJ522" i="10"/>
  <c r="AR522" i="10"/>
  <c r="BJ521" i="10"/>
  <c r="AR521" i="10"/>
  <c r="BJ520" i="10"/>
  <c r="AR520" i="10"/>
  <c r="BJ519" i="10"/>
  <c r="AR519" i="10"/>
  <c r="BJ518" i="10"/>
  <c r="AR518" i="10"/>
  <c r="BJ517" i="10"/>
  <c r="AR517" i="10"/>
  <c r="BJ516" i="10"/>
  <c r="AR516" i="10"/>
  <c r="BJ515" i="10"/>
  <c r="AR515" i="10"/>
  <c r="BJ514" i="10"/>
  <c r="AR514" i="10"/>
  <c r="BJ513" i="10"/>
  <c r="AR513" i="10"/>
  <c r="BJ512" i="10"/>
  <c r="AR512" i="10"/>
  <c r="BJ511" i="10"/>
  <c r="AR511" i="10"/>
  <c r="BJ510" i="10"/>
  <c r="AR510" i="10"/>
  <c r="BJ509" i="10"/>
  <c r="AR509" i="10"/>
  <c r="BJ508" i="10"/>
  <c r="AR508" i="10"/>
  <c r="BJ507" i="10"/>
  <c r="AR507" i="10"/>
  <c r="BJ506" i="10"/>
  <c r="AR506" i="10"/>
  <c r="BJ505" i="10"/>
  <c r="AR505" i="10"/>
  <c r="BJ504" i="10"/>
  <c r="AR504" i="10"/>
  <c r="BJ503" i="10"/>
  <c r="AR503" i="10"/>
  <c r="BJ502" i="10"/>
  <c r="AR502" i="10"/>
  <c r="BJ501" i="10"/>
  <c r="AR501" i="10"/>
  <c r="BJ500" i="10"/>
  <c r="AR500" i="10"/>
  <c r="BJ499" i="10"/>
  <c r="AR499" i="10"/>
  <c r="BJ498" i="10"/>
  <c r="AR498" i="10"/>
  <c r="BJ497" i="10"/>
  <c r="AR497" i="10"/>
  <c r="BJ496" i="10"/>
  <c r="AR496" i="10"/>
  <c r="BJ495" i="10"/>
  <c r="BG495" i="10"/>
  <c r="BF495" i="10"/>
  <c r="AR495" i="10"/>
  <c r="BJ494" i="10"/>
  <c r="BG494" i="10"/>
  <c r="AX494" i="10"/>
  <c r="AR494" i="10"/>
  <c r="BJ493" i="10"/>
  <c r="BG493" i="10"/>
  <c r="AX493" i="10"/>
  <c r="AR493" i="10"/>
  <c r="BJ492" i="10"/>
  <c r="BG492" i="10"/>
  <c r="AX492" i="10"/>
  <c r="AR492" i="10"/>
  <c r="BJ491" i="10"/>
  <c r="BG491" i="10"/>
  <c r="AX491" i="10"/>
  <c r="AR491" i="10"/>
  <c r="BJ490" i="10"/>
  <c r="BG490" i="10"/>
  <c r="AX490" i="10"/>
  <c r="AR490" i="10"/>
  <c r="BJ489" i="10"/>
  <c r="BI489" i="10"/>
  <c r="AX489" i="10"/>
  <c r="AR489" i="10"/>
  <c r="BJ488" i="10"/>
  <c r="BG488" i="10"/>
  <c r="AX488" i="10"/>
  <c r="AR488" i="10"/>
  <c r="BJ487" i="10"/>
  <c r="BG487" i="10"/>
  <c r="AX487" i="10"/>
  <c r="AR487" i="10"/>
  <c r="BJ486" i="10"/>
  <c r="BH486" i="10"/>
  <c r="BD486" i="10"/>
  <c r="AS486" i="10"/>
  <c r="AR486" i="10"/>
  <c r="BJ485" i="10"/>
  <c r="BH485" i="10"/>
  <c r="AU485" i="10"/>
  <c r="AS485" i="10"/>
  <c r="AR485" i="10"/>
  <c r="BJ484" i="10"/>
  <c r="BH484" i="10"/>
  <c r="AR484" i="10"/>
  <c r="BJ483" i="10"/>
  <c r="BH483" i="10"/>
  <c r="AU483" i="10"/>
  <c r="AR483" i="10"/>
  <c r="BJ482" i="10"/>
  <c r="BG482" i="10"/>
  <c r="AR482" i="10"/>
  <c r="BJ481" i="10"/>
  <c r="BH481" i="10"/>
  <c r="AU481" i="10"/>
  <c r="AS481" i="10"/>
  <c r="AR481" i="10"/>
  <c r="BJ480" i="10"/>
  <c r="BH480" i="10"/>
  <c r="AU480" i="10"/>
  <c r="AR480" i="10"/>
  <c r="BJ479" i="10"/>
  <c r="BH479" i="10"/>
  <c r="AU479" i="10"/>
  <c r="AR479" i="10"/>
  <c r="BJ478" i="10"/>
  <c r="BH478" i="10"/>
  <c r="BD478" i="10"/>
  <c r="AR478" i="10"/>
  <c r="BJ477" i="10"/>
  <c r="BH477" i="10"/>
  <c r="AU477" i="10"/>
  <c r="AR477" i="10"/>
  <c r="BJ476" i="10"/>
  <c r="BG476" i="10"/>
  <c r="BA476" i="10"/>
  <c r="AR476" i="10"/>
  <c r="BJ475" i="10"/>
  <c r="BH475" i="10"/>
  <c r="BA475" i="10"/>
  <c r="AR475" i="10"/>
  <c r="BJ474" i="10"/>
  <c r="BH474" i="10"/>
  <c r="BA474" i="10"/>
  <c r="AS474" i="10"/>
  <c r="AR474" i="10"/>
  <c r="BJ473" i="10"/>
  <c r="BG473" i="10"/>
  <c r="BA473" i="10"/>
  <c r="AR473" i="10"/>
  <c r="BJ472" i="10"/>
  <c r="BH472" i="10"/>
  <c r="BA472" i="10"/>
  <c r="AS472" i="10"/>
  <c r="AR472" i="10"/>
  <c r="BJ471" i="10"/>
  <c r="BH471" i="10"/>
  <c r="BA471" i="10"/>
  <c r="AS471" i="10"/>
  <c r="AR471" i="10"/>
  <c r="BJ470" i="10"/>
  <c r="BG470" i="10"/>
  <c r="BA470" i="10"/>
  <c r="AR470" i="10"/>
  <c r="BJ469" i="10"/>
  <c r="BG469" i="10"/>
  <c r="BA469" i="10"/>
  <c r="AR469" i="10"/>
  <c r="BJ468" i="10"/>
  <c r="BG468" i="10"/>
  <c r="BA468" i="10"/>
  <c r="AR468" i="10"/>
  <c r="BJ467" i="10"/>
  <c r="BG467" i="10"/>
  <c r="AR467" i="10"/>
  <c r="BJ466" i="10"/>
  <c r="BG466" i="10"/>
  <c r="AV466" i="10"/>
  <c r="AR466" i="10"/>
  <c r="BJ465" i="10"/>
  <c r="BG465" i="10"/>
  <c r="AR465" i="10"/>
  <c r="BJ464" i="10"/>
  <c r="BG464" i="10"/>
  <c r="BF464" i="10"/>
  <c r="AR464" i="10"/>
  <c r="BJ463" i="10"/>
  <c r="BG463" i="10"/>
  <c r="BE463" i="10"/>
  <c r="AR463" i="10"/>
  <c r="BJ462" i="10"/>
  <c r="BG462" i="10"/>
  <c r="AX462" i="10"/>
  <c r="AR462" i="10"/>
  <c r="BJ461" i="10"/>
  <c r="BH461" i="10"/>
  <c r="AU461" i="10"/>
  <c r="AS461" i="10"/>
  <c r="AR461" i="10"/>
  <c r="BJ460" i="10"/>
  <c r="BG460" i="10"/>
  <c r="AX460" i="10"/>
  <c r="AR460" i="10"/>
  <c r="BJ459" i="10"/>
  <c r="BG459" i="10"/>
  <c r="AX459" i="10"/>
  <c r="AR459" i="10"/>
  <c r="BJ458" i="10"/>
  <c r="BH458" i="10"/>
  <c r="AU458" i="10"/>
  <c r="AS458" i="10"/>
  <c r="AR458" i="10"/>
  <c r="BJ457" i="10"/>
  <c r="BG457" i="10"/>
  <c r="BB457" i="10"/>
  <c r="AR457" i="10"/>
  <c r="BJ456" i="10"/>
  <c r="BH456" i="10"/>
  <c r="AU456" i="10"/>
  <c r="AR456" i="10"/>
  <c r="BJ455" i="10"/>
  <c r="BG455" i="10"/>
  <c r="AX455" i="10"/>
  <c r="AR455" i="10"/>
  <c r="BJ454" i="10"/>
  <c r="BH454" i="10"/>
  <c r="AU454" i="10"/>
  <c r="AR454" i="10"/>
  <c r="BJ453" i="10"/>
  <c r="BI453" i="10"/>
  <c r="AX453" i="10"/>
  <c r="AR453" i="10"/>
  <c r="BJ452" i="10"/>
  <c r="BH452" i="10"/>
  <c r="AX452" i="10"/>
  <c r="AS452" i="10"/>
  <c r="AR452" i="10"/>
  <c r="BJ451" i="10"/>
  <c r="BH451" i="10"/>
  <c r="AS451" i="10"/>
  <c r="AR451" i="10"/>
  <c r="BJ450" i="10"/>
  <c r="BG450" i="10"/>
  <c r="AX450" i="10"/>
  <c r="AR450" i="10"/>
  <c r="BJ449" i="10"/>
  <c r="BH449" i="10"/>
  <c r="AU449" i="10"/>
  <c r="AS449" i="10"/>
  <c r="AR449" i="10"/>
  <c r="BJ448" i="10"/>
  <c r="BH448" i="10"/>
  <c r="AU448" i="10"/>
  <c r="AR448" i="10"/>
  <c r="BG447" i="10"/>
  <c r="AR447" i="10"/>
  <c r="BJ446" i="10"/>
  <c r="BG446" i="10"/>
  <c r="BF446" i="10"/>
  <c r="AR446" i="10"/>
  <c r="BJ445" i="10"/>
  <c r="BG445" i="10"/>
  <c r="BF445" i="10"/>
  <c r="AR445" i="10"/>
  <c r="BJ444" i="10"/>
  <c r="BG444" i="10"/>
  <c r="AR444" i="10"/>
  <c r="BJ443" i="10"/>
  <c r="BH443" i="10"/>
  <c r="AT443" i="10"/>
  <c r="AS443" i="10"/>
  <c r="AR443" i="10"/>
  <c r="BJ442" i="10"/>
  <c r="BH442" i="10"/>
  <c r="AR442" i="10"/>
  <c r="BJ441" i="10"/>
  <c r="BH441" i="10"/>
  <c r="AR441" i="10"/>
  <c r="BJ440" i="10"/>
  <c r="BI440" i="10"/>
  <c r="AW440" i="10"/>
  <c r="AR440" i="10"/>
  <c r="BJ439" i="10"/>
  <c r="BH439" i="10"/>
  <c r="AS439" i="10"/>
  <c r="AR439" i="10"/>
  <c r="BJ438" i="10"/>
  <c r="BH438" i="10"/>
  <c r="AT438" i="10"/>
  <c r="AR438" i="10"/>
  <c r="BJ437" i="10"/>
  <c r="BG437" i="10"/>
  <c r="AR437" i="10"/>
  <c r="BJ436" i="10"/>
  <c r="BH436" i="10"/>
  <c r="AU436" i="10"/>
  <c r="AR436" i="10"/>
  <c r="BJ435" i="10"/>
  <c r="BG435" i="10"/>
  <c r="BC435" i="10"/>
  <c r="AR435" i="10"/>
  <c r="BJ434" i="10"/>
  <c r="BH434" i="10"/>
  <c r="AU434" i="10"/>
  <c r="AR434" i="10"/>
  <c r="BJ433" i="10"/>
  <c r="BH433" i="10"/>
  <c r="AU433" i="10"/>
  <c r="AR433" i="10"/>
  <c r="BJ432" i="10"/>
  <c r="BH432" i="10"/>
  <c r="AU432" i="10"/>
  <c r="AR432" i="10"/>
  <c r="BJ431" i="10"/>
  <c r="BH431" i="10"/>
  <c r="BF431" i="10"/>
  <c r="AR431" i="10"/>
  <c r="BJ430" i="10"/>
  <c r="BI430" i="10"/>
  <c r="AR430" i="10"/>
  <c r="BJ429" i="10"/>
  <c r="BH429" i="10"/>
  <c r="AT429" i="10"/>
  <c r="AS429" i="10"/>
  <c r="AR429" i="10"/>
  <c r="BJ428" i="10"/>
  <c r="BG428" i="10"/>
  <c r="AR428" i="10"/>
  <c r="BJ427" i="10"/>
  <c r="BI427" i="10"/>
  <c r="BB427" i="10"/>
  <c r="AR427" i="10"/>
  <c r="BJ426" i="10"/>
  <c r="BI426" i="10"/>
  <c r="AR426" i="10"/>
  <c r="BJ425" i="10"/>
  <c r="BI425" i="10"/>
  <c r="AR425" i="10"/>
  <c r="BJ424" i="10"/>
  <c r="BI424" i="10"/>
  <c r="AR424" i="10"/>
  <c r="BJ423" i="10"/>
  <c r="BH423" i="10"/>
  <c r="BA423" i="10"/>
  <c r="AS423" i="10"/>
  <c r="AR423" i="10"/>
  <c r="BJ422" i="10"/>
  <c r="BI422" i="10"/>
  <c r="BA422" i="10"/>
  <c r="AS422" i="10"/>
  <c r="AR422" i="10"/>
  <c r="BJ421" i="10"/>
  <c r="BH421" i="10"/>
  <c r="BA421" i="10"/>
  <c r="AS421" i="10"/>
  <c r="AR421" i="10"/>
  <c r="BJ420" i="10"/>
  <c r="BI420" i="10"/>
  <c r="BA420" i="10"/>
  <c r="AR420" i="10"/>
  <c r="BJ419" i="10"/>
  <c r="BH419" i="10"/>
  <c r="BA419" i="10"/>
  <c r="AS419" i="10"/>
  <c r="AR419" i="10"/>
  <c r="BJ418" i="10"/>
  <c r="BH418" i="10"/>
  <c r="BA418" i="10"/>
  <c r="AS418" i="10"/>
  <c r="AR418" i="10"/>
  <c r="BJ417" i="10"/>
  <c r="BH417" i="10"/>
  <c r="BA417" i="10"/>
  <c r="AR417" i="10"/>
  <c r="BJ416" i="10"/>
  <c r="BI416" i="10"/>
  <c r="BA416" i="10"/>
  <c r="AS416" i="10"/>
  <c r="AR416" i="10"/>
  <c r="BJ415" i="10"/>
  <c r="BH415" i="10"/>
  <c r="BA415" i="10"/>
  <c r="AS415" i="10"/>
  <c r="AR415" i="10"/>
  <c r="BJ414" i="10"/>
  <c r="BH414" i="10"/>
  <c r="BF414" i="10"/>
  <c r="AR414" i="10"/>
  <c r="BJ413" i="10"/>
  <c r="BG413" i="10"/>
  <c r="BF413" i="10"/>
  <c r="AR413" i="10"/>
  <c r="BJ412" i="10"/>
  <c r="BG412" i="10"/>
  <c r="AR412" i="10"/>
  <c r="BH411" i="10"/>
  <c r="AR411" i="10"/>
  <c r="BJ410" i="10"/>
  <c r="BH410" i="10"/>
  <c r="AU410" i="10"/>
  <c r="AR410" i="10"/>
  <c r="BJ409" i="10"/>
  <c r="BI409" i="10"/>
  <c r="AW409" i="10"/>
  <c r="AR409" i="10"/>
  <c r="BJ408" i="10"/>
  <c r="BH408" i="10"/>
  <c r="AU408" i="10"/>
  <c r="AS408" i="10"/>
  <c r="AR408" i="10"/>
  <c r="BJ407" i="10"/>
  <c r="BH407" i="10"/>
  <c r="AU407" i="10"/>
  <c r="AS407" i="10"/>
  <c r="AR407" i="10"/>
  <c r="BJ406" i="10"/>
  <c r="BH406" i="10"/>
  <c r="AS406" i="10"/>
  <c r="AR406" i="10"/>
  <c r="BJ405" i="10"/>
  <c r="BH405" i="10"/>
  <c r="AU405" i="10"/>
  <c r="AR405" i="10"/>
  <c r="BJ404" i="10"/>
  <c r="BH404" i="10"/>
  <c r="AU404" i="10"/>
  <c r="AS404" i="10"/>
  <c r="AR404" i="10"/>
  <c r="BJ403" i="10"/>
  <c r="BG403" i="10"/>
  <c r="AR403" i="10"/>
  <c r="BJ402" i="10"/>
  <c r="BI402" i="10"/>
  <c r="AR402" i="10"/>
  <c r="BJ401" i="10"/>
  <c r="BI401" i="10"/>
  <c r="BA401" i="10"/>
  <c r="AR401" i="10"/>
  <c r="BJ400" i="10"/>
  <c r="BG400" i="10"/>
  <c r="BC400" i="10"/>
  <c r="AR400" i="10"/>
  <c r="BJ399" i="10"/>
  <c r="BH399" i="10"/>
  <c r="BD399" i="10"/>
  <c r="AS399" i="10"/>
  <c r="AR399" i="10"/>
  <c r="BJ398" i="10"/>
  <c r="BH398" i="10"/>
  <c r="AU398" i="10"/>
  <c r="AR398" i="10"/>
  <c r="BJ397" i="10"/>
  <c r="BI397" i="10"/>
  <c r="BF397" i="10"/>
  <c r="AR397" i="10"/>
  <c r="BJ396" i="10"/>
  <c r="BI396" i="10"/>
  <c r="BF396" i="10"/>
  <c r="AR396" i="10"/>
  <c r="BJ395" i="10"/>
  <c r="BI395" i="10"/>
  <c r="BF395" i="10"/>
  <c r="AR395" i="10"/>
  <c r="BJ394" i="10"/>
  <c r="BI394" i="10"/>
  <c r="BF394" i="10"/>
  <c r="AR394" i="10"/>
  <c r="BJ393" i="10"/>
  <c r="BI393" i="10"/>
  <c r="BF393" i="10"/>
  <c r="AR393" i="10"/>
  <c r="BJ392" i="10"/>
  <c r="BG392" i="10"/>
  <c r="BC392" i="10"/>
  <c r="AR392" i="10"/>
  <c r="BJ391" i="10"/>
  <c r="BH391" i="10"/>
  <c r="BF391" i="10"/>
  <c r="AR391" i="10"/>
  <c r="BJ390" i="10"/>
  <c r="BG390" i="10"/>
  <c r="BF390" i="10"/>
  <c r="AR390" i="10"/>
  <c r="BJ389" i="10"/>
  <c r="BG389" i="10"/>
  <c r="AR389" i="10"/>
  <c r="BJ388" i="10"/>
  <c r="BG388" i="10"/>
  <c r="BF388" i="10"/>
  <c r="AR388" i="10"/>
  <c r="BJ387" i="10"/>
  <c r="BH387" i="10"/>
  <c r="AR387" i="10"/>
  <c r="BJ386" i="10"/>
  <c r="BG386" i="10"/>
  <c r="BF386" i="10"/>
  <c r="AR386" i="10"/>
  <c r="BJ385" i="10"/>
  <c r="BH385" i="10"/>
  <c r="AU385" i="10"/>
  <c r="AR385" i="10"/>
  <c r="BJ384" i="10"/>
  <c r="BI384" i="10"/>
  <c r="AY384" i="10"/>
  <c r="AR384" i="10"/>
  <c r="BJ383" i="10"/>
  <c r="BH383" i="10"/>
  <c r="AY383" i="10"/>
  <c r="AR383" i="10"/>
  <c r="BJ382" i="10"/>
  <c r="BH382" i="10"/>
  <c r="AY382" i="10"/>
  <c r="AR382" i="10"/>
  <c r="BJ381" i="10"/>
  <c r="BI381" i="10"/>
  <c r="AY381" i="10"/>
  <c r="AR381" i="10"/>
  <c r="BJ380" i="10"/>
  <c r="BG380" i="10"/>
  <c r="BE380" i="10"/>
  <c r="AR380" i="10"/>
  <c r="BJ379" i="10"/>
  <c r="BH379" i="10"/>
  <c r="AR379" i="10"/>
  <c r="BJ378" i="10"/>
  <c r="BG378" i="10"/>
  <c r="BE378" i="10"/>
  <c r="AR378" i="10"/>
  <c r="BJ377" i="10"/>
  <c r="BH377" i="10"/>
  <c r="AU377" i="10"/>
  <c r="AR377" i="10"/>
  <c r="BJ376" i="10"/>
  <c r="BI376" i="10"/>
  <c r="AR376" i="10"/>
  <c r="BJ375" i="10"/>
  <c r="BH375" i="10"/>
  <c r="AW375" i="10"/>
  <c r="AR375" i="10"/>
  <c r="BJ374" i="10"/>
  <c r="BH374" i="10"/>
  <c r="AT374" i="10"/>
  <c r="AR374" i="10"/>
  <c r="BJ373" i="10"/>
  <c r="BH373" i="10"/>
  <c r="AW373" i="10"/>
  <c r="AR373" i="10"/>
  <c r="BJ372" i="10"/>
  <c r="BG372" i="10"/>
  <c r="BE372" i="10"/>
  <c r="AR372" i="10"/>
  <c r="BJ371" i="10"/>
  <c r="BG371" i="10"/>
  <c r="AR371" i="10"/>
  <c r="BJ370" i="10"/>
  <c r="BG370" i="10"/>
  <c r="AR370" i="10"/>
  <c r="BJ369" i="10"/>
  <c r="BG369" i="10"/>
  <c r="AR369" i="10"/>
  <c r="BJ368" i="10"/>
  <c r="BH368" i="10"/>
  <c r="AW368" i="10"/>
  <c r="AR368" i="10"/>
  <c r="BJ367" i="10"/>
  <c r="BH367" i="10"/>
  <c r="AU367" i="10"/>
  <c r="AR367" i="10"/>
  <c r="BJ366" i="10"/>
  <c r="BH366" i="10"/>
  <c r="AU366" i="10"/>
  <c r="AR366" i="10"/>
  <c r="BJ365" i="10"/>
  <c r="BG365" i="10"/>
  <c r="BF365" i="10"/>
  <c r="AR365" i="10"/>
  <c r="BJ364" i="10"/>
  <c r="BH364" i="10"/>
  <c r="AT364" i="10"/>
  <c r="AR364" i="10"/>
  <c r="BJ363" i="10"/>
  <c r="BH363" i="10"/>
  <c r="AW363" i="10"/>
  <c r="AR363" i="10"/>
  <c r="BJ362" i="10"/>
  <c r="BG362" i="10"/>
  <c r="BF362" i="10"/>
  <c r="AR362" i="10"/>
  <c r="BJ361" i="10"/>
  <c r="BG361" i="10"/>
  <c r="BF361" i="10"/>
  <c r="AR361" i="10"/>
  <c r="BJ360" i="10"/>
  <c r="BI360" i="10"/>
  <c r="BF360" i="10"/>
  <c r="AR360" i="10"/>
  <c r="BJ359" i="10"/>
  <c r="BH359" i="10"/>
  <c r="AU359" i="10"/>
  <c r="AR359" i="10"/>
  <c r="BJ358" i="10"/>
  <c r="BH358" i="10"/>
  <c r="AU358" i="10"/>
  <c r="AS358" i="10"/>
  <c r="AR358" i="10"/>
  <c r="BJ357" i="10"/>
  <c r="BG357" i="10"/>
  <c r="AR357" i="10"/>
  <c r="BJ356" i="10"/>
  <c r="BG356" i="10"/>
  <c r="AR356" i="10"/>
  <c r="BJ355" i="10"/>
  <c r="BH355" i="10"/>
  <c r="AS355" i="10"/>
  <c r="AR355" i="10"/>
  <c r="BJ354" i="10"/>
  <c r="BG354" i="10"/>
  <c r="BF354" i="10"/>
  <c r="AR354" i="10"/>
  <c r="BJ353" i="10"/>
  <c r="BI353" i="10"/>
  <c r="AR353" i="10"/>
  <c r="BJ352" i="10"/>
  <c r="BI352" i="10"/>
  <c r="AR352" i="10"/>
  <c r="BJ351" i="10"/>
  <c r="BI351" i="10"/>
  <c r="BD351" i="10"/>
  <c r="AR351" i="10"/>
  <c r="BJ350" i="10"/>
  <c r="BG350" i="10"/>
  <c r="AR350" i="10"/>
  <c r="BJ349" i="10"/>
  <c r="BH349" i="10"/>
  <c r="AU349" i="10"/>
  <c r="AR349" i="10"/>
  <c r="BJ348" i="10"/>
  <c r="BI348" i="10"/>
  <c r="AR348" i="10"/>
  <c r="BG347" i="10"/>
  <c r="AR347" i="10"/>
  <c r="BJ346" i="10"/>
  <c r="BH346" i="10"/>
  <c r="BC346" i="10"/>
  <c r="AR346" i="10"/>
  <c r="BJ345" i="10"/>
  <c r="BH345" i="10"/>
  <c r="BC345" i="10"/>
  <c r="AR345" i="10"/>
  <c r="BJ344" i="10"/>
  <c r="BI344" i="10"/>
  <c r="BF344" i="10"/>
  <c r="AR344" i="10"/>
  <c r="BJ343" i="10"/>
  <c r="BH343" i="10"/>
  <c r="AR343" i="10"/>
  <c r="BJ342" i="10"/>
  <c r="BH342" i="10"/>
  <c r="AU342" i="10"/>
  <c r="AR342" i="10"/>
  <c r="BJ341" i="10"/>
  <c r="BH341" i="10"/>
  <c r="AU341" i="10"/>
  <c r="AR341" i="10"/>
  <c r="BJ340" i="10"/>
  <c r="BG340" i="10"/>
  <c r="AR340" i="10"/>
  <c r="BG339" i="10"/>
  <c r="AR339" i="10"/>
  <c r="BJ338" i="10"/>
  <c r="BG338" i="10"/>
  <c r="BF338" i="10"/>
  <c r="AR338" i="10"/>
  <c r="BJ337" i="10"/>
  <c r="BG337" i="10"/>
  <c r="BE337" i="10"/>
  <c r="AR337" i="10"/>
  <c r="BJ336" i="10"/>
  <c r="BG336" i="10"/>
  <c r="AR336" i="10"/>
  <c r="BJ335" i="10"/>
  <c r="BH335" i="10"/>
  <c r="AR335" i="10"/>
  <c r="BJ334" i="10"/>
  <c r="BG334" i="10"/>
  <c r="BF334" i="10"/>
  <c r="AR334" i="10"/>
  <c r="BJ333" i="10"/>
  <c r="BI333" i="10"/>
  <c r="AR333" i="10"/>
  <c r="BJ332" i="10"/>
  <c r="BH332" i="10"/>
  <c r="BF332" i="10"/>
  <c r="AR332" i="10"/>
  <c r="BJ331" i="10"/>
  <c r="BH331" i="10"/>
  <c r="AU331" i="10"/>
  <c r="AR331" i="10"/>
  <c r="BJ330" i="10"/>
  <c r="BG330" i="10"/>
  <c r="AT330" i="10"/>
  <c r="AR330" i="10"/>
  <c r="BJ329" i="10"/>
  <c r="BI329" i="10"/>
  <c r="AR329" i="10"/>
  <c r="BJ328" i="10"/>
  <c r="BH328" i="10"/>
  <c r="AU328" i="10"/>
  <c r="AR328" i="10"/>
  <c r="BJ327" i="10"/>
  <c r="BG327" i="10"/>
  <c r="AR327" i="10"/>
  <c r="BJ326" i="10"/>
  <c r="BH326" i="10"/>
  <c r="AS326" i="10"/>
  <c r="AR326" i="10"/>
  <c r="BJ325" i="10"/>
  <c r="BG325" i="10"/>
  <c r="BF325" i="10"/>
  <c r="AR325" i="10"/>
  <c r="BJ324" i="10"/>
  <c r="BG324" i="10"/>
  <c r="BF324" i="10"/>
  <c r="AR324" i="10"/>
  <c r="BJ323" i="10"/>
  <c r="BG323" i="10"/>
  <c r="BC323" i="10"/>
  <c r="AR323" i="10"/>
  <c r="BJ322" i="10"/>
  <c r="BI322" i="10"/>
  <c r="AR322" i="10"/>
  <c r="BJ321" i="10"/>
  <c r="BH321" i="10"/>
  <c r="AU321" i="10"/>
  <c r="AR321" i="10"/>
  <c r="BJ320" i="10"/>
  <c r="BH320" i="10"/>
  <c r="AW320" i="10"/>
  <c r="AR320" i="10"/>
  <c r="BJ319" i="10"/>
  <c r="BI319" i="10"/>
  <c r="AR319" i="10"/>
  <c r="BJ318" i="10"/>
  <c r="BI318" i="10"/>
  <c r="BD318" i="10"/>
  <c r="AR318" i="10"/>
  <c r="BJ317" i="10"/>
  <c r="BI317" i="10"/>
  <c r="BD317" i="10"/>
  <c r="AR317" i="10"/>
  <c r="BJ316" i="10"/>
  <c r="BI316" i="10"/>
  <c r="BD316" i="10"/>
  <c r="AR316" i="10"/>
  <c r="BJ315" i="10"/>
  <c r="BH315" i="10"/>
  <c r="AR315" i="10"/>
  <c r="BJ314" i="10"/>
  <c r="BH314" i="10"/>
  <c r="AR314" i="10"/>
  <c r="BJ313" i="10"/>
  <c r="BI313" i="10"/>
  <c r="BD313" i="10"/>
  <c r="AR313" i="10"/>
  <c r="BJ312" i="10"/>
  <c r="BI312" i="10"/>
  <c r="AR312" i="10"/>
  <c r="BJ311" i="10"/>
  <c r="BI311" i="10"/>
  <c r="BD311" i="10"/>
  <c r="AR311" i="10"/>
  <c r="BJ310" i="10"/>
  <c r="BH310" i="10"/>
  <c r="AR310" i="10"/>
  <c r="BJ309" i="10"/>
  <c r="BH309" i="10"/>
  <c r="AT309" i="10"/>
  <c r="AR309" i="10"/>
  <c r="BJ308" i="10"/>
  <c r="BH308" i="10"/>
  <c r="AW308" i="10"/>
  <c r="AR308" i="10"/>
  <c r="BJ307" i="10"/>
  <c r="BI307" i="10"/>
  <c r="BB307" i="10"/>
  <c r="AR307" i="10"/>
  <c r="BJ306" i="10"/>
  <c r="BG306" i="10"/>
  <c r="BF306" i="10"/>
  <c r="AR306" i="10"/>
  <c r="BJ305" i="10"/>
  <c r="BG305" i="10"/>
  <c r="AR305" i="10"/>
  <c r="BJ304" i="10"/>
  <c r="BG304" i="10"/>
  <c r="AR304" i="10"/>
  <c r="BJ303" i="10"/>
  <c r="BI303" i="10"/>
  <c r="AR303" i="10"/>
  <c r="BJ302" i="10"/>
  <c r="BG302" i="10"/>
  <c r="BF302" i="10"/>
  <c r="AR302" i="10"/>
  <c r="BJ301" i="10"/>
  <c r="BH301" i="10"/>
  <c r="AR301" i="10"/>
  <c r="BJ300" i="10"/>
  <c r="BG300" i="10"/>
  <c r="AV300" i="10"/>
  <c r="AR300" i="10"/>
  <c r="BJ299" i="10"/>
  <c r="BG299" i="10"/>
  <c r="AR299" i="10"/>
  <c r="BJ298" i="10"/>
  <c r="BI298" i="10"/>
  <c r="AR298" i="10"/>
  <c r="BJ297" i="10"/>
  <c r="BH297" i="10"/>
  <c r="AU297" i="10"/>
  <c r="AS297" i="10"/>
  <c r="AR297" i="10"/>
  <c r="BJ296" i="10"/>
  <c r="BH296" i="10"/>
  <c r="AU296" i="10"/>
  <c r="AR296" i="10"/>
  <c r="BJ295" i="10"/>
  <c r="BH295" i="10"/>
  <c r="AT295" i="10"/>
  <c r="AR295" i="10"/>
  <c r="BJ294" i="10"/>
  <c r="BH294" i="10"/>
  <c r="AU294" i="10"/>
  <c r="AR294" i="10"/>
  <c r="BJ293" i="10"/>
  <c r="BH293" i="10"/>
  <c r="AU293" i="10"/>
  <c r="AR293" i="10"/>
  <c r="BJ292" i="10"/>
  <c r="BH292" i="10"/>
  <c r="AR292" i="10"/>
  <c r="BJ291" i="10"/>
  <c r="BH291" i="10"/>
  <c r="BF291" i="10"/>
  <c r="AR291" i="10"/>
  <c r="BJ290" i="10"/>
  <c r="BH290" i="10"/>
  <c r="AU290" i="10"/>
  <c r="AR290" i="10"/>
  <c r="BJ289" i="10"/>
  <c r="BH289" i="10"/>
  <c r="AU289" i="10"/>
  <c r="AR289" i="10"/>
  <c r="BJ288" i="10"/>
  <c r="BH288" i="10"/>
  <c r="AU288" i="10"/>
  <c r="AR288" i="10"/>
  <c r="BJ287" i="10"/>
  <c r="BH287" i="10"/>
  <c r="AU287" i="10"/>
  <c r="AR287" i="10"/>
  <c r="BJ286" i="10"/>
  <c r="BH286" i="10"/>
  <c r="AT286" i="10"/>
  <c r="AR286" i="10"/>
  <c r="BJ285" i="10"/>
  <c r="BH285" i="10"/>
  <c r="AU285" i="10"/>
  <c r="AR285" i="10"/>
  <c r="BJ284" i="10"/>
  <c r="BH284" i="10"/>
  <c r="AU284" i="10"/>
  <c r="AR284" i="10"/>
  <c r="BJ283" i="10"/>
  <c r="BH283" i="10"/>
  <c r="AU283" i="10"/>
  <c r="AR283" i="10"/>
  <c r="BJ282" i="10"/>
  <c r="BH282" i="10"/>
  <c r="AT282" i="10"/>
  <c r="AR282" i="10"/>
  <c r="BJ281" i="10"/>
  <c r="BH281" i="10"/>
  <c r="AU281" i="10"/>
  <c r="AR281" i="10"/>
  <c r="BJ280" i="10"/>
  <c r="BH280" i="10"/>
  <c r="AU280" i="10"/>
  <c r="AR280" i="10"/>
  <c r="BJ279" i="10"/>
  <c r="BH279" i="10"/>
  <c r="AW279" i="10"/>
  <c r="AR279" i="10"/>
  <c r="BJ278" i="10"/>
  <c r="BH278" i="10"/>
  <c r="AU278" i="10"/>
  <c r="AR278" i="10"/>
  <c r="BJ277" i="10"/>
  <c r="BH277" i="10"/>
  <c r="BF277" i="10"/>
  <c r="AR277" i="10"/>
  <c r="BJ276" i="10"/>
  <c r="BH276" i="10"/>
  <c r="AU276" i="10"/>
  <c r="AR276" i="10"/>
  <c r="BJ275" i="10"/>
  <c r="BH275" i="10"/>
  <c r="AT275" i="10"/>
  <c r="AR275" i="10"/>
  <c r="BJ274" i="10"/>
  <c r="BH274" i="10"/>
  <c r="AT274" i="10"/>
  <c r="AR274" i="10"/>
  <c r="BJ273" i="10"/>
  <c r="BH273" i="10"/>
  <c r="AU273" i="10"/>
  <c r="AR273" i="10"/>
  <c r="BJ272" i="10"/>
  <c r="BH272" i="10"/>
  <c r="AU272" i="10"/>
  <c r="AR272" i="10"/>
  <c r="BJ271" i="10"/>
  <c r="BH271" i="10"/>
  <c r="AT271" i="10"/>
  <c r="AR271" i="10"/>
  <c r="BJ270" i="10"/>
  <c r="BH270" i="10"/>
  <c r="BF270" i="10"/>
  <c r="AR270" i="10"/>
  <c r="BJ269" i="10"/>
  <c r="BH269" i="10"/>
  <c r="AU269" i="10"/>
  <c r="AR269" i="10"/>
  <c r="BJ268" i="10"/>
  <c r="BH268" i="10"/>
  <c r="AU268" i="10"/>
  <c r="AR268" i="10"/>
  <c r="BJ267" i="10"/>
  <c r="BH267" i="10"/>
  <c r="AT267" i="10"/>
  <c r="AR267" i="10"/>
  <c r="BJ266" i="10"/>
  <c r="BH266" i="10"/>
  <c r="AW266" i="10"/>
  <c r="AR266" i="10"/>
  <c r="BJ265" i="10"/>
  <c r="BH265" i="10"/>
  <c r="AT265" i="10"/>
  <c r="AR265" i="10"/>
  <c r="BJ264" i="10"/>
  <c r="BH264" i="10"/>
  <c r="AU264" i="10"/>
  <c r="AR264" i="10"/>
  <c r="BJ263" i="10"/>
  <c r="BH263" i="10"/>
  <c r="AW263" i="10"/>
  <c r="AR263" i="10"/>
  <c r="BJ262" i="10"/>
  <c r="BI262" i="10"/>
  <c r="BF262" i="10"/>
  <c r="AR262" i="10"/>
  <c r="BJ261" i="10"/>
  <c r="BI261" i="10"/>
  <c r="AR261" i="10"/>
  <c r="BJ260" i="10"/>
  <c r="BI260" i="10"/>
  <c r="AR260" i="10"/>
  <c r="BJ259" i="10"/>
  <c r="BI259" i="10"/>
  <c r="AR259" i="10"/>
  <c r="BJ258" i="10"/>
  <c r="BI258" i="10"/>
  <c r="AR258" i="10"/>
  <c r="BJ257" i="10"/>
  <c r="BH257" i="10"/>
  <c r="BF257" i="10"/>
  <c r="AR257" i="10"/>
  <c r="BJ256" i="10"/>
  <c r="BH256" i="10"/>
  <c r="AT256" i="10"/>
  <c r="AR256" i="10"/>
  <c r="BJ255" i="10"/>
  <c r="BG255" i="10"/>
  <c r="BF255" i="10"/>
  <c r="AR255" i="10"/>
  <c r="BJ254" i="10"/>
  <c r="BG254" i="10"/>
  <c r="BF254" i="10"/>
  <c r="AR254" i="10"/>
  <c r="BJ253" i="10"/>
  <c r="BH253" i="10"/>
  <c r="AU253" i="10"/>
  <c r="AR253" i="10"/>
  <c r="BJ252" i="10"/>
  <c r="BG252" i="10"/>
  <c r="AR252" i="10"/>
  <c r="BJ251" i="10"/>
  <c r="BI251" i="10"/>
  <c r="AR251" i="10"/>
  <c r="BJ250" i="10"/>
  <c r="BH250" i="10"/>
  <c r="AU250" i="10"/>
  <c r="AR250" i="10"/>
  <c r="BJ249" i="10"/>
  <c r="BH249" i="10"/>
  <c r="BF249" i="10"/>
  <c r="AS249" i="10"/>
  <c r="AR249" i="10"/>
  <c r="BJ248" i="10"/>
  <c r="BH248" i="10"/>
  <c r="AR248" i="10"/>
  <c r="BJ247" i="10"/>
  <c r="BG247" i="10"/>
  <c r="BF247" i="10"/>
  <c r="AR247" i="10"/>
  <c r="BJ246" i="10"/>
  <c r="BG246" i="10"/>
  <c r="BF246" i="10"/>
  <c r="AR246" i="10"/>
  <c r="BJ245" i="10"/>
  <c r="BH245" i="10"/>
  <c r="AT245" i="10"/>
  <c r="AS245" i="10"/>
  <c r="AR245" i="10"/>
  <c r="BJ244" i="10"/>
  <c r="BH244" i="10"/>
  <c r="AW244" i="10"/>
  <c r="AS244" i="10"/>
  <c r="AR244" i="10"/>
  <c r="BJ243" i="10"/>
  <c r="BG243" i="10"/>
  <c r="BF243" i="10"/>
  <c r="AR243" i="10"/>
  <c r="BJ242" i="10"/>
  <c r="BH242" i="10"/>
  <c r="AU242" i="10"/>
  <c r="AR242" i="10"/>
  <c r="BJ241" i="10"/>
  <c r="BG241" i="10"/>
  <c r="AV241" i="10"/>
  <c r="AR241" i="10"/>
  <c r="BJ240" i="10"/>
  <c r="BH240" i="10"/>
  <c r="AW240" i="10"/>
  <c r="AR240" i="10"/>
  <c r="BJ239" i="10"/>
  <c r="BH239" i="10"/>
  <c r="BD239" i="10"/>
  <c r="AR239" i="10"/>
  <c r="BJ238" i="10"/>
  <c r="BH238" i="10"/>
  <c r="BD238" i="10"/>
  <c r="AS238" i="10"/>
  <c r="AR238" i="10"/>
  <c r="BJ237" i="10"/>
  <c r="BG237" i="10"/>
  <c r="AR237" i="10"/>
  <c r="BJ236" i="10"/>
  <c r="BG236" i="10"/>
  <c r="AR236" i="10"/>
  <c r="BJ235" i="10"/>
  <c r="BH235" i="10"/>
  <c r="AX235" i="10"/>
  <c r="AS235" i="10"/>
  <c r="AR235" i="10"/>
  <c r="BJ234" i="10"/>
  <c r="BG234" i="10"/>
  <c r="AX234" i="10"/>
  <c r="AR234" i="10"/>
  <c r="BJ233" i="10"/>
  <c r="BG233" i="10"/>
  <c r="AX233" i="10"/>
  <c r="AR233" i="10"/>
  <c r="BJ232" i="10"/>
  <c r="BG232" i="10"/>
  <c r="AX232" i="10"/>
  <c r="AR232" i="10"/>
  <c r="BJ231" i="10"/>
  <c r="BG231" i="10"/>
  <c r="AX231" i="10"/>
  <c r="AR231" i="10"/>
  <c r="BJ230" i="10"/>
  <c r="BH230" i="10"/>
  <c r="AX230" i="10"/>
  <c r="AS230" i="10"/>
  <c r="AR230" i="10"/>
  <c r="BJ229" i="10"/>
  <c r="BI229" i="10"/>
  <c r="AX229" i="10"/>
  <c r="AR229" i="10"/>
  <c r="BJ228" i="10"/>
  <c r="BI228" i="10"/>
  <c r="AX228" i="10"/>
  <c r="AR228" i="10"/>
  <c r="BJ227" i="10"/>
  <c r="BH227" i="10"/>
  <c r="AS227" i="10"/>
  <c r="AR227" i="10"/>
  <c r="BJ226" i="10"/>
  <c r="BI226" i="10"/>
  <c r="AR226" i="10"/>
  <c r="BJ225" i="10"/>
  <c r="BG225" i="10"/>
  <c r="AR225" i="10"/>
  <c r="BJ224" i="10"/>
  <c r="BH224" i="10"/>
  <c r="AU224" i="10"/>
  <c r="AS224" i="10"/>
  <c r="AR224" i="10"/>
  <c r="BJ223" i="10"/>
  <c r="BG223" i="10"/>
  <c r="BC223" i="10"/>
  <c r="AR223" i="10"/>
  <c r="BJ222" i="10"/>
  <c r="BH222" i="10"/>
  <c r="AU222" i="10"/>
  <c r="AS222" i="10"/>
  <c r="AR222" i="10"/>
  <c r="BJ221" i="10"/>
  <c r="BH221" i="10"/>
  <c r="AU221" i="10"/>
  <c r="AS221" i="10"/>
  <c r="AR221" i="10"/>
  <c r="BJ220" i="10"/>
  <c r="BI220" i="10"/>
  <c r="BF220" i="10"/>
  <c r="AR220" i="10"/>
  <c r="BJ219" i="10"/>
  <c r="BG219" i="10"/>
  <c r="AR219" i="10"/>
  <c r="BJ218" i="10"/>
  <c r="BI218" i="10"/>
  <c r="AR218" i="10"/>
  <c r="BJ217" i="10"/>
  <c r="BI217" i="10"/>
  <c r="AR217" i="10"/>
  <c r="BG216" i="10"/>
  <c r="AR216" i="10"/>
  <c r="BJ215" i="10"/>
  <c r="BI215" i="10"/>
  <c r="BB215" i="10"/>
  <c r="AR215" i="10"/>
  <c r="BJ214" i="10"/>
  <c r="BG214" i="10"/>
  <c r="AR214" i="10"/>
  <c r="BJ213" i="10"/>
  <c r="BG213" i="10"/>
  <c r="BF213" i="10"/>
  <c r="AR213" i="10"/>
  <c r="BJ212" i="10"/>
  <c r="BG212" i="10"/>
  <c r="BF212" i="10"/>
  <c r="AR212" i="10"/>
  <c r="BJ211" i="10"/>
  <c r="BG211" i="10"/>
  <c r="AR211" i="10"/>
  <c r="BJ210" i="10"/>
  <c r="BG210" i="10"/>
  <c r="BF210" i="10"/>
  <c r="AR210" i="10"/>
  <c r="BJ209" i="10"/>
  <c r="BG209" i="10"/>
  <c r="BF209" i="10"/>
  <c r="AR209" i="10"/>
  <c r="BJ208" i="10"/>
  <c r="BG208" i="10"/>
  <c r="BF208" i="10"/>
  <c r="AR208" i="10"/>
  <c r="BJ207" i="10"/>
  <c r="BG207" i="10"/>
  <c r="BB207" i="10"/>
  <c r="AR207" i="10"/>
  <c r="BJ206" i="10"/>
  <c r="BG206" i="10"/>
  <c r="AR206" i="10"/>
  <c r="BJ205" i="10"/>
  <c r="BG205" i="10"/>
  <c r="AR205" i="10"/>
  <c r="BJ204" i="10"/>
  <c r="BG204" i="10"/>
  <c r="BF204" i="10"/>
  <c r="AR204" i="10"/>
  <c r="BJ203" i="10"/>
  <c r="BH203" i="10"/>
  <c r="AU203" i="10"/>
  <c r="AS203" i="10"/>
  <c r="AR203" i="10"/>
  <c r="BJ202" i="10"/>
  <c r="BI202" i="10"/>
  <c r="AR202" i="10"/>
  <c r="BJ201" i="10"/>
  <c r="BG201" i="10"/>
  <c r="AV201" i="10"/>
  <c r="AR201" i="10"/>
  <c r="BJ200" i="10"/>
  <c r="BH200" i="10"/>
  <c r="AU200" i="10"/>
  <c r="AR200" i="10"/>
  <c r="BJ199" i="10"/>
  <c r="BH199" i="10"/>
  <c r="AT199" i="10"/>
  <c r="AS199" i="10"/>
  <c r="AR199" i="10"/>
  <c r="BJ198" i="10"/>
  <c r="BG198" i="10"/>
  <c r="AV198" i="10"/>
  <c r="AR198" i="10"/>
  <c r="BJ197" i="10"/>
  <c r="BG197" i="10"/>
  <c r="BF197" i="10"/>
  <c r="AR197" i="10"/>
  <c r="BJ196" i="10"/>
  <c r="BH196" i="10"/>
  <c r="AR196" i="10"/>
  <c r="BJ195" i="10"/>
  <c r="BH195" i="10"/>
  <c r="BF195" i="10"/>
  <c r="AR195" i="10"/>
  <c r="BJ194" i="10"/>
  <c r="BI194" i="10"/>
  <c r="AR194" i="10"/>
  <c r="BJ193" i="10"/>
  <c r="BI193" i="10"/>
  <c r="AR193" i="10"/>
  <c r="BJ192" i="10"/>
  <c r="BI192" i="10"/>
  <c r="AR192" i="10"/>
  <c r="BJ191" i="10"/>
  <c r="BG191" i="10"/>
  <c r="AR191" i="10"/>
  <c r="BJ190" i="10"/>
  <c r="BI190" i="10"/>
  <c r="AT190" i="10"/>
  <c r="AR190" i="10"/>
  <c r="BJ189" i="10"/>
  <c r="BI189" i="10"/>
  <c r="BA189" i="10"/>
  <c r="AR189" i="10"/>
  <c r="BJ188" i="10"/>
  <c r="BI188" i="10"/>
  <c r="AR188" i="10"/>
  <c r="BJ187" i="10"/>
  <c r="BG187" i="10"/>
  <c r="AW187" i="10"/>
  <c r="AR187" i="10"/>
  <c r="BJ186" i="10"/>
  <c r="BI186" i="10"/>
  <c r="BB186" i="10"/>
  <c r="AR186" i="10"/>
  <c r="BJ185" i="10"/>
  <c r="BH185" i="10"/>
  <c r="BF185" i="10"/>
  <c r="AS185" i="10"/>
  <c r="AR185" i="10"/>
  <c r="BJ184" i="10"/>
  <c r="BG184" i="10"/>
  <c r="AR184" i="10"/>
  <c r="BJ183" i="10"/>
  <c r="BG183" i="10"/>
  <c r="BF183" i="10"/>
  <c r="AR183" i="10"/>
  <c r="BJ182" i="10"/>
  <c r="BG182" i="10"/>
  <c r="AV182" i="10"/>
  <c r="AR182" i="10"/>
  <c r="BJ181" i="10"/>
  <c r="BG181" i="10"/>
  <c r="BF181" i="10"/>
  <c r="AR181" i="10"/>
  <c r="BJ180" i="10"/>
  <c r="BG180" i="10"/>
  <c r="AV180" i="10"/>
  <c r="AR180" i="10"/>
  <c r="BJ179" i="10"/>
  <c r="BG179" i="10"/>
  <c r="BF179" i="10"/>
  <c r="AR179" i="10"/>
  <c r="BJ178" i="10"/>
  <c r="BG178" i="10"/>
  <c r="BF178" i="10"/>
  <c r="AR178" i="10"/>
  <c r="BJ177" i="10"/>
  <c r="BI177" i="10"/>
  <c r="BF177" i="10"/>
  <c r="AR177" i="10"/>
  <c r="BJ176" i="10"/>
  <c r="BI176" i="10"/>
  <c r="AR176" i="10"/>
  <c r="BJ175" i="10"/>
  <c r="BH175" i="10"/>
  <c r="AW175" i="10"/>
  <c r="AR175" i="10"/>
  <c r="BJ174" i="10"/>
  <c r="BI174" i="10"/>
  <c r="AZ174" i="10"/>
  <c r="AR174" i="10"/>
  <c r="BJ173" i="10"/>
  <c r="BG173" i="10"/>
  <c r="AZ173" i="10"/>
  <c r="AR173" i="10"/>
  <c r="BJ172" i="10"/>
  <c r="BI172" i="10"/>
  <c r="AZ172" i="10"/>
  <c r="AR172" i="10"/>
  <c r="BJ171" i="10"/>
  <c r="BI171" i="10"/>
  <c r="AZ171" i="10"/>
  <c r="AR171" i="10"/>
  <c r="BJ170" i="10"/>
  <c r="BG170" i="10"/>
  <c r="AZ170" i="10"/>
  <c r="AR170" i="10"/>
  <c r="BJ169" i="10"/>
  <c r="BH169" i="10"/>
  <c r="AZ169" i="10"/>
  <c r="AR169" i="10"/>
  <c r="BJ168" i="10"/>
  <c r="BI168" i="10"/>
  <c r="AZ168" i="10"/>
  <c r="AR168" i="10"/>
  <c r="BG167" i="10"/>
  <c r="AR167" i="10"/>
  <c r="BJ166" i="10"/>
  <c r="BG166" i="10"/>
  <c r="AW166" i="10"/>
  <c r="AR166" i="10"/>
  <c r="BJ165" i="10"/>
  <c r="BH165" i="10"/>
  <c r="AR165" i="10"/>
  <c r="BJ164" i="10"/>
  <c r="BG164" i="10"/>
  <c r="AV164" i="10"/>
  <c r="AR164" i="10"/>
  <c r="BJ163" i="10"/>
  <c r="BG163" i="10"/>
  <c r="AW163" i="10"/>
  <c r="AR163" i="10"/>
  <c r="BJ162" i="10"/>
  <c r="BG162" i="10"/>
  <c r="BF162" i="10"/>
  <c r="AR162" i="10"/>
  <c r="BJ161" i="10"/>
  <c r="BG161" i="10"/>
  <c r="AW161" i="10"/>
  <c r="AR161" i="10"/>
  <c r="BJ160" i="10"/>
  <c r="BG160" i="10"/>
  <c r="BF160" i="10"/>
  <c r="AR160" i="10"/>
  <c r="BJ159" i="10"/>
  <c r="BG159" i="10"/>
  <c r="AW159" i="10"/>
  <c r="AR159" i="10"/>
  <c r="BJ158" i="10"/>
  <c r="BI158" i="10"/>
  <c r="AR158" i="10"/>
  <c r="BJ157" i="10"/>
  <c r="BI157" i="10"/>
  <c r="BB157" i="10"/>
  <c r="AR157" i="10"/>
  <c r="BJ156" i="10"/>
  <c r="BG156" i="10"/>
  <c r="BF156" i="10"/>
  <c r="AR156" i="10"/>
  <c r="BJ155" i="10"/>
  <c r="BH155" i="10"/>
  <c r="AU155" i="10"/>
  <c r="AR155" i="10"/>
  <c r="BJ154" i="10"/>
  <c r="BG154" i="10"/>
  <c r="BF154" i="10"/>
  <c r="AR154" i="10"/>
  <c r="BJ153" i="10"/>
  <c r="BG153" i="10"/>
  <c r="BF153" i="10"/>
  <c r="AR153" i="10"/>
  <c r="BJ152" i="10"/>
  <c r="BI152" i="10"/>
  <c r="AR152" i="10"/>
  <c r="BJ151" i="10"/>
  <c r="BG151" i="10"/>
  <c r="AV151" i="10"/>
  <c r="AR151" i="10"/>
  <c r="BJ150" i="10"/>
  <c r="BH150" i="10"/>
  <c r="AU150" i="10"/>
  <c r="AS150" i="10"/>
  <c r="AR150" i="10"/>
  <c r="BJ149" i="10"/>
  <c r="BI149" i="10"/>
  <c r="AR149" i="10"/>
  <c r="BJ148" i="10"/>
  <c r="BG148" i="10"/>
  <c r="AR148" i="10"/>
  <c r="BJ147" i="10"/>
  <c r="BG147" i="10"/>
  <c r="AR147" i="10"/>
  <c r="BJ146" i="10"/>
  <c r="BH146" i="10"/>
  <c r="AU146" i="10"/>
  <c r="AR146" i="10"/>
  <c r="BJ145" i="10"/>
  <c r="BH145" i="10"/>
  <c r="BF145" i="10"/>
  <c r="AR145" i="10"/>
  <c r="BJ144" i="10"/>
  <c r="BH144" i="10"/>
  <c r="AU144" i="10"/>
  <c r="AR144" i="10"/>
  <c r="BJ143" i="10"/>
  <c r="BH143" i="10"/>
  <c r="AU143" i="10"/>
  <c r="AR143" i="10"/>
  <c r="BJ142" i="10"/>
  <c r="BG142" i="10"/>
  <c r="BF142" i="10"/>
  <c r="AR142" i="10"/>
  <c r="BJ141" i="10"/>
  <c r="BG141" i="10"/>
  <c r="AR141" i="10"/>
  <c r="BJ140" i="10"/>
  <c r="BG140" i="10"/>
  <c r="AR140" i="10"/>
  <c r="BJ139" i="10"/>
  <c r="BH139" i="10"/>
  <c r="AU139" i="10"/>
  <c r="AR139" i="10"/>
  <c r="BJ138" i="10"/>
  <c r="BG138" i="10"/>
  <c r="AR138" i="10"/>
  <c r="BJ137" i="10"/>
  <c r="BI137" i="10"/>
  <c r="AR137" i="10"/>
  <c r="BJ136" i="10"/>
  <c r="BG136" i="10"/>
  <c r="AR136" i="10"/>
  <c r="BJ135" i="10"/>
  <c r="BG135" i="10"/>
  <c r="BC135" i="10"/>
  <c r="AR135" i="10"/>
  <c r="BJ134" i="10"/>
  <c r="BG134" i="10"/>
  <c r="BE134" i="10"/>
  <c r="AR134" i="10"/>
  <c r="BJ133" i="10"/>
  <c r="BG133" i="10"/>
  <c r="BE133" i="10"/>
  <c r="AR133" i="10"/>
  <c r="BJ132" i="10"/>
  <c r="BH132" i="10"/>
  <c r="BF132" i="10"/>
  <c r="AR132" i="10"/>
  <c r="BJ131" i="10"/>
  <c r="BG131" i="10"/>
  <c r="AR131" i="10"/>
  <c r="BJ130" i="10"/>
  <c r="BG130" i="10"/>
  <c r="BF130" i="10"/>
  <c r="AR130" i="10"/>
  <c r="BJ129" i="10"/>
  <c r="BI129" i="10"/>
  <c r="AR129" i="10"/>
  <c r="BJ128" i="10"/>
  <c r="BH128" i="10"/>
  <c r="AR128" i="10"/>
  <c r="BJ127" i="10"/>
  <c r="BI127" i="10"/>
  <c r="AR127" i="10"/>
  <c r="BJ126" i="10"/>
  <c r="BI126" i="10"/>
  <c r="AR126" i="10"/>
  <c r="BJ125" i="10"/>
  <c r="BI125" i="10"/>
  <c r="AR125" i="10"/>
  <c r="BJ124" i="10"/>
  <c r="BI124" i="10"/>
  <c r="AR124" i="10"/>
  <c r="BJ123" i="10"/>
  <c r="BI123" i="10"/>
  <c r="AR123" i="10"/>
  <c r="BJ122" i="10"/>
  <c r="BI122" i="10"/>
  <c r="AR122" i="10"/>
  <c r="BJ121" i="10"/>
  <c r="BI121" i="10"/>
  <c r="AR121" i="10"/>
  <c r="BJ120" i="10"/>
  <c r="BG120" i="10"/>
  <c r="AR120" i="10"/>
  <c r="BJ119" i="10"/>
  <c r="BG119" i="10"/>
  <c r="AR119" i="10"/>
  <c r="BJ118" i="10"/>
  <c r="BI118" i="10"/>
  <c r="BE118" i="10"/>
  <c r="AR118" i="10"/>
  <c r="BJ117" i="10"/>
  <c r="BI117" i="10"/>
  <c r="AY117" i="10"/>
  <c r="AR117" i="10"/>
  <c r="BJ116" i="10"/>
  <c r="BG116" i="10"/>
  <c r="BF116" i="10"/>
  <c r="AR116" i="10"/>
  <c r="BJ115" i="10"/>
  <c r="BI115" i="10"/>
  <c r="AR115" i="10"/>
  <c r="BJ114" i="10"/>
  <c r="BG114" i="10"/>
  <c r="AV114" i="10"/>
  <c r="AR114" i="10"/>
  <c r="BJ113" i="10"/>
  <c r="BI113" i="10"/>
  <c r="AT113" i="10"/>
  <c r="AR113" i="10"/>
  <c r="BJ112" i="10"/>
  <c r="BG112" i="10"/>
  <c r="BB112" i="10"/>
  <c r="AR112" i="10"/>
  <c r="BJ111" i="10"/>
  <c r="BG111" i="10"/>
  <c r="AR111" i="10"/>
  <c r="BJ110" i="10"/>
  <c r="BG110" i="10"/>
  <c r="AZ110" i="10"/>
  <c r="AR110" i="10"/>
  <c r="BJ109" i="10"/>
  <c r="BG109" i="10"/>
  <c r="AZ109" i="10"/>
  <c r="AR109" i="10"/>
  <c r="BJ108" i="10"/>
  <c r="BG108" i="10"/>
  <c r="AZ108" i="10"/>
  <c r="AR108" i="10"/>
  <c r="BJ107" i="10"/>
  <c r="BG107" i="10"/>
  <c r="AZ107" i="10"/>
  <c r="AR107" i="10"/>
  <c r="BJ106" i="10"/>
  <c r="BG106" i="10"/>
  <c r="AZ106" i="10"/>
  <c r="AR106" i="10"/>
  <c r="BJ105" i="10"/>
  <c r="BI105" i="10"/>
  <c r="AZ105" i="10"/>
  <c r="AR105" i="10"/>
  <c r="BJ104" i="10"/>
  <c r="BG104" i="10"/>
  <c r="AV104" i="10"/>
  <c r="AR104" i="10"/>
  <c r="BJ103" i="10"/>
  <c r="BG103" i="10"/>
  <c r="AR103" i="10"/>
  <c r="BJ102" i="10"/>
  <c r="BH102" i="10"/>
  <c r="AR102" i="10"/>
  <c r="BJ101" i="10"/>
  <c r="BI101" i="10"/>
  <c r="BB101" i="10"/>
  <c r="AR101" i="10"/>
  <c r="BJ100" i="10"/>
  <c r="BI100" i="10"/>
  <c r="BE100" i="10"/>
  <c r="AR100" i="10"/>
  <c r="BJ99" i="10"/>
  <c r="BH99" i="10"/>
  <c r="BE99" i="10"/>
  <c r="AR99" i="10"/>
  <c r="BJ98" i="10"/>
  <c r="BI98" i="10"/>
  <c r="AR98" i="10"/>
  <c r="BJ97" i="10"/>
  <c r="BH97" i="10"/>
  <c r="BE97" i="10"/>
  <c r="AR97" i="10"/>
  <c r="BJ96" i="10"/>
  <c r="BG96" i="10"/>
  <c r="BB96" i="10"/>
  <c r="AR96" i="10"/>
  <c r="BJ95" i="10"/>
  <c r="BG95" i="10"/>
  <c r="AR95" i="10"/>
  <c r="BJ94" i="10"/>
  <c r="BH94" i="10"/>
  <c r="BF94" i="10"/>
  <c r="AS94" i="10"/>
  <c r="AR94" i="10"/>
  <c r="BJ93" i="10"/>
  <c r="BI93" i="10"/>
  <c r="AZ93" i="10"/>
  <c r="AR93" i="10"/>
  <c r="BJ92" i="10"/>
  <c r="BG92" i="10"/>
  <c r="AZ92" i="10"/>
  <c r="AR92" i="10"/>
  <c r="BJ91" i="10"/>
  <c r="BI91" i="10"/>
  <c r="AZ91" i="10"/>
  <c r="AR91" i="10"/>
  <c r="BJ90" i="10"/>
  <c r="BG90" i="10"/>
  <c r="AZ90" i="10"/>
  <c r="AR90" i="10"/>
  <c r="BJ89" i="10"/>
  <c r="BG89" i="10"/>
  <c r="AZ89" i="10"/>
  <c r="AR89" i="10"/>
  <c r="BJ88" i="10"/>
  <c r="BI88" i="10"/>
  <c r="AZ88" i="10"/>
  <c r="AR88" i="10"/>
  <c r="BJ87" i="10"/>
  <c r="BG87" i="10"/>
  <c r="AZ87" i="10"/>
  <c r="AR87" i="10"/>
  <c r="BJ86" i="10"/>
  <c r="BH86" i="10"/>
  <c r="AR86" i="10"/>
  <c r="BJ85" i="10"/>
  <c r="BH85" i="10"/>
  <c r="AU85" i="10"/>
  <c r="AS85" i="10"/>
  <c r="AR85" i="10"/>
  <c r="BJ84" i="10"/>
  <c r="BH84" i="10"/>
  <c r="AU84" i="10"/>
  <c r="AR84" i="10"/>
  <c r="BJ83" i="10"/>
  <c r="BH83" i="10"/>
  <c r="AU83" i="10"/>
  <c r="AR83" i="10"/>
  <c r="BJ82" i="10"/>
  <c r="BG82" i="10"/>
  <c r="BC82" i="10"/>
  <c r="AR82" i="10"/>
  <c r="BJ81" i="10"/>
  <c r="BH81" i="10"/>
  <c r="AU81" i="10"/>
  <c r="AR81" i="10"/>
  <c r="BJ80" i="10"/>
  <c r="BG80" i="10"/>
  <c r="AR80" i="10"/>
  <c r="BJ79" i="10"/>
  <c r="BH79" i="10"/>
  <c r="BE79" i="10"/>
  <c r="AR79" i="10"/>
  <c r="BJ78" i="10"/>
  <c r="BH78" i="10"/>
  <c r="BE78" i="10"/>
  <c r="AS78" i="10"/>
  <c r="AR78" i="10"/>
  <c r="BJ77" i="10"/>
  <c r="BH77" i="10"/>
  <c r="AU77" i="10"/>
  <c r="AR77" i="10"/>
  <c r="BJ76" i="10"/>
  <c r="BG76" i="10"/>
  <c r="AR76" i="10"/>
  <c r="BJ75" i="10"/>
  <c r="BG75" i="10"/>
  <c r="AR75" i="10"/>
  <c r="BJ74" i="10"/>
  <c r="BI74" i="10"/>
  <c r="AR74" i="10"/>
  <c r="BJ73" i="10"/>
  <c r="BI73" i="10"/>
  <c r="AR73" i="10"/>
  <c r="BJ72" i="10"/>
  <c r="BH72" i="10"/>
  <c r="AU72" i="10"/>
  <c r="AR72" i="10"/>
  <c r="BJ71" i="10"/>
  <c r="BH71" i="10"/>
  <c r="AU71" i="10"/>
  <c r="AR71" i="10"/>
  <c r="BJ70" i="10"/>
  <c r="BG70" i="10"/>
  <c r="AR70" i="10"/>
  <c r="BJ69" i="10"/>
  <c r="BG69" i="10"/>
  <c r="BF69" i="10"/>
  <c r="AR69" i="10"/>
  <c r="BJ68" i="10"/>
  <c r="BH68" i="10"/>
  <c r="AU68" i="10"/>
  <c r="AR68" i="10"/>
  <c r="BJ67" i="10"/>
  <c r="BI67" i="10"/>
  <c r="BB67" i="10"/>
  <c r="AR67" i="10"/>
  <c r="BJ66" i="10"/>
  <c r="BG66" i="10"/>
  <c r="AW66" i="10"/>
  <c r="AR66" i="10"/>
  <c r="BJ65" i="10"/>
  <c r="BH65" i="10"/>
  <c r="AR65" i="10"/>
  <c r="BJ64" i="10"/>
  <c r="BG64" i="10"/>
  <c r="BF64" i="10"/>
  <c r="AR64" i="10"/>
  <c r="BJ63" i="10"/>
  <c r="BI63" i="10"/>
  <c r="AZ63" i="10"/>
  <c r="AR63" i="10"/>
  <c r="BJ62" i="10"/>
  <c r="BG62" i="10"/>
  <c r="AZ62" i="10"/>
  <c r="AR62" i="10"/>
  <c r="BJ61" i="10"/>
  <c r="BG61" i="10"/>
  <c r="AZ61" i="10"/>
  <c r="AR61" i="10"/>
  <c r="BJ60" i="10"/>
  <c r="BG60" i="10"/>
  <c r="AZ60" i="10"/>
  <c r="AR60" i="10"/>
  <c r="BJ59" i="10"/>
  <c r="BG59" i="10"/>
  <c r="AZ59" i="10"/>
  <c r="AR59" i="10"/>
  <c r="BJ58" i="10"/>
  <c r="BG58" i="10"/>
  <c r="AZ58" i="10"/>
  <c r="AR58" i="10"/>
  <c r="BJ57" i="10"/>
  <c r="BG57" i="10"/>
  <c r="AZ57" i="10"/>
  <c r="AR57" i="10"/>
  <c r="BJ56" i="10"/>
  <c r="BI56" i="10"/>
  <c r="AZ56" i="10"/>
  <c r="AR56" i="10"/>
  <c r="BJ55" i="10"/>
  <c r="BI55" i="10"/>
  <c r="AZ55" i="10"/>
  <c r="AR55" i="10"/>
  <c r="BJ54" i="10"/>
  <c r="BG54" i="10"/>
  <c r="AZ54" i="10"/>
  <c r="AR54" i="10"/>
  <c r="BJ53" i="10"/>
  <c r="BG53" i="10"/>
  <c r="AZ53" i="10"/>
  <c r="AR53" i="10"/>
  <c r="BJ52" i="10"/>
  <c r="BH52" i="10"/>
  <c r="AZ52" i="10"/>
  <c r="AS52" i="10"/>
  <c r="AR52" i="10"/>
  <c r="BJ51" i="10"/>
  <c r="BG51" i="10"/>
  <c r="AZ51" i="10"/>
  <c r="AR51" i="10"/>
  <c r="BJ50" i="10"/>
  <c r="BG50" i="10"/>
  <c r="BF50" i="10"/>
  <c r="AR50" i="10"/>
  <c r="BJ49" i="10"/>
  <c r="BH49" i="10"/>
  <c r="BC49" i="10"/>
  <c r="AR49" i="10"/>
  <c r="BJ48" i="10"/>
  <c r="BG48" i="10"/>
  <c r="AW48" i="10"/>
  <c r="AR48" i="10"/>
  <c r="BJ47" i="10"/>
  <c r="BG47" i="10"/>
  <c r="AV47" i="10"/>
  <c r="AR47" i="10"/>
  <c r="BJ46" i="10"/>
  <c r="BG46" i="10"/>
  <c r="BF46" i="10"/>
  <c r="AR46" i="10"/>
  <c r="BJ45" i="10"/>
  <c r="BH45" i="10"/>
  <c r="AU45" i="10"/>
  <c r="AR45" i="10"/>
  <c r="BJ44" i="10"/>
  <c r="BG44" i="10"/>
  <c r="AR44" i="10"/>
  <c r="BJ43" i="10"/>
  <c r="BH43" i="10"/>
  <c r="AU43" i="10"/>
  <c r="AR43" i="10"/>
  <c r="BJ42" i="10"/>
  <c r="BG42" i="10"/>
  <c r="AR42" i="10"/>
  <c r="BJ41" i="10"/>
  <c r="BG41" i="10"/>
  <c r="BF41" i="10"/>
  <c r="AR41" i="10"/>
  <c r="BJ40" i="10"/>
  <c r="BH40" i="10"/>
  <c r="AU40" i="10"/>
  <c r="AR40" i="10"/>
  <c r="BJ39" i="10"/>
  <c r="BG39" i="10"/>
  <c r="AR39" i="10"/>
  <c r="BJ38" i="10"/>
  <c r="BG38" i="10"/>
  <c r="BF38" i="10"/>
  <c r="AR38" i="10"/>
  <c r="BJ37" i="10"/>
  <c r="BG37" i="10"/>
  <c r="AW37" i="10"/>
  <c r="AR37" i="10"/>
  <c r="BJ36" i="10"/>
  <c r="BG36" i="10"/>
  <c r="BF36" i="10"/>
  <c r="AR36" i="10"/>
  <c r="BJ35" i="10"/>
  <c r="BG35" i="10"/>
  <c r="AR35" i="10"/>
  <c r="BJ34" i="10"/>
  <c r="BH34" i="10"/>
  <c r="AU34" i="10"/>
  <c r="AS34" i="10"/>
  <c r="AR34" i="10"/>
  <c r="BJ33" i="10"/>
  <c r="BH33" i="10"/>
  <c r="AU33" i="10"/>
  <c r="AR33" i="10"/>
  <c r="BJ32" i="10"/>
  <c r="BI32" i="10"/>
  <c r="AR32" i="10"/>
  <c r="BJ31" i="10"/>
  <c r="BI31" i="10"/>
  <c r="AX31" i="10"/>
  <c r="AR31" i="10"/>
  <c r="BJ30" i="10"/>
  <c r="BI30" i="10"/>
  <c r="AR30" i="10"/>
  <c r="BJ29" i="10"/>
  <c r="BI29" i="10"/>
  <c r="AX29" i="10"/>
  <c r="AR29" i="10"/>
  <c r="BJ28" i="10"/>
  <c r="BH28" i="10"/>
  <c r="AU28" i="10"/>
  <c r="AS28" i="10"/>
  <c r="AR28" i="10"/>
  <c r="BJ27" i="10"/>
  <c r="BG27" i="10"/>
  <c r="AX27" i="10"/>
  <c r="AR27" i="10"/>
  <c r="BJ26" i="10"/>
  <c r="BH26" i="10"/>
  <c r="AU26" i="10"/>
  <c r="AS26" i="10"/>
  <c r="AR26" i="10"/>
  <c r="BJ25" i="10"/>
  <c r="BG25" i="10"/>
  <c r="AX25" i="10"/>
  <c r="AR25" i="10"/>
  <c r="BJ24" i="10"/>
  <c r="BG24" i="10"/>
  <c r="AX24" i="10"/>
  <c r="AR24" i="10"/>
  <c r="BJ23" i="10"/>
  <c r="BG23" i="10"/>
  <c r="AX23" i="10"/>
  <c r="AR23" i="10"/>
  <c r="BJ22" i="10"/>
  <c r="BH22" i="10"/>
  <c r="AU22" i="10"/>
  <c r="AR22" i="10"/>
  <c r="BJ21" i="10"/>
  <c r="BG21" i="10"/>
  <c r="AR21" i="10"/>
  <c r="BJ20" i="10"/>
  <c r="BG20" i="10"/>
  <c r="BC20" i="10"/>
  <c r="AR20" i="10"/>
  <c r="BJ19" i="10"/>
  <c r="BG19" i="10"/>
  <c r="AV19" i="10"/>
  <c r="AR19" i="10"/>
  <c r="BJ18" i="10"/>
  <c r="BG18" i="10"/>
  <c r="AR18" i="10"/>
  <c r="BJ17" i="10"/>
  <c r="BG17" i="10"/>
  <c r="AR17" i="10"/>
  <c r="BJ16" i="10"/>
  <c r="BG16" i="10"/>
  <c r="BE16" i="10"/>
  <c r="AR16" i="10"/>
  <c r="BJ15" i="10"/>
  <c r="BG15" i="10"/>
  <c r="BF15" i="10"/>
  <c r="AR15" i="10"/>
  <c r="BJ14" i="10"/>
  <c r="BH14" i="10"/>
  <c r="AR14" i="10"/>
  <c r="BJ13" i="10"/>
  <c r="BG13" i="10"/>
  <c r="BE13" i="10"/>
  <c r="AR13" i="10"/>
  <c r="BJ12" i="10"/>
  <c r="BI12" i="10"/>
  <c r="BE12" i="10"/>
  <c r="AR12" i="10"/>
  <c r="BJ11" i="10"/>
  <c r="BH11" i="10"/>
  <c r="BE11" i="10"/>
  <c r="AS11" i="10"/>
  <c r="AR11" i="10"/>
  <c r="BJ10" i="10"/>
  <c r="BG10" i="10"/>
  <c r="BF10" i="10"/>
  <c r="AR10" i="10"/>
  <c r="BJ9" i="10"/>
  <c r="BG9" i="10"/>
  <c r="AW9" i="10"/>
  <c r="AR9" i="10"/>
  <c r="BJ8" i="10"/>
  <c r="BG8" i="10"/>
  <c r="BF8" i="10"/>
  <c r="AR8" i="10"/>
  <c r="BJ7" i="10"/>
  <c r="BG7" i="10"/>
  <c r="BF7" i="10"/>
  <c r="AR7" i="10"/>
  <c r="BJ6" i="10"/>
  <c r="BG6" i="10"/>
  <c r="BF6" i="10"/>
  <c r="AR6" i="10"/>
  <c r="BJ5" i="10"/>
  <c r="BG5" i="10"/>
  <c r="BF5" i="10"/>
  <c r="AR5" i="10"/>
  <c r="BK4" i="10"/>
  <c r="BK5" i="10" s="1"/>
  <c r="BJ4" i="10"/>
  <c r="BG4" i="10"/>
  <c r="BF4" i="10"/>
  <c r="AR4" i="10"/>
  <c r="BK3" i="10"/>
  <c r="BJ3" i="10"/>
  <c r="BG3" i="10"/>
  <c r="AV3" i="10"/>
  <c r="AR3" i="10"/>
  <c r="AO2" i="10"/>
  <c r="BL2" i="10" s="1"/>
  <c r="G12" i="22"/>
  <c r="B7" i="22"/>
  <c r="H576" i="21"/>
  <c r="H575" i="21"/>
  <c r="G575" i="21" s="1"/>
  <c r="O64" i="1"/>
  <c r="O63" i="1"/>
  <c r="G564" i="21"/>
  <c r="T10" i="4"/>
  <c r="X10" i="4" s="1"/>
  <c r="T4" i="4"/>
  <c r="T9" i="4"/>
  <c r="T8" i="4"/>
  <c r="T6" i="4"/>
  <c r="Y154" i="19"/>
  <c r="AB15" i="3"/>
  <c r="AB14" i="3"/>
  <c r="AB13" i="3"/>
  <c r="AB12" i="3"/>
  <c r="W70" i="3"/>
  <c r="S102" i="3"/>
  <c r="S96" i="3"/>
  <c r="S92" i="3"/>
  <c r="T114" i="3"/>
  <c r="U113" i="3" s="1"/>
  <c r="V21" i="3" s="1"/>
  <c r="T111" i="3"/>
  <c r="U110" i="3" s="1"/>
  <c r="W21" i="3" s="1"/>
  <c r="T108" i="3"/>
  <c r="T113" i="3"/>
  <c r="T110" i="3"/>
  <c r="T107" i="3"/>
  <c r="U54" i="11"/>
  <c r="U53" i="11"/>
  <c r="T68" i="16"/>
  <c r="D54" i="16"/>
  <c r="AF2" i="3"/>
  <c r="H39" i="16"/>
  <c r="H38" i="16"/>
  <c r="H37" i="16"/>
  <c r="H36" i="16"/>
  <c r="I238" i="21" s="1"/>
  <c r="H238" i="21" s="1"/>
  <c r="G294" i="21"/>
  <c r="G293" i="21"/>
  <c r="G292" i="21"/>
  <c r="G291" i="21"/>
  <c r="G290" i="21"/>
  <c r="G289" i="21"/>
  <c r="G288" i="21"/>
  <c r="G287" i="21"/>
  <c r="G286" i="21"/>
  <c r="G285" i="21"/>
  <c r="G284" i="21"/>
  <c r="G283" i="21"/>
  <c r="G282" i="21"/>
  <c r="G281" i="21"/>
  <c r="G280" i="21"/>
  <c r="G279" i="21"/>
  <c r="G278" i="21"/>
  <c r="G277" i="21"/>
  <c r="G276" i="21"/>
  <c r="G275" i="21"/>
  <c r="G274" i="21"/>
  <c r="G273" i="21"/>
  <c r="G272" i="21"/>
  <c r="G271" i="21"/>
  <c r="G270" i="21"/>
  <c r="G269" i="21"/>
  <c r="G268" i="21"/>
  <c r="G267" i="21"/>
  <c r="G266" i="21"/>
  <c r="G265" i="21"/>
  <c r="G264" i="21"/>
  <c r="G263" i="21"/>
  <c r="G262" i="21"/>
  <c r="G261" i="21"/>
  <c r="G260" i="21"/>
  <c r="G259" i="21"/>
  <c r="G258" i="21"/>
  <c r="G257" i="21"/>
  <c r="G256" i="21"/>
  <c r="G255" i="21"/>
  <c r="G254" i="21"/>
  <c r="G253" i="21"/>
  <c r="G252" i="21"/>
  <c r="G251" i="21"/>
  <c r="G250" i="21"/>
  <c r="G249" i="21"/>
  <c r="G248" i="21"/>
  <c r="G247" i="21"/>
  <c r="G246" i="21"/>
  <c r="G245" i="21"/>
  <c r="G244" i="21"/>
  <c r="G243" i="21"/>
  <c r="K596" i="21"/>
  <c r="K595" i="21"/>
  <c r="K594" i="21"/>
  <c r="K593" i="21"/>
  <c r="K592" i="21"/>
  <c r="K591" i="21"/>
  <c r="K590" i="21"/>
  <c r="K589" i="21"/>
  <c r="K588" i="21"/>
  <c r="K587" i="21"/>
  <c r="K586" i="21"/>
  <c r="K585" i="21"/>
  <c r="K584" i="21"/>
  <c r="K583" i="21"/>
  <c r="K582" i="21"/>
  <c r="K581" i="21"/>
  <c r="K580" i="21"/>
  <c r="K579" i="21"/>
  <c r="K578" i="21"/>
  <c r="K577" i="21"/>
  <c r="K576" i="21"/>
  <c r="K575" i="21"/>
  <c r="K574" i="21"/>
  <c r="K573" i="21"/>
  <c r="K572" i="21"/>
  <c r="K571" i="21"/>
  <c r="K570" i="21"/>
  <c r="K569" i="21"/>
  <c r="K568" i="21"/>
  <c r="K567" i="21"/>
  <c r="K566" i="21"/>
  <c r="K565" i="21"/>
  <c r="K564" i="21"/>
  <c r="K563" i="21"/>
  <c r="K562" i="21"/>
  <c r="K561" i="21"/>
  <c r="K560" i="21"/>
  <c r="K559" i="21"/>
  <c r="K558" i="21"/>
  <c r="K557" i="21"/>
  <c r="K556" i="21"/>
  <c r="K555" i="21"/>
  <c r="K554" i="21"/>
  <c r="K553" i="21"/>
  <c r="K552" i="21"/>
  <c r="K551" i="21"/>
  <c r="K550" i="21"/>
  <c r="K549" i="21"/>
  <c r="K548" i="21"/>
  <c r="K547" i="21"/>
  <c r="K546" i="21"/>
  <c r="K545" i="21"/>
  <c r="K544" i="21"/>
  <c r="K543" i="21"/>
  <c r="K542" i="21"/>
  <c r="K541" i="21"/>
  <c r="K540" i="21"/>
  <c r="K539" i="21"/>
  <c r="K538" i="21"/>
  <c r="K537" i="21"/>
  <c r="K536" i="21"/>
  <c r="K535" i="21"/>
  <c r="K534" i="21"/>
  <c r="K533" i="21"/>
  <c r="K532" i="21"/>
  <c r="K531" i="21"/>
  <c r="K530" i="21"/>
  <c r="K529" i="21"/>
  <c r="K528" i="21"/>
  <c r="K527" i="21"/>
  <c r="K526" i="21"/>
  <c r="K525" i="21"/>
  <c r="K524" i="21"/>
  <c r="K523" i="21"/>
  <c r="K522" i="21"/>
  <c r="K521" i="21"/>
  <c r="K520" i="21"/>
  <c r="K519" i="21"/>
  <c r="K518" i="21"/>
  <c r="K517" i="21"/>
  <c r="K516" i="21"/>
  <c r="K515" i="21"/>
  <c r="K514" i="21"/>
  <c r="K513" i="21"/>
  <c r="K512" i="21"/>
  <c r="K511" i="21"/>
  <c r="K510" i="21"/>
  <c r="K509" i="21"/>
  <c r="K508" i="21"/>
  <c r="K507" i="21"/>
  <c r="K506" i="21"/>
  <c r="K505" i="21"/>
  <c r="K504" i="21"/>
  <c r="K503" i="21"/>
  <c r="K502" i="21"/>
  <c r="K501" i="21"/>
  <c r="K500" i="21"/>
  <c r="K499" i="21"/>
  <c r="K498" i="21"/>
  <c r="K497" i="21"/>
  <c r="K496" i="21"/>
  <c r="K495" i="21"/>
  <c r="K494" i="21"/>
  <c r="K493" i="21"/>
  <c r="K492" i="21"/>
  <c r="K491" i="21"/>
  <c r="K490" i="21"/>
  <c r="K489" i="21"/>
  <c r="K488" i="21"/>
  <c r="K487" i="21"/>
  <c r="K486" i="21"/>
  <c r="K485" i="21"/>
  <c r="K484" i="21"/>
  <c r="K483" i="21"/>
  <c r="K482" i="21"/>
  <c r="K481" i="21"/>
  <c r="K480" i="21"/>
  <c r="K479" i="21"/>
  <c r="K478" i="21"/>
  <c r="K477" i="21"/>
  <c r="K476" i="21"/>
  <c r="K475" i="21"/>
  <c r="K474" i="21"/>
  <c r="K473" i="21"/>
  <c r="K472" i="21"/>
  <c r="K471" i="21"/>
  <c r="K470" i="21"/>
  <c r="K469" i="21"/>
  <c r="K468" i="21"/>
  <c r="K467" i="21"/>
  <c r="K466" i="21"/>
  <c r="K465" i="21"/>
  <c r="K464" i="21"/>
  <c r="K463" i="21"/>
  <c r="K462" i="21"/>
  <c r="K461" i="21"/>
  <c r="K460" i="21"/>
  <c r="K459" i="21"/>
  <c r="K458" i="21"/>
  <c r="K457" i="21"/>
  <c r="K456" i="21"/>
  <c r="K455" i="21"/>
  <c r="K454" i="21"/>
  <c r="K453" i="21"/>
  <c r="K452" i="21"/>
  <c r="K451" i="21"/>
  <c r="K450" i="21"/>
  <c r="K449" i="21"/>
  <c r="K448" i="21"/>
  <c r="K447" i="21"/>
  <c r="K446" i="21"/>
  <c r="K445" i="21"/>
  <c r="K444" i="21"/>
  <c r="K443" i="21"/>
  <c r="K442" i="21"/>
  <c r="K441" i="21"/>
  <c r="K440" i="21"/>
  <c r="K439" i="21"/>
  <c r="K438" i="21"/>
  <c r="K437" i="21"/>
  <c r="K436" i="21"/>
  <c r="K435" i="21"/>
  <c r="K434" i="21"/>
  <c r="K433" i="21"/>
  <c r="K432" i="21"/>
  <c r="K431" i="21"/>
  <c r="K430" i="21"/>
  <c r="K429" i="21"/>
  <c r="K428" i="21"/>
  <c r="K427" i="21"/>
  <c r="K426" i="21"/>
  <c r="K425" i="21"/>
  <c r="K424" i="21"/>
  <c r="K423" i="21"/>
  <c r="K422" i="21"/>
  <c r="K421" i="21"/>
  <c r="K420" i="21"/>
  <c r="K419" i="21"/>
  <c r="K418" i="21"/>
  <c r="K417" i="21"/>
  <c r="K416" i="21"/>
  <c r="K415" i="21"/>
  <c r="K414" i="21"/>
  <c r="K413" i="21"/>
  <c r="K412" i="21"/>
  <c r="K411" i="21"/>
  <c r="K410" i="21"/>
  <c r="K409" i="21"/>
  <c r="K408" i="21"/>
  <c r="K407" i="21"/>
  <c r="K406" i="21"/>
  <c r="K405" i="21"/>
  <c r="K404" i="21"/>
  <c r="K403" i="21"/>
  <c r="K402" i="21"/>
  <c r="K401" i="21"/>
  <c r="K400" i="21"/>
  <c r="K399" i="21"/>
  <c r="K398" i="21"/>
  <c r="K397" i="21"/>
  <c r="K396" i="21"/>
  <c r="K395" i="21"/>
  <c r="K394" i="21"/>
  <c r="K393" i="21"/>
  <c r="K392" i="21"/>
  <c r="K391" i="21"/>
  <c r="K390" i="21"/>
  <c r="K389" i="21"/>
  <c r="K388" i="21"/>
  <c r="K387" i="21"/>
  <c r="K386" i="21"/>
  <c r="K385" i="21"/>
  <c r="K384" i="21"/>
  <c r="K383" i="21"/>
  <c r="K382" i="21"/>
  <c r="K381" i="21"/>
  <c r="K380" i="21"/>
  <c r="K379" i="21"/>
  <c r="K378" i="21"/>
  <c r="K377" i="21"/>
  <c r="K376" i="21"/>
  <c r="K375" i="21"/>
  <c r="K374" i="21"/>
  <c r="K373" i="21"/>
  <c r="K372" i="21"/>
  <c r="K371" i="21"/>
  <c r="K370" i="21"/>
  <c r="K369" i="21"/>
  <c r="K368" i="21"/>
  <c r="K367" i="21"/>
  <c r="K366" i="21"/>
  <c r="K365" i="21"/>
  <c r="K364" i="21"/>
  <c r="K363" i="21"/>
  <c r="K362" i="21"/>
  <c r="K361" i="21"/>
  <c r="K360" i="21"/>
  <c r="K359" i="21"/>
  <c r="K358" i="21"/>
  <c r="K357" i="21"/>
  <c r="K356" i="21"/>
  <c r="K355" i="21"/>
  <c r="K354" i="21"/>
  <c r="K353" i="21"/>
  <c r="K352" i="21"/>
  <c r="K351" i="21"/>
  <c r="K350" i="21"/>
  <c r="K349" i="21"/>
  <c r="K348" i="21"/>
  <c r="K347" i="21"/>
  <c r="K346" i="21"/>
  <c r="K345" i="21"/>
  <c r="K344" i="21"/>
  <c r="K343" i="21"/>
  <c r="K342" i="21"/>
  <c r="K341" i="21"/>
  <c r="K340" i="21"/>
  <c r="I241" i="21"/>
  <c r="H241" i="21" s="1"/>
  <c r="I240" i="21"/>
  <c r="H240" i="21" s="1"/>
  <c r="J239" i="21"/>
  <c r="I239" i="21"/>
  <c r="H239" i="21" s="1"/>
  <c r="F39" i="16"/>
  <c r="J241" i="21" s="1"/>
  <c r="F38" i="16"/>
  <c r="J240" i="21" s="1"/>
  <c r="F37" i="16"/>
  <c r="U38" i="6"/>
  <c r="T38" i="6"/>
  <c r="U37" i="6"/>
  <c r="T37" i="6"/>
  <c r="U11" i="6"/>
  <c r="U12" i="6"/>
  <c r="H57" i="21"/>
  <c r="T12" i="6"/>
  <c r="T11" i="6"/>
  <c r="H28" i="2"/>
  <c r="I5" i="21" s="1"/>
  <c r="F28" i="2"/>
  <c r="J5" i="21" s="1"/>
  <c r="H5" i="21" s="1"/>
  <c r="E5" i="21" s="1"/>
  <c r="T96" i="2"/>
  <c r="X96" i="2"/>
  <c r="W96" i="2"/>
  <c r="V96" i="2"/>
  <c r="U96" i="2"/>
  <c r="W92" i="2"/>
  <c r="W91" i="2"/>
  <c r="W90" i="2"/>
  <c r="W89" i="2"/>
  <c r="W88" i="2"/>
  <c r="W87" i="2"/>
  <c r="W86" i="2"/>
  <c r="B29" i="2"/>
  <c r="S85" i="2"/>
  <c r="X85" i="2"/>
  <c r="H364" i="21"/>
  <c r="H363" i="21"/>
  <c r="G363" i="21"/>
  <c r="G364" i="21" s="1"/>
  <c r="I364" i="21"/>
  <c r="H31" i="12"/>
  <c r="F31" i="12"/>
  <c r="J364" i="21" s="1"/>
  <c r="D31" i="12"/>
  <c r="C86" i="12"/>
  <c r="H539" i="21"/>
  <c r="H359" i="21"/>
  <c r="T51" i="12"/>
  <c r="T50" i="12"/>
  <c r="H31" i="22"/>
  <c r="G31" i="22" s="1"/>
  <c r="E31" i="22" s="1"/>
  <c r="H30" i="22"/>
  <c r="G30" i="22" s="1"/>
  <c r="E30" i="22" s="1"/>
  <c r="H29" i="22"/>
  <c r="G29" i="22" s="1"/>
  <c r="E29" i="22" s="1"/>
  <c r="H28" i="22"/>
  <c r="A57" i="12"/>
  <c r="H42" i="16"/>
  <c r="I242" i="21" s="1"/>
  <c r="H242" i="21" s="1"/>
  <c r="G242" i="21" s="1"/>
  <c r="D42" i="16"/>
  <c r="H57" i="12"/>
  <c r="F57" i="12" s="1"/>
  <c r="J373" i="21" s="1"/>
  <c r="D28" i="22"/>
  <c r="S31" i="22"/>
  <c r="R31" i="22"/>
  <c r="Q31" i="22"/>
  <c r="P31" i="22"/>
  <c r="O31" i="22"/>
  <c r="D31" i="22" s="1"/>
  <c r="N31" i="22"/>
  <c r="N30" i="22"/>
  <c r="S30" i="22"/>
  <c r="R30" i="22"/>
  <c r="Q30" i="22"/>
  <c r="P30" i="22"/>
  <c r="D30" i="22" s="1"/>
  <c r="O30" i="22"/>
  <c r="S29" i="22"/>
  <c r="R29" i="22"/>
  <c r="Q29" i="22"/>
  <c r="P29" i="22"/>
  <c r="O29" i="22"/>
  <c r="D29" i="22" s="1"/>
  <c r="N29" i="22"/>
  <c r="T24" i="12"/>
  <c r="T22" i="12"/>
  <c r="Y23" i="12"/>
  <c r="Y22" i="12"/>
  <c r="D29" i="12"/>
  <c r="S62" i="12"/>
  <c r="H29" i="12"/>
  <c r="F29" i="12"/>
  <c r="C35" i="13"/>
  <c r="T99" i="12"/>
  <c r="T98" i="12"/>
  <c r="T97" i="12"/>
  <c r="T94" i="12"/>
  <c r="A95" i="12"/>
  <c r="A94" i="12"/>
  <c r="A93" i="12"/>
  <c r="H53" i="12"/>
  <c r="F53" i="12" s="1"/>
  <c r="J362" i="21" s="1"/>
  <c r="D53" i="12"/>
  <c r="F52" i="12"/>
  <c r="J361" i="21" s="1"/>
  <c r="D52" i="12"/>
  <c r="T23" i="12" s="1"/>
  <c r="H52" i="12"/>
  <c r="I361" i="21" s="1"/>
  <c r="H361" i="21" s="1"/>
  <c r="D51" i="12"/>
  <c r="H51" i="12"/>
  <c r="F51" i="12"/>
  <c r="D25" i="10"/>
  <c r="AJ70" i="10"/>
  <c r="AJ71" i="10"/>
  <c r="F25" i="10"/>
  <c r="H211" i="21" s="1"/>
  <c r="H25" i="10"/>
  <c r="I211" i="21" s="1"/>
  <c r="AH71" i="10"/>
  <c r="AH70" i="10"/>
  <c r="AK69" i="10"/>
  <c r="T27" i="16"/>
  <c r="T28" i="16"/>
  <c r="T25" i="16" s="1"/>
  <c r="E113" i="16"/>
  <c r="E112" i="16"/>
  <c r="E111" i="16"/>
  <c r="E109" i="16"/>
  <c r="E108" i="16"/>
  <c r="E107" i="16"/>
  <c r="E103" i="16"/>
  <c r="H244" i="21"/>
  <c r="H261" i="21" s="1"/>
  <c r="H245" i="21"/>
  <c r="H246" i="21"/>
  <c r="H247" i="21"/>
  <c r="H248" i="21"/>
  <c r="H249" i="21"/>
  <c r="H250" i="21"/>
  <c r="H251" i="21"/>
  <c r="H252" i="21"/>
  <c r="H253" i="21"/>
  <c r="J259" i="21"/>
  <c r="J260" i="21"/>
  <c r="J261" i="21"/>
  <c r="H262" i="21"/>
  <c r="I262" i="21"/>
  <c r="F123" i="16"/>
  <c r="H294" i="21" s="1"/>
  <c r="F122" i="16"/>
  <c r="J293" i="21" s="1"/>
  <c r="F121" i="16"/>
  <c r="H292" i="21" s="1"/>
  <c r="F119" i="16"/>
  <c r="J291" i="21" s="1"/>
  <c r="F118" i="16"/>
  <c r="J290" i="21" s="1"/>
  <c r="F117" i="16"/>
  <c r="H289" i="21" s="1"/>
  <c r="F113" i="16"/>
  <c r="J288" i="21" s="1"/>
  <c r="F112" i="16"/>
  <c r="J287" i="21" s="1"/>
  <c r="F111" i="16"/>
  <c r="J286" i="21" s="1"/>
  <c r="F109" i="16"/>
  <c r="J285" i="21" s="1"/>
  <c r="F108" i="16"/>
  <c r="H284" i="21" s="1"/>
  <c r="F107" i="16"/>
  <c r="J283" i="21" s="1"/>
  <c r="F103" i="16"/>
  <c r="H282" i="21" s="1"/>
  <c r="F102" i="16"/>
  <c r="J281" i="21" s="1"/>
  <c r="F101" i="16"/>
  <c r="H280" i="21" s="1"/>
  <c r="F99" i="16"/>
  <c r="J279" i="21" s="1"/>
  <c r="F98" i="16"/>
  <c r="H278" i="21" s="1"/>
  <c r="F97" i="16"/>
  <c r="H277" i="21" s="1"/>
  <c r="F93" i="16"/>
  <c r="H276" i="21" s="1"/>
  <c r="F92" i="16"/>
  <c r="J275" i="21" s="1"/>
  <c r="F91" i="16"/>
  <c r="H274" i="21" s="1"/>
  <c r="F89" i="16"/>
  <c r="H273" i="21" s="1"/>
  <c r="F88" i="16"/>
  <c r="H272" i="21" s="1"/>
  <c r="F83" i="16"/>
  <c r="H270" i="21" s="1"/>
  <c r="F82" i="16"/>
  <c r="H269" i="21" s="1"/>
  <c r="F81" i="16"/>
  <c r="J268" i="21" s="1"/>
  <c r="F78" i="16"/>
  <c r="J266" i="21" s="1"/>
  <c r="F79" i="16"/>
  <c r="J267" i="21" s="1"/>
  <c r="F77" i="16"/>
  <c r="J265" i="21" s="1"/>
  <c r="E123" i="16"/>
  <c r="E122" i="16"/>
  <c r="E121" i="16"/>
  <c r="E119" i="16"/>
  <c r="E118" i="16"/>
  <c r="E117" i="16"/>
  <c r="E102" i="16"/>
  <c r="E101" i="16"/>
  <c r="E99" i="16"/>
  <c r="E98" i="16"/>
  <c r="E97" i="16"/>
  <c r="E93" i="16"/>
  <c r="E92" i="16"/>
  <c r="E91" i="16"/>
  <c r="E89" i="16"/>
  <c r="E88" i="16"/>
  <c r="E87" i="16"/>
  <c r="E83" i="16"/>
  <c r="E82" i="16"/>
  <c r="E81" i="16"/>
  <c r="E79" i="16"/>
  <c r="E78" i="16"/>
  <c r="E77" i="16"/>
  <c r="E62" i="16"/>
  <c r="H258" i="21" s="1"/>
  <c r="E61" i="16"/>
  <c r="H257" i="21" s="1"/>
  <c r="E57" i="16"/>
  <c r="E56" i="16"/>
  <c r="E55" i="16"/>
  <c r="E54" i="16"/>
  <c r="E53" i="16"/>
  <c r="E52" i="16"/>
  <c r="E51" i="16"/>
  <c r="E50" i="16"/>
  <c r="E49" i="16"/>
  <c r="F57" i="16"/>
  <c r="J253" i="21" s="1"/>
  <c r="F56" i="16"/>
  <c r="J252" i="21" s="1"/>
  <c r="F55" i="16"/>
  <c r="J251" i="21" s="1"/>
  <c r="F54" i="16"/>
  <c r="J250" i="21" s="1"/>
  <c r="F53" i="16"/>
  <c r="J249" i="21" s="1"/>
  <c r="F52" i="16"/>
  <c r="J248" i="21" s="1"/>
  <c r="F51" i="16"/>
  <c r="J247" i="21" s="1"/>
  <c r="F50" i="16"/>
  <c r="J246" i="21" s="1"/>
  <c r="F49" i="16"/>
  <c r="J245" i="21" s="1"/>
  <c r="F48" i="16"/>
  <c r="J244" i="21" s="1"/>
  <c r="H71" i="16"/>
  <c r="I263" i="21" s="1"/>
  <c r="F72" i="16"/>
  <c r="J264" i="21" s="1"/>
  <c r="F71" i="16"/>
  <c r="J263" i="21" s="1"/>
  <c r="B21" i="25" l="1"/>
  <c r="E9" i="25"/>
  <c r="BK6" i="10"/>
  <c r="U4" i="4"/>
  <c r="U10" i="4"/>
  <c r="W8" i="3"/>
  <c r="W7" i="3"/>
  <c r="W9" i="3"/>
  <c r="W10" i="3"/>
  <c r="U107" i="3"/>
  <c r="U20" i="3"/>
  <c r="U21" i="3"/>
  <c r="T20" i="3"/>
  <c r="V20" i="3"/>
  <c r="F36" i="16"/>
  <c r="J238" i="21" s="1"/>
  <c r="F5" i="21"/>
  <c r="F42" i="16"/>
  <c r="I373" i="21"/>
  <c r="H373" i="21" s="1"/>
  <c r="G373" i="21" s="1"/>
  <c r="I362" i="21"/>
  <c r="H362" i="21" s="1"/>
  <c r="J360" i="21"/>
  <c r="I360" i="21"/>
  <c r="H360" i="21" s="1"/>
  <c r="Y24" i="12"/>
  <c r="J211" i="21"/>
  <c r="J282" i="21"/>
  <c r="H291" i="21"/>
  <c r="H290" i="21"/>
  <c r="J289" i="21"/>
  <c r="H288" i="21"/>
  <c r="H287" i="21"/>
  <c r="H286" i="21"/>
  <c r="H285" i="21"/>
  <c r="J284" i="21"/>
  <c r="H283" i="21"/>
  <c r="J280" i="21"/>
  <c r="H281" i="21"/>
  <c r="H275" i="21"/>
  <c r="H265" i="21"/>
  <c r="J294" i="21"/>
  <c r="H293" i="21"/>
  <c r="J292" i="21"/>
  <c r="H279" i="21"/>
  <c r="J278" i="21"/>
  <c r="J277" i="21"/>
  <c r="J273" i="21"/>
  <c r="J272" i="21"/>
  <c r="J276" i="21"/>
  <c r="J274" i="21"/>
  <c r="H268" i="21"/>
  <c r="J270" i="21"/>
  <c r="J269" i="21"/>
  <c r="H267" i="21"/>
  <c r="H266" i="21"/>
  <c r="H256" i="21"/>
  <c r="H255" i="21"/>
  <c r="H254" i="21"/>
  <c r="H259" i="21"/>
  <c r="H260" i="21"/>
  <c r="BK7" i="10" l="1"/>
  <c r="T21" i="3"/>
  <c r="W3" i="3"/>
  <c r="J242" i="21"/>
  <c r="E72" i="16"/>
  <c r="E71" i="16"/>
  <c r="H263" i="21" s="1"/>
  <c r="M123" i="16"/>
  <c r="N123" i="16" s="1"/>
  <c r="M122" i="16"/>
  <c r="N122" i="16" s="1"/>
  <c r="M121" i="16"/>
  <c r="N121" i="16" s="1"/>
  <c r="M119" i="16"/>
  <c r="N119" i="16" s="1"/>
  <c r="M118" i="16"/>
  <c r="N118" i="16" s="1"/>
  <c r="M117" i="16"/>
  <c r="N117" i="16" s="1"/>
  <c r="M113" i="16"/>
  <c r="N113" i="16" s="1"/>
  <c r="M112" i="16"/>
  <c r="N112" i="16" s="1"/>
  <c r="M111" i="16"/>
  <c r="N111" i="16" s="1"/>
  <c r="M109" i="16"/>
  <c r="N109" i="16" s="1"/>
  <c r="M108" i="16"/>
  <c r="N108" i="16" s="1"/>
  <c r="M107" i="16"/>
  <c r="N107" i="16" s="1"/>
  <c r="W104" i="16"/>
  <c r="F62" i="16" s="1"/>
  <c r="J258" i="21" s="1"/>
  <c r="S103" i="16"/>
  <c r="F61" i="16" s="1"/>
  <c r="J257" i="21" s="1"/>
  <c r="M103" i="16"/>
  <c r="N103" i="16" s="1"/>
  <c r="U102" i="16"/>
  <c r="M102" i="16"/>
  <c r="N102" i="16" s="1"/>
  <c r="U101" i="16"/>
  <c r="M101" i="16"/>
  <c r="N101" i="16" s="1"/>
  <c r="U100" i="16"/>
  <c r="U99" i="16"/>
  <c r="M99" i="16"/>
  <c r="N99" i="16" s="1"/>
  <c r="U98" i="16"/>
  <c r="M98" i="16"/>
  <c r="N98" i="16" s="1"/>
  <c r="U97" i="16"/>
  <c r="M97" i="16"/>
  <c r="N97" i="16" s="1"/>
  <c r="U95" i="16"/>
  <c r="U94" i="16"/>
  <c r="U93" i="16"/>
  <c r="M93" i="16"/>
  <c r="N93" i="16" s="1"/>
  <c r="M92" i="16"/>
  <c r="N92" i="16" s="1"/>
  <c r="U91" i="16"/>
  <c r="M91" i="16"/>
  <c r="N91" i="16" s="1"/>
  <c r="U90" i="16"/>
  <c r="U89" i="16"/>
  <c r="M89" i="16"/>
  <c r="N89" i="16" s="1"/>
  <c r="U88" i="16"/>
  <c r="M88" i="16"/>
  <c r="N88" i="16" s="1"/>
  <c r="U87" i="16"/>
  <c r="M87" i="16"/>
  <c r="N87" i="16" s="1"/>
  <c r="U86" i="16"/>
  <c r="U85" i="16"/>
  <c r="U84" i="16"/>
  <c r="U83" i="16"/>
  <c r="M83" i="16"/>
  <c r="N83" i="16" s="1"/>
  <c r="U82" i="16"/>
  <c r="M82" i="16"/>
  <c r="N82" i="16" s="1"/>
  <c r="U81" i="16"/>
  <c r="M81" i="16"/>
  <c r="N81" i="16" s="1"/>
  <c r="U80" i="16"/>
  <c r="U79" i="16"/>
  <c r="F87" i="16" s="1"/>
  <c r="M79" i="16"/>
  <c r="N79" i="16" s="1"/>
  <c r="U78" i="16"/>
  <c r="M78" i="16"/>
  <c r="N78" i="16" s="1"/>
  <c r="U77" i="16"/>
  <c r="M77" i="16"/>
  <c r="N77" i="16" s="1"/>
  <c r="H72" i="16"/>
  <c r="I264" i="21" s="1"/>
  <c r="D72" i="16"/>
  <c r="V69" i="16"/>
  <c r="F67" i="16"/>
  <c r="J262" i="21" s="1"/>
  <c r="E67" i="16"/>
  <c r="F60" i="16"/>
  <c r="J256" i="21" s="1"/>
  <c r="E60" i="16"/>
  <c r="F59" i="16"/>
  <c r="J255" i="21" s="1"/>
  <c r="E59" i="16"/>
  <c r="D58" i="16"/>
  <c r="D57" i="16"/>
  <c r="D56" i="16"/>
  <c r="D55" i="16"/>
  <c r="D53" i="16"/>
  <c r="D52" i="16"/>
  <c r="D51" i="16"/>
  <c r="D50" i="16"/>
  <c r="D49" i="16"/>
  <c r="H48" i="16"/>
  <c r="I244" i="21" s="1"/>
  <c r="BK8" i="10" l="1"/>
  <c r="E58" i="16"/>
  <c r="F58" i="16"/>
  <c r="J254" i="21" s="1"/>
  <c r="J271" i="21"/>
  <c r="H271" i="21"/>
  <c r="D48" i="16"/>
  <c r="T26" i="16"/>
  <c r="H264" i="21"/>
  <c r="F20" i="16"/>
  <c r="H20" i="16"/>
  <c r="D20" i="16" s="1"/>
  <c r="H225" i="21" s="1"/>
  <c r="G225" i="21" s="1"/>
  <c r="E20" i="16"/>
  <c r="H19" i="16"/>
  <c r="F19" i="16" s="1"/>
  <c r="J224" i="21" s="1"/>
  <c r="H18" i="16"/>
  <c r="D18" i="16" s="1"/>
  <c r="H223" i="21" s="1"/>
  <c r="G223" i="21" s="1"/>
  <c r="D56" i="13"/>
  <c r="U47" i="16"/>
  <c r="V47" i="16" s="1"/>
  <c r="U46" i="16"/>
  <c r="V46" i="16" s="1"/>
  <c r="U45" i="16"/>
  <c r="V45" i="16" s="1"/>
  <c r="S44" i="16"/>
  <c r="H243" i="21" s="1"/>
  <c r="H301" i="21"/>
  <c r="H300" i="21"/>
  <c r="H299" i="21"/>
  <c r="F139" i="16"/>
  <c r="J301" i="21" s="1"/>
  <c r="H139" i="16"/>
  <c r="I301" i="21" s="1"/>
  <c r="K137" i="16"/>
  <c r="H137" i="16"/>
  <c r="I300" i="21" s="1"/>
  <c r="F137" i="16"/>
  <c r="J300" i="21" s="1"/>
  <c r="E137" i="16"/>
  <c r="I15" i="21"/>
  <c r="B23" i="2"/>
  <c r="H15" i="21" s="1"/>
  <c r="B22" i="2"/>
  <c r="H14" i="21" s="1"/>
  <c r="B20" i="2"/>
  <c r="AC51" i="2"/>
  <c r="F24" i="2"/>
  <c r="F22" i="2"/>
  <c r="J14" i="21" s="1"/>
  <c r="W51" i="2"/>
  <c r="F23" i="2" s="1"/>
  <c r="J15" i="21" s="1"/>
  <c r="U51" i="2"/>
  <c r="H36" i="22"/>
  <c r="H35" i="22"/>
  <c r="G28" i="22"/>
  <c r="H27" i="22"/>
  <c r="G27" i="22" s="1"/>
  <c r="H24" i="22"/>
  <c r="H23" i="22"/>
  <c r="H22" i="22"/>
  <c r="H21" i="22"/>
  <c r="H20" i="22"/>
  <c r="H19" i="22"/>
  <c r="H12" i="22"/>
  <c r="AE18" i="10"/>
  <c r="AD18" i="10"/>
  <c r="BK9" i="10" l="1"/>
  <c r="I224" i="21"/>
  <c r="D19" i="16"/>
  <c r="H224" i="21" s="1"/>
  <c r="G224" i="21" s="1"/>
  <c r="F18" i="16"/>
  <c r="J223" i="21" s="1"/>
  <c r="I223" i="21"/>
  <c r="E45" i="16"/>
  <c r="F45" i="16"/>
  <c r="H45" i="16"/>
  <c r="E28" i="22"/>
  <c r="E27" i="22"/>
  <c r="G24" i="22"/>
  <c r="G26" i="22" s="1"/>
  <c r="G23" i="22"/>
  <c r="G25" i="22" s="1"/>
  <c r="G21" i="22"/>
  <c r="E21" i="22" s="1"/>
  <c r="G20" i="22"/>
  <c r="G22" i="22" s="1"/>
  <c r="G19" i="22"/>
  <c r="E19" i="22" s="1"/>
  <c r="U37" i="22"/>
  <c r="U44" i="22"/>
  <c r="X53" i="22"/>
  <c r="X52" i="22"/>
  <c r="U52" i="22"/>
  <c r="U53" i="22"/>
  <c r="V53" i="22"/>
  <c r="V52" i="22"/>
  <c r="S131" i="12"/>
  <c r="F34" i="2"/>
  <c r="H595" i="21"/>
  <c r="V15" i="6"/>
  <c r="AF8" i="7"/>
  <c r="AF11" i="7" s="1"/>
  <c r="D13" i="7" s="1"/>
  <c r="T40" i="13"/>
  <c r="B28" i="1"/>
  <c r="J489" i="21" s="1"/>
  <c r="H485" i="21"/>
  <c r="H491" i="21"/>
  <c r="G491" i="21"/>
  <c r="I489" i="21"/>
  <c r="I490" i="21"/>
  <c r="I491" i="21"/>
  <c r="H490" i="21"/>
  <c r="H489" i="21"/>
  <c r="H4" i="22"/>
  <c r="D27" i="22"/>
  <c r="Q31" i="1"/>
  <c r="J576" i="21"/>
  <c r="J575" i="21"/>
  <c r="J574" i="21"/>
  <c r="J573" i="21"/>
  <c r="J572" i="21"/>
  <c r="J571" i="21"/>
  <c r="J570" i="21"/>
  <c r="J569" i="21"/>
  <c r="J568" i="21"/>
  <c r="J567" i="21"/>
  <c r="J566" i="21"/>
  <c r="J565" i="21"/>
  <c r="J564" i="21"/>
  <c r="I576" i="21"/>
  <c r="I575" i="21"/>
  <c r="I574" i="21"/>
  <c r="I573" i="21"/>
  <c r="I572" i="21"/>
  <c r="I571" i="21"/>
  <c r="I570" i="21"/>
  <c r="I569" i="21"/>
  <c r="I568" i="21"/>
  <c r="I567" i="21"/>
  <c r="I566" i="21"/>
  <c r="I565" i="21"/>
  <c r="I564" i="21"/>
  <c r="G576" i="21"/>
  <c r="V31" i="1"/>
  <c r="X30" i="1"/>
  <c r="H566" i="21" s="1"/>
  <c r="W30" i="1"/>
  <c r="R29" i="1" s="1"/>
  <c r="V25" i="1"/>
  <c r="V26" i="1"/>
  <c r="V27" i="1"/>
  <c r="V28" i="1"/>
  <c r="V29" i="1"/>
  <c r="V24" i="1"/>
  <c r="V23" i="1"/>
  <c r="D14" i="22"/>
  <c r="D13" i="22"/>
  <c r="D12" i="22"/>
  <c r="T55" i="11"/>
  <c r="T51" i="11"/>
  <c r="A35" i="22"/>
  <c r="S26" i="22"/>
  <c r="R26" i="22"/>
  <c r="Q26" i="22"/>
  <c r="P26" i="22"/>
  <c r="O26" i="22"/>
  <c r="N26" i="22"/>
  <c r="D26" i="22"/>
  <c r="D25" i="22"/>
  <c r="C22" i="10"/>
  <c r="D24" i="22"/>
  <c r="D23" i="22"/>
  <c r="D22" i="22"/>
  <c r="S22" i="22"/>
  <c r="R22" i="22"/>
  <c r="Q22" i="22"/>
  <c r="P22" i="22"/>
  <c r="O22" i="22"/>
  <c r="N22" i="22"/>
  <c r="D21" i="22"/>
  <c r="D20" i="22"/>
  <c r="D19" i="22"/>
  <c r="S28" i="22"/>
  <c r="R28" i="22"/>
  <c r="Q28" i="22"/>
  <c r="P28" i="22"/>
  <c r="O28" i="22"/>
  <c r="N28" i="22"/>
  <c r="S24" i="22"/>
  <c r="R24" i="22"/>
  <c r="Q24" i="22"/>
  <c r="P24" i="22"/>
  <c r="O24" i="22"/>
  <c r="N24" i="22"/>
  <c r="A36" i="22"/>
  <c r="AB12" i="7"/>
  <c r="H59" i="21" s="1"/>
  <c r="AI47" i="19"/>
  <c r="AI46" i="19"/>
  <c r="AI45" i="19"/>
  <c r="AI44" i="19"/>
  <c r="AI43" i="19"/>
  <c r="AI42" i="19"/>
  <c r="AI41" i="19"/>
  <c r="AI40" i="19"/>
  <c r="AI39" i="19"/>
  <c r="AI38" i="19"/>
  <c r="AI37" i="19"/>
  <c r="AI36" i="19"/>
  <c r="AI34" i="19"/>
  <c r="AI33" i="19"/>
  <c r="AI32" i="19"/>
  <c r="AF24" i="19"/>
  <c r="E36" i="13"/>
  <c r="T49" i="4"/>
  <c r="I10" i="5"/>
  <c r="E55" i="12"/>
  <c r="E54" i="12"/>
  <c r="E35" i="12"/>
  <c r="E34" i="12"/>
  <c r="BK10" i="10" l="1"/>
  <c r="I243" i="21"/>
  <c r="J243" i="21"/>
  <c r="E23" i="22"/>
  <c r="E25" i="22" s="1"/>
  <c r="P36" i="22"/>
  <c r="E22" i="22"/>
  <c r="E24" i="22"/>
  <c r="E26" i="22" s="1"/>
  <c r="H60" i="21"/>
  <c r="Q35" i="22"/>
  <c r="S36" i="22"/>
  <c r="N35" i="22"/>
  <c r="D46" i="22" s="1"/>
  <c r="N36" i="22"/>
  <c r="D36" i="22" s="1"/>
  <c r="O36" i="22"/>
  <c r="Q36" i="22"/>
  <c r="R36" i="22"/>
  <c r="R35" i="22"/>
  <c r="S35" i="22"/>
  <c r="O35" i="22"/>
  <c r="P35" i="22"/>
  <c r="AE8" i="7"/>
  <c r="AE11" i="7" s="1"/>
  <c r="H571" i="21"/>
  <c r="H572" i="21"/>
  <c r="H573" i="21"/>
  <c r="H574" i="21"/>
  <c r="H567" i="21"/>
  <c r="H568" i="21"/>
  <c r="H569" i="21"/>
  <c r="H570" i="21"/>
  <c r="H564" i="21"/>
  <c r="H565" i="21"/>
  <c r="D16" i="22"/>
  <c r="E20" i="22"/>
  <c r="T7" i="4"/>
  <c r="U7" i="4" s="1"/>
  <c r="T5" i="4"/>
  <c r="U5" i="4" s="1"/>
  <c r="T3" i="4"/>
  <c r="U3" i="4" s="1"/>
  <c r="T2" i="4"/>
  <c r="U2" i="4" s="1"/>
  <c r="I470" i="21"/>
  <c r="J470" i="21"/>
  <c r="U6" i="19"/>
  <c r="Y11" i="7"/>
  <c r="Y10" i="7"/>
  <c r="Y9" i="7"/>
  <c r="Y8" i="7"/>
  <c r="Y7" i="7"/>
  <c r="Y6" i="7"/>
  <c r="Y5" i="7"/>
  <c r="AN126" i="20" s="1"/>
  <c r="V22" i="7"/>
  <c r="V21" i="7"/>
  <c r="I40" i="7"/>
  <c r="F40" i="7"/>
  <c r="D40" i="7"/>
  <c r="C40" i="7"/>
  <c r="I38" i="7"/>
  <c r="F38" i="7"/>
  <c r="D38" i="7"/>
  <c r="C38" i="7"/>
  <c r="I37" i="7"/>
  <c r="F37" i="7"/>
  <c r="D37" i="7"/>
  <c r="C37" i="7"/>
  <c r="I36" i="7"/>
  <c r="F36" i="7"/>
  <c r="D36" i="7"/>
  <c r="C36" i="7"/>
  <c r="I33" i="7"/>
  <c r="F33" i="7"/>
  <c r="D33" i="7"/>
  <c r="C33" i="7"/>
  <c r="I32" i="7"/>
  <c r="C32" i="7"/>
  <c r="D17" i="7" s="1"/>
  <c r="I30" i="7"/>
  <c r="F30" i="7"/>
  <c r="D30" i="7"/>
  <c r="C30" i="7"/>
  <c r="I29" i="7"/>
  <c r="F29" i="7"/>
  <c r="D29" i="7"/>
  <c r="C29" i="7"/>
  <c r="I28" i="7"/>
  <c r="F28" i="7"/>
  <c r="D28" i="7"/>
  <c r="C28" i="7"/>
  <c r="I27" i="7"/>
  <c r="F27" i="7"/>
  <c r="D27" i="7"/>
  <c r="C27" i="7"/>
  <c r="I26" i="7"/>
  <c r="F26" i="7"/>
  <c r="D26" i="7"/>
  <c r="C26" i="7"/>
  <c r="I24" i="7"/>
  <c r="F24" i="7"/>
  <c r="D24" i="7"/>
  <c r="C24" i="7"/>
  <c r="I23" i="7"/>
  <c r="F23" i="7"/>
  <c r="D23" i="7"/>
  <c r="C23" i="7"/>
  <c r="I22" i="7"/>
  <c r="F22" i="7"/>
  <c r="D22" i="7"/>
  <c r="C22" i="7"/>
  <c r="B17" i="6"/>
  <c r="B14" i="6"/>
  <c r="B18" i="6"/>
  <c r="B10" i="6"/>
  <c r="H17" i="6"/>
  <c r="F17" i="6"/>
  <c r="F18" i="6"/>
  <c r="E18" i="6"/>
  <c r="E14" i="6"/>
  <c r="F14" i="6"/>
  <c r="E10" i="6"/>
  <c r="U39" i="4"/>
  <c r="U38" i="4"/>
  <c r="U37" i="4"/>
  <c r="D14" i="4"/>
  <c r="L18" i="4"/>
  <c r="F18" i="4"/>
  <c r="E20" i="4"/>
  <c r="E18" i="4"/>
  <c r="E14" i="4"/>
  <c r="E13" i="4"/>
  <c r="E12" i="4"/>
  <c r="S12" i="4"/>
  <c r="D44" i="3"/>
  <c r="D61" i="3"/>
  <c r="AD58" i="3"/>
  <c r="V4" i="3"/>
  <c r="V70" i="3"/>
  <c r="V3" i="3"/>
  <c r="V15" i="3"/>
  <c r="V11" i="3"/>
  <c r="V10" i="3"/>
  <c r="V9" i="3"/>
  <c r="V8" i="3"/>
  <c r="V7" i="3"/>
  <c r="V6" i="3"/>
  <c r="AA16" i="3"/>
  <c r="AA15" i="3"/>
  <c r="AA14" i="3"/>
  <c r="AA13" i="3"/>
  <c r="AA12" i="3"/>
  <c r="AA11" i="3"/>
  <c r="F28" i="13"/>
  <c r="F24" i="13"/>
  <c r="F20" i="13"/>
  <c r="E28" i="13"/>
  <c r="E24" i="13"/>
  <c r="E20" i="13"/>
  <c r="Z19" i="8"/>
  <c r="Z18" i="8"/>
  <c r="Z17" i="8"/>
  <c r="Z16" i="8"/>
  <c r="Y34" i="8"/>
  <c r="Y35" i="8"/>
  <c r="T27" i="8"/>
  <c r="K11" i="8"/>
  <c r="H11" i="8"/>
  <c r="F11" i="8"/>
  <c r="D11" i="8"/>
  <c r="T24" i="8"/>
  <c r="A10" i="8"/>
  <c r="E146" i="16"/>
  <c r="E145" i="16"/>
  <c r="E144" i="16"/>
  <c r="E143" i="16"/>
  <c r="E142" i="16"/>
  <c r="BK11" i="10" l="1"/>
  <c r="DQ50" i="17"/>
  <c r="AX126" i="20"/>
  <c r="D35" i="22"/>
  <c r="D37" i="22" s="1"/>
  <c r="D40" i="22" s="1"/>
  <c r="C17" i="7"/>
  <c r="E11" i="4"/>
  <c r="Z20" i="8"/>
  <c r="D42" i="7"/>
  <c r="T128" i="12"/>
  <c r="T127" i="12"/>
  <c r="T126" i="12"/>
  <c r="T125" i="12"/>
  <c r="X27" i="12"/>
  <c r="X30" i="12"/>
  <c r="X28" i="12"/>
  <c r="X29" i="12"/>
  <c r="T65" i="12"/>
  <c r="C7" i="12" s="1"/>
  <c r="S74" i="12"/>
  <c r="K1" i="21"/>
  <c r="I2" i="21"/>
  <c r="K2" i="21"/>
  <c r="H3" i="21"/>
  <c r="E3" i="21" s="1"/>
  <c r="H4" i="21"/>
  <c r="H6" i="21"/>
  <c r="E6" i="21" s="1"/>
  <c r="H7" i="21"/>
  <c r="H8" i="21"/>
  <c r="H9" i="21"/>
  <c r="H10" i="21"/>
  <c r="H11" i="21"/>
  <c r="H12" i="21"/>
  <c r="H13" i="21"/>
  <c r="H17" i="21"/>
  <c r="H18" i="21"/>
  <c r="H19" i="21"/>
  <c r="H20" i="21"/>
  <c r="J34" i="21"/>
  <c r="J38" i="21"/>
  <c r="J39" i="21"/>
  <c r="H40" i="21"/>
  <c r="H41" i="21"/>
  <c r="J41" i="21"/>
  <c r="H42" i="21"/>
  <c r="H43" i="21"/>
  <c r="H44" i="21"/>
  <c r="H45" i="21"/>
  <c r="I45" i="21"/>
  <c r="J45" i="21"/>
  <c r="H46" i="21"/>
  <c r="I46" i="21"/>
  <c r="J46" i="21"/>
  <c r="H47" i="21"/>
  <c r="H48" i="21"/>
  <c r="H49" i="21"/>
  <c r="H50" i="21"/>
  <c r="H51" i="21"/>
  <c r="H52" i="21"/>
  <c r="H53" i="21"/>
  <c r="H54" i="21"/>
  <c r="H55" i="21"/>
  <c r="H58" i="21"/>
  <c r="I58" i="21"/>
  <c r="J58" i="21"/>
  <c r="H64" i="21"/>
  <c r="H65" i="21"/>
  <c r="J65" i="21"/>
  <c r="H66" i="21"/>
  <c r="J66" i="21"/>
  <c r="H67" i="21"/>
  <c r="J67" i="21"/>
  <c r="H68" i="21"/>
  <c r="H69" i="21"/>
  <c r="J69" i="21"/>
  <c r="H70" i="21"/>
  <c r="J70" i="21"/>
  <c r="H71" i="21"/>
  <c r="J71" i="21"/>
  <c r="H72" i="21"/>
  <c r="J72" i="21"/>
  <c r="H73" i="21"/>
  <c r="J73" i="21"/>
  <c r="H75" i="21"/>
  <c r="J75" i="21"/>
  <c r="H76" i="21"/>
  <c r="J76" i="21"/>
  <c r="H77" i="21"/>
  <c r="J77" i="21"/>
  <c r="H78" i="21"/>
  <c r="H79" i="21"/>
  <c r="J79" i="21"/>
  <c r="H80" i="21"/>
  <c r="J80" i="21"/>
  <c r="H81" i="21"/>
  <c r="J81" i="21"/>
  <c r="H82" i="21"/>
  <c r="H83" i="21"/>
  <c r="H84" i="21"/>
  <c r="H85" i="21"/>
  <c r="H86" i="21"/>
  <c r="J86" i="21"/>
  <c r="H87" i="21"/>
  <c r="J87" i="21"/>
  <c r="H89" i="21"/>
  <c r="G89" i="21" s="1"/>
  <c r="H90" i="21"/>
  <c r="H91" i="21"/>
  <c r="I91" i="21"/>
  <c r="J91" i="21"/>
  <c r="H92" i="21"/>
  <c r="G92" i="21" s="1"/>
  <c r="I92" i="21"/>
  <c r="J92" i="21"/>
  <c r="H93" i="21"/>
  <c r="G93" i="21" s="1"/>
  <c r="H94" i="21"/>
  <c r="I94" i="21"/>
  <c r="J94" i="21"/>
  <c r="H95" i="21"/>
  <c r="G95" i="21" s="1"/>
  <c r="H96" i="21"/>
  <c r="G96" i="21" s="1"/>
  <c r="H97" i="21"/>
  <c r="G97" i="21" s="1"/>
  <c r="I97" i="21"/>
  <c r="J97" i="21"/>
  <c r="H98" i="21"/>
  <c r="G98" i="21" s="1"/>
  <c r="I98" i="21"/>
  <c r="J98" i="21"/>
  <c r="H99" i="21"/>
  <c r="I99" i="21"/>
  <c r="J99" i="21"/>
  <c r="H100" i="21"/>
  <c r="G100" i="21" s="1"/>
  <c r="I100" i="21"/>
  <c r="J100" i="21"/>
  <c r="H101" i="21"/>
  <c r="G101" i="21" s="1"/>
  <c r="I101" i="21"/>
  <c r="J101" i="21"/>
  <c r="H102" i="21"/>
  <c r="I102" i="21"/>
  <c r="J102" i="21"/>
  <c r="H103" i="21"/>
  <c r="G103" i="21" s="1"/>
  <c r="I103" i="21"/>
  <c r="J103" i="21"/>
  <c r="H104" i="21"/>
  <c r="G104" i="21" s="1"/>
  <c r="I104" i="21"/>
  <c r="J104" i="21"/>
  <c r="H105" i="21"/>
  <c r="G105" i="21" s="1"/>
  <c r="H106" i="21"/>
  <c r="G106" i="21" s="1"/>
  <c r="I106" i="21"/>
  <c r="J106" i="21"/>
  <c r="H107" i="21"/>
  <c r="H108" i="21"/>
  <c r="G108" i="21" s="1"/>
  <c r="I108" i="21"/>
  <c r="H129" i="21"/>
  <c r="G129" i="21" s="1"/>
  <c r="I129" i="21"/>
  <c r="J129" i="21"/>
  <c r="H130" i="21"/>
  <c r="I130" i="21"/>
  <c r="J130" i="21"/>
  <c r="H131" i="21"/>
  <c r="I131" i="21"/>
  <c r="J131" i="21"/>
  <c r="H137" i="21"/>
  <c r="G137" i="21" s="1"/>
  <c r="H139" i="21"/>
  <c r="H140" i="21"/>
  <c r="H167" i="21"/>
  <c r="G167" i="21" s="1"/>
  <c r="I167" i="21"/>
  <c r="H202" i="21"/>
  <c r="G202" i="21" s="1"/>
  <c r="I202" i="21"/>
  <c r="J202" i="21"/>
  <c r="H203" i="21"/>
  <c r="H212" i="21"/>
  <c r="I212" i="21"/>
  <c r="H213" i="21"/>
  <c r="G213" i="21" s="1"/>
  <c r="H214" i="21"/>
  <c r="G214" i="21" s="1"/>
  <c r="H215" i="21"/>
  <c r="H216" i="21"/>
  <c r="H217" i="21"/>
  <c r="H218" i="21"/>
  <c r="H219" i="21"/>
  <c r="G219" i="21" s="1"/>
  <c r="H220" i="21"/>
  <c r="G220" i="21" s="1"/>
  <c r="H221" i="21"/>
  <c r="G221" i="21" s="1"/>
  <c r="H222" i="21"/>
  <c r="G222" i="21" s="1"/>
  <c r="H226" i="21"/>
  <c r="G226" i="21" s="1"/>
  <c r="H227" i="21"/>
  <c r="G227" i="21" s="1"/>
  <c r="H229" i="21"/>
  <c r="G229" i="21" s="1"/>
  <c r="H230" i="21"/>
  <c r="G230" i="21" s="1"/>
  <c r="H231" i="21"/>
  <c r="G231" i="21" s="1"/>
  <c r="H232" i="21"/>
  <c r="G232" i="21" s="1"/>
  <c r="H233" i="21"/>
  <c r="G233" i="21" s="1"/>
  <c r="H234" i="21"/>
  <c r="G234" i="21" s="1"/>
  <c r="H235" i="21"/>
  <c r="G235" i="21" s="1"/>
  <c r="H236" i="21"/>
  <c r="G236" i="21" s="1"/>
  <c r="H237" i="21"/>
  <c r="H295" i="21"/>
  <c r="H296" i="21"/>
  <c r="H297" i="21"/>
  <c r="H298" i="21"/>
  <c r="H302" i="21"/>
  <c r="H303" i="21"/>
  <c r="H304" i="21"/>
  <c r="H305" i="21"/>
  <c r="H306" i="21"/>
  <c r="H307" i="21"/>
  <c r="H308" i="21"/>
  <c r="H309" i="21"/>
  <c r="H310" i="21"/>
  <c r="H311" i="21"/>
  <c r="H312" i="21"/>
  <c r="H313" i="21"/>
  <c r="H314" i="21"/>
  <c r="H315" i="21"/>
  <c r="H316" i="21"/>
  <c r="H317" i="21"/>
  <c r="H318" i="21"/>
  <c r="H330" i="21"/>
  <c r="H331" i="21"/>
  <c r="H332" i="21"/>
  <c r="H333" i="21"/>
  <c r="I336" i="21"/>
  <c r="I337" i="21"/>
  <c r="I338" i="21"/>
  <c r="I339" i="21"/>
  <c r="I340" i="21"/>
  <c r="I341" i="21"/>
  <c r="I342" i="21"/>
  <c r="I343" i="21"/>
  <c r="I344" i="21"/>
  <c r="I345" i="21"/>
  <c r="H346" i="21"/>
  <c r="H347" i="21"/>
  <c r="H348" i="21"/>
  <c r="H349" i="21"/>
  <c r="H350" i="21"/>
  <c r="H351" i="21"/>
  <c r="H352" i="21"/>
  <c r="H353" i="21"/>
  <c r="H354" i="21"/>
  <c r="H355" i="21"/>
  <c r="H356" i="21"/>
  <c r="H357" i="21"/>
  <c r="H358" i="21"/>
  <c r="H365" i="21"/>
  <c r="H366" i="21"/>
  <c r="H367" i="21"/>
  <c r="H368" i="21"/>
  <c r="H369" i="21"/>
  <c r="H370" i="21"/>
  <c r="G370" i="21" s="1"/>
  <c r="H371" i="21"/>
  <c r="G371" i="21" s="1"/>
  <c r="H372" i="21"/>
  <c r="G372" i="21" s="1"/>
  <c r="H374" i="21"/>
  <c r="G374" i="21" s="1"/>
  <c r="H375" i="21"/>
  <c r="G375" i="21" s="1"/>
  <c r="H376" i="21"/>
  <c r="G376" i="21" s="1"/>
  <c r="H397" i="21"/>
  <c r="H418" i="21"/>
  <c r="H439" i="21"/>
  <c r="I439" i="21"/>
  <c r="H440" i="21"/>
  <c r="H441" i="21"/>
  <c r="H442" i="21"/>
  <c r="H443" i="21"/>
  <c r="H444" i="21"/>
  <c r="H445" i="21"/>
  <c r="H446" i="21"/>
  <c r="H447" i="21"/>
  <c r="I447" i="21"/>
  <c r="H448" i="21"/>
  <c r="I451" i="21"/>
  <c r="J454" i="21"/>
  <c r="J456" i="21"/>
  <c r="J458" i="21"/>
  <c r="J460" i="21"/>
  <c r="J462" i="21"/>
  <c r="J464" i="21"/>
  <c r="H466" i="21"/>
  <c r="J467" i="21"/>
  <c r="H469" i="21"/>
  <c r="J469" i="21"/>
  <c r="H471" i="21"/>
  <c r="H472" i="21"/>
  <c r="H473" i="21"/>
  <c r="H474" i="21"/>
  <c r="H475" i="21"/>
  <c r="H476" i="21"/>
  <c r="H477" i="21"/>
  <c r="H478" i="21"/>
  <c r="H479" i="21"/>
  <c r="H480" i="21"/>
  <c r="H481" i="21"/>
  <c r="H482" i="21"/>
  <c r="J483" i="21"/>
  <c r="H484" i="21"/>
  <c r="I484" i="21"/>
  <c r="G485" i="21"/>
  <c r="I485" i="21"/>
  <c r="H486" i="21"/>
  <c r="I486" i="21"/>
  <c r="H487" i="21"/>
  <c r="I487" i="21"/>
  <c r="H488" i="21"/>
  <c r="I488" i="21"/>
  <c r="I492" i="21"/>
  <c r="I493" i="21"/>
  <c r="I494" i="21"/>
  <c r="I495" i="21"/>
  <c r="I496" i="21"/>
  <c r="I497" i="21"/>
  <c r="I498" i="21"/>
  <c r="I499" i="21"/>
  <c r="I500" i="21"/>
  <c r="I501" i="21"/>
  <c r="I502" i="21"/>
  <c r="I503" i="21"/>
  <c r="I504" i="21"/>
  <c r="I505" i="21"/>
  <c r="I506" i="21"/>
  <c r="I507" i="21"/>
  <c r="I508" i="21"/>
  <c r="I509" i="21"/>
  <c r="I510" i="21"/>
  <c r="I511" i="21"/>
  <c r="I512" i="21"/>
  <c r="I513" i="21"/>
  <c r="J513" i="21"/>
  <c r="H514" i="21"/>
  <c r="G514" i="21" s="1"/>
  <c r="I514" i="21"/>
  <c r="J514" i="21"/>
  <c r="H515" i="21"/>
  <c r="G515" i="21" s="1"/>
  <c r="I515" i="21"/>
  <c r="J515" i="21"/>
  <c r="H516" i="21"/>
  <c r="G516" i="21" s="1"/>
  <c r="I516" i="21"/>
  <c r="J516" i="21"/>
  <c r="H517" i="21"/>
  <c r="G517" i="21" s="1"/>
  <c r="I517" i="21"/>
  <c r="J517" i="21"/>
  <c r="H518" i="21"/>
  <c r="G518" i="21" s="1"/>
  <c r="I518" i="21"/>
  <c r="J518" i="21"/>
  <c r="H519" i="21"/>
  <c r="G519" i="21" s="1"/>
  <c r="I519" i="21"/>
  <c r="J519" i="21"/>
  <c r="H520" i="21"/>
  <c r="G520" i="21" s="1"/>
  <c r="I520" i="21"/>
  <c r="J520" i="21"/>
  <c r="H521" i="21"/>
  <c r="G521" i="21" s="1"/>
  <c r="I521" i="21"/>
  <c r="J521" i="21"/>
  <c r="H522" i="21"/>
  <c r="G522" i="21" s="1"/>
  <c r="I522" i="21"/>
  <c r="J522" i="21"/>
  <c r="H523" i="21"/>
  <c r="I523" i="21"/>
  <c r="J523" i="21"/>
  <c r="I524" i="21"/>
  <c r="J524" i="21"/>
  <c r="I525" i="21"/>
  <c r="I526" i="21"/>
  <c r="I527" i="21"/>
  <c r="I528" i="21"/>
  <c r="I529" i="21"/>
  <c r="I530" i="21"/>
  <c r="I531" i="21"/>
  <c r="I532" i="21"/>
  <c r="I533" i="21"/>
  <c r="I534" i="21"/>
  <c r="I535" i="21"/>
  <c r="I536" i="21"/>
  <c r="I537" i="21"/>
  <c r="J537" i="21"/>
  <c r="I538" i="21"/>
  <c r="J538" i="21"/>
  <c r="I540" i="21"/>
  <c r="J540" i="21"/>
  <c r="I541" i="21"/>
  <c r="J541" i="21"/>
  <c r="I542" i="21"/>
  <c r="J542" i="21"/>
  <c r="I543" i="21"/>
  <c r="J543" i="21"/>
  <c r="H544" i="21"/>
  <c r="I544" i="21"/>
  <c r="J544" i="21"/>
  <c r="H545" i="21"/>
  <c r="I545" i="21"/>
  <c r="J545" i="21"/>
  <c r="H546" i="21"/>
  <c r="I546" i="21"/>
  <c r="J546" i="21"/>
  <c r="H547" i="21"/>
  <c r="I547" i="21"/>
  <c r="J547" i="21"/>
  <c r="H548" i="21"/>
  <c r="I548" i="21"/>
  <c r="J548" i="21"/>
  <c r="H549" i="21"/>
  <c r="I549" i="21"/>
  <c r="J549" i="21"/>
  <c r="H550" i="21"/>
  <c r="I550" i="21"/>
  <c r="J550" i="21"/>
  <c r="H551" i="21"/>
  <c r="I551" i="21"/>
  <c r="J551" i="21"/>
  <c r="H552" i="21"/>
  <c r="I552" i="21"/>
  <c r="J552" i="21"/>
  <c r="H553" i="21"/>
  <c r="I553" i="21"/>
  <c r="J553" i="21"/>
  <c r="H554" i="21"/>
  <c r="I554" i="21"/>
  <c r="J554" i="21"/>
  <c r="H555" i="21"/>
  <c r="I555" i="21"/>
  <c r="J555" i="21"/>
  <c r="H556" i="21"/>
  <c r="I556" i="21"/>
  <c r="J556" i="21"/>
  <c r="H557" i="21"/>
  <c r="I557" i="21"/>
  <c r="J557" i="21"/>
  <c r="H558" i="21"/>
  <c r="I558" i="21"/>
  <c r="J558" i="21"/>
  <c r="H559" i="21"/>
  <c r="I559" i="21"/>
  <c r="J559" i="21"/>
  <c r="H560" i="21"/>
  <c r="I560" i="21"/>
  <c r="J560" i="21"/>
  <c r="H561" i="21"/>
  <c r="I561" i="21"/>
  <c r="J561" i="21"/>
  <c r="H562" i="21"/>
  <c r="I562" i="21"/>
  <c r="J562" i="21"/>
  <c r="H563" i="21"/>
  <c r="I583" i="21"/>
  <c r="J583" i="21"/>
  <c r="I584" i="21"/>
  <c r="J584" i="21"/>
  <c r="I585" i="21"/>
  <c r="J585" i="21"/>
  <c r="I586" i="21"/>
  <c r="J586" i="21"/>
  <c r="I587" i="21"/>
  <c r="J587" i="21"/>
  <c r="I588" i="21"/>
  <c r="J588" i="21"/>
  <c r="I589" i="21"/>
  <c r="J589" i="21"/>
  <c r="I590" i="21"/>
  <c r="J590" i="21"/>
  <c r="I591" i="21"/>
  <c r="J591" i="21"/>
  <c r="I592" i="21"/>
  <c r="J592" i="21"/>
  <c r="I594" i="21"/>
  <c r="J594" i="21"/>
  <c r="I595" i="21"/>
  <c r="J595" i="21"/>
  <c r="W30" i="12"/>
  <c r="K55" i="12" s="1"/>
  <c r="V30" i="12"/>
  <c r="H55" i="12" s="1"/>
  <c r="I370" i="21" s="1"/>
  <c r="U30" i="12"/>
  <c r="F55" i="12" s="1"/>
  <c r="J370" i="21" s="1"/>
  <c r="W28" i="12"/>
  <c r="K35" i="12" s="1"/>
  <c r="V28" i="12"/>
  <c r="H35" i="12" s="1"/>
  <c r="I368" i="21" s="1"/>
  <c r="U28" i="12"/>
  <c r="F35" i="12" s="1"/>
  <c r="J368" i="21" s="1"/>
  <c r="W27" i="12"/>
  <c r="K34" i="12" s="1"/>
  <c r="V27" i="12"/>
  <c r="H34" i="12" s="1"/>
  <c r="I367" i="21" s="1"/>
  <c r="U27" i="12"/>
  <c r="F34" i="12" s="1"/>
  <c r="J367" i="21" s="1"/>
  <c r="A57" i="5"/>
  <c r="C53" i="5"/>
  <c r="T55" i="5" s="1"/>
  <c r="U55" i="5" s="1"/>
  <c r="T53" i="5"/>
  <c r="U53" i="5" s="1"/>
  <c r="K47" i="5"/>
  <c r="A55" i="5"/>
  <c r="F47" i="5"/>
  <c r="J48" i="21" s="1"/>
  <c r="H47" i="5"/>
  <c r="I48" i="21" s="1"/>
  <c r="S128" i="12"/>
  <c r="S127" i="12"/>
  <c r="S126" i="12"/>
  <c r="S125" i="12"/>
  <c r="W29" i="12"/>
  <c r="K54" i="12" s="1"/>
  <c r="V29" i="12"/>
  <c r="H54" i="12" s="1"/>
  <c r="I369" i="21" s="1"/>
  <c r="U29" i="12"/>
  <c r="F54" i="12" s="1"/>
  <c r="J369" i="21" s="1"/>
  <c r="S124" i="12"/>
  <c r="H33" i="12"/>
  <c r="I366" i="21" s="1"/>
  <c r="F33" i="12"/>
  <c r="J366" i="21" s="1"/>
  <c r="T30" i="12"/>
  <c r="D55" i="12" s="1"/>
  <c r="G36" i="22" s="1"/>
  <c r="T29" i="12"/>
  <c r="D54" i="12" s="1"/>
  <c r="G35" i="22" s="1"/>
  <c r="T28" i="12"/>
  <c r="D35" i="12" s="1"/>
  <c r="T27" i="12"/>
  <c r="D34" i="12" s="1"/>
  <c r="A115" i="12"/>
  <c r="U61" i="11"/>
  <c r="U60" i="11"/>
  <c r="U59" i="11"/>
  <c r="U58" i="11"/>
  <c r="U57" i="11"/>
  <c r="U56" i="11"/>
  <c r="U55" i="11"/>
  <c r="V19" i="5"/>
  <c r="E7" i="5" s="1"/>
  <c r="U49" i="11"/>
  <c r="H345" i="21" s="1"/>
  <c r="U48" i="11"/>
  <c r="H344" i="21" s="1"/>
  <c r="U47" i="11"/>
  <c r="H343" i="21" s="1"/>
  <c r="U46" i="11"/>
  <c r="H342" i="21" s="1"/>
  <c r="U45" i="11"/>
  <c r="H341" i="21" s="1"/>
  <c r="U44" i="11"/>
  <c r="H340" i="21" s="1"/>
  <c r="U43" i="11"/>
  <c r="H339" i="21" s="1"/>
  <c r="U42" i="11"/>
  <c r="H338" i="21" s="1"/>
  <c r="U41" i="11"/>
  <c r="H337" i="21" s="1"/>
  <c r="U40" i="11"/>
  <c r="H336" i="21" s="1"/>
  <c r="U27" i="11"/>
  <c r="S49" i="11"/>
  <c r="S48" i="11"/>
  <c r="AA48" i="11" s="1"/>
  <c r="S47" i="11"/>
  <c r="AA47" i="11" s="1"/>
  <c r="S46" i="11"/>
  <c r="AA46" i="11" s="1"/>
  <c r="S45" i="11"/>
  <c r="AA45" i="11" s="1"/>
  <c r="S44" i="11"/>
  <c r="AA44" i="11" s="1"/>
  <c r="S43" i="11"/>
  <c r="AA43" i="11" s="1"/>
  <c r="S42" i="11"/>
  <c r="AA42" i="11" s="1"/>
  <c r="S41" i="11"/>
  <c r="AA41" i="11" s="1"/>
  <c r="S40" i="11"/>
  <c r="AA40" i="11" s="1"/>
  <c r="U62" i="11" l="1"/>
  <c r="BK12" i="10"/>
  <c r="G241" i="21"/>
  <c r="G240" i="21"/>
  <c r="G239" i="21"/>
  <c r="G238" i="21"/>
  <c r="G237" i="21"/>
  <c r="F6" i="21"/>
  <c r="E7" i="21"/>
  <c r="G365" i="21"/>
  <c r="G366" i="21"/>
  <c r="G367" i="21"/>
  <c r="G369" i="21"/>
  <c r="G368" i="21"/>
  <c r="G218" i="21"/>
  <c r="G216" i="21"/>
  <c r="G215" i="21"/>
  <c r="G217" i="21"/>
  <c r="H399" i="21"/>
  <c r="G311" i="21"/>
  <c r="G347" i="21"/>
  <c r="G318" i="21"/>
  <c r="G310" i="21"/>
  <c r="G443" i="21"/>
  <c r="G346" i="21"/>
  <c r="G317" i="21"/>
  <c r="G309" i="21"/>
  <c r="G298" i="21"/>
  <c r="G473" i="21"/>
  <c r="G448" i="21"/>
  <c r="H378" i="21"/>
  <c r="G316" i="21"/>
  <c r="G308" i="21"/>
  <c r="G297" i="21"/>
  <c r="G307" i="21"/>
  <c r="G471" i="21"/>
  <c r="G442" i="21"/>
  <c r="G349" i="21"/>
  <c r="G333" i="21"/>
  <c r="G314" i="21"/>
  <c r="G295" i="21"/>
  <c r="G348" i="21"/>
  <c r="G332" i="21"/>
  <c r="G313" i="21"/>
  <c r="G444" i="21"/>
  <c r="H420" i="21"/>
  <c r="G331" i="21"/>
  <c r="G312" i="21"/>
  <c r="G304" i="21"/>
  <c r="H388" i="21"/>
  <c r="G305" i="21"/>
  <c r="G306" i="21"/>
  <c r="G303" i="21"/>
  <c r="G302" i="21"/>
  <c r="H393" i="21"/>
  <c r="H392" i="21"/>
  <c r="H396" i="21"/>
  <c r="H395" i="21"/>
  <c r="H391" i="21"/>
  <c r="H377" i="21"/>
  <c r="J345" i="21"/>
  <c r="AA49" i="11"/>
  <c r="J344" i="21"/>
  <c r="J340" i="21"/>
  <c r="J343" i="21"/>
  <c r="J339" i="21"/>
  <c r="J337" i="21"/>
  <c r="J342" i="21"/>
  <c r="J338" i="21"/>
  <c r="J341" i="21"/>
  <c r="H6" i="22"/>
  <c r="J491" i="21" s="1"/>
  <c r="L6" i="22"/>
  <c r="H416" i="21"/>
  <c r="H414" i="21"/>
  <c r="H412" i="21"/>
  <c r="H402" i="21"/>
  <c r="J336" i="21"/>
  <c r="H513" i="21"/>
  <c r="E4" i="21"/>
  <c r="F4" i="21" s="1"/>
  <c r="G90" i="21"/>
  <c r="H404" i="21"/>
  <c r="H389" i="21"/>
  <c r="G397" i="21"/>
  <c r="H387" i="21"/>
  <c r="Y27" i="12"/>
  <c r="H400" i="21"/>
  <c r="H383" i="21"/>
  <c r="H394" i="21"/>
  <c r="H390" i="21"/>
  <c r="H381" i="21"/>
  <c r="H385" i="21"/>
  <c r="H384" i="21"/>
  <c r="H379" i="21"/>
  <c r="H406" i="21"/>
  <c r="H380" i="21"/>
  <c r="H410" i="21"/>
  <c r="H398" i="21"/>
  <c r="H408" i="21"/>
  <c r="H386" i="21"/>
  <c r="H382" i="21"/>
  <c r="G544" i="21"/>
  <c r="G445" i="21"/>
  <c r="G441" i="21"/>
  <c r="G439" i="21"/>
  <c r="G477" i="21"/>
  <c r="G472" i="21"/>
  <c r="G446" i="21"/>
  <c r="G466" i="21"/>
  <c r="G447" i="21"/>
  <c r="G351" i="21"/>
  <c r="G352" i="21" s="1"/>
  <c r="G336" i="21"/>
  <c r="G296" i="21"/>
  <c r="G299" i="21" s="1"/>
  <c r="H437" i="21"/>
  <c r="H435" i="21"/>
  <c r="H433" i="21"/>
  <c r="H431" i="21"/>
  <c r="H429" i="21"/>
  <c r="H427" i="21"/>
  <c r="H425" i="21"/>
  <c r="H423" i="21"/>
  <c r="H421" i="21"/>
  <c r="H419" i="21"/>
  <c r="G440" i="21"/>
  <c r="G330" i="21"/>
  <c r="H417" i="21"/>
  <c r="H415" i="21"/>
  <c r="H413" i="21"/>
  <c r="H411" i="21"/>
  <c r="H409" i="21"/>
  <c r="H407" i="21"/>
  <c r="H405" i="21"/>
  <c r="H403" i="21"/>
  <c r="H401" i="21"/>
  <c r="G315" i="21"/>
  <c r="H438" i="21"/>
  <c r="H436" i="21"/>
  <c r="H434" i="21"/>
  <c r="H432" i="21"/>
  <c r="H430" i="21"/>
  <c r="H428" i="21"/>
  <c r="H426" i="21"/>
  <c r="H424" i="21"/>
  <c r="H422" i="21"/>
  <c r="F3" i="21"/>
  <c r="G139" i="21"/>
  <c r="G91" i="21"/>
  <c r="G131" i="21"/>
  <c r="G99" i="21"/>
  <c r="G107" i="21"/>
  <c r="G203" i="21"/>
  <c r="G130" i="21"/>
  <c r="G140" i="21"/>
  <c r="G102" i="21"/>
  <c r="G94" i="21"/>
  <c r="G59" i="21"/>
  <c r="Y30" i="12"/>
  <c r="Y28" i="12"/>
  <c r="Y29" i="12"/>
  <c r="D67" i="16"/>
  <c r="AC21" i="3"/>
  <c r="AI21" i="3"/>
  <c r="AL21" i="3" s="1"/>
  <c r="AO21" i="3" s="1"/>
  <c r="AH21" i="3"/>
  <c r="AK21" i="3" s="1"/>
  <c r="AN21" i="3" s="1"/>
  <c r="AG20" i="3"/>
  <c r="AD21" i="3"/>
  <c r="AG21" i="3" s="1"/>
  <c r="AJ21" i="3" s="1"/>
  <c r="AM21" i="3" s="1"/>
  <c r="AV20" i="3"/>
  <c r="AU20" i="3"/>
  <c r="AT20" i="3"/>
  <c r="AS20" i="3"/>
  <c r="AR20" i="3"/>
  <c r="AQ20" i="3"/>
  <c r="AP20" i="3"/>
  <c r="AO20" i="3"/>
  <c r="AN20" i="3"/>
  <c r="AM20" i="3"/>
  <c r="AL20" i="3"/>
  <c r="AK20" i="3"/>
  <c r="AJ20" i="3"/>
  <c r="AI20" i="3"/>
  <c r="AH20" i="3"/>
  <c r="AF20" i="3"/>
  <c r="AF19" i="3"/>
  <c r="AQ19" i="3"/>
  <c r="AP19" i="3"/>
  <c r="AO19" i="3"/>
  <c r="AN19" i="3"/>
  <c r="AM19" i="3"/>
  <c r="AL19" i="3"/>
  <c r="AK19" i="3"/>
  <c r="AJ19" i="3"/>
  <c r="AI19" i="3"/>
  <c r="AH19" i="3"/>
  <c r="AG19" i="3"/>
  <c r="D12" i="3"/>
  <c r="D11" i="3"/>
  <c r="W35" i="2"/>
  <c r="U35" i="2"/>
  <c r="B18" i="2"/>
  <c r="W45" i="2"/>
  <c r="W44" i="2"/>
  <c r="H16" i="2"/>
  <c r="I8" i="21" s="1"/>
  <c r="K24" i="2"/>
  <c r="H16" i="21" s="1"/>
  <c r="K22" i="2"/>
  <c r="K21" i="2"/>
  <c r="K20" i="2"/>
  <c r="K17" i="2"/>
  <c r="K16" i="2"/>
  <c r="K14" i="2"/>
  <c r="K15" i="2"/>
  <c r="D33" i="12"/>
  <c r="B22" i="5"/>
  <c r="AC6" i="2"/>
  <c r="AA18" i="2"/>
  <c r="AA17" i="2"/>
  <c r="F9" i="2"/>
  <c r="J3" i="21" s="1"/>
  <c r="D7" i="2"/>
  <c r="Z14" i="2"/>
  <c r="Y14" i="2"/>
  <c r="T79" i="2"/>
  <c r="E40" i="2"/>
  <c r="AC5" i="2" s="1"/>
  <c r="E10" i="2"/>
  <c r="Z32" i="2"/>
  <c r="K18" i="2" s="1"/>
  <c r="H18" i="2"/>
  <c r="I10" i="21" s="1"/>
  <c r="H15" i="2"/>
  <c r="I7" i="21" s="1"/>
  <c r="B21" i="2"/>
  <c r="B19" i="2"/>
  <c r="B17" i="2"/>
  <c r="B16" i="2"/>
  <c r="U47" i="2"/>
  <c r="W49" i="2"/>
  <c r="F17" i="2" s="1"/>
  <c r="J9" i="21" s="1"/>
  <c r="W47" i="2"/>
  <c r="V49" i="2"/>
  <c r="H17" i="2" s="1"/>
  <c r="I9" i="21" s="1"/>
  <c r="V42" i="2"/>
  <c r="H21" i="2" s="1"/>
  <c r="I13" i="21" s="1"/>
  <c r="V40" i="2"/>
  <c r="V39" i="2"/>
  <c r="H20" i="2" s="1"/>
  <c r="I12" i="21" s="1"/>
  <c r="V34" i="2"/>
  <c r="H19" i="2" s="1"/>
  <c r="I11" i="21" s="1"/>
  <c r="W37" i="2"/>
  <c r="W36" i="2"/>
  <c r="W34" i="2"/>
  <c r="B15" i="2"/>
  <c r="E24" i="2"/>
  <c r="E22" i="2"/>
  <c r="E21" i="2"/>
  <c r="E20" i="2"/>
  <c r="E19" i="2"/>
  <c r="E18" i="2"/>
  <c r="E17" i="2"/>
  <c r="E16" i="2"/>
  <c r="E15" i="2"/>
  <c r="B14" i="2"/>
  <c r="E14" i="2"/>
  <c r="B24" i="2"/>
  <c r="W32" i="2"/>
  <c r="F18" i="2" s="1"/>
  <c r="J10" i="21" s="1"/>
  <c r="W30" i="2"/>
  <c r="F16" i="2" s="1"/>
  <c r="J8" i="21" s="1"/>
  <c r="W28" i="2"/>
  <c r="V26" i="2"/>
  <c r="H35" i="13"/>
  <c r="I468" i="21" s="1"/>
  <c r="H468" i="21" s="1"/>
  <c r="T92" i="12"/>
  <c r="A88" i="12"/>
  <c r="H32" i="13"/>
  <c r="V117" i="12"/>
  <c r="T114" i="12" s="1"/>
  <c r="U117" i="12"/>
  <c r="T113" i="12" s="1"/>
  <c r="T117" i="12"/>
  <c r="S118" i="12"/>
  <c r="H83" i="12"/>
  <c r="H81" i="12"/>
  <c r="F59" i="12"/>
  <c r="J375" i="21" s="1"/>
  <c r="T101" i="12"/>
  <c r="T100" i="12"/>
  <c r="T96" i="12"/>
  <c r="A90" i="12"/>
  <c r="T95" i="12"/>
  <c r="H86" i="12"/>
  <c r="F86" i="12"/>
  <c r="U78" i="2"/>
  <c r="U77" i="2"/>
  <c r="AC14" i="2" s="1"/>
  <c r="E14" i="16"/>
  <c r="H14" i="16"/>
  <c r="H51" i="3"/>
  <c r="F51" i="3"/>
  <c r="F18" i="3"/>
  <c r="H17" i="3"/>
  <c r="H18" i="3" s="1"/>
  <c r="F49" i="3"/>
  <c r="H32" i="16"/>
  <c r="A32" i="16"/>
  <c r="F43" i="12"/>
  <c r="E43" i="12"/>
  <c r="F19" i="12"/>
  <c r="E19" i="12"/>
  <c r="T45" i="12"/>
  <c r="D43" i="12" s="1"/>
  <c r="T44" i="12"/>
  <c r="D19" i="12" s="1"/>
  <c r="K18" i="12"/>
  <c r="F28" i="16"/>
  <c r="E28" i="16"/>
  <c r="D28" i="16"/>
  <c r="T22" i="5"/>
  <c r="H18" i="5"/>
  <c r="AE81" i="2"/>
  <c r="AD81" i="2"/>
  <c r="AC81" i="2"/>
  <c r="AB81" i="2"/>
  <c r="AE80" i="2"/>
  <c r="AD80" i="2"/>
  <c r="AC80" i="2"/>
  <c r="AB80" i="2"/>
  <c r="AB79" i="2"/>
  <c r="AC79" i="2"/>
  <c r="AC78" i="2"/>
  <c r="AD79" i="2"/>
  <c r="AD78" i="2"/>
  <c r="AD77" i="2"/>
  <c r="AE79" i="2"/>
  <c r="AE78" i="2"/>
  <c r="AE77" i="2"/>
  <c r="AE76" i="2"/>
  <c r="AE73" i="2"/>
  <c r="AD73" i="2"/>
  <c r="AC73" i="2"/>
  <c r="AB73" i="2"/>
  <c r="AA73" i="2"/>
  <c r="Z71" i="2"/>
  <c r="Z73" i="2"/>
  <c r="H24" i="2"/>
  <c r="I16" i="21" s="1"/>
  <c r="H22" i="2"/>
  <c r="I14" i="21" s="1"/>
  <c r="J16" i="21"/>
  <c r="Z12" i="2"/>
  <c r="W169" i="19"/>
  <c r="W168" i="19"/>
  <c r="W167" i="19"/>
  <c r="V109" i="12"/>
  <c r="U109" i="12"/>
  <c r="V78" i="2"/>
  <c r="W78" i="2"/>
  <c r="X78" i="2"/>
  <c r="AC15" i="2"/>
  <c r="H150" i="16"/>
  <c r="AC110" i="19"/>
  <c r="AJ102" i="19" s="1"/>
  <c r="AC109" i="19"/>
  <c r="AI102" i="19" s="1"/>
  <c r="AC108" i="19"/>
  <c r="BM23" i="19"/>
  <c r="BK23" i="19"/>
  <c r="BJ23" i="19"/>
  <c r="BH23" i="19"/>
  <c r="BG23" i="19"/>
  <c r="BF23" i="19"/>
  <c r="BE23" i="19"/>
  <c r="BD23" i="19"/>
  <c r="BC23" i="19"/>
  <c r="BB23" i="19"/>
  <c r="BL121" i="19"/>
  <c r="BL120" i="19"/>
  <c r="BL119" i="19"/>
  <c r="BD121" i="19"/>
  <c r="BD120" i="19"/>
  <c r="BD119" i="19"/>
  <c r="A1" i="21"/>
  <c r="H30" i="21"/>
  <c r="H26" i="21"/>
  <c r="G26" i="21" s="1"/>
  <c r="Y51" i="15"/>
  <c r="V58" i="15"/>
  <c r="T58" i="15"/>
  <c r="T60" i="15"/>
  <c r="T59" i="15"/>
  <c r="Z161" i="19"/>
  <c r="Z162" i="19" s="1"/>
  <c r="AA156" i="19"/>
  <c r="AB156" i="19"/>
  <c r="Z157" i="19"/>
  <c r="Z158" i="19" s="1"/>
  <c r="AC156" i="19"/>
  <c r="AC153" i="19"/>
  <c r="AE153" i="19"/>
  <c r="AD153" i="19"/>
  <c r="C10" i="13"/>
  <c r="A37" i="13"/>
  <c r="D65" i="12"/>
  <c r="D66" i="12"/>
  <c r="D64" i="12"/>
  <c r="D63" i="12"/>
  <c r="BK13" i="10" l="1"/>
  <c r="F7" i="21"/>
  <c r="E8" i="21"/>
  <c r="G350" i="21"/>
  <c r="G300" i="21"/>
  <c r="G301" i="21" s="1"/>
  <c r="Z81" i="2" a="1"/>
  <c r="Z81" i="2" s="1"/>
  <c r="K150" i="16"/>
  <c r="I305" i="21"/>
  <c r="F14" i="16"/>
  <c r="J222" i="21" s="1"/>
  <c r="I222" i="21"/>
  <c r="F32" i="16"/>
  <c r="J236" i="21" s="1"/>
  <c r="I236" i="21"/>
  <c r="H467" i="21"/>
  <c r="I467" i="21"/>
  <c r="F81" i="12"/>
  <c r="J397" i="21" s="1"/>
  <c r="I397" i="21"/>
  <c r="F83" i="12"/>
  <c r="J418" i="21" s="1"/>
  <c r="I418" i="21"/>
  <c r="D19" i="5"/>
  <c r="I203" i="21"/>
  <c r="G353" i="21"/>
  <c r="F19" i="2"/>
  <c r="J11" i="21" s="1"/>
  <c r="U76" i="2"/>
  <c r="T47" i="13"/>
  <c r="G595" i="21" s="1"/>
  <c r="W117" i="12"/>
  <c r="T112" i="12" s="1"/>
  <c r="T109" i="12"/>
  <c r="T90" i="12"/>
  <c r="AC13" i="2"/>
  <c r="T111" i="12"/>
  <c r="F18" i="5"/>
  <c r="J203" i="21" s="1"/>
  <c r="Z75" i="2" a="1"/>
  <c r="Z75" i="2" s="1"/>
  <c r="Z76" i="2" a="1"/>
  <c r="Z76" i="2" s="1"/>
  <c r="Z77" i="2" a="1"/>
  <c r="Z77" i="2" s="1"/>
  <c r="Z78" i="2" a="1"/>
  <c r="Z78" i="2" s="1"/>
  <c r="Z79" i="2" a="1"/>
  <c r="Z79" i="2" s="1"/>
  <c r="Z80" i="2" a="1"/>
  <c r="Z80" i="2" s="1"/>
  <c r="Z74" i="2" a="1"/>
  <c r="Z74" i="2" s="1"/>
  <c r="T78" i="2"/>
  <c r="Z159" i="19"/>
  <c r="Z163" i="19"/>
  <c r="B150" i="16"/>
  <c r="BN4" i="10"/>
  <c r="H170" i="21" s="1"/>
  <c r="BN5" i="10"/>
  <c r="H171" i="21" s="1"/>
  <c r="BN6" i="10"/>
  <c r="H172" i="21" s="1"/>
  <c r="BN7" i="10"/>
  <c r="H173" i="21" s="1"/>
  <c r="BN8" i="10"/>
  <c r="H174" i="21" s="1"/>
  <c r="BN9" i="10"/>
  <c r="H175" i="21" s="1"/>
  <c r="BN10" i="10"/>
  <c r="H176" i="21" s="1"/>
  <c r="G176" i="21" s="1"/>
  <c r="BN11" i="10"/>
  <c r="H177" i="21" s="1"/>
  <c r="G177" i="21" s="1"/>
  <c r="BN12" i="10"/>
  <c r="H178" i="21" s="1"/>
  <c r="G178" i="21" s="1"/>
  <c r="BN13" i="10"/>
  <c r="H179" i="21" s="1"/>
  <c r="G179" i="21" s="1"/>
  <c r="BN14" i="10"/>
  <c r="H180" i="21" s="1"/>
  <c r="G180" i="21" s="1"/>
  <c r="BN15" i="10"/>
  <c r="H181" i="21" s="1"/>
  <c r="G181" i="21" s="1"/>
  <c r="BN16" i="10"/>
  <c r="H182" i="21" s="1"/>
  <c r="G182" i="21" s="1"/>
  <c r="BN17" i="10"/>
  <c r="H183" i="21" s="1"/>
  <c r="G183" i="21" s="1"/>
  <c r="BN18" i="10"/>
  <c r="H184" i="21" s="1"/>
  <c r="G184" i="21" s="1"/>
  <c r="BN19" i="10"/>
  <c r="H185" i="21" s="1"/>
  <c r="G185" i="21" s="1"/>
  <c r="BN20" i="10"/>
  <c r="H186" i="21" s="1"/>
  <c r="G186" i="21" s="1"/>
  <c r="BN21" i="10"/>
  <c r="H187" i="21" s="1"/>
  <c r="G187" i="21" s="1"/>
  <c r="BN22" i="10"/>
  <c r="H188" i="21" s="1"/>
  <c r="G188" i="21" s="1"/>
  <c r="BN23" i="10"/>
  <c r="H189" i="21" s="1"/>
  <c r="G189" i="21" s="1"/>
  <c r="BN24" i="10"/>
  <c r="H190" i="21" s="1"/>
  <c r="G190" i="21" s="1"/>
  <c r="BN25" i="10"/>
  <c r="H191" i="21" s="1"/>
  <c r="G191" i="21" s="1"/>
  <c r="BN26" i="10"/>
  <c r="H192" i="21" s="1"/>
  <c r="G192" i="21" s="1"/>
  <c r="BN27" i="10"/>
  <c r="H193" i="21" s="1"/>
  <c r="G193" i="21" s="1"/>
  <c r="BN28" i="10"/>
  <c r="H194" i="21" s="1"/>
  <c r="G194" i="21" s="1"/>
  <c r="BN29" i="10"/>
  <c r="H195" i="21" s="1"/>
  <c r="G195" i="21" s="1"/>
  <c r="BN30" i="10"/>
  <c r="H196" i="21" s="1"/>
  <c r="G196" i="21" s="1"/>
  <c r="BN31" i="10"/>
  <c r="BN3" i="10"/>
  <c r="H169" i="21" s="1"/>
  <c r="BN2" i="10"/>
  <c r="H168" i="21" s="1"/>
  <c r="B25" i="5"/>
  <c r="BP3" i="19"/>
  <c r="BF16" i="19" s="1"/>
  <c r="K52" i="3"/>
  <c r="K59" i="3"/>
  <c r="H59" i="3"/>
  <c r="E61" i="3"/>
  <c r="E60" i="3"/>
  <c r="E59" i="3"/>
  <c r="H52" i="3"/>
  <c r="E54" i="3"/>
  <c r="E53" i="3"/>
  <c r="E52" i="3"/>
  <c r="D54" i="3"/>
  <c r="H39" i="3"/>
  <c r="E41" i="3"/>
  <c r="E40" i="3"/>
  <c r="E39" i="3"/>
  <c r="D41" i="3"/>
  <c r="D34" i="3"/>
  <c r="E34" i="3"/>
  <c r="E33" i="3"/>
  <c r="E32" i="3"/>
  <c r="H25" i="3"/>
  <c r="D27" i="3"/>
  <c r="E27" i="3"/>
  <c r="E26" i="3"/>
  <c r="E25" i="3"/>
  <c r="D21" i="3"/>
  <c r="E21" i="3"/>
  <c r="E20" i="3"/>
  <c r="E19" i="3"/>
  <c r="A92" i="12"/>
  <c r="A91" i="12"/>
  <c r="H41" i="12"/>
  <c r="D41" i="12"/>
  <c r="H17" i="12"/>
  <c r="H44" i="12"/>
  <c r="F44" i="12"/>
  <c r="H21" i="12"/>
  <c r="F21" i="12"/>
  <c r="H22" i="12"/>
  <c r="I353" i="21" s="1"/>
  <c r="F22" i="12"/>
  <c r="J353" i="21" s="1"/>
  <c r="S60" i="12"/>
  <c r="T60" i="12"/>
  <c r="S61" i="12"/>
  <c r="T61" i="12"/>
  <c r="X62" i="12"/>
  <c r="T62" i="12"/>
  <c r="H50" i="12"/>
  <c r="F50" i="12"/>
  <c r="D50" i="12"/>
  <c r="H49" i="12"/>
  <c r="F49" i="12"/>
  <c r="D49" i="12"/>
  <c r="H48" i="12"/>
  <c r="I357" i="21" s="1"/>
  <c r="F48" i="12"/>
  <c r="D48" i="12"/>
  <c r="H541" i="21" s="1"/>
  <c r="H47" i="12"/>
  <c r="F47" i="12"/>
  <c r="D47" i="12"/>
  <c r="H46" i="12"/>
  <c r="F46" i="12"/>
  <c r="J355" i="21" s="1"/>
  <c r="D46" i="12"/>
  <c r="H45" i="12"/>
  <c r="F45" i="12"/>
  <c r="D45" i="12"/>
  <c r="H27" i="12"/>
  <c r="H26" i="12"/>
  <c r="H25" i="12"/>
  <c r="H24" i="12"/>
  <c r="H28" i="12"/>
  <c r="F27" i="12"/>
  <c r="J358" i="21" s="1"/>
  <c r="F28" i="12"/>
  <c r="F26" i="12"/>
  <c r="F25" i="12"/>
  <c r="F24" i="12"/>
  <c r="H23" i="12"/>
  <c r="F23" i="12"/>
  <c r="H42" i="12"/>
  <c r="I350" i="21" s="1"/>
  <c r="F42" i="12"/>
  <c r="J350" i="21" s="1"/>
  <c r="D42" i="12"/>
  <c r="H538" i="21" s="1"/>
  <c r="H18" i="12"/>
  <c r="F18" i="12"/>
  <c r="J349" i="21" s="1"/>
  <c r="B10" i="12"/>
  <c r="H40" i="12"/>
  <c r="F40" i="12"/>
  <c r="D40" i="12"/>
  <c r="H39" i="12"/>
  <c r="F39" i="12"/>
  <c r="D39" i="12"/>
  <c r="H16" i="12"/>
  <c r="F16" i="12"/>
  <c r="H15" i="12"/>
  <c r="F15" i="12"/>
  <c r="D15" i="12"/>
  <c r="B8" i="12"/>
  <c r="B8" i="2"/>
  <c r="H2" i="21" s="1"/>
  <c r="H65" i="10"/>
  <c r="H64" i="10"/>
  <c r="H63" i="10"/>
  <c r="H62" i="10"/>
  <c r="H61" i="10"/>
  <c r="H59" i="10"/>
  <c r="H58" i="10"/>
  <c r="H57" i="10"/>
  <c r="H56" i="10"/>
  <c r="H55" i="10"/>
  <c r="H53" i="10"/>
  <c r="H52" i="10"/>
  <c r="H51" i="10"/>
  <c r="H50" i="10"/>
  <c r="H49" i="10"/>
  <c r="H47" i="10"/>
  <c r="I151" i="21" s="1"/>
  <c r="H151" i="21" s="1"/>
  <c r="G151" i="21" s="1"/>
  <c r="H46" i="10"/>
  <c r="I150" i="21" s="1"/>
  <c r="H150" i="21" s="1"/>
  <c r="G150" i="21" s="1"/>
  <c r="H45" i="10"/>
  <c r="I149" i="21" s="1"/>
  <c r="H149" i="21" s="1"/>
  <c r="G149" i="21" s="1"/>
  <c r="H44" i="10"/>
  <c r="I148" i="21" s="1"/>
  <c r="H148" i="21" s="1"/>
  <c r="G148" i="21" s="1"/>
  <c r="H43" i="10"/>
  <c r="I147" i="21" s="1"/>
  <c r="H147" i="21" s="1"/>
  <c r="G147" i="21" s="1"/>
  <c r="H41" i="10"/>
  <c r="H40" i="10"/>
  <c r="H39" i="10"/>
  <c r="H38" i="10"/>
  <c r="H37" i="10"/>
  <c r="H36" i="10"/>
  <c r="BA50" i="3"/>
  <c r="BA49" i="3"/>
  <c r="BA48" i="3"/>
  <c r="AY48" i="3"/>
  <c r="AY50" i="3"/>
  <c r="AY49" i="3"/>
  <c r="AT50" i="3"/>
  <c r="AT49" i="3"/>
  <c r="AQ48" i="3"/>
  <c r="AQ50" i="3"/>
  <c r="AQ49" i="3"/>
  <c r="AL54" i="3"/>
  <c r="AL53" i="3"/>
  <c r="AL52" i="3"/>
  <c r="AI54" i="3"/>
  <c r="AI53" i="3"/>
  <c r="AI52" i="3"/>
  <c r="AG54" i="3"/>
  <c r="AG53" i="3"/>
  <c r="AG52" i="3"/>
  <c r="AE54" i="3"/>
  <c r="AE53" i="3"/>
  <c r="Y52" i="3"/>
  <c r="Y51" i="3"/>
  <c r="Y50" i="3"/>
  <c r="U52" i="3"/>
  <c r="U51" i="3"/>
  <c r="F50" i="3"/>
  <c r="Z6" i="4"/>
  <c r="Z5" i="4"/>
  <c r="Z4" i="4"/>
  <c r="L12" i="4"/>
  <c r="M36" i="15"/>
  <c r="M35" i="15"/>
  <c r="M34" i="15"/>
  <c r="M31" i="15"/>
  <c r="M30" i="15"/>
  <c r="M29" i="15"/>
  <c r="M26" i="15"/>
  <c r="M25" i="15"/>
  <c r="M24" i="15"/>
  <c r="M21" i="15"/>
  <c r="M20" i="15"/>
  <c r="M19" i="15"/>
  <c r="M16" i="15"/>
  <c r="M15" i="15"/>
  <c r="M14" i="15"/>
  <c r="M11" i="15"/>
  <c r="M10" i="15"/>
  <c r="M9" i="15"/>
  <c r="Y53" i="15"/>
  <c r="Y52" i="15"/>
  <c r="X58" i="15"/>
  <c r="W71" i="15"/>
  <c r="W70" i="15"/>
  <c r="W69" i="15"/>
  <c r="V60" i="15"/>
  <c r="V59" i="15"/>
  <c r="Z60" i="15"/>
  <c r="Z59" i="15"/>
  <c r="Z58" i="15"/>
  <c r="X60" i="15"/>
  <c r="X59" i="15"/>
  <c r="H29" i="15"/>
  <c r="AU68" i="19"/>
  <c r="AV74" i="19"/>
  <c r="AU69" i="19"/>
  <c r="AS71" i="19"/>
  <c r="AU70" i="19"/>
  <c r="X186" i="19"/>
  <c r="X185" i="19"/>
  <c r="X184" i="19"/>
  <c r="X183" i="19"/>
  <c r="X182" i="19"/>
  <c r="X181" i="19"/>
  <c r="X180" i="19"/>
  <c r="X179" i="19"/>
  <c r="X178" i="19"/>
  <c r="X177" i="19"/>
  <c r="X176" i="19"/>
  <c r="X175" i="19"/>
  <c r="X174" i="19"/>
  <c r="X173" i="19"/>
  <c r="X172" i="19"/>
  <c r="X171" i="19"/>
  <c r="X169" i="19"/>
  <c r="X168" i="19"/>
  <c r="X167" i="19"/>
  <c r="W186" i="19"/>
  <c r="W185" i="19"/>
  <c r="W184" i="19"/>
  <c r="W183" i="19"/>
  <c r="W182" i="19"/>
  <c r="W181" i="19"/>
  <c r="W180" i="19"/>
  <c r="W179" i="19"/>
  <c r="W178" i="19"/>
  <c r="W177" i="19"/>
  <c r="W176" i="19"/>
  <c r="W175" i="19"/>
  <c r="W174" i="19"/>
  <c r="W173" i="19"/>
  <c r="W172" i="19"/>
  <c r="W171" i="19"/>
  <c r="W170" i="19"/>
  <c r="AV76" i="19"/>
  <c r="AV75" i="19"/>
  <c r="AU76" i="19"/>
  <c r="AU75" i="19"/>
  <c r="AU74" i="19"/>
  <c r="AU73" i="19"/>
  <c r="AU72" i="19"/>
  <c r="AU71" i="19"/>
  <c r="AS76" i="19"/>
  <c r="AS75" i="19"/>
  <c r="AS74" i="19"/>
  <c r="AS73" i="19"/>
  <c r="AS72" i="19"/>
  <c r="AV51" i="19"/>
  <c r="AU51" i="19"/>
  <c r="AT51" i="19"/>
  <c r="AS51" i="19"/>
  <c r="AH47" i="19"/>
  <c r="AG47" i="19"/>
  <c r="AH46" i="19"/>
  <c r="AG46" i="19"/>
  <c r="AH45" i="19"/>
  <c r="AG45" i="19"/>
  <c r="AH44" i="19"/>
  <c r="AG44" i="19"/>
  <c r="AH43" i="19"/>
  <c r="AG43" i="19"/>
  <c r="AH42" i="19"/>
  <c r="AG42" i="19"/>
  <c r="AH41" i="19"/>
  <c r="AG41" i="19"/>
  <c r="AH40" i="19"/>
  <c r="AG40" i="19"/>
  <c r="AH39" i="19"/>
  <c r="AG39" i="19"/>
  <c r="AH38" i="19"/>
  <c r="AG38" i="19"/>
  <c r="AH37" i="19"/>
  <c r="AG37" i="19"/>
  <c r="AH36" i="19"/>
  <c r="AG36" i="19"/>
  <c r="AH35" i="19"/>
  <c r="AG35" i="19"/>
  <c r="AH34" i="19"/>
  <c r="AG34" i="19"/>
  <c r="AH33" i="19"/>
  <c r="AG33" i="19"/>
  <c r="AH32" i="19"/>
  <c r="AG32" i="19"/>
  <c r="AH31" i="19"/>
  <c r="AH30" i="19"/>
  <c r="AH29" i="19"/>
  <c r="AG29" i="19"/>
  <c r="AH28" i="19"/>
  <c r="AF28" i="19"/>
  <c r="AG28" i="19" s="1"/>
  <c r="AF47" i="19"/>
  <c r="AF46" i="19"/>
  <c r="AF45" i="19"/>
  <c r="AF44" i="19"/>
  <c r="AF43" i="19"/>
  <c r="AF42" i="19"/>
  <c r="AF41" i="19"/>
  <c r="AF40" i="19"/>
  <c r="AF39" i="19"/>
  <c r="AF38" i="19"/>
  <c r="AF37" i="19"/>
  <c r="AF36" i="19"/>
  <c r="AF35" i="19"/>
  <c r="AF34" i="19"/>
  <c r="AF33" i="19"/>
  <c r="AF32" i="19"/>
  <c r="AF31" i="19"/>
  <c r="AG31" i="19" s="1"/>
  <c r="AF30" i="19"/>
  <c r="AG30" i="19" s="1"/>
  <c r="AF29" i="19"/>
  <c r="AI24" i="19"/>
  <c r="AK42" i="19"/>
  <c r="AK41" i="19"/>
  <c r="AK40" i="19"/>
  <c r="AK39" i="19"/>
  <c r="AK38" i="19"/>
  <c r="AK37" i="19"/>
  <c r="AK36" i="19"/>
  <c r="AK34" i="19"/>
  <c r="AJ47" i="19"/>
  <c r="AJ46" i="19"/>
  <c r="AJ45" i="19"/>
  <c r="AJ44" i="19"/>
  <c r="AJ43" i="19"/>
  <c r="AJ42" i="19"/>
  <c r="AJ41" i="19"/>
  <c r="AJ40" i="19"/>
  <c r="AJ39" i="19"/>
  <c r="AJ38" i="19"/>
  <c r="AJ37" i="19"/>
  <c r="AJ36" i="19"/>
  <c r="AJ35" i="19"/>
  <c r="AJ34" i="19"/>
  <c r="AJ33" i="19"/>
  <c r="AJ32" i="19"/>
  <c r="AJ31" i="19"/>
  <c r="U12" i="19"/>
  <c r="H30" i="12"/>
  <c r="I363" i="21" s="1"/>
  <c r="F30" i="12"/>
  <c r="J363" i="21" s="1"/>
  <c r="D30" i="12"/>
  <c r="H29" i="16"/>
  <c r="I233" i="21" s="1"/>
  <c r="F29" i="16"/>
  <c r="J233" i="21" s="1"/>
  <c r="T39" i="13"/>
  <c r="R29" i="3"/>
  <c r="G34" i="19"/>
  <c r="L34" i="19" s="1"/>
  <c r="N33" i="19"/>
  <c r="N34" i="19"/>
  <c r="F4" i="1"/>
  <c r="F5" i="1"/>
  <c r="AE122" i="19"/>
  <c r="AX136" i="19"/>
  <c r="BH121" i="20" s="1"/>
  <c r="AW136" i="19"/>
  <c r="X154" i="19"/>
  <c r="AG122" i="19"/>
  <c r="AC122" i="19"/>
  <c r="AF122" i="19" s="1"/>
  <c r="E30" i="15"/>
  <c r="K31" i="16"/>
  <c r="A97" i="12"/>
  <c r="A96" i="12"/>
  <c r="H79" i="12"/>
  <c r="I376" i="21" s="1"/>
  <c r="W27" i="4"/>
  <c r="BA106" i="19"/>
  <c r="BA104" i="19"/>
  <c r="BA103" i="19"/>
  <c r="BA102" i="19"/>
  <c r="BA101" i="19"/>
  <c r="BA100" i="19"/>
  <c r="BA99" i="19"/>
  <c r="BA105" i="19"/>
  <c r="AW106" i="19"/>
  <c r="AV106" i="19"/>
  <c r="AU106" i="19"/>
  <c r="W6" i="15"/>
  <c r="V6" i="15"/>
  <c r="U6" i="15"/>
  <c r="T6" i="15"/>
  <c r="F39" i="15"/>
  <c r="J139" i="21" s="1"/>
  <c r="W5" i="15"/>
  <c r="V5" i="15"/>
  <c r="U5" i="15"/>
  <c r="H39" i="15"/>
  <c r="I139" i="21" s="1"/>
  <c r="T5" i="15"/>
  <c r="S5" i="15"/>
  <c r="H9" i="15"/>
  <c r="I133" i="21" s="1"/>
  <c r="D19" i="15"/>
  <c r="D29" i="15"/>
  <c r="S9" i="15"/>
  <c r="D9" i="15"/>
  <c r="AG117" i="19"/>
  <c r="Y15" i="12"/>
  <c r="T14" i="12"/>
  <c r="D24" i="10"/>
  <c r="H24" i="10"/>
  <c r="AG66" i="10"/>
  <c r="AR99" i="19"/>
  <c r="AR100" i="19"/>
  <c r="AR101" i="19"/>
  <c r="AR102" i="19"/>
  <c r="AR106" i="19"/>
  <c r="AR107" i="19"/>
  <c r="AY105" i="19"/>
  <c r="AX105" i="19"/>
  <c r="AY104" i="19"/>
  <c r="AX104" i="19"/>
  <c r="AY103" i="19"/>
  <c r="AY102" i="19"/>
  <c r="AX102" i="19"/>
  <c r="AW102" i="19"/>
  <c r="AV102" i="19"/>
  <c r="AY106" i="19"/>
  <c r="AX106" i="19"/>
  <c r="AZ105" i="19"/>
  <c r="AZ104" i="19"/>
  <c r="AZ103" i="19"/>
  <c r="AZ102" i="19"/>
  <c r="AZ101" i="19"/>
  <c r="AZ100" i="19"/>
  <c r="AY101" i="19"/>
  <c r="AX101" i="19"/>
  <c r="AW101" i="19"/>
  <c r="AV101" i="19"/>
  <c r="AY100" i="19"/>
  <c r="AX100" i="19"/>
  <c r="AW100" i="19"/>
  <c r="AV100" i="19"/>
  <c r="AY99" i="19"/>
  <c r="AX99" i="19"/>
  <c r="AW99" i="19"/>
  <c r="AV99" i="19"/>
  <c r="AZ99" i="19"/>
  <c r="AZ106" i="19"/>
  <c r="BS56" i="17"/>
  <c r="V68" i="15"/>
  <c r="D34" i="15"/>
  <c r="B36" i="15"/>
  <c r="J36" i="11"/>
  <c r="U63" i="19"/>
  <c r="C38" i="1"/>
  <c r="E38" i="1" s="1"/>
  <c r="BK14" i="10" l="1"/>
  <c r="E9" i="21"/>
  <c r="F8" i="21"/>
  <c r="G539" i="21"/>
  <c r="G538" i="21"/>
  <c r="I359" i="21"/>
  <c r="Y21" i="12"/>
  <c r="I347" i="21"/>
  <c r="J359" i="21"/>
  <c r="J357" i="21"/>
  <c r="J346" i="21"/>
  <c r="J354" i="21"/>
  <c r="I346" i="21"/>
  <c r="J347" i="21"/>
  <c r="X61" i="12"/>
  <c r="H537" i="21"/>
  <c r="G537" i="21" s="1"/>
  <c r="I356" i="21"/>
  <c r="H155" i="21"/>
  <c r="G155" i="21" s="1"/>
  <c r="I155" i="21"/>
  <c r="H163" i="21"/>
  <c r="G163" i="21" s="1"/>
  <c r="I163" i="21"/>
  <c r="K24" i="10"/>
  <c r="I210" i="21"/>
  <c r="H156" i="21"/>
  <c r="G156" i="21" s="1"/>
  <c r="I156" i="21"/>
  <c r="H164" i="21"/>
  <c r="G164" i="21" s="1"/>
  <c r="I164" i="21"/>
  <c r="H160" i="21"/>
  <c r="G160" i="21" s="1"/>
  <c r="I160" i="21"/>
  <c r="I161" i="21"/>
  <c r="H161" i="21"/>
  <c r="G161" i="21" s="1"/>
  <c r="H154" i="21"/>
  <c r="G154" i="21" s="1"/>
  <c r="I154" i="21"/>
  <c r="H141" i="21"/>
  <c r="G141" i="21" s="1"/>
  <c r="I141" i="21"/>
  <c r="H157" i="21"/>
  <c r="G157" i="21" s="1"/>
  <c r="I157" i="21"/>
  <c r="H165" i="21"/>
  <c r="G165" i="21" s="1"/>
  <c r="I165" i="21"/>
  <c r="H144" i="21"/>
  <c r="I144" i="21"/>
  <c r="I153" i="21"/>
  <c r="H153" i="21"/>
  <c r="G153" i="21" s="1"/>
  <c r="H142" i="21"/>
  <c r="I142" i="21"/>
  <c r="H158" i="21"/>
  <c r="G158" i="21" s="1"/>
  <c r="I158" i="21"/>
  <c r="H166" i="21"/>
  <c r="G166" i="21" s="1"/>
  <c r="I166" i="21"/>
  <c r="I152" i="21"/>
  <c r="H152" i="21"/>
  <c r="H145" i="21"/>
  <c r="I145" i="21"/>
  <c r="I146" i="21"/>
  <c r="H146" i="21"/>
  <c r="H162" i="21"/>
  <c r="G162" i="21" s="1"/>
  <c r="I162" i="21"/>
  <c r="H143" i="21"/>
  <c r="I143" i="21"/>
  <c r="H159" i="21"/>
  <c r="G159" i="21" s="1"/>
  <c r="I159" i="21"/>
  <c r="H135" i="21"/>
  <c r="G135" i="21" s="1"/>
  <c r="H136" i="21"/>
  <c r="G136" i="21" s="1"/>
  <c r="H134" i="21"/>
  <c r="G134" i="21" s="1"/>
  <c r="K9" i="15"/>
  <c r="K19" i="15"/>
  <c r="H34" i="15"/>
  <c r="I138" i="21" s="1"/>
  <c r="H138" i="21"/>
  <c r="G138" i="21" s="1"/>
  <c r="K14" i="15"/>
  <c r="D14" i="15"/>
  <c r="K24" i="15"/>
  <c r="H19" i="15"/>
  <c r="I135" i="21" s="1"/>
  <c r="D24" i="15"/>
  <c r="H14" i="15"/>
  <c r="I134" i="21" s="1"/>
  <c r="H24" i="15"/>
  <c r="I136" i="21" s="1"/>
  <c r="J356" i="21"/>
  <c r="I358" i="21"/>
  <c r="H542" i="21"/>
  <c r="I355" i="21"/>
  <c r="T91" i="12"/>
  <c r="C9" i="12"/>
  <c r="I354" i="21"/>
  <c r="H58" i="12"/>
  <c r="I348" i="21"/>
  <c r="F41" i="12"/>
  <c r="Y7" i="12"/>
  <c r="H74" i="21"/>
  <c r="Y8" i="12"/>
  <c r="I349" i="21"/>
  <c r="F17" i="12"/>
  <c r="K29" i="15"/>
  <c r="I137" i="21"/>
  <c r="H540" i="21"/>
  <c r="H543" i="21"/>
  <c r="I352" i="21"/>
  <c r="J352" i="21"/>
  <c r="G354" i="21"/>
  <c r="G355" i="21" s="1"/>
  <c r="B44" i="12"/>
  <c r="X60" i="12"/>
  <c r="AL495" i="10"/>
  <c r="T21" i="5"/>
  <c r="T39" i="5" s="1"/>
  <c r="Y178" i="19"/>
  <c r="AP178" i="19" s="1" a="1"/>
  <c r="AP178" i="19" s="1"/>
  <c r="Y185" i="19"/>
  <c r="AQ185" i="19" s="1" a="1"/>
  <c r="AQ185" i="19" s="1"/>
  <c r="Y179" i="19"/>
  <c r="AU179" i="19" s="1" a="1"/>
  <c r="AU179" i="19" s="1"/>
  <c r="Y176" i="19"/>
  <c r="AL176" i="19" s="1" a="1"/>
  <c r="AL176" i="19" s="1"/>
  <c r="Y184" i="19"/>
  <c r="AW184" i="19" s="1" a="1"/>
  <c r="AW184" i="19" s="1"/>
  <c r="Y177" i="19"/>
  <c r="AY177" i="19" s="1" a="1"/>
  <c r="AY177" i="19" s="1"/>
  <c r="Y175" i="19"/>
  <c r="AG175" i="19" s="1" a="1"/>
  <c r="AG175" i="19" s="1"/>
  <c r="Y183" i="19"/>
  <c r="AQ183" i="19" s="1" a="1"/>
  <c r="AQ183" i="19" s="1"/>
  <c r="Y174" i="19"/>
  <c r="AQ174" i="19" s="1" a="1"/>
  <c r="AQ174" i="19" s="1"/>
  <c r="Y182" i="19"/>
  <c r="AJ182" i="19" s="1" a="1"/>
  <c r="AJ182" i="19" s="1"/>
  <c r="Y173" i="19"/>
  <c r="AY173" i="19" s="1" a="1"/>
  <c r="AY173" i="19" s="1"/>
  <c r="Y181" i="19"/>
  <c r="AM181" i="19" s="1" a="1"/>
  <c r="AM181" i="19" s="1"/>
  <c r="Y180" i="19"/>
  <c r="AM180" i="19" s="1" a="1"/>
  <c r="AM180" i="19" s="1"/>
  <c r="BF13" i="19"/>
  <c r="BF14" i="19"/>
  <c r="BF15" i="19"/>
  <c r="Y19" i="12"/>
  <c r="Y17" i="12"/>
  <c r="Y5" i="12"/>
  <c r="Y6" i="12"/>
  <c r="Y172" i="19"/>
  <c r="AK172" i="19" s="1" a="1"/>
  <c r="AK172" i="19" s="1"/>
  <c r="F34" i="15"/>
  <c r="J138" i="21" s="1"/>
  <c r="Y171" i="19"/>
  <c r="AE171" i="19" s="1" a="1"/>
  <c r="AE171" i="19" s="1"/>
  <c r="Y169" i="19"/>
  <c r="AF169" i="19" s="1" a="1"/>
  <c r="AF169" i="19" s="1"/>
  <c r="Y168" i="19"/>
  <c r="AW168" i="19" s="1" a="1"/>
  <c r="AW168" i="19" s="1"/>
  <c r="Y167" i="19"/>
  <c r="Y186" i="19"/>
  <c r="AP186" i="19" s="1" a="1"/>
  <c r="AP186" i="19" s="1"/>
  <c r="AF179" i="19" a="1"/>
  <c r="AF179" i="19" s="1"/>
  <c r="AN179" i="19" a="1"/>
  <c r="AN179" i="19" s="1"/>
  <c r="AV179" i="19" a="1"/>
  <c r="AV179" i="19" s="1"/>
  <c r="AG179" i="19" a="1"/>
  <c r="AG179" i="19" s="1"/>
  <c r="AO179" i="19" a="1"/>
  <c r="AO179" i="19" s="1"/>
  <c r="AW179" i="19" a="1"/>
  <c r="AW179" i="19" s="1"/>
  <c r="Z179" i="19" a="1"/>
  <c r="Z179" i="19" s="1"/>
  <c r="AH179" i="19" a="1"/>
  <c r="AH179" i="19" s="1"/>
  <c r="AP179" i="19" a="1"/>
  <c r="AP179" i="19" s="1"/>
  <c r="AX179" i="19" a="1"/>
  <c r="AX179" i="19" s="1"/>
  <c r="AA179" i="19" a="1"/>
  <c r="AA179" i="19" s="1"/>
  <c r="AI179" i="19" a="1"/>
  <c r="AI179" i="19" s="1"/>
  <c r="AQ179" i="19" a="1"/>
  <c r="AQ179" i="19" s="1"/>
  <c r="AY179" i="19" a="1"/>
  <c r="AY179" i="19" s="1"/>
  <c r="AB179" i="19" a="1"/>
  <c r="AB179" i="19" s="1"/>
  <c r="AJ179" i="19" a="1"/>
  <c r="AJ179" i="19" s="1"/>
  <c r="AR179" i="19" a="1"/>
  <c r="AR179" i="19" s="1"/>
  <c r="AC179" i="19" a="1"/>
  <c r="AC179" i="19" s="1"/>
  <c r="AK179" i="19" a="1"/>
  <c r="AK179" i="19" s="1"/>
  <c r="AS179" i="19" a="1"/>
  <c r="AS179" i="19" s="1"/>
  <c r="AD179" i="19" a="1"/>
  <c r="AD179" i="19" s="1"/>
  <c r="AL179" i="19" a="1"/>
  <c r="AL179" i="19" s="1"/>
  <c r="AT179" i="19" a="1"/>
  <c r="AT179" i="19" s="1"/>
  <c r="AE179" i="19" a="1"/>
  <c r="AE179" i="19" s="1"/>
  <c r="AM179" i="19" a="1"/>
  <c r="AM179" i="19" s="1"/>
  <c r="Y25" i="12"/>
  <c r="AD122" i="19"/>
  <c r="AB153" i="19" s="1"/>
  <c r="AO56" i="17"/>
  <c r="F24" i="10"/>
  <c r="J210" i="21" s="1"/>
  <c r="K34" i="15"/>
  <c r="E34" i="15"/>
  <c r="X69" i="15"/>
  <c r="X70" i="15"/>
  <c r="X71" i="15"/>
  <c r="A130" i="20"/>
  <c r="O130" i="20"/>
  <c r="CG55" i="17"/>
  <c r="BS55" i="17"/>
  <c r="AL10" i="10"/>
  <c r="AL8" i="10"/>
  <c r="AL5" i="10"/>
  <c r="AL7" i="10"/>
  <c r="AL4" i="10"/>
  <c r="A38" i="1"/>
  <c r="D39" i="1"/>
  <c r="S36" i="13"/>
  <c r="A87" i="12"/>
  <c r="H36" i="13"/>
  <c r="I469" i="21" s="1"/>
  <c r="B152" i="16"/>
  <c r="H28" i="13"/>
  <c r="I464" i="21" s="1"/>
  <c r="H24" i="13"/>
  <c r="I460" i="21" s="1"/>
  <c r="H20" i="13"/>
  <c r="I456" i="21" s="1"/>
  <c r="B35" i="7"/>
  <c r="H62" i="21" s="1"/>
  <c r="B34" i="7"/>
  <c r="H61" i="21" s="1"/>
  <c r="G61" i="21" s="1"/>
  <c r="B31" i="7"/>
  <c r="T16" i="2"/>
  <c r="K11" i="2" s="1"/>
  <c r="H6" i="1"/>
  <c r="Z24" i="8"/>
  <c r="W25" i="11"/>
  <c r="W24" i="11"/>
  <c r="W23" i="11"/>
  <c r="W22" i="11"/>
  <c r="F24" i="11"/>
  <c r="F22" i="11"/>
  <c r="F25" i="11"/>
  <c r="D25" i="11"/>
  <c r="X25" i="11" s="1"/>
  <c r="C25" i="11"/>
  <c r="V25" i="11" s="1"/>
  <c r="D24" i="11"/>
  <c r="X24" i="11" s="1"/>
  <c r="C24" i="11"/>
  <c r="V24" i="11" s="1"/>
  <c r="F23" i="11"/>
  <c r="D23" i="11"/>
  <c r="X23" i="11" s="1"/>
  <c r="C23" i="11"/>
  <c r="V23" i="11" s="1"/>
  <c r="D22" i="11"/>
  <c r="X22" i="11" s="1"/>
  <c r="C22" i="11"/>
  <c r="V22" i="11" s="1"/>
  <c r="C21" i="11"/>
  <c r="D21" i="11"/>
  <c r="F21" i="11"/>
  <c r="AL188" i="10"/>
  <c r="D32" i="12"/>
  <c r="F32" i="12"/>
  <c r="J365" i="21" s="1"/>
  <c r="H32" i="12"/>
  <c r="I365" i="21" s="1"/>
  <c r="T59" i="12"/>
  <c r="S162" i="16"/>
  <c r="S160" i="16"/>
  <c r="S158" i="16"/>
  <c r="S156" i="16"/>
  <c r="S154" i="16"/>
  <c r="S161" i="16"/>
  <c r="H146" i="16" s="1"/>
  <c r="S159" i="16"/>
  <c r="H145" i="16" s="1"/>
  <c r="S157" i="16"/>
  <c r="H144" i="16" s="1"/>
  <c r="S155" i="16"/>
  <c r="H143" i="16" s="1"/>
  <c r="S153" i="16"/>
  <c r="H142" i="16" s="1"/>
  <c r="T152" i="16"/>
  <c r="H132" i="16" s="1"/>
  <c r="H131" i="16"/>
  <c r="H130" i="16"/>
  <c r="E132" i="16"/>
  <c r="E131" i="16"/>
  <c r="E130" i="16"/>
  <c r="E129" i="16"/>
  <c r="H129" i="16"/>
  <c r="DL56" i="17"/>
  <c r="BB132" i="20"/>
  <c r="AS132" i="20"/>
  <c r="H12" i="5"/>
  <c r="I47" i="21" s="1"/>
  <c r="H31" i="5"/>
  <c r="H19" i="13"/>
  <c r="K32" i="5"/>
  <c r="S27" i="5" s="1"/>
  <c r="H32" i="5"/>
  <c r="I44" i="21" s="1"/>
  <c r="C1" i="21"/>
  <c r="BK15" i="10" l="1"/>
  <c r="I309" i="21"/>
  <c r="F9" i="21"/>
  <c r="E10" i="21"/>
  <c r="G540" i="21"/>
  <c r="X63" i="12"/>
  <c r="G142" i="21"/>
  <c r="G143" i="21"/>
  <c r="G144" i="21" s="1"/>
  <c r="G145" i="21" s="1"/>
  <c r="G24" i="11"/>
  <c r="J507" i="21" s="1"/>
  <c r="H507" i="21"/>
  <c r="G507" i="21" s="1"/>
  <c r="G23" i="11"/>
  <c r="J506" i="21" s="1"/>
  <c r="H506" i="21"/>
  <c r="G506" i="21" s="1"/>
  <c r="G21" i="11"/>
  <c r="J504" i="21" s="1"/>
  <c r="H504" i="21"/>
  <c r="G504" i="21" s="1"/>
  <c r="G25" i="11"/>
  <c r="J508" i="21" s="1"/>
  <c r="H508" i="21"/>
  <c r="G508" i="21" s="1"/>
  <c r="G22" i="11"/>
  <c r="J505" i="21" s="1"/>
  <c r="H505" i="21"/>
  <c r="G505" i="21" s="1"/>
  <c r="F31" i="5"/>
  <c r="J43" i="21" s="1"/>
  <c r="I43" i="21"/>
  <c r="F143" i="16"/>
  <c r="J311" i="21" s="1"/>
  <c r="I311" i="21"/>
  <c r="F144" i="16"/>
  <c r="J312" i="21" s="1"/>
  <c r="I312" i="21"/>
  <c r="F145" i="16"/>
  <c r="J313" i="21" s="1"/>
  <c r="I313" i="21"/>
  <c r="F146" i="16"/>
  <c r="J314" i="21" s="1"/>
  <c r="I314" i="21"/>
  <c r="K130" i="16"/>
  <c r="I307" i="21"/>
  <c r="K131" i="16"/>
  <c r="I308" i="21"/>
  <c r="F129" i="16"/>
  <c r="J306" i="21" s="1"/>
  <c r="I306" i="21"/>
  <c r="F142" i="16"/>
  <c r="J310" i="21" s="1"/>
  <c r="I310" i="21"/>
  <c r="F19" i="13"/>
  <c r="J455" i="21" s="1"/>
  <c r="I455" i="21"/>
  <c r="H63" i="21"/>
  <c r="I31" i="7"/>
  <c r="F31" i="7"/>
  <c r="D31" i="7"/>
  <c r="C31" i="7"/>
  <c r="J348" i="21"/>
  <c r="F58" i="12"/>
  <c r="J374" i="21" s="1"/>
  <c r="I374" i="21"/>
  <c r="G356" i="21"/>
  <c r="AF167" i="19" a="1"/>
  <c r="AF167" i="19" s="1"/>
  <c r="AD167" i="19" a="1"/>
  <c r="AD167" i="19" s="1"/>
  <c r="T37" i="5"/>
  <c r="A19" i="5" s="1"/>
  <c r="AD178" i="19" a="1"/>
  <c r="AD178" i="19" s="1"/>
  <c r="AL178" i="19" a="1"/>
  <c r="AL178" i="19" s="1"/>
  <c r="AF178" i="19" a="1"/>
  <c r="AF178" i="19" s="1"/>
  <c r="AN178" i="19" a="1"/>
  <c r="AN178" i="19" s="1"/>
  <c r="AX178" i="19" a="1"/>
  <c r="AX178" i="19" s="1"/>
  <c r="AO178" i="19" a="1"/>
  <c r="AO178" i="19" s="1"/>
  <c r="AS185" i="19" a="1"/>
  <c r="AS185" i="19" s="1"/>
  <c r="AT178" i="19" a="1"/>
  <c r="AT178" i="19" s="1"/>
  <c r="AV178" i="19" a="1"/>
  <c r="AV178" i="19" s="1"/>
  <c r="AA178" i="19" a="1"/>
  <c r="AA178" i="19" s="1"/>
  <c r="AI185" i="19" a="1"/>
  <c r="AI185" i="19" s="1"/>
  <c r="AC178" i="19" a="1"/>
  <c r="AC178" i="19" s="1"/>
  <c r="AG178" i="19" a="1"/>
  <c r="AG178" i="19" s="1"/>
  <c r="AI178" i="19" a="1"/>
  <c r="AI178" i="19" s="1"/>
  <c r="AB178" i="19" a="1"/>
  <c r="AB178" i="19" s="1"/>
  <c r="AE178" i="19" a="1"/>
  <c r="AE178" i="19" s="1"/>
  <c r="AW178" i="19" a="1"/>
  <c r="AW178" i="19" s="1"/>
  <c r="AQ178" i="19" a="1"/>
  <c r="AQ178" i="19" s="1"/>
  <c r="AJ178" i="19" a="1"/>
  <c r="AJ178" i="19" s="1"/>
  <c r="AM178" i="19" a="1"/>
  <c r="AM178" i="19" s="1"/>
  <c r="Z178" i="19" a="1"/>
  <c r="Z178" i="19" s="1"/>
  <c r="AY178" i="19" a="1"/>
  <c r="AY178" i="19" s="1"/>
  <c r="AR178" i="19" a="1"/>
  <c r="AR178" i="19" s="1"/>
  <c r="AU178" i="19" a="1"/>
  <c r="AU178" i="19" s="1"/>
  <c r="AH178" i="19" a="1"/>
  <c r="AH178" i="19" s="1"/>
  <c r="AG185" i="19" a="1"/>
  <c r="AG185" i="19" s="1"/>
  <c r="AK178" i="19" a="1"/>
  <c r="AK178" i="19" s="1"/>
  <c r="AS178" i="19" a="1"/>
  <c r="AS178" i="19" s="1"/>
  <c r="AK185" i="19" a="1"/>
  <c r="AK185" i="19" s="1"/>
  <c r="AA185" i="19" a="1"/>
  <c r="AA185" i="19" s="1"/>
  <c r="AN185" i="19" a="1"/>
  <c r="AN185" i="19" s="1"/>
  <c r="AC185" i="19" a="1"/>
  <c r="AC185" i="19" s="1"/>
  <c r="AX185" i="19" a="1"/>
  <c r="AX185" i="19" s="1"/>
  <c r="AO185" i="19" a="1"/>
  <c r="AO185" i="19" s="1"/>
  <c r="AM185" i="19" a="1"/>
  <c r="AM185" i="19" s="1"/>
  <c r="AR185" i="19" a="1"/>
  <c r="AR185" i="19" s="1"/>
  <c r="AP185" i="19" a="1"/>
  <c r="AP185" i="19" s="1"/>
  <c r="AV185" i="19" a="1"/>
  <c r="AV185" i="19" s="1"/>
  <c r="AE185" i="19" a="1"/>
  <c r="AE185" i="19" s="1"/>
  <c r="AJ185" i="19" a="1"/>
  <c r="AJ185" i="19" s="1"/>
  <c r="AH185" i="19" a="1"/>
  <c r="AH185" i="19" s="1"/>
  <c r="AW185" i="19" a="1"/>
  <c r="AW185" i="19" s="1"/>
  <c r="AT185" i="19" a="1"/>
  <c r="AT185" i="19" s="1"/>
  <c r="AB185" i="19" a="1"/>
  <c r="AB185" i="19" s="1"/>
  <c r="Z185" i="19" a="1"/>
  <c r="Z185" i="19" s="1"/>
  <c r="AF185" i="19" a="1"/>
  <c r="AF185" i="19" s="1"/>
  <c r="AL185" i="19" a="1"/>
  <c r="AL185" i="19" s="1"/>
  <c r="AY185" i="19" a="1"/>
  <c r="AY185" i="19" s="1"/>
  <c r="AU185" i="19" a="1"/>
  <c r="AU185" i="19" s="1"/>
  <c r="AD185" i="19" a="1"/>
  <c r="AD185" i="19" s="1"/>
  <c r="AM184" i="19" a="1"/>
  <c r="AM184" i="19" s="1"/>
  <c r="AI176" i="19" a="1"/>
  <c r="AI176" i="19" s="1"/>
  <c r="AH176" i="19" a="1"/>
  <c r="AH176" i="19" s="1"/>
  <c r="AT176" i="19" a="1"/>
  <c r="AT176" i="19" s="1"/>
  <c r="AX184" i="19" a="1"/>
  <c r="AX184" i="19" s="1"/>
  <c r="AW176" i="19" a="1"/>
  <c r="AW176" i="19" s="1"/>
  <c r="AC176" i="19" a="1"/>
  <c r="AC176" i="19" s="1"/>
  <c r="AM176" i="19" a="1"/>
  <c r="AM176" i="19" s="1"/>
  <c r="AV176" i="19" a="1"/>
  <c r="AV176" i="19" s="1"/>
  <c r="AX176" i="19" a="1"/>
  <c r="AX176" i="19" s="1"/>
  <c r="AJ176" i="19" a="1"/>
  <c r="AJ176" i="19" s="1"/>
  <c r="AK176" i="19" a="1"/>
  <c r="AK176" i="19" s="1"/>
  <c r="AP176" i="19" a="1"/>
  <c r="AP176" i="19" s="1"/>
  <c r="AB176" i="19" a="1"/>
  <c r="AB176" i="19" s="1"/>
  <c r="AN176" i="19" a="1"/>
  <c r="AN176" i="19" s="1"/>
  <c r="AA176" i="19" a="1"/>
  <c r="AA176" i="19" s="1"/>
  <c r="AR176" i="19" a="1"/>
  <c r="AR176" i="19" s="1"/>
  <c r="AE176" i="19" a="1"/>
  <c r="AE176" i="19" s="1"/>
  <c r="AF176" i="19" a="1"/>
  <c r="AF176" i="19" s="1"/>
  <c r="AQ176" i="19" a="1"/>
  <c r="AQ176" i="19" s="1"/>
  <c r="AS176" i="19" a="1"/>
  <c r="AS176" i="19" s="1"/>
  <c r="AU176" i="19" a="1"/>
  <c r="AU176" i="19" s="1"/>
  <c r="AO176" i="19" a="1"/>
  <c r="AO176" i="19" s="1"/>
  <c r="AY176" i="19" a="1"/>
  <c r="AY176" i="19" s="1"/>
  <c r="AD176" i="19" a="1"/>
  <c r="AD176" i="19" s="1"/>
  <c r="Z176" i="19" a="1"/>
  <c r="Z176" i="19" s="1"/>
  <c r="AG176" i="19" a="1"/>
  <c r="AG176" i="19" s="1"/>
  <c r="AY184" i="19" a="1"/>
  <c r="AY184" i="19" s="1"/>
  <c r="AQ177" i="19" a="1"/>
  <c r="AQ177" i="19" s="1"/>
  <c r="AU184" i="19" a="1"/>
  <c r="AU184" i="19" s="1"/>
  <c r="AP184" i="19" a="1"/>
  <c r="AP184" i="19" s="1"/>
  <c r="AR184" i="19" a="1"/>
  <c r="AR184" i="19" s="1"/>
  <c r="AV184" i="19" a="1"/>
  <c r="AV184" i="19" s="1"/>
  <c r="AA184" i="19" a="1"/>
  <c r="AA184" i="19" s="1"/>
  <c r="AG184" i="19" a="1"/>
  <c r="AG184" i="19" s="1"/>
  <c r="AC184" i="19" a="1"/>
  <c r="AC184" i="19" s="1"/>
  <c r="AD184" i="19" a="1"/>
  <c r="AD184" i="19" s="1"/>
  <c r="AL184" i="19" a="1"/>
  <c r="AL184" i="19" s="1"/>
  <c r="AX177" i="19" a="1"/>
  <c r="AX177" i="19" s="1"/>
  <c r="AB177" i="19" a="1"/>
  <c r="AB177" i="19" s="1"/>
  <c r="AO177" i="19" a="1"/>
  <c r="AO177" i="19" s="1"/>
  <c r="AK177" i="19" a="1"/>
  <c r="AK177" i="19" s="1"/>
  <c r="AH177" i="19" a="1"/>
  <c r="AH177" i="19" s="1"/>
  <c r="AG177" i="19" a="1"/>
  <c r="AG177" i="19" s="1"/>
  <c r="AT180" i="19" a="1"/>
  <c r="AT180" i="19" s="1"/>
  <c r="AB184" i="19" a="1"/>
  <c r="AB184" i="19" s="1"/>
  <c r="AK184" i="19" a="1"/>
  <c r="AK184" i="19" s="1"/>
  <c r="AF184" i="19" a="1"/>
  <c r="AF184" i="19" s="1"/>
  <c r="AM177" i="19" a="1"/>
  <c r="AM177" i="19" s="1"/>
  <c r="AJ177" i="19" a="1"/>
  <c r="AJ177" i="19" s="1"/>
  <c r="AW177" i="19" a="1"/>
  <c r="AW177" i="19" s="1"/>
  <c r="AN177" i="19" a="1"/>
  <c r="AN177" i="19" s="1"/>
  <c r="AP177" i="19" a="1"/>
  <c r="AP177" i="19" s="1"/>
  <c r="AF177" i="19" a="1"/>
  <c r="AF177" i="19" s="1"/>
  <c r="AC177" i="19" a="1"/>
  <c r="AC177" i="19" s="1"/>
  <c r="Z177" i="19" a="1"/>
  <c r="Z177" i="19" s="1"/>
  <c r="AG180" i="19" a="1"/>
  <c r="AG180" i="19" s="1"/>
  <c r="AJ184" i="19" a="1"/>
  <c r="AJ184" i="19" s="1"/>
  <c r="AS184" i="19" a="1"/>
  <c r="AS184" i="19" s="1"/>
  <c r="AN184" i="19" a="1"/>
  <c r="AN184" i="19" s="1"/>
  <c r="AE177" i="19" a="1"/>
  <c r="AE177" i="19" s="1"/>
  <c r="AT177" i="19" a="1"/>
  <c r="AT177" i="19" s="1"/>
  <c r="Z184" i="19" a="1"/>
  <c r="Z184" i="19" s="1"/>
  <c r="AI184" i="19" a="1"/>
  <c r="AI184" i="19" s="1"/>
  <c r="AT184" i="19" a="1"/>
  <c r="AT184" i="19" s="1"/>
  <c r="AO184" i="19" a="1"/>
  <c r="AO184" i="19" s="1"/>
  <c r="AU177" i="19" a="1"/>
  <c r="AU177" i="19" s="1"/>
  <c r="AR177" i="19" a="1"/>
  <c r="AR177" i="19" s="1"/>
  <c r="AV177" i="19" a="1"/>
  <c r="AV177" i="19" s="1"/>
  <c r="AH184" i="19" a="1"/>
  <c r="AH184" i="19" s="1"/>
  <c r="AQ184" i="19" a="1"/>
  <c r="AQ184" i="19" s="1"/>
  <c r="AE184" i="19" a="1"/>
  <c r="AE184" i="19" s="1"/>
  <c r="AS177" i="19" a="1"/>
  <c r="AS177" i="19" s="1"/>
  <c r="Z175" i="19" a="1"/>
  <c r="Z175" i="19" s="1"/>
  <c r="AN175" i="19" a="1"/>
  <c r="AN175" i="19" s="1"/>
  <c r="AA175" i="19" a="1"/>
  <c r="AA175" i="19" s="1"/>
  <c r="AO175" i="19" a="1"/>
  <c r="AO175" i="19" s="1"/>
  <c r="AQ175" i="19" a="1"/>
  <c r="AQ175" i="19" s="1"/>
  <c r="AS175" i="19" a="1"/>
  <c r="AS175" i="19" s="1"/>
  <c r="AH175" i="19" a="1"/>
  <c r="AH175" i="19" s="1"/>
  <c r="AX175" i="19" a="1"/>
  <c r="AX175" i="19" s="1"/>
  <c r="AC175" i="19" a="1"/>
  <c r="AC175" i="19" s="1"/>
  <c r="AF175" i="19" a="1"/>
  <c r="AF175" i="19" s="1"/>
  <c r="AN183" i="19" a="1"/>
  <c r="AN183" i="19" s="1"/>
  <c r="AA177" i="19" a="1"/>
  <c r="AA177" i="19" s="1"/>
  <c r="AI177" i="19" a="1"/>
  <c r="AI177" i="19" s="1"/>
  <c r="AD177" i="19" a="1"/>
  <c r="AD177" i="19" s="1"/>
  <c r="AL177" i="19" a="1"/>
  <c r="AL177" i="19" s="1"/>
  <c r="AU183" i="19" a="1"/>
  <c r="AU183" i="19" s="1"/>
  <c r="Z182" i="19" a="1"/>
  <c r="Z182" i="19" s="1"/>
  <c r="AR182" i="19" a="1"/>
  <c r="AR182" i="19" s="1"/>
  <c r="Z174" i="19" a="1"/>
  <c r="Z174" i="19" s="1"/>
  <c r="AF183" i="19" a="1"/>
  <c r="AF183" i="19" s="1"/>
  <c r="AP175" i="19" a="1"/>
  <c r="AP175" i="19" s="1"/>
  <c r="AK175" i="19" a="1"/>
  <c r="AK175" i="19" s="1"/>
  <c r="AM175" i="19" a="1"/>
  <c r="AM175" i="19" s="1"/>
  <c r="AW175" i="19" a="1"/>
  <c r="AW175" i="19" s="1"/>
  <c r="AR183" i="19" a="1"/>
  <c r="AR183" i="19" s="1"/>
  <c r="AH183" i="19" a="1"/>
  <c r="AH183" i="19" s="1"/>
  <c r="AB175" i="19" a="1"/>
  <c r="AB175" i="19" s="1"/>
  <c r="AI175" i="19" a="1"/>
  <c r="AI175" i="19" s="1"/>
  <c r="AV175" i="19" a="1"/>
  <c r="AV175" i="19" s="1"/>
  <c r="AL183" i="19" a="1"/>
  <c r="AL183" i="19" s="1"/>
  <c r="AX183" i="19" a="1"/>
  <c r="AX183" i="19" s="1"/>
  <c r="AJ175" i="19" a="1"/>
  <c r="AJ175" i="19" s="1"/>
  <c r="AD175" i="19" a="1"/>
  <c r="AD175" i="19" s="1"/>
  <c r="AE175" i="19" a="1"/>
  <c r="AE175" i="19" s="1"/>
  <c r="AJ183" i="19" a="1"/>
  <c r="AJ183" i="19" s="1"/>
  <c r="AT183" i="19" a="1"/>
  <c r="AT183" i="19" s="1"/>
  <c r="AG183" i="19" a="1"/>
  <c r="AG183" i="19" s="1"/>
  <c r="AR175" i="19" a="1"/>
  <c r="AR175" i="19" s="1"/>
  <c r="AL175" i="19" a="1"/>
  <c r="AL175" i="19" s="1"/>
  <c r="AU175" i="19" a="1"/>
  <c r="AU175" i="19" s="1"/>
  <c r="Z183" i="19" a="1"/>
  <c r="Z183" i="19" s="1"/>
  <c r="AM183" i="19" a="1"/>
  <c r="AM183" i="19" s="1"/>
  <c r="AY183" i="19" a="1"/>
  <c r="AY183" i="19" s="1"/>
  <c r="AY175" i="19" a="1"/>
  <c r="AY175" i="19" s="1"/>
  <c r="AT175" i="19" a="1"/>
  <c r="AT175" i="19" s="1"/>
  <c r="AU174" i="19" a="1"/>
  <c r="AU174" i="19" s="1"/>
  <c r="AD183" i="19" a="1"/>
  <c r="AD183" i="19" s="1"/>
  <c r="AC183" i="19" a="1"/>
  <c r="AC183" i="19" s="1"/>
  <c r="AP183" i="19" a="1"/>
  <c r="AP183" i="19" s="1"/>
  <c r="AS174" i="19" a="1"/>
  <c r="AS174" i="19" s="1"/>
  <c r="AK183" i="19" a="1"/>
  <c r="AK183" i="19" s="1"/>
  <c r="AV183" i="19" a="1"/>
  <c r="AV183" i="19" s="1"/>
  <c r="AA183" i="19" a="1"/>
  <c r="AA183" i="19" s="1"/>
  <c r="AJ174" i="19" a="1"/>
  <c r="AJ174" i="19" s="1"/>
  <c r="AP174" i="19" a="1"/>
  <c r="AP174" i="19" s="1"/>
  <c r="AS183" i="19" a="1"/>
  <c r="AS183" i="19" s="1"/>
  <c r="AW183" i="19" a="1"/>
  <c r="AW183" i="19" s="1"/>
  <c r="AI183" i="19" a="1"/>
  <c r="AI183" i="19" s="1"/>
  <c r="AC174" i="19" a="1"/>
  <c r="AC174" i="19" s="1"/>
  <c r="AY174" i="19" a="1"/>
  <c r="AY174" i="19" s="1"/>
  <c r="AH174" i="19" a="1"/>
  <c r="AH174" i="19" s="1"/>
  <c r="AB183" i="19" a="1"/>
  <c r="AB183" i="19" s="1"/>
  <c r="AE183" i="19" a="1"/>
  <c r="AE183" i="19" s="1"/>
  <c r="AO183" i="19" a="1"/>
  <c r="AO183" i="19" s="1"/>
  <c r="AD174" i="19" a="1"/>
  <c r="AD174" i="19" s="1"/>
  <c r="AM174" i="19" a="1"/>
  <c r="AM174" i="19" s="1"/>
  <c r="AI182" i="19" a="1"/>
  <c r="AI182" i="19" s="1"/>
  <c r="AM182" i="19" a="1"/>
  <c r="AM182" i="19" s="1"/>
  <c r="AA173" i="19" a="1"/>
  <c r="AA173" i="19" s="1"/>
  <c r="AF182" i="19" a="1"/>
  <c r="AF182" i="19" s="1"/>
  <c r="AE182" i="19" a="1"/>
  <c r="AE182" i="19" s="1"/>
  <c r="AH182" i="19" a="1"/>
  <c r="AH182" i="19" s="1"/>
  <c r="AR173" i="19" a="1"/>
  <c r="AR173" i="19" s="1"/>
  <c r="AV182" i="19" a="1"/>
  <c r="AV182" i="19" s="1"/>
  <c r="AP182" i="19" a="1"/>
  <c r="AP182" i="19" s="1"/>
  <c r="AY182" i="19" a="1"/>
  <c r="AY182" i="19" s="1"/>
  <c r="AL174" i="19" a="1"/>
  <c r="AL174" i="19" s="1"/>
  <c r="AF174" i="19" a="1"/>
  <c r="AF174" i="19" s="1"/>
  <c r="AX174" i="19" a="1"/>
  <c r="AX174" i="19" s="1"/>
  <c r="AV173" i="19" a="1"/>
  <c r="AV173" i="19" s="1"/>
  <c r="AL173" i="19" a="1"/>
  <c r="AL173" i="19" s="1"/>
  <c r="AQ173" i="19" a="1"/>
  <c r="AQ173" i="19" s="1"/>
  <c r="AU182" i="19" a="1"/>
  <c r="AU182" i="19" s="1"/>
  <c r="AX182" i="19" a="1"/>
  <c r="AX182" i="19" s="1"/>
  <c r="AC182" i="19" a="1"/>
  <c r="AC182" i="19" s="1"/>
  <c r="AT174" i="19" a="1"/>
  <c r="AT174" i="19" s="1"/>
  <c r="AN174" i="19" a="1"/>
  <c r="AN174" i="19" s="1"/>
  <c r="AO174" i="19" a="1"/>
  <c r="AO174" i="19" s="1"/>
  <c r="AO173" i="19" a="1"/>
  <c r="AO173" i="19" s="1"/>
  <c r="AC173" i="19" a="1"/>
  <c r="AC173" i="19" s="1"/>
  <c r="AD173" i="19" a="1"/>
  <c r="AD173" i="19" s="1"/>
  <c r="AQ182" i="19" a="1"/>
  <c r="AQ182" i="19" s="1"/>
  <c r="AN173" i="19" a="1"/>
  <c r="AN173" i="19" s="1"/>
  <c r="AD182" i="19" a="1"/>
  <c r="AD182" i="19" s="1"/>
  <c r="AG182" i="19" a="1"/>
  <c r="AG182" i="19" s="1"/>
  <c r="AA182" i="19" a="1"/>
  <c r="AA182" i="19" s="1"/>
  <c r="AK182" i="19" a="1"/>
  <c r="AK182" i="19" s="1"/>
  <c r="AR174" i="19" a="1"/>
  <c r="AR174" i="19" s="1"/>
  <c r="AV174" i="19" a="1"/>
  <c r="AV174" i="19" s="1"/>
  <c r="AA174" i="19" a="1"/>
  <c r="AA174" i="19" s="1"/>
  <c r="AW173" i="19" a="1"/>
  <c r="AW173" i="19" s="1"/>
  <c r="AK173" i="19" a="1"/>
  <c r="AK173" i="19" s="1"/>
  <c r="AN182" i="19" a="1"/>
  <c r="AN182" i="19" s="1"/>
  <c r="AL182" i="19" a="1"/>
  <c r="AL182" i="19" s="1"/>
  <c r="AO182" i="19" a="1"/>
  <c r="AO182" i="19" s="1"/>
  <c r="AB182" i="19" a="1"/>
  <c r="AB182" i="19" s="1"/>
  <c r="AS182" i="19" a="1"/>
  <c r="AS182" i="19" s="1"/>
  <c r="AK174" i="19" a="1"/>
  <c r="AK174" i="19" s="1"/>
  <c r="AG174" i="19" a="1"/>
  <c r="AG174" i="19" s="1"/>
  <c r="AI174" i="19" a="1"/>
  <c r="AI174" i="19" s="1"/>
  <c r="Z173" i="19" a="1"/>
  <c r="Z173" i="19" s="1"/>
  <c r="AT182" i="19" a="1"/>
  <c r="AT182" i="19" s="1"/>
  <c r="AW182" i="19" a="1"/>
  <c r="AW182" i="19" s="1"/>
  <c r="AB174" i="19" a="1"/>
  <c r="AB174" i="19" s="1"/>
  <c r="AE174" i="19" a="1"/>
  <c r="AE174" i="19" s="1"/>
  <c r="AW174" i="19" a="1"/>
  <c r="AW174" i="19" s="1"/>
  <c r="AH173" i="19" a="1"/>
  <c r="AH173" i="19" s="1"/>
  <c r="Z180" i="19" a="1"/>
  <c r="Z180" i="19" s="1"/>
  <c r="AO180" i="19" a="1"/>
  <c r="AO180" i="19" s="1"/>
  <c r="AN181" i="19" a="1"/>
  <c r="AN181" i="19" s="1"/>
  <c r="AR180" i="19" a="1"/>
  <c r="AR180" i="19" s="1"/>
  <c r="AK181" i="19" a="1"/>
  <c r="AK181" i="19" s="1"/>
  <c r="AA180" i="19" a="1"/>
  <c r="AA180" i="19" s="1"/>
  <c r="AL180" i="19" a="1"/>
  <c r="AL180" i="19" s="1"/>
  <c r="AC181" i="19" a="1"/>
  <c r="AC181" i="19" s="1"/>
  <c r="AP180" i="19" a="1"/>
  <c r="AP180" i="19" s="1"/>
  <c r="AC180" i="19" a="1"/>
  <c r="AC180" i="19" s="1"/>
  <c r="AF180" i="19" a="1"/>
  <c r="AF180" i="19" s="1"/>
  <c r="AX180" i="19" a="1"/>
  <c r="AX180" i="19" s="1"/>
  <c r="AK180" i="19" a="1"/>
  <c r="AK180" i="19" s="1"/>
  <c r="AN180" i="19" a="1"/>
  <c r="AN180" i="19" s="1"/>
  <c r="AH180" i="19" a="1"/>
  <c r="AH180" i="19" s="1"/>
  <c r="AW180" i="19" a="1"/>
  <c r="AW180" i="19" s="1"/>
  <c r="AQ180" i="19" a="1"/>
  <c r="AQ180" i="19" s="1"/>
  <c r="AS180" i="19" a="1"/>
  <c r="AS180" i="19" s="1"/>
  <c r="AV180" i="19" a="1"/>
  <c r="AV180" i="19" s="1"/>
  <c r="AU180" i="19" a="1"/>
  <c r="AU180" i="19" s="1"/>
  <c r="AB180" i="19" a="1"/>
  <c r="AB180" i="19" s="1"/>
  <c r="AY180" i="19" a="1"/>
  <c r="AY180" i="19" s="1"/>
  <c r="AE180" i="19" a="1"/>
  <c r="AE180" i="19" s="1"/>
  <c r="AI180" i="19" a="1"/>
  <c r="AI180" i="19" s="1"/>
  <c r="AJ180" i="19" a="1"/>
  <c r="AJ180" i="19" s="1"/>
  <c r="AD180" i="19" a="1"/>
  <c r="AD180" i="19" s="1"/>
  <c r="AD181" i="19" a="1"/>
  <c r="AD181" i="19" s="1"/>
  <c r="AV181" i="19" a="1"/>
  <c r="AV181" i="19" s="1"/>
  <c r="AU181" i="19" a="1"/>
  <c r="AU181" i="19" s="1"/>
  <c r="AP181" i="19" a="1"/>
  <c r="AP181" i="19" s="1"/>
  <c r="AA181" i="19" a="1"/>
  <c r="AA181" i="19" s="1"/>
  <c r="AI181" i="19" a="1"/>
  <c r="AI181" i="19" s="1"/>
  <c r="AO181" i="19" a="1"/>
  <c r="AO181" i="19" s="1"/>
  <c r="Z181" i="19" a="1"/>
  <c r="Z181" i="19" s="1"/>
  <c r="AQ181" i="19" a="1"/>
  <c r="AQ181" i="19" s="1"/>
  <c r="AL181" i="19" a="1"/>
  <c r="AL181" i="19" s="1"/>
  <c r="AU173" i="19" a="1"/>
  <c r="AU173" i="19" s="1"/>
  <c r="AT173" i="19" a="1"/>
  <c r="AT173" i="19" s="1"/>
  <c r="AB173" i="19" a="1"/>
  <c r="AB173" i="19" s="1"/>
  <c r="AS173" i="19" a="1"/>
  <c r="AS173" i="19" s="1"/>
  <c r="AH181" i="19" a="1"/>
  <c r="AH181" i="19" s="1"/>
  <c r="AY181" i="19" a="1"/>
  <c r="AY181" i="19" s="1"/>
  <c r="AT181" i="19" a="1"/>
  <c r="AT181" i="19" s="1"/>
  <c r="AF173" i="19" a="1"/>
  <c r="AF173" i="19" s="1"/>
  <c r="AM173" i="19" a="1"/>
  <c r="AM173" i="19" s="1"/>
  <c r="AJ173" i="19" a="1"/>
  <c r="AJ173" i="19" s="1"/>
  <c r="AS181" i="19" a="1"/>
  <c r="AS181" i="19" s="1"/>
  <c r="AX181" i="19" a="1"/>
  <c r="AX181" i="19" s="1"/>
  <c r="AB181" i="19" a="1"/>
  <c r="AB181" i="19" s="1"/>
  <c r="AG181" i="19" a="1"/>
  <c r="AG181" i="19" s="1"/>
  <c r="AJ181" i="19" a="1"/>
  <c r="AJ181" i="19" s="1"/>
  <c r="AE181" i="19" a="1"/>
  <c r="AE181" i="19" s="1"/>
  <c r="AE173" i="19" a="1"/>
  <c r="AE173" i="19" s="1"/>
  <c r="AP173" i="19" a="1"/>
  <c r="AP173" i="19" s="1"/>
  <c r="AI173" i="19" a="1"/>
  <c r="AI173" i="19" s="1"/>
  <c r="AF181" i="19" a="1"/>
  <c r="AF181" i="19" s="1"/>
  <c r="AW181" i="19" a="1"/>
  <c r="AW181" i="19" s="1"/>
  <c r="AR181" i="19" a="1"/>
  <c r="AR181" i="19" s="1"/>
  <c r="AG173" i="19" a="1"/>
  <c r="AG173" i="19" s="1"/>
  <c r="AX173" i="19" a="1"/>
  <c r="AX173" i="19" s="1"/>
  <c r="AK186" i="19" a="1"/>
  <c r="AK186" i="19" s="1"/>
  <c r="AV186" i="19" a="1"/>
  <c r="AV186" i="19" s="1"/>
  <c r="AQ186" i="19" a="1"/>
  <c r="AQ186" i="19" s="1"/>
  <c r="AW186" i="19" a="1"/>
  <c r="AW186" i="19" s="1"/>
  <c r="AY186" i="19" a="1"/>
  <c r="AY186" i="19" s="1"/>
  <c r="Z186" i="19" a="1"/>
  <c r="Z186" i="19" s="1"/>
  <c r="AD186" i="19" a="1"/>
  <c r="AD186" i="19" s="1"/>
  <c r="AE186" i="19" a="1"/>
  <c r="AE186" i="19" s="1"/>
  <c r="AM186" i="19" a="1"/>
  <c r="AM186" i="19" s="1"/>
  <c r="AR186" i="19" a="1"/>
  <c r="AR186" i="19" s="1"/>
  <c r="AR171" i="19" a="1"/>
  <c r="AR171" i="19" s="1"/>
  <c r="AC186" i="19" a="1"/>
  <c r="AC186" i="19" s="1"/>
  <c r="AU186" i="19" a="1"/>
  <c r="AU186" i="19" s="1"/>
  <c r="AH186" i="19" a="1"/>
  <c r="AH186" i="19" s="1"/>
  <c r="AJ172" i="19" a="1"/>
  <c r="AJ172" i="19" s="1"/>
  <c r="AS186" i="19" a="1"/>
  <c r="AS186" i="19" s="1"/>
  <c r="AF186" i="19" a="1"/>
  <c r="AF186" i="19" s="1"/>
  <c r="AL186" i="19" a="1"/>
  <c r="AL186" i="19" s="1"/>
  <c r="AG186" i="19" a="1"/>
  <c r="AG186" i="19" s="1"/>
  <c r="AA186" i="19" a="1"/>
  <c r="AA186" i="19" s="1"/>
  <c r="AJ186" i="19" a="1"/>
  <c r="AJ186" i="19" s="1"/>
  <c r="AO186" i="19" a="1"/>
  <c r="AO186" i="19" s="1"/>
  <c r="AS172" i="19" a="1"/>
  <c r="AS172" i="19" s="1"/>
  <c r="AX186" i="19" a="1"/>
  <c r="AX186" i="19" s="1"/>
  <c r="AN172" i="19" a="1"/>
  <c r="AN172" i="19" s="1"/>
  <c r="AO172" i="19" a="1"/>
  <c r="AO172" i="19" s="1"/>
  <c r="AI186" i="19" a="1"/>
  <c r="AI186" i="19" s="1"/>
  <c r="AT186" i="19" a="1"/>
  <c r="AT186" i="19" s="1"/>
  <c r="AB186" i="19" a="1"/>
  <c r="AB186" i="19" s="1"/>
  <c r="AH172" i="19" a="1"/>
  <c r="AH172" i="19" s="1"/>
  <c r="AI172" i="19" a="1"/>
  <c r="AI172" i="19" s="1"/>
  <c r="AO171" i="19" a="1"/>
  <c r="AO171" i="19" s="1"/>
  <c r="AK171" i="19" a="1"/>
  <c r="AK171" i="19" s="1"/>
  <c r="AN186" i="19" a="1"/>
  <c r="AN186" i="19" s="1"/>
  <c r="AW172" i="19" a="1"/>
  <c r="AW172" i="19" s="1"/>
  <c r="AQ172" i="19" a="1"/>
  <c r="AQ172" i="19" s="1"/>
  <c r="AD172" i="19" a="1"/>
  <c r="AD172" i="19" s="1"/>
  <c r="AI171" i="19" a="1"/>
  <c r="AI171" i="19" s="1"/>
  <c r="AS171" i="19" a="1"/>
  <c r="AS171" i="19" s="1"/>
  <c r="AE172" i="19" a="1"/>
  <c r="AE172" i="19" s="1"/>
  <c r="AU172" i="19" a="1"/>
  <c r="AU172" i="19" s="1"/>
  <c r="AY172" i="19" a="1"/>
  <c r="AY172" i="19" s="1"/>
  <c r="AL172" i="19" a="1"/>
  <c r="AL172" i="19" s="1"/>
  <c r="AQ171" i="19" a="1"/>
  <c r="AQ171" i="19" s="1"/>
  <c r="AX171" i="19" a="1"/>
  <c r="AX171" i="19" s="1"/>
  <c r="AF172" i="19" a="1"/>
  <c r="AF172" i="19" s="1"/>
  <c r="Z172" i="19" a="1"/>
  <c r="Z172" i="19" s="1"/>
  <c r="AB172" i="19" a="1"/>
  <c r="AB172" i="19" s="1"/>
  <c r="AT172" i="19" a="1"/>
  <c r="AT172" i="19" s="1"/>
  <c r="AY171" i="19" a="1"/>
  <c r="AY171" i="19" s="1"/>
  <c r="AD171" i="19" a="1"/>
  <c r="AD171" i="19" s="1"/>
  <c r="AP171" i="19" a="1"/>
  <c r="AP171" i="19" s="1"/>
  <c r="AF171" i="19" a="1"/>
  <c r="AF171" i="19" s="1"/>
  <c r="AV172" i="19" a="1"/>
  <c r="AV172" i="19" s="1"/>
  <c r="AP172" i="19" a="1"/>
  <c r="AP172" i="19" s="1"/>
  <c r="AR172" i="19" a="1"/>
  <c r="AR172" i="19" s="1"/>
  <c r="AB171" i="19" a="1"/>
  <c r="AB171" i="19" s="1"/>
  <c r="AN171" i="19" a="1"/>
  <c r="AN171" i="19" s="1"/>
  <c r="AM172" i="19" a="1"/>
  <c r="AM172" i="19" s="1"/>
  <c r="AX172" i="19" a="1"/>
  <c r="AX172" i="19" s="1"/>
  <c r="AC172" i="19" a="1"/>
  <c r="AC172" i="19" s="1"/>
  <c r="AJ171" i="19" a="1"/>
  <c r="AJ171" i="19" s="1"/>
  <c r="AV171" i="19" a="1"/>
  <c r="AV171" i="19" s="1"/>
  <c r="AG172" i="19" a="1"/>
  <c r="AG172" i="19" s="1"/>
  <c r="AA172" i="19" a="1"/>
  <c r="AA172" i="19" s="1"/>
  <c r="B21" i="12"/>
  <c r="AL171" i="19" a="1"/>
  <c r="AL171" i="19" s="1"/>
  <c r="AT171" i="19" a="1"/>
  <c r="AT171" i="19" s="1"/>
  <c r="AU171" i="19" a="1"/>
  <c r="AU171" i="19" s="1"/>
  <c r="AA171" i="19" a="1"/>
  <c r="AA171" i="19" s="1"/>
  <c r="AC171" i="19" a="1"/>
  <c r="AC171" i="19" s="1"/>
  <c r="Z171" i="19" a="1"/>
  <c r="Z171" i="19" s="1"/>
  <c r="AG169" i="19" a="1"/>
  <c r="AG169" i="19" s="1"/>
  <c r="AU169" i="19" a="1"/>
  <c r="AU169" i="19" s="1"/>
  <c r="AC169" i="19" a="1"/>
  <c r="AC169" i="19" s="1"/>
  <c r="AM171" i="19" a="1"/>
  <c r="AM171" i="19" s="1"/>
  <c r="AG171" i="19" a="1"/>
  <c r="AG171" i="19" s="1"/>
  <c r="AW171" i="19" a="1"/>
  <c r="AW171" i="19" s="1"/>
  <c r="AH171" i="19" a="1"/>
  <c r="AH171" i="19" s="1"/>
  <c r="AP169" i="19" a="1"/>
  <c r="AP169" i="19" s="1"/>
  <c r="AD169" i="19" a="1"/>
  <c r="AD169" i="19" s="1"/>
  <c r="AW169" i="19" a="1"/>
  <c r="AW169" i="19" s="1"/>
  <c r="AA169" i="19" a="1"/>
  <c r="AA169" i="19" s="1"/>
  <c r="AE169" i="19" a="1"/>
  <c r="AE169" i="19" s="1"/>
  <c r="AI169" i="19" a="1"/>
  <c r="AI169" i="19" s="1"/>
  <c r="AM169" i="19" a="1"/>
  <c r="AM169" i="19" s="1"/>
  <c r="AO169" i="19" a="1"/>
  <c r="AO169" i="19" s="1"/>
  <c r="AR169" i="19" a="1"/>
  <c r="AR169" i="19" s="1"/>
  <c r="AL169" i="19" a="1"/>
  <c r="AL169" i="19" s="1"/>
  <c r="AJ169" i="19" a="1"/>
  <c r="AJ169" i="19" s="1"/>
  <c r="AV169" i="19" a="1"/>
  <c r="AV169" i="19" s="1"/>
  <c r="AY169" i="19" a="1"/>
  <c r="AY169" i="19" s="1"/>
  <c r="AN168" i="19" a="1"/>
  <c r="AN168" i="19" s="1"/>
  <c r="AU168" i="19" a="1"/>
  <c r="AU168" i="19" s="1"/>
  <c r="AX168" i="19" a="1"/>
  <c r="AX168" i="19" s="1"/>
  <c r="AH169" i="19" a="1"/>
  <c r="AH169" i="19" s="1"/>
  <c r="AN169" i="19" a="1"/>
  <c r="AN169" i="19" s="1"/>
  <c r="AT169" i="19" a="1"/>
  <c r="AT169" i="19" s="1"/>
  <c r="AQ169" i="19" a="1"/>
  <c r="AQ169" i="19" s="1"/>
  <c r="AK169" i="19" a="1"/>
  <c r="AK169" i="19" s="1"/>
  <c r="AX169" i="19" a="1"/>
  <c r="AX169" i="19" s="1"/>
  <c r="AS169" i="19" a="1"/>
  <c r="AS169" i="19" s="1"/>
  <c r="Z169" i="19" a="1"/>
  <c r="Z169" i="19" s="1"/>
  <c r="AB169" i="19" a="1"/>
  <c r="AB169" i="19" s="1"/>
  <c r="AY168" i="19" a="1"/>
  <c r="AY168" i="19" s="1"/>
  <c r="AR168" i="19" a="1"/>
  <c r="AR168" i="19" s="1"/>
  <c r="AP168" i="19" a="1"/>
  <c r="AP168" i="19" s="1"/>
  <c r="AD168" i="19" a="1"/>
  <c r="AD168" i="19" s="1"/>
  <c r="AL168" i="19" a="1"/>
  <c r="AL168" i="19" s="1"/>
  <c r="AB168" i="19" a="1"/>
  <c r="AB168" i="19" s="1"/>
  <c r="AJ168" i="19" a="1"/>
  <c r="AJ168" i="19" s="1"/>
  <c r="AA168" i="19" a="1"/>
  <c r="AA168" i="19" s="1"/>
  <c r="AS168" i="19" a="1"/>
  <c r="AS168" i="19" s="1"/>
  <c r="AQ168" i="19" a="1"/>
  <c r="AQ168" i="19" s="1"/>
  <c r="AT168" i="19" a="1"/>
  <c r="AT168" i="19" s="1"/>
  <c r="AN167" i="19" a="1"/>
  <c r="AN167" i="19" s="1"/>
  <c r="AV167" i="19" a="1"/>
  <c r="AV167" i="19" s="1"/>
  <c r="AH167" i="19" a="1"/>
  <c r="AH167" i="19" s="1"/>
  <c r="AA167" i="19" a="1"/>
  <c r="AA167" i="19" s="1"/>
  <c r="AI167" i="19" a="1"/>
  <c r="AI167" i="19" s="1"/>
  <c r="AQ167" i="19" a="1"/>
  <c r="AQ167" i="19" s="1"/>
  <c r="AT167" i="19" a="1"/>
  <c r="AT167" i="19" s="1"/>
  <c r="AM167" i="19" a="1"/>
  <c r="AM167" i="19" s="1"/>
  <c r="AB167" i="19" a="1"/>
  <c r="AB167" i="19" s="1"/>
  <c r="AC167" i="19" a="1"/>
  <c r="AC167" i="19" s="1"/>
  <c r="AF168" i="19" a="1"/>
  <c r="AF168" i="19" s="1"/>
  <c r="AK167" i="19" a="1"/>
  <c r="AK167" i="19" s="1"/>
  <c r="AS167" i="19" a="1"/>
  <c r="AS167" i="19" s="1"/>
  <c r="AU167" i="19" a="1"/>
  <c r="AU167" i="19" s="1"/>
  <c r="AY167" i="19" a="1"/>
  <c r="AY167" i="19" s="1"/>
  <c r="AL167" i="19" a="1"/>
  <c r="AL167" i="19" s="1"/>
  <c r="Z167" i="19" a="1"/>
  <c r="Z167" i="19" s="1"/>
  <c r="AJ167" i="19" a="1"/>
  <c r="AJ167" i="19" s="1"/>
  <c r="AX167" i="19" a="1"/>
  <c r="AX167" i="19" s="1"/>
  <c r="AR167" i="19" a="1"/>
  <c r="AR167" i="19" s="1"/>
  <c r="AE167" i="19" a="1"/>
  <c r="AE167" i="19" s="1"/>
  <c r="AG167" i="19" a="1"/>
  <c r="AG167" i="19" s="1"/>
  <c r="AO167" i="19" a="1"/>
  <c r="AO167" i="19" s="1"/>
  <c r="AW167" i="19" a="1"/>
  <c r="AW167" i="19" s="1"/>
  <c r="AP167" i="19" a="1"/>
  <c r="AP167" i="19" s="1"/>
  <c r="AC168" i="19" a="1"/>
  <c r="AC168" i="19" s="1"/>
  <c r="AE168" i="19" a="1"/>
  <c r="AE168" i="19" s="1"/>
  <c r="AK168" i="19" a="1"/>
  <c r="AK168" i="19" s="1"/>
  <c r="AM168" i="19" a="1"/>
  <c r="AM168" i="19" s="1"/>
  <c r="AG168" i="19" a="1"/>
  <c r="AG168" i="19" s="1"/>
  <c r="AI168" i="19" a="1"/>
  <c r="AI168" i="19" s="1"/>
  <c r="AV168" i="19" a="1"/>
  <c r="AV168" i="19" s="1"/>
  <c r="AH168" i="19" a="1"/>
  <c r="AH168" i="19" s="1"/>
  <c r="Z168" i="19" a="1"/>
  <c r="Z168" i="19" s="1"/>
  <c r="AO168" i="19" a="1"/>
  <c r="AO168" i="19" s="1"/>
  <c r="AL119" i="10"/>
  <c r="AL11" i="10"/>
  <c r="AL133" i="10"/>
  <c r="W73" i="15"/>
  <c r="AL13" i="10"/>
  <c r="AL120" i="10"/>
  <c r="AL14" i="10"/>
  <c r="AL115" i="10"/>
  <c r="AL116" i="10"/>
  <c r="AL351" i="10"/>
  <c r="AL121" i="10"/>
  <c r="AL125" i="10"/>
  <c r="AL118" i="10"/>
  <c r="AL124" i="10"/>
  <c r="AL15" i="10"/>
  <c r="AL213" i="10"/>
  <c r="AL309" i="10"/>
  <c r="AL16" i="10"/>
  <c r="C39" i="1"/>
  <c r="E39" i="1" s="1"/>
  <c r="V41" i="11"/>
  <c r="K132" i="16"/>
  <c r="F132" i="16"/>
  <c r="B32" i="12"/>
  <c r="Y12" i="12"/>
  <c r="F130" i="16"/>
  <c r="J307" i="21" s="1"/>
  <c r="K129" i="16"/>
  <c r="F131" i="16"/>
  <c r="J308" i="21" s="1"/>
  <c r="AL122" i="10"/>
  <c r="E23" i="3"/>
  <c r="AL303" i="10"/>
  <c r="AL212" i="10"/>
  <c r="AL329" i="10"/>
  <c r="AL306" i="10"/>
  <c r="AL305" i="10"/>
  <c r="AL325" i="10"/>
  <c r="AL327" i="10"/>
  <c r="AL343" i="10"/>
  <c r="AL311" i="10"/>
  <c r="AL138" i="10"/>
  <c r="AL338" i="10"/>
  <c r="AL439" i="10"/>
  <c r="AL316" i="10"/>
  <c r="BK16" i="10" l="1"/>
  <c r="J309" i="21"/>
  <c r="F10" i="21"/>
  <c r="E11" i="21"/>
  <c r="G541" i="21"/>
  <c r="G542" i="21" s="1"/>
  <c r="G146" i="21"/>
  <c r="G152" i="21" s="1"/>
  <c r="G168" i="21" s="1"/>
  <c r="AL173" i="10"/>
  <c r="AL72" i="10"/>
  <c r="AL435" i="10"/>
  <c r="AL321" i="10"/>
  <c r="G357" i="21"/>
  <c r="AL189" i="10"/>
  <c r="AL492" i="10"/>
  <c r="AL490" i="10"/>
  <c r="AL112" i="10"/>
  <c r="AL328" i="10"/>
  <c r="AL491" i="10"/>
  <c r="AL295" i="10"/>
  <c r="AL40" i="10"/>
  <c r="AL433" i="10"/>
  <c r="AL296" i="10"/>
  <c r="AL493" i="10"/>
  <c r="AL346" i="10"/>
  <c r="AL93" i="10"/>
  <c r="AL294" i="10"/>
  <c r="AL114" i="10"/>
  <c r="AL307" i="10"/>
  <c r="AL117" i="10"/>
  <c r="AL489" i="10"/>
  <c r="AL494" i="10"/>
  <c r="AL91" i="10"/>
  <c r="AL220" i="10"/>
  <c r="AL232" i="10"/>
  <c r="AL231" i="10"/>
  <c r="AL488" i="10"/>
  <c r="AL111" i="10"/>
  <c r="AL317" i="10"/>
  <c r="AL341" i="10"/>
  <c r="AL30" i="10"/>
  <c r="AL342" i="10"/>
  <c r="AL160" i="10"/>
  <c r="AL451" i="10"/>
  <c r="AL486" i="10"/>
  <c r="AL483" i="10"/>
  <c r="AL475" i="10"/>
  <c r="AL470" i="10"/>
  <c r="AL378" i="10"/>
  <c r="AL175" i="10"/>
  <c r="AL196" i="10"/>
  <c r="AL185" i="10"/>
  <c r="AL452" i="10"/>
  <c r="AL466" i="10"/>
  <c r="AL455" i="10"/>
  <c r="AL177" i="10"/>
  <c r="AL473" i="10"/>
  <c r="AL434" i="10"/>
  <c r="AL482" i="10"/>
  <c r="AL479" i="10"/>
  <c r="AL485" i="10"/>
  <c r="AL478" i="10"/>
  <c r="AL484" i="10"/>
  <c r="AL474" i="10"/>
  <c r="AL90" i="10"/>
  <c r="AL282" i="10"/>
  <c r="AL335" i="10"/>
  <c r="AL453" i="10"/>
  <c r="AL340" i="10"/>
  <c r="AL481" i="10"/>
  <c r="AL487" i="10"/>
  <c r="AL164" i="10"/>
  <c r="AL166" i="10"/>
  <c r="AL440" i="10"/>
  <c r="AL456" i="10"/>
  <c r="AL222" i="10"/>
  <c r="AL459" i="10"/>
  <c r="AL35" i="10"/>
  <c r="AL283" i="10"/>
  <c r="AL313" i="10"/>
  <c r="AL279" i="10"/>
  <c r="AL60" i="10"/>
  <c r="AL113" i="10"/>
  <c r="AL184" i="10"/>
  <c r="AL480" i="10"/>
  <c r="AL167" i="10"/>
  <c r="AL168" i="10"/>
  <c r="AL272" i="10"/>
  <c r="AL461" i="10"/>
  <c r="AL225" i="10"/>
  <c r="AL445" i="10"/>
  <c r="AL448" i="10"/>
  <c r="AL109" i="10"/>
  <c r="AL278" i="10"/>
  <c r="AL134" i="10"/>
  <c r="AL436" i="10"/>
  <c r="AL139" i="10"/>
  <c r="AL192" i="10"/>
  <c r="AL280" i="10"/>
  <c r="AL469" i="10"/>
  <c r="AL110" i="10"/>
  <c r="AL174" i="10"/>
  <c r="AL273" i="10"/>
  <c r="AL277" i="10"/>
  <c r="AL281" i="10"/>
  <c r="AL38" i="10"/>
  <c r="AL70" i="10"/>
  <c r="AL32" i="10"/>
  <c r="AL450" i="10"/>
  <c r="AL463" i="10"/>
  <c r="AL371" i="10"/>
  <c r="AL443" i="10"/>
  <c r="AL221" i="10"/>
  <c r="AL438" i="10"/>
  <c r="AL88" i="10"/>
  <c r="AL337" i="10"/>
  <c r="AL45" i="10"/>
  <c r="AL382" i="10"/>
  <c r="AL441" i="10"/>
  <c r="AL287" i="10"/>
  <c r="AL449" i="10"/>
  <c r="AL106" i="10"/>
  <c r="AL108" i="10"/>
  <c r="AL476" i="10"/>
  <c r="AL444" i="10"/>
  <c r="AL464" i="10"/>
  <c r="AL462" i="10"/>
  <c r="AL233" i="10"/>
  <c r="AL183" i="10"/>
  <c r="AL86" i="10"/>
  <c r="AL92" i="10"/>
  <c r="AL472" i="10"/>
  <c r="AL447" i="10"/>
  <c r="AL49" i="10"/>
  <c r="AL372" i="10"/>
  <c r="AL468" i="10"/>
  <c r="AL428" i="10"/>
  <c r="AL477" i="10"/>
  <c r="AL402" i="10"/>
  <c r="AL457" i="10"/>
  <c r="AL197" i="10"/>
  <c r="AL162" i="10"/>
  <c r="AL161" i="10"/>
  <c r="AL276" i="10"/>
  <c r="AL300" i="10"/>
  <c r="AL454" i="10"/>
  <c r="AL357" i="10"/>
  <c r="AL437" i="10"/>
  <c r="AL458" i="10"/>
  <c r="AL465" i="10"/>
  <c r="AL284" i="10"/>
  <c r="AL312" i="10"/>
  <c r="AL27" i="10"/>
  <c r="AL442" i="10"/>
  <c r="AL471" i="10"/>
  <c r="AL234" i="10"/>
  <c r="AL211" i="10"/>
  <c r="AL228" i="10"/>
  <c r="AL411" i="10"/>
  <c r="AL460" i="10"/>
  <c r="AL274" i="10"/>
  <c r="AL399" i="10"/>
  <c r="AL446" i="10"/>
  <c r="AL418" i="10"/>
  <c r="AL467" i="10"/>
  <c r="AL299" i="10"/>
  <c r="AL187" i="10"/>
  <c r="AL398" i="10"/>
  <c r="AL334" i="10"/>
  <c r="AL323" i="10"/>
  <c r="AL23" i="10"/>
  <c r="AL19" i="10"/>
  <c r="AL269" i="10"/>
  <c r="AL75" i="10"/>
  <c r="AL195" i="10"/>
  <c r="AL142" i="10"/>
  <c r="AL148" i="10"/>
  <c r="AL144" i="10"/>
  <c r="AL191" i="10"/>
  <c r="AL18" i="10"/>
  <c r="AL369" i="10"/>
  <c r="AL415" i="10"/>
  <c r="AL432" i="10"/>
  <c r="AL17" i="10"/>
  <c r="AL271" i="10"/>
  <c r="AL43" i="10"/>
  <c r="AL135" i="10"/>
  <c r="AL41" i="10"/>
  <c r="AL350" i="10"/>
  <c r="AL241" i="10"/>
  <c r="AL71" i="10"/>
  <c r="AL131" i="10"/>
  <c r="AL126" i="10"/>
  <c r="AL140" i="10"/>
  <c r="AL217" i="10"/>
  <c r="AL128" i="10"/>
  <c r="AL314" i="10"/>
  <c r="AL224" i="10"/>
  <c r="AL358" i="10"/>
  <c r="AL74" i="10"/>
  <c r="AL293" i="10"/>
  <c r="AL427" i="10"/>
  <c r="AL356" i="10"/>
  <c r="AL425" i="10"/>
  <c r="AL431" i="10"/>
  <c r="AL332" i="10"/>
  <c r="AL336" i="10"/>
  <c r="AL230" i="10"/>
  <c r="AL202" i="10"/>
  <c r="AL97" i="10"/>
  <c r="AL95" i="10"/>
  <c r="AL9" i="10"/>
  <c r="AL146" i="10"/>
  <c r="AL292" i="10"/>
  <c r="AL248" i="10"/>
  <c r="AL262" i="10"/>
  <c r="AL36" i="10"/>
  <c r="AL383" i="10"/>
  <c r="AL227" i="10"/>
  <c r="AL67" i="10"/>
  <c r="AL424" i="10"/>
  <c r="AL430" i="10"/>
  <c r="AL159" i="10"/>
  <c r="AL315" i="10"/>
  <c r="AL44" i="10"/>
  <c r="AL285" i="10"/>
  <c r="AL304" i="10"/>
  <c r="AL308" i="10"/>
  <c r="AL288" i="10"/>
  <c r="AL291" i="10"/>
  <c r="AL423" i="10"/>
  <c r="AL429" i="10"/>
  <c r="AL339" i="10"/>
  <c r="AL344" i="10"/>
  <c r="AL65" i="10"/>
  <c r="AL63" i="10"/>
  <c r="AL77" i="10"/>
  <c r="AL203" i="10"/>
  <c r="AL101" i="10"/>
  <c r="AL57" i="10"/>
  <c r="AL84" i="10"/>
  <c r="AL386" i="10"/>
  <c r="AL54" i="10"/>
  <c r="AL214" i="10"/>
  <c r="AL322" i="10"/>
  <c r="AL324" i="10"/>
  <c r="AL320" i="10"/>
  <c r="AL76" i="10"/>
  <c r="AL345" i="10"/>
  <c r="AL68" i="10"/>
  <c r="AL355" i="10"/>
  <c r="AL290" i="10"/>
  <c r="AL50" i="10"/>
  <c r="AL61" i="10"/>
  <c r="AL331" i="10"/>
  <c r="AL364" i="10"/>
  <c r="AL403" i="10"/>
  <c r="AL389" i="10"/>
  <c r="AL416" i="10"/>
  <c r="AL408" i="10"/>
  <c r="AL390" i="10"/>
  <c r="AL100" i="10"/>
  <c r="AL62" i="10"/>
  <c r="AL209" i="10"/>
  <c r="AL33" i="10"/>
  <c r="AL362" i="10"/>
  <c r="AL155" i="10"/>
  <c r="AL394" i="10"/>
  <c r="AL143" i="10"/>
  <c r="AL266" i="10"/>
  <c r="AL210" i="10"/>
  <c r="AL409" i="10"/>
  <c r="AL12" i="10"/>
  <c r="AL47" i="10"/>
  <c r="AL145" i="10"/>
  <c r="AL151" i="10"/>
  <c r="AL147" i="10"/>
  <c r="AL275" i="10"/>
  <c r="AL165" i="10"/>
  <c r="AL105" i="10"/>
  <c r="AL163" i="10"/>
  <c r="AL181" i="10"/>
  <c r="AL6" i="10"/>
  <c r="AL137" i="10"/>
  <c r="AL239" i="10"/>
  <c r="AL243" i="10"/>
  <c r="AL247" i="10"/>
  <c r="AL251" i="10"/>
  <c r="AL254" i="10"/>
  <c r="AL255" i="10"/>
  <c r="AL259" i="10"/>
  <c r="AL261" i="10"/>
  <c r="AL265" i="10"/>
  <c r="AL66" i="10"/>
  <c r="AL319" i="10"/>
  <c r="AL373" i="10"/>
  <c r="AL39" i="10"/>
  <c r="AL377" i="10"/>
  <c r="AL374" i="10"/>
  <c r="AL78" i="10"/>
  <c r="AL226" i="10"/>
  <c r="AL267" i="10"/>
  <c r="AL79" i="10"/>
  <c r="AL318" i="10"/>
  <c r="AL237" i="10"/>
  <c r="AL359" i="10"/>
  <c r="AL397" i="10"/>
  <c r="AL98" i="10"/>
  <c r="AL56" i="10"/>
  <c r="AL123" i="10"/>
  <c r="AL31" i="10"/>
  <c r="AL82" i="10"/>
  <c r="AL257" i="10"/>
  <c r="AL85" i="10"/>
  <c r="AL205" i="10"/>
  <c r="AL404" i="10"/>
  <c r="AL48" i="10"/>
  <c r="AL426" i="10"/>
  <c r="AL81" i="10"/>
  <c r="AL99" i="10"/>
  <c r="AL58" i="10"/>
  <c r="AL376" i="10"/>
  <c r="AL388" i="10"/>
  <c r="AL156" i="10"/>
  <c r="AL348" i="10"/>
  <c r="AL176" i="10"/>
  <c r="AL253" i="10"/>
  <c r="AL407" i="10"/>
  <c r="AL301" i="10"/>
  <c r="AL206" i="10"/>
  <c r="AL419" i="10"/>
  <c r="AL83" i="10"/>
  <c r="AL102" i="10"/>
  <c r="AL103" i="10"/>
  <c r="AL391" i="10"/>
  <c r="AL263" i="10"/>
  <c r="AL367" i="10"/>
  <c r="AL59" i="10"/>
  <c r="AL381" i="10"/>
  <c r="AL182" i="10"/>
  <c r="AL330" i="10"/>
  <c r="AL302" i="10"/>
  <c r="AL208" i="10"/>
  <c r="AL186" i="10"/>
  <c r="AL21" i="10"/>
  <c r="AL353" i="10"/>
  <c r="AL242" i="10"/>
  <c r="AL405" i="10"/>
  <c r="AL204" i="10"/>
  <c r="AL229" i="10"/>
  <c r="AL238" i="10"/>
  <c r="AL245" i="10"/>
  <c r="AL236" i="10"/>
  <c r="AL246" i="10"/>
  <c r="AL24" i="10"/>
  <c r="AL420" i="10"/>
  <c r="AL157" i="10"/>
  <c r="AL413" i="10"/>
  <c r="AL347" i="10"/>
  <c r="AL153" i="10"/>
  <c r="AL363" i="10"/>
  <c r="AL53" i="10"/>
  <c r="AL421" i="10"/>
  <c r="AL152" i="10"/>
  <c r="AL171" i="10"/>
  <c r="AL360" i="10"/>
  <c r="AL94" i="10"/>
  <c r="AL199" i="10"/>
  <c r="AL365" i="10"/>
  <c r="AL219" i="10"/>
  <c r="AL80" i="10"/>
  <c r="AL387" i="10"/>
  <c r="AL417" i="10"/>
  <c r="AL201" i="10"/>
  <c r="AL400" i="10"/>
  <c r="AL366" i="10"/>
  <c r="AL368" i="10"/>
  <c r="AL29" i="10"/>
  <c r="AL107" i="10"/>
  <c r="AL354" i="10"/>
  <c r="AL172" i="10"/>
  <c r="AL55" i="10"/>
  <c r="AL194" i="10"/>
  <c r="AL218" i="10"/>
  <c r="AL136" i="10"/>
  <c r="AL26" i="10"/>
  <c r="AL401" i="10"/>
  <c r="AL89" i="10"/>
  <c r="AL286" i="10"/>
  <c r="AL25" i="10"/>
  <c r="AL422" i="10"/>
  <c r="AL154" i="10"/>
  <c r="AL289" i="10"/>
  <c r="AL193" i="10"/>
  <c r="AL190" i="10"/>
  <c r="AL37" i="10"/>
  <c r="AL64" i="10"/>
  <c r="AL149" i="10"/>
  <c r="AL170" i="10"/>
  <c r="AL380" i="10"/>
  <c r="AL20" i="10"/>
  <c r="AL96" i="10"/>
  <c r="AL150" i="10"/>
  <c r="AL178" i="10"/>
  <c r="AL215" i="10"/>
  <c r="AL46" i="10"/>
  <c r="AL270" i="10"/>
  <c r="AL370" i="10"/>
  <c r="AL104" i="10"/>
  <c r="AL235" i="10"/>
  <c r="AL240" i="10"/>
  <c r="AL244" i="10"/>
  <c r="AL249" i="10"/>
  <c r="AL252" i="10"/>
  <c r="AL256" i="10"/>
  <c r="AL258" i="10"/>
  <c r="AL260" i="10"/>
  <c r="AL264" i="10"/>
  <c r="AL73" i="10"/>
  <c r="AL326" i="10"/>
  <c r="AL132" i="10"/>
  <c r="AL127" i="10"/>
  <c r="AL141" i="10"/>
  <c r="AL384" i="10"/>
  <c r="AL42" i="10"/>
  <c r="AL216" i="10"/>
  <c r="AL297" i="10"/>
  <c r="AL298" i="10"/>
  <c r="AL129" i="10"/>
  <c r="AL375" i="10"/>
  <c r="AL310" i="10"/>
  <c r="AL333" i="10"/>
  <c r="AL130" i="10"/>
  <c r="AL223" i="10"/>
  <c r="AL200" i="10"/>
  <c r="AL169" i="10"/>
  <c r="AL352" i="10"/>
  <c r="AL361" i="10"/>
  <c r="AL52" i="10"/>
  <c r="AL158" i="10"/>
  <c r="AL379" i="10"/>
  <c r="AL268" i="10"/>
  <c r="AL395" i="10"/>
  <c r="AL414" i="10"/>
  <c r="AL180" i="10"/>
  <c r="AL385" i="10"/>
  <c r="AL69" i="10"/>
  <c r="AL51" i="10"/>
  <c r="AL34" i="10"/>
  <c r="AL410" i="10"/>
  <c r="AL250" i="10"/>
  <c r="AL406" i="10"/>
  <c r="AL87" i="10"/>
  <c r="AL28" i="10"/>
  <c r="AL393" i="10"/>
  <c r="AL412" i="10"/>
  <c r="AL179" i="10"/>
  <c r="AL198" i="10"/>
  <c r="AL207" i="10"/>
  <c r="AL392" i="10"/>
  <c r="AL22" i="10"/>
  <c r="AL349" i="10"/>
  <c r="AL396" i="10"/>
  <c r="D40" i="1"/>
  <c r="A39" i="1"/>
  <c r="E55" i="7"/>
  <c r="D55" i="7"/>
  <c r="S125" i="7"/>
  <c r="I55" i="7" s="1"/>
  <c r="F24" i="6"/>
  <c r="J55" i="21" s="1"/>
  <c r="S59" i="6"/>
  <c r="U59" i="6" s="1"/>
  <c r="S60" i="6"/>
  <c r="V53" i="6"/>
  <c r="S1" i="7"/>
  <c r="G9" i="7" s="1"/>
  <c r="Y22" i="7"/>
  <c r="U54" i="6"/>
  <c r="S53" i="6"/>
  <c r="F27" i="6" s="1"/>
  <c r="J56" i="21" s="1"/>
  <c r="Q56" i="10"/>
  <c r="BO31" i="10" s="1"/>
  <c r="Q55" i="10"/>
  <c r="BO30" i="10" s="1"/>
  <c r="J196" i="21" s="1"/>
  <c r="Q54" i="10"/>
  <c r="BO29" i="10" s="1"/>
  <c r="J195" i="21" s="1"/>
  <c r="Q53" i="10"/>
  <c r="BO28" i="10" s="1"/>
  <c r="J194" i="21" s="1"/>
  <c r="Q52" i="10"/>
  <c r="BO27" i="10" s="1"/>
  <c r="J193" i="21" s="1"/>
  <c r="Q51" i="10"/>
  <c r="BO26" i="10" s="1"/>
  <c r="J192" i="21" s="1"/>
  <c r="Q50" i="10"/>
  <c r="BO25" i="10" s="1"/>
  <c r="J191" i="21" s="1"/>
  <c r="Q49" i="10"/>
  <c r="BO24" i="10" s="1"/>
  <c r="J190" i="21" s="1"/>
  <c r="Q48" i="10"/>
  <c r="BO23" i="10" s="1"/>
  <c r="J189" i="21" s="1"/>
  <c r="Q47" i="10"/>
  <c r="BO22" i="10" s="1"/>
  <c r="J188" i="21" s="1"/>
  <c r="Q46" i="10"/>
  <c r="BO21" i="10" s="1"/>
  <c r="J187" i="21" s="1"/>
  <c r="Q45" i="10"/>
  <c r="BO20" i="10" s="1"/>
  <c r="J186" i="21" s="1"/>
  <c r="Q44" i="10"/>
  <c r="BO19" i="10" s="1"/>
  <c r="J185" i="21" s="1"/>
  <c r="Q43" i="10"/>
  <c r="BO18" i="10" s="1"/>
  <c r="J184" i="21" s="1"/>
  <c r="Q42" i="10"/>
  <c r="BO17" i="10" s="1"/>
  <c r="J183" i="21" s="1"/>
  <c r="Q41" i="10"/>
  <c r="BO16" i="10" s="1"/>
  <c r="J182" i="21" s="1"/>
  <c r="Q40" i="10"/>
  <c r="BO15" i="10" s="1"/>
  <c r="J181" i="21" s="1"/>
  <c r="Q39" i="10"/>
  <c r="BO14" i="10" s="1"/>
  <c r="J180" i="21" s="1"/>
  <c r="Q38" i="10"/>
  <c r="BO13" i="10" s="1"/>
  <c r="J179" i="21" s="1"/>
  <c r="Q37" i="10"/>
  <c r="BO12" i="10" s="1"/>
  <c r="J178" i="21" s="1"/>
  <c r="S65" i="7"/>
  <c r="S63" i="7"/>
  <c r="S121" i="7"/>
  <c r="S117" i="7"/>
  <c r="S113" i="7"/>
  <c r="S109" i="7"/>
  <c r="S106" i="7"/>
  <c r="S104" i="7"/>
  <c r="S94" i="7"/>
  <c r="S90" i="7"/>
  <c r="S88" i="7"/>
  <c r="S84" i="7"/>
  <c r="S82" i="7"/>
  <c r="S79" i="7"/>
  <c r="S75" i="7"/>
  <c r="S59" i="7"/>
  <c r="S55" i="7"/>
  <c r="S51" i="7"/>
  <c r="S49" i="7"/>
  <c r="S45" i="7"/>
  <c r="S42" i="7"/>
  <c r="S36" i="7"/>
  <c r="S33" i="7"/>
  <c r="S29" i="7"/>
  <c r="S25" i="7"/>
  <c r="H41" i="13"/>
  <c r="C14" i="6"/>
  <c r="AH9" i="6"/>
  <c r="H36" i="5"/>
  <c r="F36" i="5"/>
  <c r="H29" i="5"/>
  <c r="U4" i="5"/>
  <c r="T38" i="5" s="1"/>
  <c r="H22" i="4"/>
  <c r="S16" i="3"/>
  <c r="H44" i="3" s="1"/>
  <c r="S14" i="3"/>
  <c r="D50" i="3" s="1"/>
  <c r="H36" i="2"/>
  <c r="I18" i="21" s="1"/>
  <c r="BU150" i="20"/>
  <c r="AZ124" i="20"/>
  <c r="X124" i="20"/>
  <c r="DL123" i="20"/>
  <c r="CL123" i="20"/>
  <c r="BZ123" i="20"/>
  <c r="CC122" i="20"/>
  <c r="AG122" i="20"/>
  <c r="A122" i="20"/>
  <c r="AZ97" i="20"/>
  <c r="X97" i="20"/>
  <c r="DL96" i="20"/>
  <c r="CL96" i="20"/>
  <c r="BZ96" i="20"/>
  <c r="CC95" i="20"/>
  <c r="AG95" i="20"/>
  <c r="A95" i="20"/>
  <c r="DL2" i="20"/>
  <c r="CL2" i="20"/>
  <c r="AZ3" i="20"/>
  <c r="X3" i="20"/>
  <c r="CC1" i="20"/>
  <c r="AG1" i="20"/>
  <c r="A1" i="20"/>
  <c r="B30" i="20"/>
  <c r="C30" i="20" s="1"/>
  <c r="D30" i="20" s="1"/>
  <c r="E30" i="20" s="1"/>
  <c r="F30" i="20" s="1"/>
  <c r="G30" i="20" s="1"/>
  <c r="H30" i="20" s="1"/>
  <c r="I30" i="20" s="1"/>
  <c r="J30" i="20" s="1"/>
  <c r="K30" i="20" s="1"/>
  <c r="L30" i="20" s="1"/>
  <c r="M30" i="20" s="1"/>
  <c r="N30" i="20" s="1"/>
  <c r="O30" i="20" s="1"/>
  <c r="P30" i="20" s="1"/>
  <c r="Q30" i="20" s="1"/>
  <c r="R30" i="20" s="1"/>
  <c r="S30" i="20" s="1"/>
  <c r="T30" i="20" s="1"/>
  <c r="U30" i="20" s="1"/>
  <c r="V30" i="20" s="1"/>
  <c r="W30" i="20" s="1"/>
  <c r="X30" i="20" s="1"/>
  <c r="Y30" i="20" s="1"/>
  <c r="Z30" i="20" s="1"/>
  <c r="AA30" i="20" s="1"/>
  <c r="AB30" i="20" s="1"/>
  <c r="AC30" i="20" s="1"/>
  <c r="AD30" i="20" s="1"/>
  <c r="AE30" i="20" s="1"/>
  <c r="AF30" i="20" s="1"/>
  <c r="AG30" i="20" s="1"/>
  <c r="AH30" i="20" s="1"/>
  <c r="AI30" i="20" s="1"/>
  <c r="AJ30" i="20" s="1"/>
  <c r="AK30" i="20" s="1"/>
  <c r="AL30" i="20" s="1"/>
  <c r="AM30" i="20" s="1"/>
  <c r="AN30" i="20" s="1"/>
  <c r="AO30" i="20" s="1"/>
  <c r="AP30" i="20" s="1"/>
  <c r="AQ30" i="20" s="1"/>
  <c r="AR30" i="20" s="1"/>
  <c r="AS30" i="20" s="1"/>
  <c r="AT30" i="20" s="1"/>
  <c r="AU30" i="20" s="1"/>
  <c r="AV30" i="20" s="1"/>
  <c r="AW30" i="20" s="1"/>
  <c r="AX30" i="20" s="1"/>
  <c r="AY30" i="20" s="1"/>
  <c r="AZ30" i="20" s="1"/>
  <c r="BA30" i="20" s="1"/>
  <c r="BB30" i="20" s="1"/>
  <c r="BC30" i="20" s="1"/>
  <c r="BD30" i="20" s="1"/>
  <c r="BE30" i="20" s="1"/>
  <c r="BF30" i="20" s="1"/>
  <c r="BG30" i="20" s="1"/>
  <c r="BH30" i="20" s="1"/>
  <c r="BI30" i="20" s="1"/>
  <c r="BJ30" i="20" s="1"/>
  <c r="BK30" i="20" s="1"/>
  <c r="BL30" i="20" s="1"/>
  <c r="BM30" i="20" s="1"/>
  <c r="BN30" i="20" s="1"/>
  <c r="BO30" i="20" s="1"/>
  <c r="BP30" i="20" s="1"/>
  <c r="BQ30" i="20" s="1"/>
  <c r="BR30" i="20" s="1"/>
  <c r="BS30" i="20" s="1"/>
  <c r="BT30" i="20" s="1"/>
  <c r="BU30" i="20" s="1"/>
  <c r="BV30" i="20" s="1"/>
  <c r="BW30" i="20" s="1"/>
  <c r="BX30" i="20" s="1"/>
  <c r="BY30" i="20" s="1"/>
  <c r="BZ30" i="20" s="1"/>
  <c r="CA30" i="20" s="1"/>
  <c r="CB30" i="20" s="1"/>
  <c r="CC30" i="20" s="1"/>
  <c r="CD30" i="20" s="1"/>
  <c r="CE30" i="20" s="1"/>
  <c r="CF30" i="20" s="1"/>
  <c r="CG30" i="20" s="1"/>
  <c r="CH30" i="20" s="1"/>
  <c r="CI30" i="20" s="1"/>
  <c r="CJ30" i="20" s="1"/>
  <c r="CK30" i="20" s="1"/>
  <c r="CL30" i="20" s="1"/>
  <c r="CM30" i="20" s="1"/>
  <c r="CN30" i="20" s="1"/>
  <c r="CO30" i="20" s="1"/>
  <c r="CP30" i="20" s="1"/>
  <c r="CQ30" i="20" s="1"/>
  <c r="CR30" i="20" s="1"/>
  <c r="CS30" i="20" s="1"/>
  <c r="CT30" i="20" s="1"/>
  <c r="CU30" i="20" s="1"/>
  <c r="CV30" i="20" s="1"/>
  <c r="CW30" i="20" s="1"/>
  <c r="CX30" i="20" s="1"/>
  <c r="CY30" i="20" s="1"/>
  <c r="CZ30" i="20" s="1"/>
  <c r="DA30" i="20" s="1"/>
  <c r="DB30" i="20" s="1"/>
  <c r="DC30" i="20" s="1"/>
  <c r="DD30" i="20" s="1"/>
  <c r="DE30" i="20" s="1"/>
  <c r="DF30" i="20" s="1"/>
  <c r="DG30" i="20" s="1"/>
  <c r="DH30" i="20" s="1"/>
  <c r="DI30" i="20" s="1"/>
  <c r="DJ30" i="20" s="1"/>
  <c r="DK30" i="20" s="1"/>
  <c r="DL30" i="20" s="1"/>
  <c r="DM30" i="20" s="1"/>
  <c r="DN30" i="20" s="1"/>
  <c r="DO30" i="20" s="1"/>
  <c r="DP30" i="20" s="1"/>
  <c r="A31" i="20" s="1"/>
  <c r="B31" i="20" s="1"/>
  <c r="C31" i="20" s="1"/>
  <c r="D31" i="20" s="1"/>
  <c r="E31" i="20" s="1"/>
  <c r="F31" i="20" s="1"/>
  <c r="G31" i="20" s="1"/>
  <c r="H31" i="20" s="1"/>
  <c r="I31" i="20" s="1"/>
  <c r="J31" i="20" s="1"/>
  <c r="K31" i="20" s="1"/>
  <c r="L31" i="20" s="1"/>
  <c r="M31" i="20" s="1"/>
  <c r="N31" i="20" s="1"/>
  <c r="O31" i="20" s="1"/>
  <c r="P31" i="20" s="1"/>
  <c r="Q31" i="20" s="1"/>
  <c r="R31" i="20" s="1"/>
  <c r="S31" i="20" s="1"/>
  <c r="T31" i="20" s="1"/>
  <c r="U31" i="20" s="1"/>
  <c r="V31" i="20" s="1"/>
  <c r="W31" i="20" s="1"/>
  <c r="X31" i="20" s="1"/>
  <c r="Y31" i="20" s="1"/>
  <c r="Z31" i="20" s="1"/>
  <c r="AA31" i="20" s="1"/>
  <c r="AB31" i="20" s="1"/>
  <c r="AC31" i="20" s="1"/>
  <c r="AD31" i="20" s="1"/>
  <c r="AE31" i="20" s="1"/>
  <c r="AF31" i="20" s="1"/>
  <c r="AG31" i="20" s="1"/>
  <c r="AH31" i="20" s="1"/>
  <c r="AI31" i="20" s="1"/>
  <c r="AJ31" i="20" s="1"/>
  <c r="AK31" i="20" s="1"/>
  <c r="AL31" i="20" s="1"/>
  <c r="AM31" i="20" s="1"/>
  <c r="AN31" i="20" s="1"/>
  <c r="AO31" i="20" s="1"/>
  <c r="AP31" i="20" s="1"/>
  <c r="AQ31" i="20" s="1"/>
  <c r="AR31" i="20" s="1"/>
  <c r="AS31" i="20" s="1"/>
  <c r="AT31" i="20" s="1"/>
  <c r="AU31" i="20" s="1"/>
  <c r="AV31" i="20" s="1"/>
  <c r="AW31" i="20" s="1"/>
  <c r="AX31" i="20" s="1"/>
  <c r="AY31" i="20" s="1"/>
  <c r="AZ31" i="20" s="1"/>
  <c r="BA31" i="20" s="1"/>
  <c r="BB31" i="20" s="1"/>
  <c r="BC31" i="20" s="1"/>
  <c r="BD31" i="20" s="1"/>
  <c r="BE31" i="20" s="1"/>
  <c r="BF31" i="20" s="1"/>
  <c r="BG31" i="20" s="1"/>
  <c r="BH31" i="20" s="1"/>
  <c r="BI31" i="20" s="1"/>
  <c r="BJ31" i="20" s="1"/>
  <c r="BK31" i="20" s="1"/>
  <c r="BL31" i="20" s="1"/>
  <c r="BM31" i="20" s="1"/>
  <c r="BN31" i="20" s="1"/>
  <c r="BO31" i="20" s="1"/>
  <c r="BP31" i="20" s="1"/>
  <c r="BQ31" i="20" s="1"/>
  <c r="BR31" i="20" s="1"/>
  <c r="BS31" i="20" s="1"/>
  <c r="BT31" i="20" s="1"/>
  <c r="BU31" i="20" s="1"/>
  <c r="BV31" i="20" s="1"/>
  <c r="BW31" i="20" s="1"/>
  <c r="BX31" i="20" s="1"/>
  <c r="BY31" i="20" s="1"/>
  <c r="BZ31" i="20" s="1"/>
  <c r="CA31" i="20" s="1"/>
  <c r="CB31" i="20" s="1"/>
  <c r="CC31" i="20" s="1"/>
  <c r="CD31" i="20" s="1"/>
  <c r="CE31" i="20" s="1"/>
  <c r="CF31" i="20" s="1"/>
  <c r="CG31" i="20" s="1"/>
  <c r="CH31" i="20" s="1"/>
  <c r="CI31" i="20" s="1"/>
  <c r="CJ31" i="20" s="1"/>
  <c r="CK31" i="20" s="1"/>
  <c r="CL31" i="20" s="1"/>
  <c r="CM31" i="20" s="1"/>
  <c r="CN31" i="20" s="1"/>
  <c r="CO31" i="20" s="1"/>
  <c r="CP31" i="20" s="1"/>
  <c r="CQ31" i="20" s="1"/>
  <c r="CR31" i="20" s="1"/>
  <c r="CS31" i="20" s="1"/>
  <c r="CT31" i="20" s="1"/>
  <c r="CU31" i="20" s="1"/>
  <c r="CV31" i="20" s="1"/>
  <c r="CW31" i="20" s="1"/>
  <c r="CX31" i="20" s="1"/>
  <c r="CY31" i="20" s="1"/>
  <c r="CZ31" i="20" s="1"/>
  <c r="DA31" i="20" s="1"/>
  <c r="DB31" i="20" s="1"/>
  <c r="DC31" i="20" s="1"/>
  <c r="DD31" i="20" s="1"/>
  <c r="DE31" i="20" s="1"/>
  <c r="DF31" i="20" s="1"/>
  <c r="DG31" i="20" s="1"/>
  <c r="DH31" i="20" s="1"/>
  <c r="DI31" i="20" s="1"/>
  <c r="DJ31" i="20" s="1"/>
  <c r="DK31" i="20" s="1"/>
  <c r="DL31" i="20" s="1"/>
  <c r="DM31" i="20" s="1"/>
  <c r="DN31" i="20" s="1"/>
  <c r="DO31" i="20" s="1"/>
  <c r="DP31" i="20" s="1"/>
  <c r="A32" i="20" s="1"/>
  <c r="B32" i="20" s="1"/>
  <c r="C32" i="20" s="1"/>
  <c r="D32" i="20" s="1"/>
  <c r="E32" i="20" s="1"/>
  <c r="F32" i="20" s="1"/>
  <c r="G32" i="20" s="1"/>
  <c r="H32" i="20" s="1"/>
  <c r="I32" i="20" s="1"/>
  <c r="J32" i="20" s="1"/>
  <c r="K32" i="20" s="1"/>
  <c r="L32" i="20" s="1"/>
  <c r="M32" i="20" s="1"/>
  <c r="N32" i="20" s="1"/>
  <c r="O32" i="20" s="1"/>
  <c r="P32" i="20" s="1"/>
  <c r="Q32" i="20" s="1"/>
  <c r="R32" i="20" s="1"/>
  <c r="S32" i="20" s="1"/>
  <c r="T32" i="20" s="1"/>
  <c r="U32" i="20" s="1"/>
  <c r="V32" i="20" s="1"/>
  <c r="W32" i="20" s="1"/>
  <c r="X32" i="20" s="1"/>
  <c r="Y32" i="20" s="1"/>
  <c r="Z32" i="20" s="1"/>
  <c r="AA32" i="20" s="1"/>
  <c r="AB32" i="20" s="1"/>
  <c r="AC32" i="20" s="1"/>
  <c r="AD32" i="20" s="1"/>
  <c r="AE32" i="20" s="1"/>
  <c r="AF32" i="20" s="1"/>
  <c r="AG32" i="20" s="1"/>
  <c r="AH32" i="20" s="1"/>
  <c r="AI32" i="20" s="1"/>
  <c r="AJ32" i="20" s="1"/>
  <c r="AK32" i="20" s="1"/>
  <c r="AL32" i="20" s="1"/>
  <c r="AM32" i="20" s="1"/>
  <c r="AN32" i="20" s="1"/>
  <c r="AO32" i="20" s="1"/>
  <c r="AP32" i="20" s="1"/>
  <c r="AQ32" i="20" s="1"/>
  <c r="AR32" i="20" s="1"/>
  <c r="AS32" i="20" s="1"/>
  <c r="AT32" i="20" s="1"/>
  <c r="AU32" i="20" s="1"/>
  <c r="AV32" i="20" s="1"/>
  <c r="AW32" i="20" s="1"/>
  <c r="AX32" i="20" s="1"/>
  <c r="AY32" i="20" s="1"/>
  <c r="AZ32" i="20" s="1"/>
  <c r="BA32" i="20" s="1"/>
  <c r="BB32" i="20" s="1"/>
  <c r="BC32" i="20" s="1"/>
  <c r="BD32" i="20" s="1"/>
  <c r="BE32" i="20" s="1"/>
  <c r="BF32" i="20" s="1"/>
  <c r="BG32" i="20" s="1"/>
  <c r="BH32" i="20" s="1"/>
  <c r="BI32" i="20" s="1"/>
  <c r="BJ32" i="20" s="1"/>
  <c r="BK32" i="20" s="1"/>
  <c r="BL32" i="20" s="1"/>
  <c r="BM32" i="20" s="1"/>
  <c r="BN32" i="20" s="1"/>
  <c r="BO32" i="20" s="1"/>
  <c r="BP32" i="20" s="1"/>
  <c r="BQ32" i="20" s="1"/>
  <c r="BR32" i="20" s="1"/>
  <c r="BS32" i="20" s="1"/>
  <c r="BT32" i="20" s="1"/>
  <c r="BU32" i="20" s="1"/>
  <c r="BV32" i="20" s="1"/>
  <c r="BW32" i="20" s="1"/>
  <c r="BX32" i="20" s="1"/>
  <c r="BY32" i="20" s="1"/>
  <c r="BZ32" i="20" s="1"/>
  <c r="CA32" i="20" s="1"/>
  <c r="CB32" i="20" s="1"/>
  <c r="CC32" i="20" s="1"/>
  <c r="CD32" i="20" s="1"/>
  <c r="CE32" i="20" s="1"/>
  <c r="CF32" i="20" s="1"/>
  <c r="CG32" i="20" s="1"/>
  <c r="CH32" i="20" s="1"/>
  <c r="CI32" i="20" s="1"/>
  <c r="CJ32" i="20" s="1"/>
  <c r="CK32" i="20" s="1"/>
  <c r="CL32" i="20" s="1"/>
  <c r="CM32" i="20" s="1"/>
  <c r="CN32" i="20" s="1"/>
  <c r="CO32" i="20" s="1"/>
  <c r="CP32" i="20" s="1"/>
  <c r="CQ32" i="20" s="1"/>
  <c r="CR32" i="20" s="1"/>
  <c r="CS32" i="20" s="1"/>
  <c r="CT32" i="20" s="1"/>
  <c r="CU32" i="20" s="1"/>
  <c r="CV32" i="20" s="1"/>
  <c r="CW32" i="20" s="1"/>
  <c r="CX32" i="20" s="1"/>
  <c r="CY32" i="20" s="1"/>
  <c r="CZ32" i="20" s="1"/>
  <c r="DA32" i="20" s="1"/>
  <c r="DB32" i="20" s="1"/>
  <c r="DC32" i="20" s="1"/>
  <c r="DD32" i="20" s="1"/>
  <c r="DE32" i="20" s="1"/>
  <c r="DF32" i="20" s="1"/>
  <c r="DG32" i="20" s="1"/>
  <c r="DH32" i="20" s="1"/>
  <c r="DI32" i="20" s="1"/>
  <c r="DJ32" i="20" s="1"/>
  <c r="DK32" i="20" s="1"/>
  <c r="DL32" i="20" s="1"/>
  <c r="DM32" i="20" s="1"/>
  <c r="DN32" i="20" s="1"/>
  <c r="DO32" i="20" s="1"/>
  <c r="DP32" i="20" s="1"/>
  <c r="A33" i="20" s="1"/>
  <c r="B33" i="20" s="1"/>
  <c r="C33" i="20" s="1"/>
  <c r="D33" i="20" s="1"/>
  <c r="E33" i="20" s="1"/>
  <c r="F33" i="20" s="1"/>
  <c r="G33" i="20" s="1"/>
  <c r="H33" i="20" s="1"/>
  <c r="I33" i="20" s="1"/>
  <c r="J33" i="20" s="1"/>
  <c r="K33" i="20" s="1"/>
  <c r="L33" i="20" s="1"/>
  <c r="M33" i="20" s="1"/>
  <c r="N33" i="20" s="1"/>
  <c r="O33" i="20" s="1"/>
  <c r="P33" i="20" s="1"/>
  <c r="Q33" i="20" s="1"/>
  <c r="R33" i="20" s="1"/>
  <c r="S33" i="20" s="1"/>
  <c r="T33" i="20" s="1"/>
  <c r="U33" i="20" s="1"/>
  <c r="V33" i="20" s="1"/>
  <c r="W33" i="20" s="1"/>
  <c r="X33" i="20" s="1"/>
  <c r="Y33" i="20" s="1"/>
  <c r="Z33" i="20" s="1"/>
  <c r="AA33" i="20" s="1"/>
  <c r="AB33" i="20" s="1"/>
  <c r="AC33" i="20" s="1"/>
  <c r="AD33" i="20" s="1"/>
  <c r="AE33" i="20" s="1"/>
  <c r="AF33" i="20" s="1"/>
  <c r="AG33" i="20" s="1"/>
  <c r="AH33" i="20" s="1"/>
  <c r="AI33" i="20" s="1"/>
  <c r="AJ33" i="20" s="1"/>
  <c r="AK33" i="20" s="1"/>
  <c r="AL33" i="20" s="1"/>
  <c r="AM33" i="20" s="1"/>
  <c r="AN33" i="20" s="1"/>
  <c r="AO33" i="20" s="1"/>
  <c r="AP33" i="20" s="1"/>
  <c r="AQ33" i="20" s="1"/>
  <c r="AR33" i="20" s="1"/>
  <c r="AS33" i="20" s="1"/>
  <c r="AT33" i="20" s="1"/>
  <c r="AU33" i="20" s="1"/>
  <c r="AV33" i="20" s="1"/>
  <c r="AW33" i="20" s="1"/>
  <c r="AX33" i="20" s="1"/>
  <c r="AY33" i="20" s="1"/>
  <c r="AZ33" i="20" s="1"/>
  <c r="BA33" i="20" s="1"/>
  <c r="BB33" i="20" s="1"/>
  <c r="BC33" i="20" s="1"/>
  <c r="BD33" i="20" s="1"/>
  <c r="BE33" i="20" s="1"/>
  <c r="BF33" i="20" s="1"/>
  <c r="BG33" i="20" s="1"/>
  <c r="BH33" i="20" s="1"/>
  <c r="BI33" i="20" s="1"/>
  <c r="BJ33" i="20" s="1"/>
  <c r="BK33" i="20" s="1"/>
  <c r="BL33" i="20" s="1"/>
  <c r="BM33" i="20" s="1"/>
  <c r="BN33" i="20" s="1"/>
  <c r="BO33" i="20" s="1"/>
  <c r="BP33" i="20" s="1"/>
  <c r="BQ33" i="20" s="1"/>
  <c r="BR33" i="20" s="1"/>
  <c r="BS33" i="20" s="1"/>
  <c r="BT33" i="20" s="1"/>
  <c r="BU33" i="20" s="1"/>
  <c r="BV33" i="20" s="1"/>
  <c r="BW33" i="20" s="1"/>
  <c r="BX33" i="20" s="1"/>
  <c r="BY33" i="20" s="1"/>
  <c r="BZ33" i="20" s="1"/>
  <c r="CA33" i="20" s="1"/>
  <c r="CB33" i="20" s="1"/>
  <c r="CC33" i="20" s="1"/>
  <c r="CD33" i="20" s="1"/>
  <c r="CE33" i="20" s="1"/>
  <c r="CF33" i="20" s="1"/>
  <c r="CG33" i="20" s="1"/>
  <c r="CH33" i="20" s="1"/>
  <c r="CI33" i="20" s="1"/>
  <c r="CJ33" i="20" s="1"/>
  <c r="CK33" i="20" s="1"/>
  <c r="CL33" i="20" s="1"/>
  <c r="CM33" i="20" s="1"/>
  <c r="CN33" i="20" s="1"/>
  <c r="CO33" i="20" s="1"/>
  <c r="CP33" i="20" s="1"/>
  <c r="CQ33" i="20" s="1"/>
  <c r="CR33" i="20" s="1"/>
  <c r="CS33" i="20" s="1"/>
  <c r="CT33" i="20" s="1"/>
  <c r="CU33" i="20" s="1"/>
  <c r="CV33" i="20" s="1"/>
  <c r="CW33" i="20" s="1"/>
  <c r="CX33" i="20" s="1"/>
  <c r="CY33" i="20" s="1"/>
  <c r="CZ33" i="20" s="1"/>
  <c r="DA33" i="20" s="1"/>
  <c r="DB33" i="20" s="1"/>
  <c r="DC33" i="20" s="1"/>
  <c r="DD33" i="20" s="1"/>
  <c r="DE33" i="20" s="1"/>
  <c r="DF33" i="20" s="1"/>
  <c r="DG33" i="20" s="1"/>
  <c r="DH33" i="20" s="1"/>
  <c r="DI33" i="20" s="1"/>
  <c r="DJ33" i="20" s="1"/>
  <c r="DK33" i="20" s="1"/>
  <c r="DL33" i="20" s="1"/>
  <c r="DM33" i="20" s="1"/>
  <c r="DN33" i="20" s="1"/>
  <c r="DO33" i="20" s="1"/>
  <c r="DP33" i="20" s="1"/>
  <c r="A34" i="20" s="1"/>
  <c r="B34" i="20" s="1"/>
  <c r="C34" i="20" s="1"/>
  <c r="D34" i="20" s="1"/>
  <c r="E34" i="20" s="1"/>
  <c r="F34" i="20" s="1"/>
  <c r="G34" i="20" s="1"/>
  <c r="H34" i="20" s="1"/>
  <c r="I34" i="20" s="1"/>
  <c r="J34" i="20" s="1"/>
  <c r="K34" i="20" s="1"/>
  <c r="L34" i="20" s="1"/>
  <c r="M34" i="20" s="1"/>
  <c r="N34" i="20" s="1"/>
  <c r="O34" i="20" s="1"/>
  <c r="P34" i="20" s="1"/>
  <c r="Q34" i="20" s="1"/>
  <c r="R34" i="20" s="1"/>
  <c r="S34" i="20" s="1"/>
  <c r="T34" i="20" s="1"/>
  <c r="U34" i="20" s="1"/>
  <c r="V34" i="20" s="1"/>
  <c r="W34" i="20" s="1"/>
  <c r="X34" i="20" s="1"/>
  <c r="Y34" i="20" s="1"/>
  <c r="Z34" i="20" s="1"/>
  <c r="AA34" i="20" s="1"/>
  <c r="AB34" i="20" s="1"/>
  <c r="AC34" i="20" s="1"/>
  <c r="AD34" i="20" s="1"/>
  <c r="AE34" i="20" s="1"/>
  <c r="AF34" i="20" s="1"/>
  <c r="AG34" i="20" s="1"/>
  <c r="AH34" i="20" s="1"/>
  <c r="AI34" i="20" s="1"/>
  <c r="AJ34" i="20" s="1"/>
  <c r="AK34" i="20" s="1"/>
  <c r="AL34" i="20" s="1"/>
  <c r="AM34" i="20" s="1"/>
  <c r="AN34" i="20" s="1"/>
  <c r="AO34" i="20" s="1"/>
  <c r="AP34" i="20" s="1"/>
  <c r="AQ34" i="20" s="1"/>
  <c r="AR34" i="20" s="1"/>
  <c r="AS34" i="20" s="1"/>
  <c r="AT34" i="20" s="1"/>
  <c r="AU34" i="20" s="1"/>
  <c r="AV34" i="20" s="1"/>
  <c r="AW34" i="20" s="1"/>
  <c r="AX34" i="20" s="1"/>
  <c r="AY34" i="20" s="1"/>
  <c r="AZ34" i="20" s="1"/>
  <c r="BA34" i="20" s="1"/>
  <c r="BB34" i="20" s="1"/>
  <c r="BC34" i="20" s="1"/>
  <c r="BD34" i="20" s="1"/>
  <c r="BE34" i="20" s="1"/>
  <c r="BF34" i="20" s="1"/>
  <c r="BG34" i="20" s="1"/>
  <c r="BH34" i="20" s="1"/>
  <c r="BI34" i="20" s="1"/>
  <c r="BJ34" i="20" s="1"/>
  <c r="BK34" i="20" s="1"/>
  <c r="BL34" i="20" s="1"/>
  <c r="BM34" i="20" s="1"/>
  <c r="BN34" i="20" s="1"/>
  <c r="BO34" i="20" s="1"/>
  <c r="BP34" i="20" s="1"/>
  <c r="BQ34" i="20" s="1"/>
  <c r="BR34" i="20" s="1"/>
  <c r="BS34" i="20" s="1"/>
  <c r="BT34" i="20" s="1"/>
  <c r="BU34" i="20" s="1"/>
  <c r="BV34" i="20" s="1"/>
  <c r="BW34" i="20" s="1"/>
  <c r="BX34" i="20" s="1"/>
  <c r="BY34" i="20" s="1"/>
  <c r="BZ34" i="20" s="1"/>
  <c r="CA34" i="20" s="1"/>
  <c r="CB34" i="20" s="1"/>
  <c r="CC34" i="20" s="1"/>
  <c r="CD34" i="20" s="1"/>
  <c r="CE34" i="20" s="1"/>
  <c r="CF34" i="20" s="1"/>
  <c r="CG34" i="20" s="1"/>
  <c r="CH34" i="20" s="1"/>
  <c r="CI34" i="20" s="1"/>
  <c r="CJ34" i="20" s="1"/>
  <c r="CK34" i="20" s="1"/>
  <c r="CL34" i="20" s="1"/>
  <c r="CM34" i="20" s="1"/>
  <c r="CN34" i="20" s="1"/>
  <c r="CO34" i="20" s="1"/>
  <c r="CP34" i="20" s="1"/>
  <c r="CQ34" i="20" s="1"/>
  <c r="CR34" i="20" s="1"/>
  <c r="CS34" i="20" s="1"/>
  <c r="CT34" i="20" s="1"/>
  <c r="CU34" i="20" s="1"/>
  <c r="CV34" i="20" s="1"/>
  <c r="CW34" i="20" s="1"/>
  <c r="CX34" i="20" s="1"/>
  <c r="CY34" i="20" s="1"/>
  <c r="CZ34" i="20" s="1"/>
  <c r="DA34" i="20" s="1"/>
  <c r="DB34" i="20" s="1"/>
  <c r="DC34" i="20" s="1"/>
  <c r="DD34" i="20" s="1"/>
  <c r="DE34" i="20" s="1"/>
  <c r="DF34" i="20" s="1"/>
  <c r="DG34" i="20" s="1"/>
  <c r="DH34" i="20" s="1"/>
  <c r="DI34" i="20" s="1"/>
  <c r="DJ34" i="20" s="1"/>
  <c r="DK34" i="20" s="1"/>
  <c r="DL34" i="20" s="1"/>
  <c r="DM34" i="20" s="1"/>
  <c r="DN34" i="20" s="1"/>
  <c r="DO34" i="20" s="1"/>
  <c r="DP34" i="20" s="1"/>
  <c r="A35" i="20" s="1"/>
  <c r="B35" i="20" s="1"/>
  <c r="C35" i="20" s="1"/>
  <c r="D35" i="20" s="1"/>
  <c r="E35" i="20" s="1"/>
  <c r="F35" i="20" s="1"/>
  <c r="G35" i="20" s="1"/>
  <c r="H35" i="20" s="1"/>
  <c r="I35" i="20" s="1"/>
  <c r="J35" i="20" s="1"/>
  <c r="K35" i="20" s="1"/>
  <c r="L35" i="20" s="1"/>
  <c r="M35" i="20" s="1"/>
  <c r="N35" i="20" s="1"/>
  <c r="O35" i="20" s="1"/>
  <c r="P35" i="20" s="1"/>
  <c r="Q35" i="20" s="1"/>
  <c r="R35" i="20" s="1"/>
  <c r="S35" i="20" s="1"/>
  <c r="T35" i="20" s="1"/>
  <c r="U35" i="20" s="1"/>
  <c r="V35" i="20" s="1"/>
  <c r="W35" i="20" s="1"/>
  <c r="X35" i="20" s="1"/>
  <c r="Y35" i="20" s="1"/>
  <c r="Z35" i="20" s="1"/>
  <c r="AA35" i="20" s="1"/>
  <c r="AB35" i="20" s="1"/>
  <c r="AC35" i="20" s="1"/>
  <c r="AD35" i="20" s="1"/>
  <c r="AE35" i="20" s="1"/>
  <c r="AF35" i="20" s="1"/>
  <c r="AG35" i="20" s="1"/>
  <c r="AH35" i="20" s="1"/>
  <c r="AI35" i="20" s="1"/>
  <c r="AJ35" i="20" s="1"/>
  <c r="AK35" i="20" s="1"/>
  <c r="AL35" i="20" s="1"/>
  <c r="AM35" i="20" s="1"/>
  <c r="AN35" i="20" s="1"/>
  <c r="AO35" i="20" s="1"/>
  <c r="AP35" i="20" s="1"/>
  <c r="AQ35" i="20" s="1"/>
  <c r="AR35" i="20" s="1"/>
  <c r="AS35" i="20" s="1"/>
  <c r="AT35" i="20" s="1"/>
  <c r="AU35" i="20" s="1"/>
  <c r="AV35" i="20" s="1"/>
  <c r="AW35" i="20" s="1"/>
  <c r="AX35" i="20" s="1"/>
  <c r="AY35" i="20" s="1"/>
  <c r="AZ35" i="20" s="1"/>
  <c r="BA35" i="20" s="1"/>
  <c r="BB35" i="20" s="1"/>
  <c r="BC35" i="20" s="1"/>
  <c r="BD35" i="20" s="1"/>
  <c r="BE35" i="20" s="1"/>
  <c r="BF35" i="20" s="1"/>
  <c r="BG35" i="20" s="1"/>
  <c r="BH35" i="20" s="1"/>
  <c r="BI35" i="20" s="1"/>
  <c r="BJ35" i="20" s="1"/>
  <c r="BK35" i="20" s="1"/>
  <c r="BL35" i="20" s="1"/>
  <c r="BM35" i="20" s="1"/>
  <c r="BN35" i="20" s="1"/>
  <c r="BO35" i="20" s="1"/>
  <c r="BP35" i="20" s="1"/>
  <c r="BQ35" i="20" s="1"/>
  <c r="BR35" i="20" s="1"/>
  <c r="BS35" i="20" s="1"/>
  <c r="BT35" i="20" s="1"/>
  <c r="BU35" i="20" s="1"/>
  <c r="BV35" i="20" s="1"/>
  <c r="BW35" i="20" s="1"/>
  <c r="BX35" i="20" s="1"/>
  <c r="BY35" i="20" s="1"/>
  <c r="BZ35" i="20" s="1"/>
  <c r="CA35" i="20" s="1"/>
  <c r="CB35" i="20" s="1"/>
  <c r="CC35" i="20" s="1"/>
  <c r="CD35" i="20" s="1"/>
  <c r="CE35" i="20" s="1"/>
  <c r="CF35" i="20" s="1"/>
  <c r="CG35" i="20" s="1"/>
  <c r="CH35" i="20" s="1"/>
  <c r="CI35" i="20" s="1"/>
  <c r="CJ35" i="20" s="1"/>
  <c r="CK35" i="20" s="1"/>
  <c r="CL35" i="20" s="1"/>
  <c r="CM35" i="20" s="1"/>
  <c r="CN35" i="20" s="1"/>
  <c r="CO35" i="20" s="1"/>
  <c r="CP35" i="20" s="1"/>
  <c r="CQ35" i="20" s="1"/>
  <c r="CR35" i="20" s="1"/>
  <c r="CS35" i="20" s="1"/>
  <c r="CT35" i="20" s="1"/>
  <c r="CU35" i="20" s="1"/>
  <c r="CV35" i="20" s="1"/>
  <c r="CW35" i="20" s="1"/>
  <c r="CX35" i="20" s="1"/>
  <c r="CY35" i="20" s="1"/>
  <c r="CZ35" i="20" s="1"/>
  <c r="DA35" i="20" s="1"/>
  <c r="DB35" i="20" s="1"/>
  <c r="DC35" i="20" s="1"/>
  <c r="DD35" i="20" s="1"/>
  <c r="DE35" i="20" s="1"/>
  <c r="DF35" i="20" s="1"/>
  <c r="DG35" i="20" s="1"/>
  <c r="DH35" i="20" s="1"/>
  <c r="DI35" i="20" s="1"/>
  <c r="DJ35" i="20" s="1"/>
  <c r="DK35" i="20" s="1"/>
  <c r="DL35" i="20" s="1"/>
  <c r="DM35" i="20" s="1"/>
  <c r="DN35" i="20" s="1"/>
  <c r="DO35" i="20" s="1"/>
  <c r="DP35" i="20" s="1"/>
  <c r="A36" i="20" s="1"/>
  <c r="B36" i="20" s="1"/>
  <c r="C36" i="20" s="1"/>
  <c r="D36" i="20" s="1"/>
  <c r="E36" i="20" s="1"/>
  <c r="F36" i="20" s="1"/>
  <c r="G36" i="20" s="1"/>
  <c r="H36" i="20" s="1"/>
  <c r="I36" i="20" s="1"/>
  <c r="J36" i="20" s="1"/>
  <c r="K36" i="20" s="1"/>
  <c r="L36" i="20" s="1"/>
  <c r="M36" i="20" s="1"/>
  <c r="N36" i="20" s="1"/>
  <c r="O36" i="20" s="1"/>
  <c r="P36" i="20" s="1"/>
  <c r="Q36" i="20" s="1"/>
  <c r="R36" i="20" s="1"/>
  <c r="S36" i="20" s="1"/>
  <c r="T36" i="20" s="1"/>
  <c r="U36" i="20" s="1"/>
  <c r="V36" i="20" s="1"/>
  <c r="W36" i="20" s="1"/>
  <c r="X36" i="20" s="1"/>
  <c r="Y36" i="20" s="1"/>
  <c r="Z36" i="20" s="1"/>
  <c r="AA36" i="20" s="1"/>
  <c r="AB36" i="20" s="1"/>
  <c r="AC36" i="20" s="1"/>
  <c r="AD36" i="20" s="1"/>
  <c r="AE36" i="20" s="1"/>
  <c r="AF36" i="20" s="1"/>
  <c r="AG36" i="20" s="1"/>
  <c r="AH36" i="20" s="1"/>
  <c r="AI36" i="20" s="1"/>
  <c r="AJ36" i="20" s="1"/>
  <c r="AK36" i="20" s="1"/>
  <c r="AL36" i="20" s="1"/>
  <c r="AM36" i="20" s="1"/>
  <c r="AN36" i="20" s="1"/>
  <c r="AO36" i="20" s="1"/>
  <c r="AP36" i="20" s="1"/>
  <c r="AQ36" i="20" s="1"/>
  <c r="AR36" i="20" s="1"/>
  <c r="AS36" i="20" s="1"/>
  <c r="AT36" i="20" s="1"/>
  <c r="AU36" i="20" s="1"/>
  <c r="AV36" i="20" s="1"/>
  <c r="AW36" i="20" s="1"/>
  <c r="AX36" i="20" s="1"/>
  <c r="AY36" i="20" s="1"/>
  <c r="AZ36" i="20" s="1"/>
  <c r="BA36" i="20" s="1"/>
  <c r="BB36" i="20" s="1"/>
  <c r="BC36" i="20" s="1"/>
  <c r="BD36" i="20" s="1"/>
  <c r="BE36" i="20" s="1"/>
  <c r="BF36" i="20" s="1"/>
  <c r="BG36" i="20" s="1"/>
  <c r="BH36" i="20" s="1"/>
  <c r="BI36" i="20" s="1"/>
  <c r="BJ36" i="20" s="1"/>
  <c r="BK36" i="20" s="1"/>
  <c r="BL36" i="20" s="1"/>
  <c r="BM36" i="20" s="1"/>
  <c r="BN36" i="20" s="1"/>
  <c r="BO36" i="20" s="1"/>
  <c r="BP36" i="20" s="1"/>
  <c r="BQ36" i="20" s="1"/>
  <c r="BR36" i="20" s="1"/>
  <c r="BS36" i="20" s="1"/>
  <c r="BT36" i="20" s="1"/>
  <c r="BU36" i="20" s="1"/>
  <c r="BV36" i="20" s="1"/>
  <c r="BW36" i="20" s="1"/>
  <c r="BX36" i="20" s="1"/>
  <c r="BY36" i="20" s="1"/>
  <c r="BZ36" i="20" s="1"/>
  <c r="CA36" i="20" s="1"/>
  <c r="CB36" i="20" s="1"/>
  <c r="CC36" i="20" s="1"/>
  <c r="CD36" i="20" s="1"/>
  <c r="CE36" i="20" s="1"/>
  <c r="CF36" i="20" s="1"/>
  <c r="CG36" i="20" s="1"/>
  <c r="CH36" i="20" s="1"/>
  <c r="CI36" i="20" s="1"/>
  <c r="CJ36" i="20" s="1"/>
  <c r="CK36" i="20" s="1"/>
  <c r="CL36" i="20" s="1"/>
  <c r="CM36" i="20" s="1"/>
  <c r="CN36" i="20" s="1"/>
  <c r="CO36" i="20" s="1"/>
  <c r="CP36" i="20" s="1"/>
  <c r="CQ36" i="20" s="1"/>
  <c r="CR36" i="20" s="1"/>
  <c r="CS36" i="20" s="1"/>
  <c r="CT36" i="20" s="1"/>
  <c r="CU36" i="20" s="1"/>
  <c r="CV36" i="20" s="1"/>
  <c r="CW36" i="20" s="1"/>
  <c r="CX36" i="20" s="1"/>
  <c r="CY36" i="20" s="1"/>
  <c r="CZ36" i="20" s="1"/>
  <c r="DA36" i="20" s="1"/>
  <c r="DB36" i="20" s="1"/>
  <c r="DC36" i="20" s="1"/>
  <c r="DD36" i="20" s="1"/>
  <c r="DE36" i="20" s="1"/>
  <c r="DF36" i="20" s="1"/>
  <c r="DG36" i="20" s="1"/>
  <c r="DH36" i="20" s="1"/>
  <c r="DI36" i="20" s="1"/>
  <c r="DJ36" i="20" s="1"/>
  <c r="DK36" i="20" s="1"/>
  <c r="DL36" i="20" s="1"/>
  <c r="DM36" i="20" s="1"/>
  <c r="DN36" i="20" s="1"/>
  <c r="DO36" i="20" s="1"/>
  <c r="DP36" i="20" s="1"/>
  <c r="A37" i="20" s="1"/>
  <c r="B37" i="20" s="1"/>
  <c r="C37" i="20" s="1"/>
  <c r="D37" i="20" s="1"/>
  <c r="E37" i="20" s="1"/>
  <c r="F37" i="20" s="1"/>
  <c r="G37" i="20" s="1"/>
  <c r="H37" i="20" s="1"/>
  <c r="I37" i="20" s="1"/>
  <c r="J37" i="20" s="1"/>
  <c r="K37" i="20" s="1"/>
  <c r="L37" i="20" s="1"/>
  <c r="M37" i="20" s="1"/>
  <c r="N37" i="20" s="1"/>
  <c r="O37" i="20" s="1"/>
  <c r="P37" i="20" s="1"/>
  <c r="Q37" i="20" s="1"/>
  <c r="R37" i="20" s="1"/>
  <c r="S37" i="20" s="1"/>
  <c r="T37" i="20" s="1"/>
  <c r="U37" i="20" s="1"/>
  <c r="V37" i="20" s="1"/>
  <c r="W37" i="20" s="1"/>
  <c r="X37" i="20" s="1"/>
  <c r="Y37" i="20" s="1"/>
  <c r="Z37" i="20" s="1"/>
  <c r="AA37" i="20" s="1"/>
  <c r="AB37" i="20" s="1"/>
  <c r="AC37" i="20" s="1"/>
  <c r="AD37" i="20" s="1"/>
  <c r="AE37" i="20" s="1"/>
  <c r="AF37" i="20" s="1"/>
  <c r="AG37" i="20" s="1"/>
  <c r="AH37" i="20" s="1"/>
  <c r="AI37" i="20" s="1"/>
  <c r="AJ37" i="20" s="1"/>
  <c r="AK37" i="20" s="1"/>
  <c r="AL37" i="20" s="1"/>
  <c r="AM37" i="20" s="1"/>
  <c r="AN37" i="20" s="1"/>
  <c r="AO37" i="20" s="1"/>
  <c r="AP37" i="20" s="1"/>
  <c r="AQ37" i="20" s="1"/>
  <c r="AR37" i="20" s="1"/>
  <c r="AS37" i="20" s="1"/>
  <c r="AT37" i="20" s="1"/>
  <c r="AU37" i="20" s="1"/>
  <c r="AV37" i="20" s="1"/>
  <c r="AW37" i="20" s="1"/>
  <c r="AX37" i="20" s="1"/>
  <c r="AY37" i="20" s="1"/>
  <c r="AZ37" i="20" s="1"/>
  <c r="BA37" i="20" s="1"/>
  <c r="BB37" i="20" s="1"/>
  <c r="BC37" i="20" s="1"/>
  <c r="BD37" i="20" s="1"/>
  <c r="BE37" i="20" s="1"/>
  <c r="BF37" i="20" s="1"/>
  <c r="BG37" i="20" s="1"/>
  <c r="BH37" i="20" s="1"/>
  <c r="BI37" i="20" s="1"/>
  <c r="BJ37" i="20" s="1"/>
  <c r="BK37" i="20" s="1"/>
  <c r="BL37" i="20" s="1"/>
  <c r="BM37" i="20" s="1"/>
  <c r="BN37" i="20" s="1"/>
  <c r="BO37" i="20" s="1"/>
  <c r="BP37" i="20" s="1"/>
  <c r="BQ37" i="20" s="1"/>
  <c r="BR37" i="20" s="1"/>
  <c r="BS37" i="20" s="1"/>
  <c r="BT37" i="20" s="1"/>
  <c r="BU37" i="20" s="1"/>
  <c r="BV37" i="20" s="1"/>
  <c r="BW37" i="20" s="1"/>
  <c r="BX37" i="20" s="1"/>
  <c r="BY37" i="20" s="1"/>
  <c r="BZ37" i="20" s="1"/>
  <c r="CA37" i="20" s="1"/>
  <c r="CB37" i="20" s="1"/>
  <c r="CC37" i="20" s="1"/>
  <c r="CD37" i="20" s="1"/>
  <c r="CE37" i="20" s="1"/>
  <c r="CF37" i="20" s="1"/>
  <c r="CG37" i="20" s="1"/>
  <c r="CH37" i="20" s="1"/>
  <c r="CI37" i="20" s="1"/>
  <c r="CJ37" i="20" s="1"/>
  <c r="CK37" i="20" s="1"/>
  <c r="CL37" i="20" s="1"/>
  <c r="CM37" i="20" s="1"/>
  <c r="CN37" i="20" s="1"/>
  <c r="CO37" i="20" s="1"/>
  <c r="CP37" i="20" s="1"/>
  <c r="CQ37" i="20" s="1"/>
  <c r="CR37" i="20" s="1"/>
  <c r="CS37" i="20" s="1"/>
  <c r="CT37" i="20" s="1"/>
  <c r="CU37" i="20" s="1"/>
  <c r="CV37" i="20" s="1"/>
  <c r="CW37" i="20" s="1"/>
  <c r="CX37" i="20" s="1"/>
  <c r="CY37" i="20" s="1"/>
  <c r="CZ37" i="20" s="1"/>
  <c r="DA37" i="20" s="1"/>
  <c r="DB37" i="20" s="1"/>
  <c r="DC37" i="20" s="1"/>
  <c r="DD37" i="20" s="1"/>
  <c r="DE37" i="20" s="1"/>
  <c r="DF37" i="20" s="1"/>
  <c r="DG37" i="20" s="1"/>
  <c r="DH37" i="20" s="1"/>
  <c r="DI37" i="20" s="1"/>
  <c r="DJ37" i="20" s="1"/>
  <c r="DK37" i="20" s="1"/>
  <c r="DL37" i="20" s="1"/>
  <c r="DM37" i="20" s="1"/>
  <c r="DN37" i="20" s="1"/>
  <c r="DO37" i="20" s="1"/>
  <c r="DP37" i="20" s="1"/>
  <c r="A38" i="20" s="1"/>
  <c r="B38" i="20" s="1"/>
  <c r="C38" i="20" s="1"/>
  <c r="D38" i="20" s="1"/>
  <c r="E38" i="20" s="1"/>
  <c r="F38" i="20" s="1"/>
  <c r="G38" i="20" s="1"/>
  <c r="H38" i="20" s="1"/>
  <c r="I38" i="20" s="1"/>
  <c r="J38" i="20" s="1"/>
  <c r="K38" i="20" s="1"/>
  <c r="L38" i="20" s="1"/>
  <c r="M38" i="20" s="1"/>
  <c r="N38" i="20" s="1"/>
  <c r="O38" i="20" s="1"/>
  <c r="P38" i="20" s="1"/>
  <c r="Q38" i="20" s="1"/>
  <c r="R38" i="20" s="1"/>
  <c r="S38" i="20" s="1"/>
  <c r="T38" i="20" s="1"/>
  <c r="U38" i="20" s="1"/>
  <c r="V38" i="20" s="1"/>
  <c r="W38" i="20" s="1"/>
  <c r="X38" i="20" s="1"/>
  <c r="Y38" i="20" s="1"/>
  <c r="Z38" i="20" s="1"/>
  <c r="AA38" i="20" s="1"/>
  <c r="AB38" i="20" s="1"/>
  <c r="AC38" i="20" s="1"/>
  <c r="AD38" i="20" s="1"/>
  <c r="AE38" i="20" s="1"/>
  <c r="AF38" i="20" s="1"/>
  <c r="AG38" i="20" s="1"/>
  <c r="AH38" i="20" s="1"/>
  <c r="AI38" i="20" s="1"/>
  <c r="AJ38" i="20" s="1"/>
  <c r="AK38" i="20" s="1"/>
  <c r="AL38" i="20" s="1"/>
  <c r="AM38" i="20" s="1"/>
  <c r="AN38" i="20" s="1"/>
  <c r="AO38" i="20" s="1"/>
  <c r="AP38" i="20" s="1"/>
  <c r="AQ38" i="20" s="1"/>
  <c r="AR38" i="20" s="1"/>
  <c r="AS38" i="20" s="1"/>
  <c r="AT38" i="20" s="1"/>
  <c r="AU38" i="20" s="1"/>
  <c r="AV38" i="20" s="1"/>
  <c r="AW38" i="20" s="1"/>
  <c r="AX38" i="20" s="1"/>
  <c r="AY38" i="20" s="1"/>
  <c r="AZ38" i="20" s="1"/>
  <c r="BA38" i="20" s="1"/>
  <c r="BB38" i="20" s="1"/>
  <c r="BC38" i="20" s="1"/>
  <c r="BD38" i="20" s="1"/>
  <c r="BE38" i="20" s="1"/>
  <c r="BF38" i="20" s="1"/>
  <c r="BG38" i="20" s="1"/>
  <c r="BH38" i="20" s="1"/>
  <c r="BI38" i="20" s="1"/>
  <c r="BJ38" i="20" s="1"/>
  <c r="BK38" i="20" s="1"/>
  <c r="BL38" i="20" s="1"/>
  <c r="BM38" i="20" s="1"/>
  <c r="BN38" i="20" s="1"/>
  <c r="BO38" i="20" s="1"/>
  <c r="BP38" i="20" s="1"/>
  <c r="BQ38" i="20" s="1"/>
  <c r="BR38" i="20" s="1"/>
  <c r="BS38" i="20" s="1"/>
  <c r="BT38" i="20" s="1"/>
  <c r="BU38" i="20" s="1"/>
  <c r="BV38" i="20" s="1"/>
  <c r="BW38" i="20" s="1"/>
  <c r="BX38" i="20" s="1"/>
  <c r="BY38" i="20" s="1"/>
  <c r="BZ38" i="20" s="1"/>
  <c r="CA38" i="20" s="1"/>
  <c r="CB38" i="20" s="1"/>
  <c r="CC38" i="20" s="1"/>
  <c r="CD38" i="20" s="1"/>
  <c r="CE38" i="20" s="1"/>
  <c r="CF38" i="20" s="1"/>
  <c r="CG38" i="20" s="1"/>
  <c r="CH38" i="20" s="1"/>
  <c r="CI38" i="20" s="1"/>
  <c r="CJ38" i="20" s="1"/>
  <c r="CK38" i="20" s="1"/>
  <c r="CL38" i="20" s="1"/>
  <c r="CM38" i="20" s="1"/>
  <c r="CN38" i="20" s="1"/>
  <c r="CO38" i="20" s="1"/>
  <c r="CP38" i="20" s="1"/>
  <c r="CQ38" i="20" s="1"/>
  <c r="CR38" i="20" s="1"/>
  <c r="CS38" i="20" s="1"/>
  <c r="CT38" i="20" s="1"/>
  <c r="CU38" i="20" s="1"/>
  <c r="CV38" i="20" s="1"/>
  <c r="CW38" i="20" s="1"/>
  <c r="CX38" i="20" s="1"/>
  <c r="CY38" i="20" s="1"/>
  <c r="CZ38" i="20" s="1"/>
  <c r="DA38" i="20" s="1"/>
  <c r="DB38" i="20" s="1"/>
  <c r="DC38" i="20" s="1"/>
  <c r="DD38" i="20" s="1"/>
  <c r="DE38" i="20" s="1"/>
  <c r="DF38" i="20" s="1"/>
  <c r="DG38" i="20" s="1"/>
  <c r="DH38" i="20" s="1"/>
  <c r="DI38" i="20" s="1"/>
  <c r="DJ38" i="20" s="1"/>
  <c r="DK38" i="20" s="1"/>
  <c r="DL38" i="20" s="1"/>
  <c r="DM38" i="20" s="1"/>
  <c r="DN38" i="20" s="1"/>
  <c r="DO38" i="20" s="1"/>
  <c r="DP38" i="20" s="1"/>
  <c r="A39" i="20" s="1"/>
  <c r="B39" i="20" s="1"/>
  <c r="C39" i="20" s="1"/>
  <c r="D39" i="20" s="1"/>
  <c r="E39" i="20" s="1"/>
  <c r="F39" i="20" s="1"/>
  <c r="G39" i="20" s="1"/>
  <c r="H39" i="20" s="1"/>
  <c r="I39" i="20" s="1"/>
  <c r="J39" i="20" s="1"/>
  <c r="K39" i="20" s="1"/>
  <c r="L39" i="20" s="1"/>
  <c r="M39" i="20" s="1"/>
  <c r="N39" i="20" s="1"/>
  <c r="O39" i="20" s="1"/>
  <c r="P39" i="20" s="1"/>
  <c r="Q39" i="20" s="1"/>
  <c r="R39" i="20" s="1"/>
  <c r="S39" i="20" s="1"/>
  <c r="T39" i="20" s="1"/>
  <c r="U39" i="20" s="1"/>
  <c r="V39" i="20" s="1"/>
  <c r="W39" i="20" s="1"/>
  <c r="X39" i="20" s="1"/>
  <c r="Y39" i="20" s="1"/>
  <c r="Z39" i="20" s="1"/>
  <c r="AA39" i="20" s="1"/>
  <c r="AB39" i="20" s="1"/>
  <c r="AC39" i="20" s="1"/>
  <c r="AD39" i="20" s="1"/>
  <c r="AE39" i="20" s="1"/>
  <c r="AF39" i="20" s="1"/>
  <c r="AG39" i="20" s="1"/>
  <c r="AH39" i="20" s="1"/>
  <c r="AI39" i="20" s="1"/>
  <c r="AJ39" i="20" s="1"/>
  <c r="AK39" i="20" s="1"/>
  <c r="AL39" i="20" s="1"/>
  <c r="AM39" i="20" s="1"/>
  <c r="AN39" i="20" s="1"/>
  <c r="AO39" i="20" s="1"/>
  <c r="AP39" i="20" s="1"/>
  <c r="AQ39" i="20" s="1"/>
  <c r="AR39" i="20" s="1"/>
  <c r="AS39" i="20" s="1"/>
  <c r="AT39" i="20" s="1"/>
  <c r="AU39" i="20" s="1"/>
  <c r="AV39" i="20" s="1"/>
  <c r="AW39" i="20" s="1"/>
  <c r="AX39" i="20" s="1"/>
  <c r="AY39" i="20" s="1"/>
  <c r="AZ39" i="20" s="1"/>
  <c r="BA39" i="20" s="1"/>
  <c r="BB39" i="20" s="1"/>
  <c r="BC39" i="20" s="1"/>
  <c r="BD39" i="20" s="1"/>
  <c r="BE39" i="20" s="1"/>
  <c r="BF39" i="20" s="1"/>
  <c r="BG39" i="20" s="1"/>
  <c r="BH39" i="20" s="1"/>
  <c r="BI39" i="20" s="1"/>
  <c r="BJ39" i="20" s="1"/>
  <c r="BK39" i="20" s="1"/>
  <c r="BL39" i="20" s="1"/>
  <c r="BM39" i="20" s="1"/>
  <c r="BN39" i="20" s="1"/>
  <c r="BO39" i="20" s="1"/>
  <c r="BP39" i="20" s="1"/>
  <c r="BQ39" i="20" s="1"/>
  <c r="BR39" i="20" s="1"/>
  <c r="BS39" i="20" s="1"/>
  <c r="BT39" i="20" s="1"/>
  <c r="BU39" i="20" s="1"/>
  <c r="BV39" i="20" s="1"/>
  <c r="BW39" i="20" s="1"/>
  <c r="BX39" i="20" s="1"/>
  <c r="BY39" i="20" s="1"/>
  <c r="BZ39" i="20" s="1"/>
  <c r="CA39" i="20" s="1"/>
  <c r="CB39" i="20" s="1"/>
  <c r="CC39" i="20" s="1"/>
  <c r="CD39" i="20" s="1"/>
  <c r="CE39" i="20" s="1"/>
  <c r="CF39" i="20" s="1"/>
  <c r="CG39" i="20" s="1"/>
  <c r="CH39" i="20" s="1"/>
  <c r="CI39" i="20" s="1"/>
  <c r="CJ39" i="20" s="1"/>
  <c r="CK39" i="20" s="1"/>
  <c r="CL39" i="20" s="1"/>
  <c r="CM39" i="20" s="1"/>
  <c r="CN39" i="20" s="1"/>
  <c r="CO39" i="20" s="1"/>
  <c r="CP39" i="20" s="1"/>
  <c r="CQ39" i="20" s="1"/>
  <c r="CR39" i="20" s="1"/>
  <c r="CS39" i="20" s="1"/>
  <c r="CT39" i="20" s="1"/>
  <c r="CU39" i="20" s="1"/>
  <c r="CV39" i="20" s="1"/>
  <c r="CW39" i="20" s="1"/>
  <c r="CX39" i="20" s="1"/>
  <c r="CY39" i="20" s="1"/>
  <c r="CZ39" i="20" s="1"/>
  <c r="DA39" i="20" s="1"/>
  <c r="DB39" i="20" s="1"/>
  <c r="DC39" i="20" s="1"/>
  <c r="DD39" i="20" s="1"/>
  <c r="DE39" i="20" s="1"/>
  <c r="DF39" i="20" s="1"/>
  <c r="DG39" i="20" s="1"/>
  <c r="DH39" i="20" s="1"/>
  <c r="DI39" i="20" s="1"/>
  <c r="DJ39" i="20" s="1"/>
  <c r="DK39" i="20" s="1"/>
  <c r="DL39" i="20" s="1"/>
  <c r="DM39" i="20" s="1"/>
  <c r="DN39" i="20" s="1"/>
  <c r="DO39" i="20" s="1"/>
  <c r="DP39" i="20" s="1"/>
  <c r="A40" i="20" s="1"/>
  <c r="B40" i="20" s="1"/>
  <c r="C40" i="20" s="1"/>
  <c r="D40" i="20" s="1"/>
  <c r="E40" i="20" s="1"/>
  <c r="F40" i="20" s="1"/>
  <c r="G40" i="20" s="1"/>
  <c r="H40" i="20" s="1"/>
  <c r="I40" i="20" s="1"/>
  <c r="J40" i="20" s="1"/>
  <c r="K40" i="20" s="1"/>
  <c r="L40" i="20" s="1"/>
  <c r="M40" i="20" s="1"/>
  <c r="N40" i="20" s="1"/>
  <c r="O40" i="20" s="1"/>
  <c r="P40" i="20" s="1"/>
  <c r="Q40" i="20" s="1"/>
  <c r="R40" i="20" s="1"/>
  <c r="S40" i="20" s="1"/>
  <c r="T40" i="20" s="1"/>
  <c r="U40" i="20" s="1"/>
  <c r="V40" i="20" s="1"/>
  <c r="W40" i="20" s="1"/>
  <c r="X40" i="20" s="1"/>
  <c r="Y40" i="20" s="1"/>
  <c r="Z40" i="20" s="1"/>
  <c r="AA40" i="20" s="1"/>
  <c r="AB40" i="20" s="1"/>
  <c r="AC40" i="20" s="1"/>
  <c r="AD40" i="20" s="1"/>
  <c r="AE40" i="20" s="1"/>
  <c r="AF40" i="20" s="1"/>
  <c r="AG40" i="20" s="1"/>
  <c r="AH40" i="20" s="1"/>
  <c r="AI40" i="20" s="1"/>
  <c r="AJ40" i="20" s="1"/>
  <c r="AK40" i="20" s="1"/>
  <c r="AL40" i="20" s="1"/>
  <c r="AM40" i="20" s="1"/>
  <c r="AN40" i="20" s="1"/>
  <c r="AO40" i="20" s="1"/>
  <c r="AP40" i="20" s="1"/>
  <c r="AQ40" i="20" s="1"/>
  <c r="AR40" i="20" s="1"/>
  <c r="AS40" i="20" s="1"/>
  <c r="AT40" i="20" s="1"/>
  <c r="AU40" i="20" s="1"/>
  <c r="AV40" i="20" s="1"/>
  <c r="AW40" i="20" s="1"/>
  <c r="AX40" i="20" s="1"/>
  <c r="AY40" i="20" s="1"/>
  <c r="AZ40" i="20" s="1"/>
  <c r="BA40" i="20" s="1"/>
  <c r="BB40" i="20" s="1"/>
  <c r="BC40" i="20" s="1"/>
  <c r="BD40" i="20" s="1"/>
  <c r="BE40" i="20" s="1"/>
  <c r="BF40" i="20" s="1"/>
  <c r="BG40" i="20" s="1"/>
  <c r="BH40" i="20" s="1"/>
  <c r="BI40" i="20" s="1"/>
  <c r="BJ40" i="20" s="1"/>
  <c r="BK40" i="20" s="1"/>
  <c r="BL40" i="20" s="1"/>
  <c r="BM40" i="20" s="1"/>
  <c r="BN40" i="20" s="1"/>
  <c r="BO40" i="20" s="1"/>
  <c r="BP40" i="20" s="1"/>
  <c r="BQ40" i="20" s="1"/>
  <c r="BR40" i="20" s="1"/>
  <c r="BS40" i="20" s="1"/>
  <c r="BT40" i="20" s="1"/>
  <c r="BU40" i="20" s="1"/>
  <c r="BV40" i="20" s="1"/>
  <c r="BW40" i="20" s="1"/>
  <c r="BX40" i="20" s="1"/>
  <c r="BY40" i="20" s="1"/>
  <c r="BZ40" i="20" s="1"/>
  <c r="CA40" i="20" s="1"/>
  <c r="CB40" i="20" s="1"/>
  <c r="CC40" i="20" s="1"/>
  <c r="CD40" i="20" s="1"/>
  <c r="CE40" i="20" s="1"/>
  <c r="CF40" i="20" s="1"/>
  <c r="CG40" i="20" s="1"/>
  <c r="CH40" i="20" s="1"/>
  <c r="CI40" i="20" s="1"/>
  <c r="CJ40" i="20" s="1"/>
  <c r="CK40" i="20" s="1"/>
  <c r="CL40" i="20" s="1"/>
  <c r="CM40" i="20" s="1"/>
  <c r="CN40" i="20" s="1"/>
  <c r="CO40" i="20" s="1"/>
  <c r="CP40" i="20" s="1"/>
  <c r="CQ40" i="20" s="1"/>
  <c r="CR40" i="20" s="1"/>
  <c r="CS40" i="20" s="1"/>
  <c r="CT40" i="20" s="1"/>
  <c r="CU40" i="20" s="1"/>
  <c r="CV40" i="20" s="1"/>
  <c r="CW40" i="20" s="1"/>
  <c r="CX40" i="20" s="1"/>
  <c r="CY40" i="20" s="1"/>
  <c r="CZ40" i="20" s="1"/>
  <c r="DA40" i="20" s="1"/>
  <c r="DB40" i="20" s="1"/>
  <c r="DC40" i="20" s="1"/>
  <c r="DD40" i="20" s="1"/>
  <c r="DE40" i="20" s="1"/>
  <c r="DF40" i="20" s="1"/>
  <c r="DG40" i="20" s="1"/>
  <c r="DH40" i="20" s="1"/>
  <c r="DI40" i="20" s="1"/>
  <c r="DJ40" i="20" s="1"/>
  <c r="DK40" i="20" s="1"/>
  <c r="DL40" i="20" s="1"/>
  <c r="DM40" i="20" s="1"/>
  <c r="DN40" i="20" s="1"/>
  <c r="DO40" i="20" s="1"/>
  <c r="DP40" i="20" s="1"/>
  <c r="A41" i="20" s="1"/>
  <c r="B41" i="20" s="1"/>
  <c r="C41" i="20" s="1"/>
  <c r="D41" i="20" s="1"/>
  <c r="E41" i="20" s="1"/>
  <c r="F41" i="20" s="1"/>
  <c r="G41" i="20" s="1"/>
  <c r="H41" i="20" s="1"/>
  <c r="I41" i="20" s="1"/>
  <c r="J41" i="20" s="1"/>
  <c r="K41" i="20" s="1"/>
  <c r="L41" i="20" s="1"/>
  <c r="M41" i="20" s="1"/>
  <c r="N41" i="20" s="1"/>
  <c r="O41" i="20" s="1"/>
  <c r="P41" i="20" s="1"/>
  <c r="Q41" i="20" s="1"/>
  <c r="R41" i="20" s="1"/>
  <c r="S41" i="20" s="1"/>
  <c r="T41" i="20" s="1"/>
  <c r="U41" i="20" s="1"/>
  <c r="V41" i="20" s="1"/>
  <c r="W41" i="20" s="1"/>
  <c r="X41" i="20" s="1"/>
  <c r="Y41" i="20" s="1"/>
  <c r="Z41" i="20" s="1"/>
  <c r="AA41" i="20" s="1"/>
  <c r="AB41" i="20" s="1"/>
  <c r="AC41" i="20" s="1"/>
  <c r="AD41" i="20" s="1"/>
  <c r="AE41" i="20" s="1"/>
  <c r="AF41" i="20" s="1"/>
  <c r="AG41" i="20" s="1"/>
  <c r="AH41" i="20" s="1"/>
  <c r="AI41" i="20" s="1"/>
  <c r="AJ41" i="20" s="1"/>
  <c r="AK41" i="20" s="1"/>
  <c r="AL41" i="20" s="1"/>
  <c r="AM41" i="20" s="1"/>
  <c r="AN41" i="20" s="1"/>
  <c r="AO41" i="20" s="1"/>
  <c r="AP41" i="20" s="1"/>
  <c r="AQ41" i="20" s="1"/>
  <c r="AR41" i="20" s="1"/>
  <c r="AS41" i="20" s="1"/>
  <c r="AT41" i="20" s="1"/>
  <c r="AU41" i="20" s="1"/>
  <c r="AV41" i="20" s="1"/>
  <c r="AW41" i="20" s="1"/>
  <c r="AX41" i="20" s="1"/>
  <c r="AY41" i="20" s="1"/>
  <c r="AZ41" i="20" s="1"/>
  <c r="BA41" i="20" s="1"/>
  <c r="BB41" i="20" s="1"/>
  <c r="BC41" i="20" s="1"/>
  <c r="BD41" i="20" s="1"/>
  <c r="BE41" i="20" s="1"/>
  <c r="BF41" i="20" s="1"/>
  <c r="BG41" i="20" s="1"/>
  <c r="BH41" i="20" s="1"/>
  <c r="BI41" i="20" s="1"/>
  <c r="BJ41" i="20" s="1"/>
  <c r="BK41" i="20" s="1"/>
  <c r="BL41" i="20" s="1"/>
  <c r="BM41" i="20" s="1"/>
  <c r="BN41" i="20" s="1"/>
  <c r="BO41" i="20" s="1"/>
  <c r="BP41" i="20" s="1"/>
  <c r="BQ41" i="20" s="1"/>
  <c r="BR41" i="20" s="1"/>
  <c r="BS41" i="20" s="1"/>
  <c r="BT41" i="20" s="1"/>
  <c r="BU41" i="20" s="1"/>
  <c r="BV41" i="20" s="1"/>
  <c r="BW41" i="20" s="1"/>
  <c r="BX41" i="20" s="1"/>
  <c r="BY41" i="20" s="1"/>
  <c r="BZ41" i="20" s="1"/>
  <c r="CA41" i="20" s="1"/>
  <c r="CB41" i="20" s="1"/>
  <c r="CC41" i="20" s="1"/>
  <c r="CD41" i="20" s="1"/>
  <c r="CE41" i="20" s="1"/>
  <c r="CF41" i="20" s="1"/>
  <c r="CG41" i="20" s="1"/>
  <c r="CH41" i="20" s="1"/>
  <c r="CI41" i="20" s="1"/>
  <c r="CJ41" i="20" s="1"/>
  <c r="CK41" i="20" s="1"/>
  <c r="CL41" i="20" s="1"/>
  <c r="CM41" i="20" s="1"/>
  <c r="CN41" i="20" s="1"/>
  <c r="CO41" i="20" s="1"/>
  <c r="CP41" i="20" s="1"/>
  <c r="CQ41" i="20" s="1"/>
  <c r="CR41" i="20" s="1"/>
  <c r="CS41" i="20" s="1"/>
  <c r="CT41" i="20" s="1"/>
  <c r="CU41" i="20" s="1"/>
  <c r="CV41" i="20" s="1"/>
  <c r="CW41" i="20" s="1"/>
  <c r="CX41" i="20" s="1"/>
  <c r="CY41" i="20" s="1"/>
  <c r="CZ41" i="20" s="1"/>
  <c r="DA41" i="20" s="1"/>
  <c r="DB41" i="20" s="1"/>
  <c r="DC41" i="20" s="1"/>
  <c r="DD41" i="20" s="1"/>
  <c r="DE41" i="20" s="1"/>
  <c r="DF41" i="20" s="1"/>
  <c r="DG41" i="20" s="1"/>
  <c r="DH41" i="20" s="1"/>
  <c r="DI41" i="20" s="1"/>
  <c r="DJ41" i="20" s="1"/>
  <c r="DK41" i="20" s="1"/>
  <c r="DL41" i="20" s="1"/>
  <c r="DM41" i="20" s="1"/>
  <c r="DN41" i="20" s="1"/>
  <c r="DO41" i="20" s="1"/>
  <c r="DP41" i="20" s="1"/>
  <c r="A42" i="20" s="1"/>
  <c r="B42" i="20" s="1"/>
  <c r="C42" i="20" s="1"/>
  <c r="D42" i="20" s="1"/>
  <c r="E42" i="20" s="1"/>
  <c r="F42" i="20" s="1"/>
  <c r="G42" i="20" s="1"/>
  <c r="H42" i="20" s="1"/>
  <c r="I42" i="20" s="1"/>
  <c r="J42" i="20" s="1"/>
  <c r="K42" i="20" s="1"/>
  <c r="L42" i="20" s="1"/>
  <c r="M42" i="20" s="1"/>
  <c r="N42" i="20" s="1"/>
  <c r="O42" i="20" s="1"/>
  <c r="P42" i="20" s="1"/>
  <c r="Q42" i="20" s="1"/>
  <c r="R42" i="20" s="1"/>
  <c r="S42" i="20" s="1"/>
  <c r="T42" i="20" s="1"/>
  <c r="U42" i="20" s="1"/>
  <c r="V42" i="20" s="1"/>
  <c r="W42" i="20" s="1"/>
  <c r="X42" i="20" s="1"/>
  <c r="Y42" i="20" s="1"/>
  <c r="Z42" i="20" s="1"/>
  <c r="AA42" i="20" s="1"/>
  <c r="AB42" i="20" s="1"/>
  <c r="AC42" i="20" s="1"/>
  <c r="AD42" i="20" s="1"/>
  <c r="AE42" i="20" s="1"/>
  <c r="AF42" i="20" s="1"/>
  <c r="AG42" i="20" s="1"/>
  <c r="AH42" i="20" s="1"/>
  <c r="AI42" i="20" s="1"/>
  <c r="AJ42" i="20" s="1"/>
  <c r="AK42" i="20" s="1"/>
  <c r="AL42" i="20" s="1"/>
  <c r="AM42" i="20" s="1"/>
  <c r="AN42" i="20" s="1"/>
  <c r="AO42" i="20" s="1"/>
  <c r="AP42" i="20" s="1"/>
  <c r="AQ42" i="20" s="1"/>
  <c r="AR42" i="20" s="1"/>
  <c r="AS42" i="20" s="1"/>
  <c r="AT42" i="20" s="1"/>
  <c r="AU42" i="20" s="1"/>
  <c r="AV42" i="20" s="1"/>
  <c r="AW42" i="20" s="1"/>
  <c r="AX42" i="20" s="1"/>
  <c r="AY42" i="20" s="1"/>
  <c r="AZ42" i="20" s="1"/>
  <c r="BA42" i="20" s="1"/>
  <c r="BB42" i="20" s="1"/>
  <c r="BC42" i="20" s="1"/>
  <c r="BD42" i="20" s="1"/>
  <c r="BE42" i="20" s="1"/>
  <c r="BF42" i="20" s="1"/>
  <c r="BG42" i="20" s="1"/>
  <c r="BH42" i="20" s="1"/>
  <c r="BI42" i="20" s="1"/>
  <c r="BJ42" i="20" s="1"/>
  <c r="BK42" i="20" s="1"/>
  <c r="BL42" i="20" s="1"/>
  <c r="BM42" i="20" s="1"/>
  <c r="BN42" i="20" s="1"/>
  <c r="BO42" i="20" s="1"/>
  <c r="BP42" i="20" s="1"/>
  <c r="BQ42" i="20" s="1"/>
  <c r="BR42" i="20" s="1"/>
  <c r="BS42" i="20" s="1"/>
  <c r="BT42" i="20" s="1"/>
  <c r="BU42" i="20" s="1"/>
  <c r="BV42" i="20" s="1"/>
  <c r="BW42" i="20" s="1"/>
  <c r="BX42" i="20" s="1"/>
  <c r="BY42" i="20" s="1"/>
  <c r="BZ42" i="20" s="1"/>
  <c r="CA42" i="20" s="1"/>
  <c r="CB42" i="20" s="1"/>
  <c r="CC42" i="20" s="1"/>
  <c r="CD42" i="20" s="1"/>
  <c r="CE42" i="20" s="1"/>
  <c r="CF42" i="20" s="1"/>
  <c r="CG42" i="20" s="1"/>
  <c r="CH42" i="20" s="1"/>
  <c r="CI42" i="20" s="1"/>
  <c r="CJ42" i="20" s="1"/>
  <c r="CK42" i="20" s="1"/>
  <c r="CL42" i="20" s="1"/>
  <c r="CM42" i="20" s="1"/>
  <c r="CN42" i="20" s="1"/>
  <c r="CO42" i="20" s="1"/>
  <c r="CP42" i="20" s="1"/>
  <c r="CQ42" i="20" s="1"/>
  <c r="CR42" i="20" s="1"/>
  <c r="CS42" i="20" s="1"/>
  <c r="CT42" i="20" s="1"/>
  <c r="CU42" i="20" s="1"/>
  <c r="CV42" i="20" s="1"/>
  <c r="CW42" i="20" s="1"/>
  <c r="CX42" i="20" s="1"/>
  <c r="CY42" i="20" s="1"/>
  <c r="CZ42" i="20" s="1"/>
  <c r="DA42" i="20" s="1"/>
  <c r="DB42" i="20" s="1"/>
  <c r="DC42" i="20" s="1"/>
  <c r="DD42" i="20" s="1"/>
  <c r="DE42" i="20" s="1"/>
  <c r="DF42" i="20" s="1"/>
  <c r="DG42" i="20" s="1"/>
  <c r="DH42" i="20" s="1"/>
  <c r="DI42" i="20" s="1"/>
  <c r="DJ42" i="20" s="1"/>
  <c r="DK42" i="20" s="1"/>
  <c r="DL42" i="20" s="1"/>
  <c r="DM42" i="20" s="1"/>
  <c r="DN42" i="20" s="1"/>
  <c r="DO42" i="20" s="1"/>
  <c r="DP42" i="20" s="1"/>
  <c r="A43" i="20" s="1"/>
  <c r="B43" i="20" s="1"/>
  <c r="C43" i="20" s="1"/>
  <c r="D43" i="20" s="1"/>
  <c r="E43" i="20" s="1"/>
  <c r="F43" i="20" s="1"/>
  <c r="G43" i="20" s="1"/>
  <c r="H43" i="20" s="1"/>
  <c r="I43" i="20" s="1"/>
  <c r="J43" i="20" s="1"/>
  <c r="K43" i="20" s="1"/>
  <c r="L43" i="20" s="1"/>
  <c r="M43" i="20" s="1"/>
  <c r="N43" i="20" s="1"/>
  <c r="O43" i="20" s="1"/>
  <c r="P43" i="20" s="1"/>
  <c r="Q43" i="20" s="1"/>
  <c r="R43" i="20" s="1"/>
  <c r="S43" i="20" s="1"/>
  <c r="T43" i="20" s="1"/>
  <c r="U43" i="20" s="1"/>
  <c r="V43" i="20" s="1"/>
  <c r="W43" i="20" s="1"/>
  <c r="X43" i="20" s="1"/>
  <c r="Y43" i="20" s="1"/>
  <c r="Z43" i="20" s="1"/>
  <c r="AA43" i="20" s="1"/>
  <c r="AB43" i="20" s="1"/>
  <c r="AC43" i="20" s="1"/>
  <c r="AD43" i="20" s="1"/>
  <c r="AE43" i="20" s="1"/>
  <c r="AF43" i="20" s="1"/>
  <c r="AG43" i="20" s="1"/>
  <c r="AH43" i="20" s="1"/>
  <c r="AI43" i="20" s="1"/>
  <c r="AJ43" i="20" s="1"/>
  <c r="AK43" i="20" s="1"/>
  <c r="AL43" i="20" s="1"/>
  <c r="AM43" i="20" s="1"/>
  <c r="AN43" i="20" s="1"/>
  <c r="AO43" i="20" s="1"/>
  <c r="AP43" i="20" s="1"/>
  <c r="AQ43" i="20" s="1"/>
  <c r="AR43" i="20" s="1"/>
  <c r="AS43" i="20" s="1"/>
  <c r="AT43" i="20" s="1"/>
  <c r="AU43" i="20" s="1"/>
  <c r="AV43" i="20" s="1"/>
  <c r="AW43" i="20" s="1"/>
  <c r="AX43" i="20" s="1"/>
  <c r="AY43" i="20" s="1"/>
  <c r="AZ43" i="20" s="1"/>
  <c r="BA43" i="20" s="1"/>
  <c r="BB43" i="20" s="1"/>
  <c r="BC43" i="20" s="1"/>
  <c r="BD43" i="20" s="1"/>
  <c r="BE43" i="20" s="1"/>
  <c r="BF43" i="20" s="1"/>
  <c r="BG43" i="20" s="1"/>
  <c r="BH43" i="20" s="1"/>
  <c r="BI43" i="20" s="1"/>
  <c r="BJ43" i="20" s="1"/>
  <c r="BK43" i="20" s="1"/>
  <c r="BL43" i="20" s="1"/>
  <c r="BM43" i="20" s="1"/>
  <c r="BN43" i="20" s="1"/>
  <c r="BO43" i="20" s="1"/>
  <c r="BP43" i="20" s="1"/>
  <c r="BQ43" i="20" s="1"/>
  <c r="BR43" i="20" s="1"/>
  <c r="BS43" i="20" s="1"/>
  <c r="BT43" i="20" s="1"/>
  <c r="BU43" i="20" s="1"/>
  <c r="BV43" i="20" s="1"/>
  <c r="BW43" i="20" s="1"/>
  <c r="BX43" i="20" s="1"/>
  <c r="BY43" i="20" s="1"/>
  <c r="BZ43" i="20" s="1"/>
  <c r="CA43" i="20" s="1"/>
  <c r="CB43" i="20" s="1"/>
  <c r="CC43" i="20" s="1"/>
  <c r="CD43" i="20" s="1"/>
  <c r="CE43" i="20" s="1"/>
  <c r="CF43" i="20" s="1"/>
  <c r="CG43" i="20" s="1"/>
  <c r="CH43" i="20" s="1"/>
  <c r="CI43" i="20" s="1"/>
  <c r="CJ43" i="20" s="1"/>
  <c r="CK43" i="20" s="1"/>
  <c r="CL43" i="20" s="1"/>
  <c r="CM43" i="20" s="1"/>
  <c r="CN43" i="20" s="1"/>
  <c r="CO43" i="20" s="1"/>
  <c r="CP43" i="20" s="1"/>
  <c r="CQ43" i="20" s="1"/>
  <c r="CR43" i="20" s="1"/>
  <c r="CS43" i="20" s="1"/>
  <c r="CT43" i="20" s="1"/>
  <c r="CU43" i="20" s="1"/>
  <c r="CV43" i="20" s="1"/>
  <c r="CW43" i="20" s="1"/>
  <c r="CX43" i="20" s="1"/>
  <c r="CY43" i="20" s="1"/>
  <c r="CZ43" i="20" s="1"/>
  <c r="DA43" i="20" s="1"/>
  <c r="DB43" i="20" s="1"/>
  <c r="DC43" i="20" s="1"/>
  <c r="DD43" i="20" s="1"/>
  <c r="DE43" i="20" s="1"/>
  <c r="DF43" i="20" s="1"/>
  <c r="DG43" i="20" s="1"/>
  <c r="DH43" i="20" s="1"/>
  <c r="DI43" i="20" s="1"/>
  <c r="DJ43" i="20" s="1"/>
  <c r="DK43" i="20" s="1"/>
  <c r="DL43" i="20" s="1"/>
  <c r="DM43" i="20" s="1"/>
  <c r="DN43" i="20" s="1"/>
  <c r="DO43" i="20" s="1"/>
  <c r="DP43" i="20" s="1"/>
  <c r="A44" i="20" s="1"/>
  <c r="B44" i="20" s="1"/>
  <c r="C44" i="20" s="1"/>
  <c r="D44" i="20" s="1"/>
  <c r="E44" i="20" s="1"/>
  <c r="F44" i="20" s="1"/>
  <c r="G44" i="20" s="1"/>
  <c r="H44" i="20" s="1"/>
  <c r="I44" i="20" s="1"/>
  <c r="J44" i="20" s="1"/>
  <c r="K44" i="20" s="1"/>
  <c r="L44" i="20" s="1"/>
  <c r="M44" i="20" s="1"/>
  <c r="N44" i="20" s="1"/>
  <c r="O44" i="20" s="1"/>
  <c r="P44" i="20" s="1"/>
  <c r="Q44" i="20" s="1"/>
  <c r="R44" i="20" s="1"/>
  <c r="S44" i="20" s="1"/>
  <c r="T44" i="20" s="1"/>
  <c r="U44" i="20" s="1"/>
  <c r="V44" i="20" s="1"/>
  <c r="W44" i="20" s="1"/>
  <c r="X44" i="20" s="1"/>
  <c r="Y44" i="20" s="1"/>
  <c r="Z44" i="20" s="1"/>
  <c r="AA44" i="20" s="1"/>
  <c r="AB44" i="20" s="1"/>
  <c r="AC44" i="20" s="1"/>
  <c r="AD44" i="20" s="1"/>
  <c r="AE44" i="20" s="1"/>
  <c r="AF44" i="20" s="1"/>
  <c r="AG44" i="20" s="1"/>
  <c r="AH44" i="20" s="1"/>
  <c r="AI44" i="20" s="1"/>
  <c r="AJ44" i="20" s="1"/>
  <c r="AK44" i="20" s="1"/>
  <c r="AL44" i="20" s="1"/>
  <c r="AM44" i="20" s="1"/>
  <c r="AN44" i="20" s="1"/>
  <c r="AO44" i="20" s="1"/>
  <c r="AP44" i="20" s="1"/>
  <c r="AQ44" i="20" s="1"/>
  <c r="AR44" i="20" s="1"/>
  <c r="AS44" i="20" s="1"/>
  <c r="AT44" i="20" s="1"/>
  <c r="AU44" i="20" s="1"/>
  <c r="AV44" i="20" s="1"/>
  <c r="AW44" i="20" s="1"/>
  <c r="AX44" i="20" s="1"/>
  <c r="AY44" i="20" s="1"/>
  <c r="AZ44" i="20" s="1"/>
  <c r="BA44" i="20" s="1"/>
  <c r="BB44" i="20" s="1"/>
  <c r="BC44" i="20" s="1"/>
  <c r="BD44" i="20" s="1"/>
  <c r="BE44" i="20" s="1"/>
  <c r="BF44" i="20" s="1"/>
  <c r="BG44" i="20" s="1"/>
  <c r="BH44" i="20" s="1"/>
  <c r="BI44" i="20" s="1"/>
  <c r="BJ44" i="20" s="1"/>
  <c r="BK44" i="20" s="1"/>
  <c r="BL44" i="20" s="1"/>
  <c r="BM44" i="20" s="1"/>
  <c r="BN44" i="20" s="1"/>
  <c r="BO44" i="20" s="1"/>
  <c r="BP44" i="20" s="1"/>
  <c r="BQ44" i="20" s="1"/>
  <c r="BR44" i="20" s="1"/>
  <c r="BS44" i="20" s="1"/>
  <c r="BT44" i="20" s="1"/>
  <c r="BU44" i="20" s="1"/>
  <c r="BV44" i="20" s="1"/>
  <c r="BW44" i="20" s="1"/>
  <c r="BX44" i="20" s="1"/>
  <c r="BY44" i="20" s="1"/>
  <c r="BZ44" i="20" s="1"/>
  <c r="CA44" i="20" s="1"/>
  <c r="CB44" i="20" s="1"/>
  <c r="CC44" i="20" s="1"/>
  <c r="CD44" i="20" s="1"/>
  <c r="CE44" i="20" s="1"/>
  <c r="CF44" i="20" s="1"/>
  <c r="CG44" i="20" s="1"/>
  <c r="CH44" i="20" s="1"/>
  <c r="CI44" i="20" s="1"/>
  <c r="CJ44" i="20" s="1"/>
  <c r="CK44" i="20" s="1"/>
  <c r="CL44" i="20" s="1"/>
  <c r="CM44" i="20" s="1"/>
  <c r="CN44" i="20" s="1"/>
  <c r="CO44" i="20" s="1"/>
  <c r="CP44" i="20" s="1"/>
  <c r="CQ44" i="20" s="1"/>
  <c r="CR44" i="20" s="1"/>
  <c r="CS44" i="20" s="1"/>
  <c r="CT44" i="20" s="1"/>
  <c r="CU44" i="20" s="1"/>
  <c r="CV44" i="20" s="1"/>
  <c r="CW44" i="20" s="1"/>
  <c r="CX44" i="20" s="1"/>
  <c r="CY44" i="20" s="1"/>
  <c r="CZ44" i="20" s="1"/>
  <c r="DA44" i="20" s="1"/>
  <c r="DB44" i="20" s="1"/>
  <c r="DC44" i="20" s="1"/>
  <c r="DD44" i="20" s="1"/>
  <c r="DE44" i="20" s="1"/>
  <c r="DF44" i="20" s="1"/>
  <c r="DG44" i="20" s="1"/>
  <c r="DH44" i="20" s="1"/>
  <c r="DI44" i="20" s="1"/>
  <c r="DJ44" i="20" s="1"/>
  <c r="DK44" i="20" s="1"/>
  <c r="DL44" i="20" s="1"/>
  <c r="DM44" i="20" s="1"/>
  <c r="DN44" i="20" s="1"/>
  <c r="DO44" i="20" s="1"/>
  <c r="DP44" i="20" s="1"/>
  <c r="A45" i="20" s="1"/>
  <c r="B45" i="20" s="1"/>
  <c r="C45" i="20" s="1"/>
  <c r="D45" i="20" s="1"/>
  <c r="E45" i="20" s="1"/>
  <c r="F45" i="20" s="1"/>
  <c r="G45" i="20" s="1"/>
  <c r="H45" i="20" s="1"/>
  <c r="I45" i="20" s="1"/>
  <c r="J45" i="20" s="1"/>
  <c r="K45" i="20" s="1"/>
  <c r="L45" i="20" s="1"/>
  <c r="M45" i="20" s="1"/>
  <c r="N45" i="20" s="1"/>
  <c r="O45" i="20" s="1"/>
  <c r="P45" i="20" s="1"/>
  <c r="Q45" i="20" s="1"/>
  <c r="R45" i="20" s="1"/>
  <c r="S45" i="20" s="1"/>
  <c r="T45" i="20" s="1"/>
  <c r="U45" i="20" s="1"/>
  <c r="V45" i="20" s="1"/>
  <c r="W45" i="20" s="1"/>
  <c r="X45" i="20" s="1"/>
  <c r="Y45" i="20" s="1"/>
  <c r="Z45" i="20" s="1"/>
  <c r="AA45" i="20" s="1"/>
  <c r="AB45" i="20" s="1"/>
  <c r="AC45" i="20" s="1"/>
  <c r="AD45" i="20" s="1"/>
  <c r="AE45" i="20" s="1"/>
  <c r="AF45" i="20" s="1"/>
  <c r="AG45" i="20" s="1"/>
  <c r="AH45" i="20" s="1"/>
  <c r="AI45" i="20" s="1"/>
  <c r="AJ45" i="20" s="1"/>
  <c r="AK45" i="20" s="1"/>
  <c r="AL45" i="20" s="1"/>
  <c r="AM45" i="20" s="1"/>
  <c r="AN45" i="20" s="1"/>
  <c r="AO45" i="20" s="1"/>
  <c r="AP45" i="20" s="1"/>
  <c r="AQ45" i="20" s="1"/>
  <c r="AR45" i="20" s="1"/>
  <c r="AS45" i="20" s="1"/>
  <c r="AT45" i="20" s="1"/>
  <c r="AU45" i="20" s="1"/>
  <c r="AV45" i="20" s="1"/>
  <c r="AW45" i="20" s="1"/>
  <c r="AX45" i="20" s="1"/>
  <c r="AY45" i="20" s="1"/>
  <c r="AZ45" i="20" s="1"/>
  <c r="BA45" i="20" s="1"/>
  <c r="BB45" i="20" s="1"/>
  <c r="BC45" i="20" s="1"/>
  <c r="BD45" i="20" s="1"/>
  <c r="BE45" i="20" s="1"/>
  <c r="BF45" i="20" s="1"/>
  <c r="BG45" i="20" s="1"/>
  <c r="BH45" i="20" s="1"/>
  <c r="BI45" i="20" s="1"/>
  <c r="BJ45" i="20" s="1"/>
  <c r="BK45" i="20" s="1"/>
  <c r="BL45" i="20" s="1"/>
  <c r="BM45" i="20" s="1"/>
  <c r="BN45" i="20" s="1"/>
  <c r="BO45" i="20" s="1"/>
  <c r="BP45" i="20" s="1"/>
  <c r="BQ45" i="20" s="1"/>
  <c r="BR45" i="20" s="1"/>
  <c r="BS45" i="20" s="1"/>
  <c r="BT45" i="20" s="1"/>
  <c r="BU45" i="20" s="1"/>
  <c r="BV45" i="20" s="1"/>
  <c r="BW45" i="20" s="1"/>
  <c r="BX45" i="20" s="1"/>
  <c r="BY45" i="20" s="1"/>
  <c r="BZ45" i="20" s="1"/>
  <c r="CA45" i="20" s="1"/>
  <c r="CB45" i="20" s="1"/>
  <c r="CC45" i="20" s="1"/>
  <c r="CD45" i="20" s="1"/>
  <c r="CE45" i="20" s="1"/>
  <c r="CF45" i="20" s="1"/>
  <c r="CG45" i="20" s="1"/>
  <c r="CH45" i="20" s="1"/>
  <c r="CI45" i="20" s="1"/>
  <c r="CJ45" i="20" s="1"/>
  <c r="CK45" i="20" s="1"/>
  <c r="CL45" i="20" s="1"/>
  <c r="CM45" i="20" s="1"/>
  <c r="CN45" i="20" s="1"/>
  <c r="CO45" i="20" s="1"/>
  <c r="CP45" i="20" s="1"/>
  <c r="CQ45" i="20" s="1"/>
  <c r="CR45" i="20" s="1"/>
  <c r="CS45" i="20" s="1"/>
  <c r="CT45" i="20" s="1"/>
  <c r="CU45" i="20" s="1"/>
  <c r="CV45" i="20" s="1"/>
  <c r="CW45" i="20" s="1"/>
  <c r="CX45" i="20" s="1"/>
  <c r="CY45" i="20" s="1"/>
  <c r="CZ45" i="20" s="1"/>
  <c r="DA45" i="20" s="1"/>
  <c r="DB45" i="20" s="1"/>
  <c r="DC45" i="20" s="1"/>
  <c r="DD45" i="20" s="1"/>
  <c r="DE45" i="20" s="1"/>
  <c r="DF45" i="20" s="1"/>
  <c r="DG45" i="20" s="1"/>
  <c r="DH45" i="20" s="1"/>
  <c r="DI45" i="20" s="1"/>
  <c r="DJ45" i="20" s="1"/>
  <c r="DK45" i="20" s="1"/>
  <c r="DL45" i="20" s="1"/>
  <c r="DM45" i="20" s="1"/>
  <c r="DN45" i="20" s="1"/>
  <c r="DO45" i="20" s="1"/>
  <c r="DP45" i="20" s="1"/>
  <c r="A46" i="20" s="1"/>
  <c r="B46" i="20" s="1"/>
  <c r="C46" i="20" s="1"/>
  <c r="D46" i="20" s="1"/>
  <c r="E46" i="20" s="1"/>
  <c r="F46" i="20" s="1"/>
  <c r="G46" i="20" s="1"/>
  <c r="H46" i="20" s="1"/>
  <c r="I46" i="20" s="1"/>
  <c r="J46" i="20" s="1"/>
  <c r="K46" i="20" s="1"/>
  <c r="L46" i="20" s="1"/>
  <c r="M46" i="20" s="1"/>
  <c r="N46" i="20" s="1"/>
  <c r="O46" i="20" s="1"/>
  <c r="P46" i="20" s="1"/>
  <c r="Q46" i="20" s="1"/>
  <c r="R46" i="20" s="1"/>
  <c r="S46" i="20" s="1"/>
  <c r="T46" i="20" s="1"/>
  <c r="U46" i="20" s="1"/>
  <c r="V46" i="20" s="1"/>
  <c r="W46" i="20" s="1"/>
  <c r="X46" i="20" s="1"/>
  <c r="Y46" i="20" s="1"/>
  <c r="Z46" i="20" s="1"/>
  <c r="AA46" i="20" s="1"/>
  <c r="AB46" i="20" s="1"/>
  <c r="AC46" i="20" s="1"/>
  <c r="AD46" i="20" s="1"/>
  <c r="AE46" i="20" s="1"/>
  <c r="AF46" i="20" s="1"/>
  <c r="AG46" i="20" s="1"/>
  <c r="AH46" i="20" s="1"/>
  <c r="AI46" i="20" s="1"/>
  <c r="AJ46" i="20" s="1"/>
  <c r="AK46" i="20" s="1"/>
  <c r="AL46" i="20" s="1"/>
  <c r="AM46" i="20" s="1"/>
  <c r="AN46" i="20" s="1"/>
  <c r="AO46" i="20" s="1"/>
  <c r="AP46" i="20" s="1"/>
  <c r="AQ46" i="20" s="1"/>
  <c r="AR46" i="20" s="1"/>
  <c r="AS46" i="20" s="1"/>
  <c r="AT46" i="20" s="1"/>
  <c r="AU46" i="20" s="1"/>
  <c r="AV46" i="20" s="1"/>
  <c r="AW46" i="20" s="1"/>
  <c r="AX46" i="20" s="1"/>
  <c r="AY46" i="20" s="1"/>
  <c r="AZ46" i="20" s="1"/>
  <c r="BA46" i="20" s="1"/>
  <c r="BB46" i="20" s="1"/>
  <c r="BC46" i="20" s="1"/>
  <c r="BD46" i="20" s="1"/>
  <c r="BE46" i="20" s="1"/>
  <c r="BF46" i="20" s="1"/>
  <c r="BG46" i="20" s="1"/>
  <c r="BH46" i="20" s="1"/>
  <c r="BI46" i="20" s="1"/>
  <c r="BJ46" i="20" s="1"/>
  <c r="BK46" i="20" s="1"/>
  <c r="BL46" i="20" s="1"/>
  <c r="BM46" i="20" s="1"/>
  <c r="BN46" i="20" s="1"/>
  <c r="BO46" i="20" s="1"/>
  <c r="BP46" i="20" s="1"/>
  <c r="BQ46" i="20" s="1"/>
  <c r="BR46" i="20" s="1"/>
  <c r="BS46" i="20" s="1"/>
  <c r="BT46" i="20" s="1"/>
  <c r="BU46" i="20" s="1"/>
  <c r="BV46" i="20" s="1"/>
  <c r="BW46" i="20" s="1"/>
  <c r="BX46" i="20" s="1"/>
  <c r="BY46" i="20" s="1"/>
  <c r="BZ46" i="20" s="1"/>
  <c r="CA46" i="20" s="1"/>
  <c r="CB46" i="20" s="1"/>
  <c r="CC46" i="20" s="1"/>
  <c r="CD46" i="20" s="1"/>
  <c r="CE46" i="20" s="1"/>
  <c r="CF46" i="20" s="1"/>
  <c r="CG46" i="20" s="1"/>
  <c r="CH46" i="20" s="1"/>
  <c r="CI46" i="20" s="1"/>
  <c r="CJ46" i="20" s="1"/>
  <c r="CK46" i="20" s="1"/>
  <c r="CL46" i="20" s="1"/>
  <c r="CM46" i="20" s="1"/>
  <c r="CN46" i="20" s="1"/>
  <c r="CO46" i="20" s="1"/>
  <c r="CP46" i="20" s="1"/>
  <c r="CQ46" i="20" s="1"/>
  <c r="CR46" i="20" s="1"/>
  <c r="CS46" i="20" s="1"/>
  <c r="CT46" i="20" s="1"/>
  <c r="CU46" i="20" s="1"/>
  <c r="CV46" i="20" s="1"/>
  <c r="CW46" i="20" s="1"/>
  <c r="CX46" i="20" s="1"/>
  <c r="CY46" i="20" s="1"/>
  <c r="CZ46" i="20" s="1"/>
  <c r="DA46" i="20" s="1"/>
  <c r="DB46" i="20" s="1"/>
  <c r="DC46" i="20" s="1"/>
  <c r="DD46" i="20" s="1"/>
  <c r="DE46" i="20" s="1"/>
  <c r="DF46" i="20" s="1"/>
  <c r="DG46" i="20" s="1"/>
  <c r="DH46" i="20" s="1"/>
  <c r="DI46" i="20" s="1"/>
  <c r="DJ46" i="20" s="1"/>
  <c r="DK46" i="20" s="1"/>
  <c r="DL46" i="20" s="1"/>
  <c r="DM46" i="20" s="1"/>
  <c r="DN46" i="20" s="1"/>
  <c r="DO46" i="20" s="1"/>
  <c r="DP46" i="20" s="1"/>
  <c r="A47" i="20" s="1"/>
  <c r="B47" i="20" s="1"/>
  <c r="C47" i="20" s="1"/>
  <c r="D47" i="20" s="1"/>
  <c r="E47" i="20" s="1"/>
  <c r="F47" i="20" s="1"/>
  <c r="G47" i="20" s="1"/>
  <c r="H47" i="20" s="1"/>
  <c r="I47" i="20" s="1"/>
  <c r="J47" i="20" s="1"/>
  <c r="K47" i="20" s="1"/>
  <c r="L47" i="20" s="1"/>
  <c r="M47" i="20" s="1"/>
  <c r="N47" i="20" s="1"/>
  <c r="O47" i="20" s="1"/>
  <c r="P47" i="20" s="1"/>
  <c r="Q47" i="20" s="1"/>
  <c r="R47" i="20" s="1"/>
  <c r="S47" i="20" s="1"/>
  <c r="T47" i="20" s="1"/>
  <c r="U47" i="20" s="1"/>
  <c r="V47" i="20" s="1"/>
  <c r="W47" i="20" s="1"/>
  <c r="X47" i="20" s="1"/>
  <c r="Y47" i="20" s="1"/>
  <c r="Z47" i="20" s="1"/>
  <c r="AA47" i="20" s="1"/>
  <c r="AB47" i="20" s="1"/>
  <c r="AC47" i="20" s="1"/>
  <c r="AD47" i="20" s="1"/>
  <c r="AE47" i="20" s="1"/>
  <c r="AF47" i="20" s="1"/>
  <c r="AG47" i="20" s="1"/>
  <c r="AH47" i="20" s="1"/>
  <c r="AI47" i="20" s="1"/>
  <c r="AJ47" i="20" s="1"/>
  <c r="AK47" i="20" s="1"/>
  <c r="AL47" i="20" s="1"/>
  <c r="AM47" i="20" s="1"/>
  <c r="AN47" i="20" s="1"/>
  <c r="AO47" i="20" s="1"/>
  <c r="AP47" i="20" s="1"/>
  <c r="AQ47" i="20" s="1"/>
  <c r="AR47" i="20" s="1"/>
  <c r="AS47" i="20" s="1"/>
  <c r="AT47" i="20" s="1"/>
  <c r="AU47" i="20" s="1"/>
  <c r="AV47" i="20" s="1"/>
  <c r="AW47" i="20" s="1"/>
  <c r="AX47" i="20" s="1"/>
  <c r="AY47" i="20" s="1"/>
  <c r="AZ47" i="20" s="1"/>
  <c r="BA47" i="20" s="1"/>
  <c r="BB47" i="20" s="1"/>
  <c r="BC47" i="20" s="1"/>
  <c r="BD47" i="20" s="1"/>
  <c r="BE47" i="20" s="1"/>
  <c r="BF47" i="20" s="1"/>
  <c r="BG47" i="20" s="1"/>
  <c r="BH47" i="20" s="1"/>
  <c r="BI47" i="20" s="1"/>
  <c r="BJ47" i="20" s="1"/>
  <c r="BK47" i="20" s="1"/>
  <c r="BL47" i="20" s="1"/>
  <c r="BM47" i="20" s="1"/>
  <c r="BN47" i="20" s="1"/>
  <c r="BO47" i="20" s="1"/>
  <c r="BP47" i="20" s="1"/>
  <c r="BQ47" i="20" s="1"/>
  <c r="BR47" i="20" s="1"/>
  <c r="BS47" i="20" s="1"/>
  <c r="BT47" i="20" s="1"/>
  <c r="BU47" i="20" s="1"/>
  <c r="BV47" i="20" s="1"/>
  <c r="BW47" i="20" s="1"/>
  <c r="BX47" i="20" s="1"/>
  <c r="BY47" i="20" s="1"/>
  <c r="BZ47" i="20" s="1"/>
  <c r="CA47" i="20" s="1"/>
  <c r="CB47" i="20" s="1"/>
  <c r="CC47" i="20" s="1"/>
  <c r="CD47" i="20" s="1"/>
  <c r="CE47" i="20" s="1"/>
  <c r="CF47" i="20" s="1"/>
  <c r="CG47" i="20" s="1"/>
  <c r="CH47" i="20" s="1"/>
  <c r="CI47" i="20" s="1"/>
  <c r="CJ47" i="20" s="1"/>
  <c r="CK47" i="20" s="1"/>
  <c r="CL47" i="20" s="1"/>
  <c r="CM47" i="20" s="1"/>
  <c r="CN47" i="20" s="1"/>
  <c r="CO47" i="20" s="1"/>
  <c r="CP47" i="20" s="1"/>
  <c r="CQ47" i="20" s="1"/>
  <c r="CR47" i="20" s="1"/>
  <c r="CS47" i="20" s="1"/>
  <c r="CT47" i="20" s="1"/>
  <c r="CU47" i="20" s="1"/>
  <c r="CV47" i="20" s="1"/>
  <c r="CW47" i="20" s="1"/>
  <c r="CX47" i="20" s="1"/>
  <c r="CY47" i="20" s="1"/>
  <c r="CZ47" i="20" s="1"/>
  <c r="DA47" i="20" s="1"/>
  <c r="DB47" i="20" s="1"/>
  <c r="DC47" i="20" s="1"/>
  <c r="DD47" i="20" s="1"/>
  <c r="DE47" i="20" s="1"/>
  <c r="DF47" i="20" s="1"/>
  <c r="DG47" i="20" s="1"/>
  <c r="DH47" i="20" s="1"/>
  <c r="DI47" i="20" s="1"/>
  <c r="DJ47" i="20" s="1"/>
  <c r="DK47" i="20" s="1"/>
  <c r="DL47" i="20" s="1"/>
  <c r="DM47" i="20" s="1"/>
  <c r="DN47" i="20" s="1"/>
  <c r="DO47" i="20" s="1"/>
  <c r="DP47" i="20" s="1"/>
  <c r="A48" i="20" s="1"/>
  <c r="B48" i="20" s="1"/>
  <c r="C48" i="20" s="1"/>
  <c r="D48" i="20" s="1"/>
  <c r="E48" i="20" s="1"/>
  <c r="F48" i="20" s="1"/>
  <c r="G48" i="20" s="1"/>
  <c r="H48" i="20" s="1"/>
  <c r="I48" i="20" s="1"/>
  <c r="J48" i="20" s="1"/>
  <c r="K48" i="20" s="1"/>
  <c r="L48" i="20" s="1"/>
  <c r="M48" i="20" s="1"/>
  <c r="N48" i="20" s="1"/>
  <c r="O48" i="20" s="1"/>
  <c r="P48" i="20" s="1"/>
  <c r="Q48" i="20" s="1"/>
  <c r="R48" i="20" s="1"/>
  <c r="S48" i="20" s="1"/>
  <c r="T48" i="20" s="1"/>
  <c r="U48" i="20" s="1"/>
  <c r="V48" i="20" s="1"/>
  <c r="W48" i="20" s="1"/>
  <c r="X48" i="20" s="1"/>
  <c r="Y48" i="20" s="1"/>
  <c r="Z48" i="20" s="1"/>
  <c r="AA48" i="20" s="1"/>
  <c r="AB48" i="20" s="1"/>
  <c r="AC48" i="20" s="1"/>
  <c r="AD48" i="20" s="1"/>
  <c r="AE48" i="20" s="1"/>
  <c r="AF48" i="20" s="1"/>
  <c r="AG48" i="20" s="1"/>
  <c r="AH48" i="20" s="1"/>
  <c r="AI48" i="20" s="1"/>
  <c r="AJ48" i="20" s="1"/>
  <c r="AK48" i="20" s="1"/>
  <c r="AL48" i="20" s="1"/>
  <c r="AM48" i="20" s="1"/>
  <c r="AN48" i="20" s="1"/>
  <c r="AO48" i="20" s="1"/>
  <c r="AP48" i="20" s="1"/>
  <c r="AQ48" i="20" s="1"/>
  <c r="AR48" i="20" s="1"/>
  <c r="AS48" i="20" s="1"/>
  <c r="AT48" i="20" s="1"/>
  <c r="AU48" i="20" s="1"/>
  <c r="AV48" i="20" s="1"/>
  <c r="AW48" i="20" s="1"/>
  <c r="AX48" i="20" s="1"/>
  <c r="AY48" i="20" s="1"/>
  <c r="AZ48" i="20" s="1"/>
  <c r="BA48" i="20" s="1"/>
  <c r="BB48" i="20" s="1"/>
  <c r="BC48" i="20" s="1"/>
  <c r="BD48" i="20" s="1"/>
  <c r="BE48" i="20" s="1"/>
  <c r="BF48" i="20" s="1"/>
  <c r="BG48" i="20" s="1"/>
  <c r="BH48" i="20" s="1"/>
  <c r="BI48" i="20" s="1"/>
  <c r="BJ48" i="20" s="1"/>
  <c r="BK48" i="20" s="1"/>
  <c r="BL48" i="20" s="1"/>
  <c r="BM48" i="20" s="1"/>
  <c r="BN48" i="20" s="1"/>
  <c r="BO48" i="20" s="1"/>
  <c r="BP48" i="20" s="1"/>
  <c r="BQ48" i="20" s="1"/>
  <c r="BR48" i="20" s="1"/>
  <c r="BS48" i="20" s="1"/>
  <c r="BT48" i="20" s="1"/>
  <c r="BU48" i="20" s="1"/>
  <c r="BV48" i="20" s="1"/>
  <c r="BW48" i="20" s="1"/>
  <c r="BX48" i="20" s="1"/>
  <c r="BY48" i="20" s="1"/>
  <c r="BZ48" i="20" s="1"/>
  <c r="CA48" i="20" s="1"/>
  <c r="CB48" i="20" s="1"/>
  <c r="CC48" i="20" s="1"/>
  <c r="CD48" i="20" s="1"/>
  <c r="CE48" i="20" s="1"/>
  <c r="CF48" i="20" s="1"/>
  <c r="CG48" i="20" s="1"/>
  <c r="CH48" i="20" s="1"/>
  <c r="CI48" i="20" s="1"/>
  <c r="CJ48" i="20" s="1"/>
  <c r="CK48" i="20" s="1"/>
  <c r="CL48" i="20" s="1"/>
  <c r="CM48" i="20" s="1"/>
  <c r="CN48" i="20" s="1"/>
  <c r="CO48" i="20" s="1"/>
  <c r="CP48" i="20" s="1"/>
  <c r="CQ48" i="20" s="1"/>
  <c r="CR48" i="20" s="1"/>
  <c r="CS48" i="20" s="1"/>
  <c r="CT48" i="20" s="1"/>
  <c r="CU48" i="20" s="1"/>
  <c r="CV48" i="20" s="1"/>
  <c r="CW48" i="20" s="1"/>
  <c r="CX48" i="20" s="1"/>
  <c r="CY48" i="20" s="1"/>
  <c r="CZ48" i="20" s="1"/>
  <c r="DA48" i="20" s="1"/>
  <c r="DB48" i="20" s="1"/>
  <c r="DC48" i="20" s="1"/>
  <c r="DD48" i="20" s="1"/>
  <c r="DE48" i="20" s="1"/>
  <c r="DF48" i="20" s="1"/>
  <c r="DG48" i="20" s="1"/>
  <c r="DH48" i="20" s="1"/>
  <c r="DI48" i="20" s="1"/>
  <c r="DJ48" i="20" s="1"/>
  <c r="DK48" i="20" s="1"/>
  <c r="DL48" i="20" s="1"/>
  <c r="DM48" i="20" s="1"/>
  <c r="DN48" i="20" s="1"/>
  <c r="DO48" i="20" s="1"/>
  <c r="DP48" i="20" s="1"/>
  <c r="A49" i="20" s="1"/>
  <c r="B49" i="20" s="1"/>
  <c r="C49" i="20" s="1"/>
  <c r="D49" i="20" s="1"/>
  <c r="E49" i="20" s="1"/>
  <c r="F49" i="20" s="1"/>
  <c r="G49" i="20" s="1"/>
  <c r="H49" i="20" s="1"/>
  <c r="I49" i="20" s="1"/>
  <c r="J49" i="20" s="1"/>
  <c r="K49" i="20" s="1"/>
  <c r="L49" i="20" s="1"/>
  <c r="M49" i="20" s="1"/>
  <c r="N49" i="20" s="1"/>
  <c r="O49" i="20" s="1"/>
  <c r="P49" i="20" s="1"/>
  <c r="Q49" i="20" s="1"/>
  <c r="R49" i="20" s="1"/>
  <c r="S49" i="20" s="1"/>
  <c r="T49" i="20" s="1"/>
  <c r="U49" i="20" s="1"/>
  <c r="V49" i="20" s="1"/>
  <c r="W49" i="20" s="1"/>
  <c r="X49" i="20" s="1"/>
  <c r="Y49" i="20" s="1"/>
  <c r="Z49" i="20" s="1"/>
  <c r="AA49" i="20" s="1"/>
  <c r="AB49" i="20" s="1"/>
  <c r="AC49" i="20" s="1"/>
  <c r="AD49" i="20" s="1"/>
  <c r="AE49" i="20" s="1"/>
  <c r="AF49" i="20" s="1"/>
  <c r="AG49" i="20" s="1"/>
  <c r="AH49" i="20" s="1"/>
  <c r="AI49" i="20" s="1"/>
  <c r="AJ49" i="20" s="1"/>
  <c r="AK49" i="20" s="1"/>
  <c r="AL49" i="20" s="1"/>
  <c r="AM49" i="20" s="1"/>
  <c r="AN49" i="20" s="1"/>
  <c r="AO49" i="20" s="1"/>
  <c r="AP49" i="20" s="1"/>
  <c r="AQ49" i="20" s="1"/>
  <c r="AR49" i="20" s="1"/>
  <c r="AS49" i="20" s="1"/>
  <c r="AT49" i="20" s="1"/>
  <c r="AU49" i="20" s="1"/>
  <c r="AV49" i="20" s="1"/>
  <c r="AW49" i="20" s="1"/>
  <c r="AX49" i="20" s="1"/>
  <c r="AY49" i="20" s="1"/>
  <c r="AZ49" i="20" s="1"/>
  <c r="BA49" i="20" s="1"/>
  <c r="BB49" i="20" s="1"/>
  <c r="BC49" i="20" s="1"/>
  <c r="BD49" i="20" s="1"/>
  <c r="BE49" i="20" s="1"/>
  <c r="BF49" i="20" s="1"/>
  <c r="BG49" i="20" s="1"/>
  <c r="BH49" i="20" s="1"/>
  <c r="BI49" i="20" s="1"/>
  <c r="BJ49" i="20" s="1"/>
  <c r="BK49" i="20" s="1"/>
  <c r="BL49" i="20" s="1"/>
  <c r="BM49" i="20" s="1"/>
  <c r="BN49" i="20" s="1"/>
  <c r="BO49" i="20" s="1"/>
  <c r="BP49" i="20" s="1"/>
  <c r="BQ49" i="20" s="1"/>
  <c r="BR49" i="20" s="1"/>
  <c r="BS49" i="20" s="1"/>
  <c r="BT49" i="20" s="1"/>
  <c r="BU49" i="20" s="1"/>
  <c r="BV49" i="20" s="1"/>
  <c r="BW49" i="20" s="1"/>
  <c r="BX49" i="20" s="1"/>
  <c r="BY49" i="20" s="1"/>
  <c r="BZ49" i="20" s="1"/>
  <c r="CA49" i="20" s="1"/>
  <c r="CB49" i="20" s="1"/>
  <c r="CC49" i="20" s="1"/>
  <c r="CD49" i="20" s="1"/>
  <c r="CE49" i="20" s="1"/>
  <c r="CF49" i="20" s="1"/>
  <c r="CG49" i="20" s="1"/>
  <c r="CH49" i="20" s="1"/>
  <c r="CI49" i="20" s="1"/>
  <c r="CJ49" i="20" s="1"/>
  <c r="CK49" i="20" s="1"/>
  <c r="CL49" i="20" s="1"/>
  <c r="CM49" i="20" s="1"/>
  <c r="CN49" i="20" s="1"/>
  <c r="CO49" i="20" s="1"/>
  <c r="CP49" i="20" s="1"/>
  <c r="CQ49" i="20" s="1"/>
  <c r="CR49" i="20" s="1"/>
  <c r="CS49" i="20" s="1"/>
  <c r="CT49" i="20" s="1"/>
  <c r="CU49" i="20" s="1"/>
  <c r="CV49" i="20" s="1"/>
  <c r="CW49" i="20" s="1"/>
  <c r="CX49" i="20" s="1"/>
  <c r="CY49" i="20" s="1"/>
  <c r="CZ49" i="20" s="1"/>
  <c r="DA49" i="20" s="1"/>
  <c r="DB49" i="20" s="1"/>
  <c r="DC49" i="20" s="1"/>
  <c r="DD49" i="20" s="1"/>
  <c r="DE49" i="20" s="1"/>
  <c r="DF49" i="20" s="1"/>
  <c r="DG49" i="20" s="1"/>
  <c r="DH49" i="20" s="1"/>
  <c r="DI49" i="20" s="1"/>
  <c r="DJ49" i="20" s="1"/>
  <c r="DK49" i="20" s="1"/>
  <c r="DL49" i="20" s="1"/>
  <c r="DM49" i="20" s="1"/>
  <c r="DN49" i="20" s="1"/>
  <c r="DO49" i="20" s="1"/>
  <c r="DP49" i="20" s="1"/>
  <c r="A50" i="20" s="1"/>
  <c r="B50" i="20" s="1"/>
  <c r="C50" i="20" s="1"/>
  <c r="D50" i="20" s="1"/>
  <c r="E50" i="20" s="1"/>
  <c r="F50" i="20" s="1"/>
  <c r="G50" i="20" s="1"/>
  <c r="H50" i="20" s="1"/>
  <c r="I50" i="20" s="1"/>
  <c r="J50" i="20" s="1"/>
  <c r="K50" i="20" s="1"/>
  <c r="L50" i="20" s="1"/>
  <c r="M50" i="20" s="1"/>
  <c r="N50" i="20" s="1"/>
  <c r="O50" i="20" s="1"/>
  <c r="P50" i="20" s="1"/>
  <c r="Q50" i="20" s="1"/>
  <c r="R50" i="20" s="1"/>
  <c r="S50" i="20" s="1"/>
  <c r="T50" i="20" s="1"/>
  <c r="U50" i="20" s="1"/>
  <c r="V50" i="20" s="1"/>
  <c r="W50" i="20" s="1"/>
  <c r="X50" i="20" s="1"/>
  <c r="Y50" i="20" s="1"/>
  <c r="Z50" i="20" s="1"/>
  <c r="AA50" i="20" s="1"/>
  <c r="AB50" i="20" s="1"/>
  <c r="AC50" i="20" s="1"/>
  <c r="AD50" i="20" s="1"/>
  <c r="AE50" i="20" s="1"/>
  <c r="AF50" i="20" s="1"/>
  <c r="AG50" i="20" s="1"/>
  <c r="AH50" i="20" s="1"/>
  <c r="AI50" i="20" s="1"/>
  <c r="AJ50" i="20" s="1"/>
  <c r="AK50" i="20" s="1"/>
  <c r="AL50" i="20" s="1"/>
  <c r="AM50" i="20" s="1"/>
  <c r="AN50" i="20" s="1"/>
  <c r="AO50" i="20" s="1"/>
  <c r="AP50" i="20" s="1"/>
  <c r="AQ50" i="20" s="1"/>
  <c r="AR50" i="20" s="1"/>
  <c r="AS50" i="20" s="1"/>
  <c r="AT50" i="20" s="1"/>
  <c r="AU50" i="20" s="1"/>
  <c r="AV50" i="20" s="1"/>
  <c r="AW50" i="20" s="1"/>
  <c r="AX50" i="20" s="1"/>
  <c r="AY50" i="20" s="1"/>
  <c r="AZ50" i="20" s="1"/>
  <c r="BA50" i="20" s="1"/>
  <c r="BB50" i="20" s="1"/>
  <c r="BC50" i="20" s="1"/>
  <c r="BD50" i="20" s="1"/>
  <c r="BE50" i="20" s="1"/>
  <c r="BF50" i="20" s="1"/>
  <c r="BG50" i="20" s="1"/>
  <c r="BH50" i="20" s="1"/>
  <c r="BI50" i="20" s="1"/>
  <c r="BJ50" i="20" s="1"/>
  <c r="BK50" i="20" s="1"/>
  <c r="BL50" i="20" s="1"/>
  <c r="BM50" i="20" s="1"/>
  <c r="BN50" i="20" s="1"/>
  <c r="BO50" i="20" s="1"/>
  <c r="BP50" i="20" s="1"/>
  <c r="BQ50" i="20" s="1"/>
  <c r="BR50" i="20" s="1"/>
  <c r="BS50" i="20" s="1"/>
  <c r="BT50" i="20" s="1"/>
  <c r="BU50" i="20" s="1"/>
  <c r="BV50" i="20" s="1"/>
  <c r="BW50" i="20" s="1"/>
  <c r="BX50" i="20" s="1"/>
  <c r="BY50" i="20" s="1"/>
  <c r="BZ50" i="20" s="1"/>
  <c r="CA50" i="20" s="1"/>
  <c r="CB50" i="20" s="1"/>
  <c r="CC50" i="20" s="1"/>
  <c r="CD50" i="20" s="1"/>
  <c r="CE50" i="20" s="1"/>
  <c r="CF50" i="20" s="1"/>
  <c r="CG50" i="20" s="1"/>
  <c r="CH50" i="20" s="1"/>
  <c r="CI50" i="20" s="1"/>
  <c r="CJ50" i="20" s="1"/>
  <c r="CK50" i="20" s="1"/>
  <c r="CL50" i="20" s="1"/>
  <c r="CM50" i="20" s="1"/>
  <c r="CN50" i="20" s="1"/>
  <c r="CO50" i="20" s="1"/>
  <c r="CP50" i="20" s="1"/>
  <c r="CQ50" i="20" s="1"/>
  <c r="CR50" i="20" s="1"/>
  <c r="CS50" i="20" s="1"/>
  <c r="CT50" i="20" s="1"/>
  <c r="CU50" i="20" s="1"/>
  <c r="CV50" i="20" s="1"/>
  <c r="CW50" i="20" s="1"/>
  <c r="CX50" i="20" s="1"/>
  <c r="CY50" i="20" s="1"/>
  <c r="CZ50" i="20" s="1"/>
  <c r="DA50" i="20" s="1"/>
  <c r="DB50" i="20" s="1"/>
  <c r="DC50" i="20" s="1"/>
  <c r="DD50" i="20" s="1"/>
  <c r="DE50" i="20" s="1"/>
  <c r="DF50" i="20" s="1"/>
  <c r="DG50" i="20" s="1"/>
  <c r="DH50" i="20" s="1"/>
  <c r="DI50" i="20" s="1"/>
  <c r="DJ50" i="20" s="1"/>
  <c r="DK50" i="20" s="1"/>
  <c r="DL50" i="20" s="1"/>
  <c r="DM50" i="20" s="1"/>
  <c r="DN50" i="20" s="1"/>
  <c r="DO50" i="20" s="1"/>
  <c r="DP50" i="20" s="1"/>
  <c r="A51" i="20" s="1"/>
  <c r="B51" i="20" s="1"/>
  <c r="C51" i="20" s="1"/>
  <c r="D51" i="20" s="1"/>
  <c r="E51" i="20" s="1"/>
  <c r="F51" i="20" s="1"/>
  <c r="G51" i="20" s="1"/>
  <c r="H51" i="20" s="1"/>
  <c r="I51" i="20" s="1"/>
  <c r="J51" i="20" s="1"/>
  <c r="K51" i="20" s="1"/>
  <c r="L51" i="20" s="1"/>
  <c r="M51" i="20" s="1"/>
  <c r="N51" i="20" s="1"/>
  <c r="O51" i="20" s="1"/>
  <c r="P51" i="20" s="1"/>
  <c r="Q51" i="20" s="1"/>
  <c r="R51" i="20" s="1"/>
  <c r="S51" i="20" s="1"/>
  <c r="T51" i="20" s="1"/>
  <c r="U51" i="20" s="1"/>
  <c r="V51" i="20" s="1"/>
  <c r="W51" i="20" s="1"/>
  <c r="X51" i="20" s="1"/>
  <c r="Y51" i="20" s="1"/>
  <c r="Z51" i="20" s="1"/>
  <c r="AA51" i="20" s="1"/>
  <c r="AB51" i="20" s="1"/>
  <c r="AC51" i="20" s="1"/>
  <c r="AD51" i="20" s="1"/>
  <c r="AE51" i="20" s="1"/>
  <c r="AF51" i="20" s="1"/>
  <c r="AG51" i="20" s="1"/>
  <c r="AH51" i="20" s="1"/>
  <c r="AI51" i="20" s="1"/>
  <c r="AJ51" i="20" s="1"/>
  <c r="AK51" i="20" s="1"/>
  <c r="AL51" i="20" s="1"/>
  <c r="AM51" i="20" s="1"/>
  <c r="AN51" i="20" s="1"/>
  <c r="AO51" i="20" s="1"/>
  <c r="AP51" i="20" s="1"/>
  <c r="AQ51" i="20" s="1"/>
  <c r="AR51" i="20" s="1"/>
  <c r="AS51" i="20" s="1"/>
  <c r="AT51" i="20" s="1"/>
  <c r="AU51" i="20" s="1"/>
  <c r="AV51" i="20" s="1"/>
  <c r="AW51" i="20" s="1"/>
  <c r="AX51" i="20" s="1"/>
  <c r="AY51" i="20" s="1"/>
  <c r="AZ51" i="20" s="1"/>
  <c r="BA51" i="20" s="1"/>
  <c r="BB51" i="20" s="1"/>
  <c r="BC51" i="20" s="1"/>
  <c r="BD51" i="20" s="1"/>
  <c r="BE51" i="20" s="1"/>
  <c r="BF51" i="20" s="1"/>
  <c r="BG51" i="20" s="1"/>
  <c r="BH51" i="20" s="1"/>
  <c r="BI51" i="20" s="1"/>
  <c r="BJ51" i="20" s="1"/>
  <c r="BK51" i="20" s="1"/>
  <c r="BL51" i="20" s="1"/>
  <c r="BM51" i="20" s="1"/>
  <c r="BN51" i="20" s="1"/>
  <c r="BO51" i="20" s="1"/>
  <c r="BP51" i="20" s="1"/>
  <c r="BQ51" i="20" s="1"/>
  <c r="BR51" i="20" s="1"/>
  <c r="BS51" i="20" s="1"/>
  <c r="BT51" i="20" s="1"/>
  <c r="BU51" i="20" s="1"/>
  <c r="BV51" i="20" s="1"/>
  <c r="BW51" i="20" s="1"/>
  <c r="BX51" i="20" s="1"/>
  <c r="BY51" i="20" s="1"/>
  <c r="BZ51" i="20" s="1"/>
  <c r="CA51" i="20" s="1"/>
  <c r="CB51" i="20" s="1"/>
  <c r="CC51" i="20" s="1"/>
  <c r="CD51" i="20" s="1"/>
  <c r="CE51" i="20" s="1"/>
  <c r="CF51" i="20" s="1"/>
  <c r="CG51" i="20" s="1"/>
  <c r="CH51" i="20" s="1"/>
  <c r="CI51" i="20" s="1"/>
  <c r="CJ51" i="20" s="1"/>
  <c r="CK51" i="20" s="1"/>
  <c r="CL51" i="20" s="1"/>
  <c r="CM51" i="20" s="1"/>
  <c r="CN51" i="20" s="1"/>
  <c r="CO51" i="20" s="1"/>
  <c r="CP51" i="20" s="1"/>
  <c r="CQ51" i="20" s="1"/>
  <c r="CR51" i="20" s="1"/>
  <c r="CS51" i="20" s="1"/>
  <c r="CT51" i="20" s="1"/>
  <c r="CU51" i="20" s="1"/>
  <c r="CV51" i="20" s="1"/>
  <c r="CW51" i="20" s="1"/>
  <c r="CX51" i="20" s="1"/>
  <c r="CY51" i="20" s="1"/>
  <c r="CZ51" i="20" s="1"/>
  <c r="DA51" i="20" s="1"/>
  <c r="DB51" i="20" s="1"/>
  <c r="DC51" i="20" s="1"/>
  <c r="DD51" i="20" s="1"/>
  <c r="DE51" i="20" s="1"/>
  <c r="DF51" i="20" s="1"/>
  <c r="DG51" i="20" s="1"/>
  <c r="DH51" i="20" s="1"/>
  <c r="DI51" i="20" s="1"/>
  <c r="DJ51" i="20" s="1"/>
  <c r="DK51" i="20" s="1"/>
  <c r="DL51" i="20" s="1"/>
  <c r="DM51" i="20" s="1"/>
  <c r="DN51" i="20" s="1"/>
  <c r="DO51" i="20" s="1"/>
  <c r="DP51" i="20" s="1"/>
  <c r="A52" i="20" s="1"/>
  <c r="B52" i="20" s="1"/>
  <c r="C52" i="20" s="1"/>
  <c r="D52" i="20" s="1"/>
  <c r="E52" i="20" s="1"/>
  <c r="F52" i="20" s="1"/>
  <c r="G52" i="20" s="1"/>
  <c r="H52" i="20" s="1"/>
  <c r="I52" i="20" s="1"/>
  <c r="J52" i="20" s="1"/>
  <c r="K52" i="20" s="1"/>
  <c r="L52" i="20" s="1"/>
  <c r="M52" i="20" s="1"/>
  <c r="N52" i="20" s="1"/>
  <c r="O52" i="20" s="1"/>
  <c r="P52" i="20" s="1"/>
  <c r="Q52" i="20" s="1"/>
  <c r="R52" i="20" s="1"/>
  <c r="S52" i="20" s="1"/>
  <c r="T52" i="20" s="1"/>
  <c r="U52" i="20" s="1"/>
  <c r="V52" i="20" s="1"/>
  <c r="W52" i="20" s="1"/>
  <c r="X52" i="20" s="1"/>
  <c r="Y52" i="20" s="1"/>
  <c r="Z52" i="20" s="1"/>
  <c r="AA52" i="20" s="1"/>
  <c r="AB52" i="20" s="1"/>
  <c r="AC52" i="20" s="1"/>
  <c r="AD52" i="20" s="1"/>
  <c r="AE52" i="20" s="1"/>
  <c r="AF52" i="20" s="1"/>
  <c r="AG52" i="20" s="1"/>
  <c r="AH52" i="20" s="1"/>
  <c r="AI52" i="20" s="1"/>
  <c r="AJ52" i="20" s="1"/>
  <c r="AK52" i="20" s="1"/>
  <c r="AL52" i="20" s="1"/>
  <c r="AM52" i="20" s="1"/>
  <c r="AN52" i="20" s="1"/>
  <c r="AO52" i="20" s="1"/>
  <c r="AP52" i="20" s="1"/>
  <c r="AQ52" i="20" s="1"/>
  <c r="AR52" i="20" s="1"/>
  <c r="AS52" i="20" s="1"/>
  <c r="AT52" i="20" s="1"/>
  <c r="AU52" i="20" s="1"/>
  <c r="AV52" i="20" s="1"/>
  <c r="AW52" i="20" s="1"/>
  <c r="AX52" i="20" s="1"/>
  <c r="AY52" i="20" s="1"/>
  <c r="AZ52" i="20" s="1"/>
  <c r="BA52" i="20" s="1"/>
  <c r="BB52" i="20" s="1"/>
  <c r="BC52" i="20" s="1"/>
  <c r="BD52" i="20" s="1"/>
  <c r="BE52" i="20" s="1"/>
  <c r="BF52" i="20" s="1"/>
  <c r="BG52" i="20" s="1"/>
  <c r="BH52" i="20" s="1"/>
  <c r="BI52" i="20" s="1"/>
  <c r="BJ52" i="20" s="1"/>
  <c r="BK52" i="20" s="1"/>
  <c r="BL52" i="20" s="1"/>
  <c r="BM52" i="20" s="1"/>
  <c r="BN52" i="20" s="1"/>
  <c r="BO52" i="20" s="1"/>
  <c r="BP52" i="20" s="1"/>
  <c r="BQ52" i="20" s="1"/>
  <c r="BR52" i="20" s="1"/>
  <c r="BS52" i="20" s="1"/>
  <c r="BT52" i="20" s="1"/>
  <c r="BU52" i="20" s="1"/>
  <c r="BV52" i="20" s="1"/>
  <c r="BW52" i="20" s="1"/>
  <c r="BX52" i="20" s="1"/>
  <c r="BY52" i="20" s="1"/>
  <c r="BZ52" i="20" s="1"/>
  <c r="CA52" i="20" s="1"/>
  <c r="CB52" i="20" s="1"/>
  <c r="CC52" i="20" s="1"/>
  <c r="CD52" i="20" s="1"/>
  <c r="CE52" i="20" s="1"/>
  <c r="CF52" i="20" s="1"/>
  <c r="CG52" i="20" s="1"/>
  <c r="CH52" i="20" s="1"/>
  <c r="CI52" i="20" s="1"/>
  <c r="CJ52" i="20" s="1"/>
  <c r="CK52" i="20" s="1"/>
  <c r="CL52" i="20" s="1"/>
  <c r="CM52" i="20" s="1"/>
  <c r="CN52" i="20" s="1"/>
  <c r="CO52" i="20" s="1"/>
  <c r="CP52" i="20" s="1"/>
  <c r="CQ52" i="20" s="1"/>
  <c r="CR52" i="20" s="1"/>
  <c r="CS52" i="20" s="1"/>
  <c r="CT52" i="20" s="1"/>
  <c r="CU52" i="20" s="1"/>
  <c r="CV52" i="20" s="1"/>
  <c r="CW52" i="20" s="1"/>
  <c r="CX52" i="20" s="1"/>
  <c r="CY52" i="20" s="1"/>
  <c r="CZ52" i="20" s="1"/>
  <c r="DA52" i="20" s="1"/>
  <c r="DB52" i="20" s="1"/>
  <c r="DC52" i="20" s="1"/>
  <c r="DD52" i="20" s="1"/>
  <c r="DE52" i="20" s="1"/>
  <c r="DF52" i="20" s="1"/>
  <c r="DG52" i="20" s="1"/>
  <c r="DH52" i="20" s="1"/>
  <c r="DI52" i="20" s="1"/>
  <c r="DJ52" i="20" s="1"/>
  <c r="DK52" i="20" s="1"/>
  <c r="DL52" i="20" s="1"/>
  <c r="DM52" i="20" s="1"/>
  <c r="DN52" i="20" s="1"/>
  <c r="DO52" i="20" s="1"/>
  <c r="DP52" i="20" s="1"/>
  <c r="A53" i="20" s="1"/>
  <c r="B53" i="20" s="1"/>
  <c r="C53" i="20" s="1"/>
  <c r="D53" i="20" s="1"/>
  <c r="E53" i="20" s="1"/>
  <c r="F53" i="20" s="1"/>
  <c r="G53" i="20" s="1"/>
  <c r="H53" i="20" s="1"/>
  <c r="I53" i="20" s="1"/>
  <c r="J53" i="20" s="1"/>
  <c r="K53" i="20" s="1"/>
  <c r="L53" i="20" s="1"/>
  <c r="M53" i="20" s="1"/>
  <c r="N53" i="20" s="1"/>
  <c r="O53" i="20" s="1"/>
  <c r="P53" i="20" s="1"/>
  <c r="Q53" i="20" s="1"/>
  <c r="R53" i="20" s="1"/>
  <c r="S53" i="20" s="1"/>
  <c r="T53" i="20" s="1"/>
  <c r="U53" i="20" s="1"/>
  <c r="V53" i="20" s="1"/>
  <c r="W53" i="20" s="1"/>
  <c r="X53" i="20" s="1"/>
  <c r="Y53" i="20" s="1"/>
  <c r="Z53" i="20" s="1"/>
  <c r="AA53" i="20" s="1"/>
  <c r="AB53" i="20" s="1"/>
  <c r="AC53" i="20" s="1"/>
  <c r="AD53" i="20" s="1"/>
  <c r="AE53" i="20" s="1"/>
  <c r="AF53" i="20" s="1"/>
  <c r="AG53" i="20" s="1"/>
  <c r="AH53" i="20" s="1"/>
  <c r="AI53" i="20" s="1"/>
  <c r="AJ53" i="20" s="1"/>
  <c r="AK53" i="20" s="1"/>
  <c r="AL53" i="20" s="1"/>
  <c r="AM53" i="20" s="1"/>
  <c r="AN53" i="20" s="1"/>
  <c r="AO53" i="20" s="1"/>
  <c r="AP53" i="20" s="1"/>
  <c r="AQ53" i="20" s="1"/>
  <c r="AR53" i="20" s="1"/>
  <c r="AS53" i="20" s="1"/>
  <c r="AT53" i="20" s="1"/>
  <c r="AU53" i="20" s="1"/>
  <c r="AV53" i="20" s="1"/>
  <c r="AW53" i="20" s="1"/>
  <c r="AX53" i="20" s="1"/>
  <c r="AY53" i="20" s="1"/>
  <c r="AZ53" i="20" s="1"/>
  <c r="BA53" i="20" s="1"/>
  <c r="BB53" i="20" s="1"/>
  <c r="BC53" i="20" s="1"/>
  <c r="BD53" i="20" s="1"/>
  <c r="BE53" i="20" s="1"/>
  <c r="BF53" i="20" s="1"/>
  <c r="BG53" i="20" s="1"/>
  <c r="BH53" i="20" s="1"/>
  <c r="BI53" i="20" s="1"/>
  <c r="BJ53" i="20" s="1"/>
  <c r="BK53" i="20" s="1"/>
  <c r="BL53" i="20" s="1"/>
  <c r="BM53" i="20" s="1"/>
  <c r="BN53" i="20" s="1"/>
  <c r="BO53" i="20" s="1"/>
  <c r="BP53" i="20" s="1"/>
  <c r="BQ53" i="20" s="1"/>
  <c r="BR53" i="20" s="1"/>
  <c r="BS53" i="20" s="1"/>
  <c r="BT53" i="20" s="1"/>
  <c r="BU53" i="20" s="1"/>
  <c r="BV53" i="20" s="1"/>
  <c r="BW53" i="20" s="1"/>
  <c r="BX53" i="20" s="1"/>
  <c r="BY53" i="20" s="1"/>
  <c r="BZ53" i="20" s="1"/>
  <c r="CA53" i="20" s="1"/>
  <c r="CB53" i="20" s="1"/>
  <c r="CC53" i="20" s="1"/>
  <c r="CD53" i="20" s="1"/>
  <c r="CE53" i="20" s="1"/>
  <c r="CF53" i="20" s="1"/>
  <c r="CG53" i="20" s="1"/>
  <c r="CH53" i="20" s="1"/>
  <c r="CI53" i="20" s="1"/>
  <c r="CJ53" i="20" s="1"/>
  <c r="CK53" i="20" s="1"/>
  <c r="CL53" i="20" s="1"/>
  <c r="CM53" i="20" s="1"/>
  <c r="CN53" i="20" s="1"/>
  <c r="CO53" i="20" s="1"/>
  <c r="CP53" i="20" s="1"/>
  <c r="CQ53" i="20" s="1"/>
  <c r="CR53" i="20" s="1"/>
  <c r="CS53" i="20" s="1"/>
  <c r="CT53" i="20" s="1"/>
  <c r="CU53" i="20" s="1"/>
  <c r="CV53" i="20" s="1"/>
  <c r="CW53" i="20" s="1"/>
  <c r="CX53" i="20" s="1"/>
  <c r="CY53" i="20" s="1"/>
  <c r="CZ53" i="20" s="1"/>
  <c r="DA53" i="20" s="1"/>
  <c r="DB53" i="20" s="1"/>
  <c r="DC53" i="20" s="1"/>
  <c r="DD53" i="20" s="1"/>
  <c r="DE53" i="20" s="1"/>
  <c r="DF53" i="20" s="1"/>
  <c r="DG53" i="20" s="1"/>
  <c r="DH53" i="20" s="1"/>
  <c r="DI53" i="20" s="1"/>
  <c r="DJ53" i="20" s="1"/>
  <c r="DK53" i="20" s="1"/>
  <c r="DL53" i="20" s="1"/>
  <c r="DM53" i="20" s="1"/>
  <c r="DN53" i="20" s="1"/>
  <c r="DO53" i="20" s="1"/>
  <c r="DP53" i="20" s="1"/>
  <c r="A54" i="20" s="1"/>
  <c r="B54" i="20" s="1"/>
  <c r="C54" i="20" s="1"/>
  <c r="D54" i="20" s="1"/>
  <c r="E54" i="20" s="1"/>
  <c r="F54" i="20" s="1"/>
  <c r="G54" i="20" s="1"/>
  <c r="H54" i="20" s="1"/>
  <c r="I54" i="20" s="1"/>
  <c r="J54" i="20" s="1"/>
  <c r="K54" i="20" s="1"/>
  <c r="L54" i="20" s="1"/>
  <c r="M54" i="20" s="1"/>
  <c r="N54" i="20" s="1"/>
  <c r="O54" i="20" s="1"/>
  <c r="P54" i="20" s="1"/>
  <c r="Q54" i="20" s="1"/>
  <c r="R54" i="20" s="1"/>
  <c r="S54" i="20" s="1"/>
  <c r="T54" i="20" s="1"/>
  <c r="U54" i="20" s="1"/>
  <c r="V54" i="20" s="1"/>
  <c r="W54" i="20" s="1"/>
  <c r="X54" i="20" s="1"/>
  <c r="Y54" i="20" s="1"/>
  <c r="Z54" i="20" s="1"/>
  <c r="AA54" i="20" s="1"/>
  <c r="AB54" i="20" s="1"/>
  <c r="AC54" i="20" s="1"/>
  <c r="AD54" i="20" s="1"/>
  <c r="AE54" i="20" s="1"/>
  <c r="AF54" i="20" s="1"/>
  <c r="AG54" i="20" s="1"/>
  <c r="AH54" i="20" s="1"/>
  <c r="AI54" i="20" s="1"/>
  <c r="AJ54" i="20" s="1"/>
  <c r="AK54" i="20" s="1"/>
  <c r="AL54" i="20" s="1"/>
  <c r="AM54" i="20" s="1"/>
  <c r="AN54" i="20" s="1"/>
  <c r="AO54" i="20" s="1"/>
  <c r="AP54" i="20" s="1"/>
  <c r="AQ54" i="20" s="1"/>
  <c r="AR54" i="20" s="1"/>
  <c r="AS54" i="20" s="1"/>
  <c r="AT54" i="20" s="1"/>
  <c r="AU54" i="20" s="1"/>
  <c r="AV54" i="20" s="1"/>
  <c r="AW54" i="20" s="1"/>
  <c r="AX54" i="20" s="1"/>
  <c r="AY54" i="20" s="1"/>
  <c r="AZ54" i="20" s="1"/>
  <c r="BA54" i="20" s="1"/>
  <c r="BB54" i="20" s="1"/>
  <c r="BC54" i="20" s="1"/>
  <c r="BD54" i="20" s="1"/>
  <c r="BE54" i="20" s="1"/>
  <c r="BF54" i="20" s="1"/>
  <c r="BG54" i="20" s="1"/>
  <c r="BH54" i="20" s="1"/>
  <c r="BI54" i="20" s="1"/>
  <c r="BJ54" i="20" s="1"/>
  <c r="BK54" i="20" s="1"/>
  <c r="BL54" i="20" s="1"/>
  <c r="BM54" i="20" s="1"/>
  <c r="BN54" i="20" s="1"/>
  <c r="BO54" i="20" s="1"/>
  <c r="BP54" i="20" s="1"/>
  <c r="BQ54" i="20" s="1"/>
  <c r="BR54" i="20" s="1"/>
  <c r="BS54" i="20" s="1"/>
  <c r="BT54" i="20" s="1"/>
  <c r="BU54" i="20" s="1"/>
  <c r="BV54" i="20" s="1"/>
  <c r="BW54" i="20" s="1"/>
  <c r="BX54" i="20" s="1"/>
  <c r="BY54" i="20" s="1"/>
  <c r="BZ54" i="20" s="1"/>
  <c r="CA54" i="20" s="1"/>
  <c r="CB54" i="20" s="1"/>
  <c r="CC54" i="20" s="1"/>
  <c r="CD54" i="20" s="1"/>
  <c r="CE54" i="20" s="1"/>
  <c r="CF54" i="20" s="1"/>
  <c r="CG54" i="20" s="1"/>
  <c r="CH54" i="20" s="1"/>
  <c r="CI54" i="20" s="1"/>
  <c r="CJ54" i="20" s="1"/>
  <c r="CK54" i="20" s="1"/>
  <c r="CL54" i="20" s="1"/>
  <c r="CM54" i="20" s="1"/>
  <c r="CN54" i="20" s="1"/>
  <c r="CO54" i="20" s="1"/>
  <c r="CP54" i="20" s="1"/>
  <c r="CQ54" i="20" s="1"/>
  <c r="CR54" i="20" s="1"/>
  <c r="CS54" i="20" s="1"/>
  <c r="CT54" i="20" s="1"/>
  <c r="CU54" i="20" s="1"/>
  <c r="CV54" i="20" s="1"/>
  <c r="CW54" i="20" s="1"/>
  <c r="CX54" i="20" s="1"/>
  <c r="CY54" i="20" s="1"/>
  <c r="CZ54" i="20" s="1"/>
  <c r="DA54" i="20" s="1"/>
  <c r="DB54" i="20" s="1"/>
  <c r="DC54" i="20" s="1"/>
  <c r="DD54" i="20" s="1"/>
  <c r="DE54" i="20" s="1"/>
  <c r="DF54" i="20" s="1"/>
  <c r="DG54" i="20" s="1"/>
  <c r="DH54" i="20" s="1"/>
  <c r="DI54" i="20" s="1"/>
  <c r="DJ54" i="20" s="1"/>
  <c r="DK54" i="20" s="1"/>
  <c r="DL54" i="20" s="1"/>
  <c r="DM54" i="20" s="1"/>
  <c r="DN54" i="20" s="1"/>
  <c r="DO54" i="20" s="1"/>
  <c r="DP54" i="20" s="1"/>
  <c r="A55" i="20" s="1"/>
  <c r="B55" i="20" s="1"/>
  <c r="C55" i="20" s="1"/>
  <c r="D55" i="20" s="1"/>
  <c r="E55" i="20" s="1"/>
  <c r="F55" i="20" s="1"/>
  <c r="G55" i="20" s="1"/>
  <c r="H55" i="20" s="1"/>
  <c r="I55" i="20" s="1"/>
  <c r="J55" i="20" s="1"/>
  <c r="K55" i="20" s="1"/>
  <c r="L55" i="20" s="1"/>
  <c r="M55" i="20" s="1"/>
  <c r="N55" i="20" s="1"/>
  <c r="O55" i="20" s="1"/>
  <c r="P55" i="20" s="1"/>
  <c r="Q55" i="20" s="1"/>
  <c r="R55" i="20" s="1"/>
  <c r="S55" i="20" s="1"/>
  <c r="T55" i="20" s="1"/>
  <c r="U55" i="20" s="1"/>
  <c r="V55" i="20" s="1"/>
  <c r="W55" i="20" s="1"/>
  <c r="X55" i="20" s="1"/>
  <c r="Y55" i="20" s="1"/>
  <c r="Z55" i="20" s="1"/>
  <c r="AA55" i="20" s="1"/>
  <c r="AB55" i="20" s="1"/>
  <c r="AC55" i="20" s="1"/>
  <c r="AD55" i="20" s="1"/>
  <c r="AE55" i="20" s="1"/>
  <c r="AF55" i="20" s="1"/>
  <c r="AG55" i="20" s="1"/>
  <c r="AH55" i="20" s="1"/>
  <c r="AI55" i="20" s="1"/>
  <c r="AJ55" i="20" s="1"/>
  <c r="AK55" i="20" s="1"/>
  <c r="AL55" i="20" s="1"/>
  <c r="AM55" i="20" s="1"/>
  <c r="AN55" i="20" s="1"/>
  <c r="AO55" i="20" s="1"/>
  <c r="AP55" i="20" s="1"/>
  <c r="AQ55" i="20" s="1"/>
  <c r="AR55" i="20" s="1"/>
  <c r="AS55" i="20" s="1"/>
  <c r="AT55" i="20" s="1"/>
  <c r="AU55" i="20" s="1"/>
  <c r="AV55" i="20" s="1"/>
  <c r="AW55" i="20" s="1"/>
  <c r="AX55" i="20" s="1"/>
  <c r="AY55" i="20" s="1"/>
  <c r="AZ55" i="20" s="1"/>
  <c r="BA55" i="20" s="1"/>
  <c r="BB55" i="20" s="1"/>
  <c r="BC55" i="20" s="1"/>
  <c r="BD55" i="20" s="1"/>
  <c r="BE55" i="20" s="1"/>
  <c r="BF55" i="20" s="1"/>
  <c r="BG55" i="20" s="1"/>
  <c r="BH55" i="20" s="1"/>
  <c r="BI55" i="20" s="1"/>
  <c r="BJ55" i="20" s="1"/>
  <c r="BK55" i="20" s="1"/>
  <c r="BL55" i="20" s="1"/>
  <c r="BM55" i="20" s="1"/>
  <c r="BN55" i="20" s="1"/>
  <c r="BO55" i="20" s="1"/>
  <c r="BP55" i="20" s="1"/>
  <c r="BQ55" i="20" s="1"/>
  <c r="BR55" i="20" s="1"/>
  <c r="BS55" i="20" s="1"/>
  <c r="BT55" i="20" s="1"/>
  <c r="BU55" i="20" s="1"/>
  <c r="BV55" i="20" s="1"/>
  <c r="BW55" i="20" s="1"/>
  <c r="BX55" i="20" s="1"/>
  <c r="BY55" i="20" s="1"/>
  <c r="BZ55" i="20" s="1"/>
  <c r="CA55" i="20" s="1"/>
  <c r="CB55" i="20" s="1"/>
  <c r="CC55" i="20" s="1"/>
  <c r="CD55" i="20" s="1"/>
  <c r="CE55" i="20" s="1"/>
  <c r="CF55" i="20" s="1"/>
  <c r="CG55" i="20" s="1"/>
  <c r="CH55" i="20" s="1"/>
  <c r="CI55" i="20" s="1"/>
  <c r="CJ55" i="20" s="1"/>
  <c r="CK55" i="20" s="1"/>
  <c r="CL55" i="20" s="1"/>
  <c r="CM55" i="20" s="1"/>
  <c r="CN55" i="20" s="1"/>
  <c r="CO55" i="20" s="1"/>
  <c r="CP55" i="20" s="1"/>
  <c r="CQ55" i="20" s="1"/>
  <c r="CR55" i="20" s="1"/>
  <c r="CS55" i="20" s="1"/>
  <c r="CT55" i="20" s="1"/>
  <c r="CU55" i="20" s="1"/>
  <c r="CV55" i="20" s="1"/>
  <c r="CW55" i="20" s="1"/>
  <c r="CX55" i="20" s="1"/>
  <c r="CY55" i="20" s="1"/>
  <c r="CZ55" i="20" s="1"/>
  <c r="DA55" i="20" s="1"/>
  <c r="DB55" i="20" s="1"/>
  <c r="DC55" i="20" s="1"/>
  <c r="DD55" i="20" s="1"/>
  <c r="DE55" i="20" s="1"/>
  <c r="DF55" i="20" s="1"/>
  <c r="DG55" i="20" s="1"/>
  <c r="DH55" i="20" s="1"/>
  <c r="DI55" i="20" s="1"/>
  <c r="DJ55" i="20" s="1"/>
  <c r="DK55" i="20" s="1"/>
  <c r="DL55" i="20" s="1"/>
  <c r="DM55" i="20" s="1"/>
  <c r="DN55" i="20" s="1"/>
  <c r="DO55" i="20" s="1"/>
  <c r="DP55" i="20" s="1"/>
  <c r="A56" i="20" s="1"/>
  <c r="B56" i="20" s="1"/>
  <c r="C56" i="20" s="1"/>
  <c r="D56" i="20" s="1"/>
  <c r="E56" i="20" s="1"/>
  <c r="F56" i="20" s="1"/>
  <c r="G56" i="20" s="1"/>
  <c r="H56" i="20" s="1"/>
  <c r="I56" i="20" s="1"/>
  <c r="J56" i="20" s="1"/>
  <c r="K56" i="20" s="1"/>
  <c r="L56" i="20" s="1"/>
  <c r="M56" i="20" s="1"/>
  <c r="N56" i="20" s="1"/>
  <c r="O56" i="20" s="1"/>
  <c r="P56" i="20" s="1"/>
  <c r="Q56" i="20" s="1"/>
  <c r="R56" i="20" s="1"/>
  <c r="S56" i="20" s="1"/>
  <c r="T56" i="20" s="1"/>
  <c r="U56" i="20" s="1"/>
  <c r="V56" i="20" s="1"/>
  <c r="W56" i="20" s="1"/>
  <c r="X56" i="20" s="1"/>
  <c r="Y56" i="20" s="1"/>
  <c r="Z56" i="20" s="1"/>
  <c r="AA56" i="20" s="1"/>
  <c r="AB56" i="20" s="1"/>
  <c r="AC56" i="20" s="1"/>
  <c r="AD56" i="20" s="1"/>
  <c r="AE56" i="20" s="1"/>
  <c r="AF56" i="20" s="1"/>
  <c r="AG56" i="20" s="1"/>
  <c r="AH56" i="20" s="1"/>
  <c r="AI56" i="20" s="1"/>
  <c r="AJ56" i="20" s="1"/>
  <c r="AK56" i="20" s="1"/>
  <c r="AL56" i="20" s="1"/>
  <c r="AM56" i="20" s="1"/>
  <c r="AN56" i="20" s="1"/>
  <c r="AO56" i="20" s="1"/>
  <c r="AP56" i="20" s="1"/>
  <c r="AQ56" i="20" s="1"/>
  <c r="AR56" i="20" s="1"/>
  <c r="AS56" i="20" s="1"/>
  <c r="AT56" i="20" s="1"/>
  <c r="AU56" i="20" s="1"/>
  <c r="AV56" i="20" s="1"/>
  <c r="AW56" i="20" s="1"/>
  <c r="AX56" i="20" s="1"/>
  <c r="AY56" i="20" s="1"/>
  <c r="AZ56" i="20" s="1"/>
  <c r="BA56" i="20" s="1"/>
  <c r="BB56" i="20" s="1"/>
  <c r="BC56" i="20" s="1"/>
  <c r="BD56" i="20" s="1"/>
  <c r="BE56" i="20" s="1"/>
  <c r="BF56" i="20" s="1"/>
  <c r="BG56" i="20" s="1"/>
  <c r="BH56" i="20" s="1"/>
  <c r="BI56" i="20" s="1"/>
  <c r="BJ56" i="20" s="1"/>
  <c r="BK56" i="20" s="1"/>
  <c r="BL56" i="20" s="1"/>
  <c r="BM56" i="20" s="1"/>
  <c r="BN56" i="20" s="1"/>
  <c r="BO56" i="20" s="1"/>
  <c r="BP56" i="20" s="1"/>
  <c r="BQ56" i="20" s="1"/>
  <c r="BR56" i="20" s="1"/>
  <c r="BS56" i="20" s="1"/>
  <c r="BT56" i="20" s="1"/>
  <c r="BU56" i="20" s="1"/>
  <c r="BV56" i="20" s="1"/>
  <c r="BW56" i="20" s="1"/>
  <c r="BX56" i="20" s="1"/>
  <c r="BY56" i="20" s="1"/>
  <c r="BZ56" i="20" s="1"/>
  <c r="CA56" i="20" s="1"/>
  <c r="CB56" i="20" s="1"/>
  <c r="CC56" i="20" s="1"/>
  <c r="CD56" i="20" s="1"/>
  <c r="CE56" i="20" s="1"/>
  <c r="CF56" i="20" s="1"/>
  <c r="CG56" i="20" s="1"/>
  <c r="CH56" i="20" s="1"/>
  <c r="CI56" i="20" s="1"/>
  <c r="CJ56" i="20" s="1"/>
  <c r="CK56" i="20" s="1"/>
  <c r="CL56" i="20" s="1"/>
  <c r="CM56" i="20" s="1"/>
  <c r="CN56" i="20" s="1"/>
  <c r="CO56" i="20" s="1"/>
  <c r="CP56" i="20" s="1"/>
  <c r="CQ56" i="20" s="1"/>
  <c r="CR56" i="20" s="1"/>
  <c r="CS56" i="20" s="1"/>
  <c r="CT56" i="20" s="1"/>
  <c r="CU56" i="20" s="1"/>
  <c r="CV56" i="20" s="1"/>
  <c r="CW56" i="20" s="1"/>
  <c r="CX56" i="20" s="1"/>
  <c r="CY56" i="20" s="1"/>
  <c r="CZ56" i="20" s="1"/>
  <c r="DA56" i="20" s="1"/>
  <c r="DB56" i="20" s="1"/>
  <c r="DC56" i="20" s="1"/>
  <c r="DD56" i="20" s="1"/>
  <c r="DE56" i="20" s="1"/>
  <c r="DF56" i="20" s="1"/>
  <c r="DG56" i="20" s="1"/>
  <c r="DH56" i="20" s="1"/>
  <c r="DI56" i="20" s="1"/>
  <c r="DJ56" i="20" s="1"/>
  <c r="DK56" i="20" s="1"/>
  <c r="DL56" i="20" s="1"/>
  <c r="DM56" i="20" s="1"/>
  <c r="DN56" i="20" s="1"/>
  <c r="DO56" i="20" s="1"/>
  <c r="DP56" i="20" s="1"/>
  <c r="A57" i="20" s="1"/>
  <c r="B57" i="20" s="1"/>
  <c r="C57" i="20" s="1"/>
  <c r="D57" i="20" s="1"/>
  <c r="E57" i="20" s="1"/>
  <c r="F57" i="20" s="1"/>
  <c r="G57" i="20" s="1"/>
  <c r="H57" i="20" s="1"/>
  <c r="I57" i="20" s="1"/>
  <c r="J57" i="20" s="1"/>
  <c r="K57" i="20" s="1"/>
  <c r="L57" i="20" s="1"/>
  <c r="M57" i="20" s="1"/>
  <c r="N57" i="20" s="1"/>
  <c r="O57" i="20" s="1"/>
  <c r="P57" i="20" s="1"/>
  <c r="Q57" i="20" s="1"/>
  <c r="R57" i="20" s="1"/>
  <c r="S57" i="20" s="1"/>
  <c r="T57" i="20" s="1"/>
  <c r="U57" i="20" s="1"/>
  <c r="V57" i="20" s="1"/>
  <c r="W57" i="20" s="1"/>
  <c r="X57" i="20" s="1"/>
  <c r="Y57" i="20" s="1"/>
  <c r="Z57" i="20" s="1"/>
  <c r="AA57" i="20" s="1"/>
  <c r="AB57" i="20" s="1"/>
  <c r="AC57" i="20" s="1"/>
  <c r="AD57" i="20" s="1"/>
  <c r="AE57" i="20" s="1"/>
  <c r="AF57" i="20" s="1"/>
  <c r="AG57" i="20" s="1"/>
  <c r="AH57" i="20" s="1"/>
  <c r="AI57" i="20" s="1"/>
  <c r="AJ57" i="20" s="1"/>
  <c r="AK57" i="20" s="1"/>
  <c r="AL57" i="20" s="1"/>
  <c r="AM57" i="20" s="1"/>
  <c r="AN57" i="20" s="1"/>
  <c r="AO57" i="20" s="1"/>
  <c r="AP57" i="20" s="1"/>
  <c r="AQ57" i="20" s="1"/>
  <c r="AR57" i="20" s="1"/>
  <c r="AS57" i="20" s="1"/>
  <c r="AT57" i="20" s="1"/>
  <c r="AU57" i="20" s="1"/>
  <c r="AV57" i="20" s="1"/>
  <c r="AW57" i="20" s="1"/>
  <c r="AX57" i="20" s="1"/>
  <c r="AY57" i="20" s="1"/>
  <c r="AZ57" i="20" s="1"/>
  <c r="BA57" i="20" s="1"/>
  <c r="BB57" i="20" s="1"/>
  <c r="BC57" i="20" s="1"/>
  <c r="BD57" i="20" s="1"/>
  <c r="BE57" i="20" s="1"/>
  <c r="BF57" i="20" s="1"/>
  <c r="BG57" i="20" s="1"/>
  <c r="BH57" i="20" s="1"/>
  <c r="BI57" i="20" s="1"/>
  <c r="BJ57" i="20" s="1"/>
  <c r="BK57" i="20" s="1"/>
  <c r="BL57" i="20" s="1"/>
  <c r="BM57" i="20" s="1"/>
  <c r="BN57" i="20" s="1"/>
  <c r="BO57" i="20" s="1"/>
  <c r="BP57" i="20" s="1"/>
  <c r="BQ57" i="20" s="1"/>
  <c r="BR57" i="20" s="1"/>
  <c r="BS57" i="20" s="1"/>
  <c r="BT57" i="20" s="1"/>
  <c r="BU57" i="20" s="1"/>
  <c r="BV57" i="20" s="1"/>
  <c r="BW57" i="20" s="1"/>
  <c r="BX57" i="20" s="1"/>
  <c r="BY57" i="20" s="1"/>
  <c r="BZ57" i="20" s="1"/>
  <c r="CA57" i="20" s="1"/>
  <c r="CB57" i="20" s="1"/>
  <c r="CC57" i="20" s="1"/>
  <c r="CD57" i="20" s="1"/>
  <c r="CE57" i="20" s="1"/>
  <c r="CF57" i="20" s="1"/>
  <c r="CG57" i="20" s="1"/>
  <c r="CH57" i="20" s="1"/>
  <c r="CI57" i="20" s="1"/>
  <c r="CJ57" i="20" s="1"/>
  <c r="CK57" i="20" s="1"/>
  <c r="CL57" i="20" s="1"/>
  <c r="CM57" i="20" s="1"/>
  <c r="CN57" i="20" s="1"/>
  <c r="CO57" i="20" s="1"/>
  <c r="CP57" i="20" s="1"/>
  <c r="CQ57" i="20" s="1"/>
  <c r="CR57" i="20" s="1"/>
  <c r="CS57" i="20" s="1"/>
  <c r="CT57" i="20" s="1"/>
  <c r="CU57" i="20" s="1"/>
  <c r="CV57" i="20" s="1"/>
  <c r="CW57" i="20" s="1"/>
  <c r="CX57" i="20" s="1"/>
  <c r="CY57" i="20" s="1"/>
  <c r="CZ57" i="20" s="1"/>
  <c r="DA57" i="20" s="1"/>
  <c r="DB57" i="20" s="1"/>
  <c r="DC57" i="20" s="1"/>
  <c r="DD57" i="20" s="1"/>
  <c r="DE57" i="20" s="1"/>
  <c r="DF57" i="20" s="1"/>
  <c r="DG57" i="20" s="1"/>
  <c r="DH57" i="20" s="1"/>
  <c r="DI57" i="20" s="1"/>
  <c r="DJ57" i="20" s="1"/>
  <c r="DK57" i="20" s="1"/>
  <c r="DL57" i="20" s="1"/>
  <c r="DM57" i="20" s="1"/>
  <c r="DN57" i="20" s="1"/>
  <c r="DO57" i="20" s="1"/>
  <c r="DP57" i="20" s="1"/>
  <c r="A58" i="20" s="1"/>
  <c r="B58" i="20" s="1"/>
  <c r="C58" i="20" s="1"/>
  <c r="D58" i="20" s="1"/>
  <c r="E58" i="20" s="1"/>
  <c r="F58" i="20" s="1"/>
  <c r="G58" i="20" s="1"/>
  <c r="H58" i="20" s="1"/>
  <c r="I58" i="20" s="1"/>
  <c r="J58" i="20" s="1"/>
  <c r="K58" i="20" s="1"/>
  <c r="L58" i="20" s="1"/>
  <c r="M58" i="20" s="1"/>
  <c r="N58" i="20" s="1"/>
  <c r="O58" i="20" s="1"/>
  <c r="P58" i="20" s="1"/>
  <c r="Q58" i="20" s="1"/>
  <c r="R58" i="20" s="1"/>
  <c r="S58" i="20" s="1"/>
  <c r="T58" i="20" s="1"/>
  <c r="U58" i="20" s="1"/>
  <c r="V58" i="20" s="1"/>
  <c r="W58" i="20" s="1"/>
  <c r="X58" i="20" s="1"/>
  <c r="Y58" i="20" s="1"/>
  <c r="Z58" i="20" s="1"/>
  <c r="AA58" i="20" s="1"/>
  <c r="AB58" i="20" s="1"/>
  <c r="AC58" i="20" s="1"/>
  <c r="AD58" i="20" s="1"/>
  <c r="AE58" i="20" s="1"/>
  <c r="AF58" i="20" s="1"/>
  <c r="AG58" i="20" s="1"/>
  <c r="AH58" i="20" s="1"/>
  <c r="AI58" i="20" s="1"/>
  <c r="AJ58" i="20" s="1"/>
  <c r="AK58" i="20" s="1"/>
  <c r="AL58" i="20" s="1"/>
  <c r="AM58" i="20" s="1"/>
  <c r="AN58" i="20" s="1"/>
  <c r="AO58" i="20" s="1"/>
  <c r="AP58" i="20" s="1"/>
  <c r="AQ58" i="20" s="1"/>
  <c r="AR58" i="20" s="1"/>
  <c r="AS58" i="20" s="1"/>
  <c r="AT58" i="20" s="1"/>
  <c r="AU58" i="20" s="1"/>
  <c r="AV58" i="20" s="1"/>
  <c r="AW58" i="20" s="1"/>
  <c r="AX58" i="20" s="1"/>
  <c r="AY58" i="20" s="1"/>
  <c r="AZ58" i="20" s="1"/>
  <c r="BA58" i="20" s="1"/>
  <c r="BB58" i="20" s="1"/>
  <c r="BC58" i="20" s="1"/>
  <c r="BD58" i="20" s="1"/>
  <c r="BE58" i="20" s="1"/>
  <c r="BF58" i="20" s="1"/>
  <c r="BG58" i="20" s="1"/>
  <c r="BH58" i="20" s="1"/>
  <c r="BI58" i="20" s="1"/>
  <c r="BJ58" i="20" s="1"/>
  <c r="BK58" i="20" s="1"/>
  <c r="BL58" i="20" s="1"/>
  <c r="BM58" i="20" s="1"/>
  <c r="BN58" i="20" s="1"/>
  <c r="BO58" i="20" s="1"/>
  <c r="BP58" i="20" s="1"/>
  <c r="BQ58" i="20" s="1"/>
  <c r="BR58" i="20" s="1"/>
  <c r="BS58" i="20" s="1"/>
  <c r="BT58" i="20" s="1"/>
  <c r="BU58" i="20" s="1"/>
  <c r="BV58" i="20" s="1"/>
  <c r="BW58" i="20" s="1"/>
  <c r="BX58" i="20" s="1"/>
  <c r="BY58" i="20" s="1"/>
  <c r="BZ58" i="20" s="1"/>
  <c r="CA58" i="20" s="1"/>
  <c r="CB58" i="20" s="1"/>
  <c r="CC58" i="20" s="1"/>
  <c r="CD58" i="20" s="1"/>
  <c r="CE58" i="20" s="1"/>
  <c r="CF58" i="20" s="1"/>
  <c r="CG58" i="20" s="1"/>
  <c r="CH58" i="20" s="1"/>
  <c r="CI58" i="20" s="1"/>
  <c r="CJ58" i="20" s="1"/>
  <c r="CK58" i="20" s="1"/>
  <c r="CL58" i="20" s="1"/>
  <c r="CM58" i="20" s="1"/>
  <c r="CN58" i="20" s="1"/>
  <c r="CO58" i="20" s="1"/>
  <c r="CP58" i="20" s="1"/>
  <c r="CQ58" i="20" s="1"/>
  <c r="CR58" i="20" s="1"/>
  <c r="CS58" i="20" s="1"/>
  <c r="CT58" i="20" s="1"/>
  <c r="CU58" i="20" s="1"/>
  <c r="CV58" i="20" s="1"/>
  <c r="CW58" i="20" s="1"/>
  <c r="CX58" i="20" s="1"/>
  <c r="CY58" i="20" s="1"/>
  <c r="CZ58" i="20" s="1"/>
  <c r="DA58" i="20" s="1"/>
  <c r="DB58" i="20" s="1"/>
  <c r="DC58" i="20" s="1"/>
  <c r="DD58" i="20" s="1"/>
  <c r="DE58" i="20" s="1"/>
  <c r="DF58" i="20" s="1"/>
  <c r="DG58" i="20" s="1"/>
  <c r="DH58" i="20" s="1"/>
  <c r="DI58" i="20" s="1"/>
  <c r="DJ58" i="20" s="1"/>
  <c r="DK58" i="20" s="1"/>
  <c r="DL58" i="20" s="1"/>
  <c r="DM58" i="20" s="1"/>
  <c r="DN58" i="20" s="1"/>
  <c r="DO58" i="20" s="1"/>
  <c r="DP58" i="20" s="1"/>
  <c r="A59" i="20" s="1"/>
  <c r="B59" i="20" s="1"/>
  <c r="C59" i="20" s="1"/>
  <c r="D59" i="20" s="1"/>
  <c r="E59" i="20" s="1"/>
  <c r="F59" i="20" s="1"/>
  <c r="G59" i="20" s="1"/>
  <c r="H59" i="20" s="1"/>
  <c r="I59" i="20" s="1"/>
  <c r="J59" i="20" s="1"/>
  <c r="K59" i="20" s="1"/>
  <c r="L59" i="20" s="1"/>
  <c r="M59" i="20" s="1"/>
  <c r="N59" i="20" s="1"/>
  <c r="O59" i="20" s="1"/>
  <c r="P59" i="20" s="1"/>
  <c r="Q59" i="20" s="1"/>
  <c r="R59" i="20" s="1"/>
  <c r="S59" i="20" s="1"/>
  <c r="T59" i="20" s="1"/>
  <c r="U59" i="20" s="1"/>
  <c r="V59" i="20" s="1"/>
  <c r="W59" i="20" s="1"/>
  <c r="X59" i="20" s="1"/>
  <c r="Y59" i="20" s="1"/>
  <c r="Z59" i="20" s="1"/>
  <c r="AA59" i="20" s="1"/>
  <c r="AB59" i="20" s="1"/>
  <c r="AC59" i="20" s="1"/>
  <c r="AD59" i="20" s="1"/>
  <c r="AE59" i="20" s="1"/>
  <c r="AF59" i="20" s="1"/>
  <c r="AG59" i="20" s="1"/>
  <c r="AH59" i="20" s="1"/>
  <c r="AI59" i="20" s="1"/>
  <c r="AJ59" i="20" s="1"/>
  <c r="AK59" i="20" s="1"/>
  <c r="AL59" i="20" s="1"/>
  <c r="AM59" i="20" s="1"/>
  <c r="AN59" i="20" s="1"/>
  <c r="AO59" i="20" s="1"/>
  <c r="AP59" i="20" s="1"/>
  <c r="AQ59" i="20" s="1"/>
  <c r="AR59" i="20" s="1"/>
  <c r="AS59" i="20" s="1"/>
  <c r="AT59" i="20" s="1"/>
  <c r="AU59" i="20" s="1"/>
  <c r="AV59" i="20" s="1"/>
  <c r="AW59" i="20" s="1"/>
  <c r="AX59" i="20" s="1"/>
  <c r="AY59" i="20" s="1"/>
  <c r="AZ59" i="20" s="1"/>
  <c r="BA59" i="20" s="1"/>
  <c r="BB59" i="20" s="1"/>
  <c r="BC59" i="20" s="1"/>
  <c r="BD59" i="20" s="1"/>
  <c r="BE59" i="20" s="1"/>
  <c r="BF59" i="20" s="1"/>
  <c r="BG59" i="20" s="1"/>
  <c r="BH59" i="20" s="1"/>
  <c r="BI59" i="20" s="1"/>
  <c r="BJ59" i="20" s="1"/>
  <c r="BK59" i="20" s="1"/>
  <c r="BL59" i="20" s="1"/>
  <c r="BM59" i="20" s="1"/>
  <c r="BN59" i="20" s="1"/>
  <c r="BO59" i="20" s="1"/>
  <c r="BP59" i="20" s="1"/>
  <c r="BQ59" i="20" s="1"/>
  <c r="BR59" i="20" s="1"/>
  <c r="BS59" i="20" s="1"/>
  <c r="BT59" i="20" s="1"/>
  <c r="BU59" i="20" s="1"/>
  <c r="BV59" i="20" s="1"/>
  <c r="BW59" i="20" s="1"/>
  <c r="BX59" i="20" s="1"/>
  <c r="BY59" i="20" s="1"/>
  <c r="BZ59" i="20" s="1"/>
  <c r="CA59" i="20" s="1"/>
  <c r="CB59" i="20" s="1"/>
  <c r="CC59" i="20" s="1"/>
  <c r="CD59" i="20" s="1"/>
  <c r="CE59" i="20" s="1"/>
  <c r="CF59" i="20" s="1"/>
  <c r="CG59" i="20" s="1"/>
  <c r="CH59" i="20" s="1"/>
  <c r="CI59" i="20" s="1"/>
  <c r="CJ59" i="20" s="1"/>
  <c r="CK59" i="20" s="1"/>
  <c r="CL59" i="20" s="1"/>
  <c r="CM59" i="20" s="1"/>
  <c r="CN59" i="20" s="1"/>
  <c r="CO59" i="20" s="1"/>
  <c r="CP59" i="20" s="1"/>
  <c r="CQ59" i="20" s="1"/>
  <c r="CR59" i="20" s="1"/>
  <c r="CS59" i="20" s="1"/>
  <c r="CT59" i="20" s="1"/>
  <c r="CU59" i="20" s="1"/>
  <c r="CV59" i="20" s="1"/>
  <c r="CW59" i="20" s="1"/>
  <c r="CX59" i="20" s="1"/>
  <c r="CY59" i="20" s="1"/>
  <c r="CZ59" i="20" s="1"/>
  <c r="DA59" i="20" s="1"/>
  <c r="DB59" i="20" s="1"/>
  <c r="DC59" i="20" s="1"/>
  <c r="DD59" i="20" s="1"/>
  <c r="DE59" i="20" s="1"/>
  <c r="DF59" i="20" s="1"/>
  <c r="DG59" i="20" s="1"/>
  <c r="DH59" i="20" s="1"/>
  <c r="DI59" i="20" s="1"/>
  <c r="DJ59" i="20" s="1"/>
  <c r="DK59" i="20" s="1"/>
  <c r="DL59" i="20" s="1"/>
  <c r="DM59" i="20" s="1"/>
  <c r="DN59" i="20" s="1"/>
  <c r="DO59" i="20" s="1"/>
  <c r="DP59" i="20" s="1"/>
  <c r="A60" i="20" s="1"/>
  <c r="B60" i="20" s="1"/>
  <c r="C60" i="20" s="1"/>
  <c r="D60" i="20" s="1"/>
  <c r="E60" i="20" s="1"/>
  <c r="F60" i="20" s="1"/>
  <c r="G60" i="20" s="1"/>
  <c r="H60" i="20" s="1"/>
  <c r="I60" i="20" s="1"/>
  <c r="J60" i="20" s="1"/>
  <c r="K60" i="20" s="1"/>
  <c r="L60" i="20" s="1"/>
  <c r="M60" i="20" s="1"/>
  <c r="N60" i="20" s="1"/>
  <c r="O60" i="20" s="1"/>
  <c r="P60" i="20" s="1"/>
  <c r="Q60" i="20" s="1"/>
  <c r="R60" i="20" s="1"/>
  <c r="S60" i="20" s="1"/>
  <c r="T60" i="20" s="1"/>
  <c r="U60" i="20" s="1"/>
  <c r="V60" i="20" s="1"/>
  <c r="W60" i="20" s="1"/>
  <c r="X60" i="20" s="1"/>
  <c r="Y60" i="20" s="1"/>
  <c r="Z60" i="20" s="1"/>
  <c r="AA60" i="20" s="1"/>
  <c r="AB60" i="20" s="1"/>
  <c r="AC60" i="20" s="1"/>
  <c r="AD60" i="20" s="1"/>
  <c r="AE60" i="20" s="1"/>
  <c r="AF60" i="20" s="1"/>
  <c r="AG60" i="20" s="1"/>
  <c r="AH60" i="20" s="1"/>
  <c r="AI60" i="20" s="1"/>
  <c r="AJ60" i="20" s="1"/>
  <c r="AK60" i="20" s="1"/>
  <c r="AL60" i="20" s="1"/>
  <c r="AM60" i="20" s="1"/>
  <c r="AN60" i="20" s="1"/>
  <c r="AO60" i="20" s="1"/>
  <c r="AP60" i="20" s="1"/>
  <c r="AQ60" i="20" s="1"/>
  <c r="AR60" i="20" s="1"/>
  <c r="AS60" i="20" s="1"/>
  <c r="AT60" i="20" s="1"/>
  <c r="AU60" i="20" s="1"/>
  <c r="AV60" i="20" s="1"/>
  <c r="AW60" i="20" s="1"/>
  <c r="AX60" i="20" s="1"/>
  <c r="AY60" i="20" s="1"/>
  <c r="AZ60" i="20" s="1"/>
  <c r="BA60" i="20" s="1"/>
  <c r="BB60" i="20" s="1"/>
  <c r="BC60" i="20" s="1"/>
  <c r="BD60" i="20" s="1"/>
  <c r="BE60" i="20" s="1"/>
  <c r="BF60" i="20" s="1"/>
  <c r="BG60" i="20" s="1"/>
  <c r="BH60" i="20" s="1"/>
  <c r="BI60" i="20" s="1"/>
  <c r="BJ60" i="20" s="1"/>
  <c r="BK60" i="20" s="1"/>
  <c r="BL60" i="20" s="1"/>
  <c r="BM60" i="20" s="1"/>
  <c r="BN60" i="20" s="1"/>
  <c r="BO60" i="20" s="1"/>
  <c r="BP60" i="20" s="1"/>
  <c r="BQ60" i="20" s="1"/>
  <c r="BR60" i="20" s="1"/>
  <c r="BS60" i="20" s="1"/>
  <c r="BT60" i="20" s="1"/>
  <c r="BU60" i="20" s="1"/>
  <c r="BV60" i="20" s="1"/>
  <c r="BW60" i="20" s="1"/>
  <c r="BX60" i="20" s="1"/>
  <c r="BY60" i="20" s="1"/>
  <c r="BZ60" i="20" s="1"/>
  <c r="CA60" i="20" s="1"/>
  <c r="CB60" i="20" s="1"/>
  <c r="CC60" i="20" s="1"/>
  <c r="CD60" i="20" s="1"/>
  <c r="CE60" i="20" s="1"/>
  <c r="CF60" i="20" s="1"/>
  <c r="CG60" i="20" s="1"/>
  <c r="CH60" i="20" s="1"/>
  <c r="CI60" i="20" s="1"/>
  <c r="CJ60" i="20" s="1"/>
  <c r="CK60" i="20" s="1"/>
  <c r="CL60" i="20" s="1"/>
  <c r="CM60" i="20" s="1"/>
  <c r="CN60" i="20" s="1"/>
  <c r="CO60" i="20" s="1"/>
  <c r="CP60" i="20" s="1"/>
  <c r="CQ60" i="20" s="1"/>
  <c r="CR60" i="20" s="1"/>
  <c r="CS60" i="20" s="1"/>
  <c r="CT60" i="20" s="1"/>
  <c r="CU60" i="20" s="1"/>
  <c r="CV60" i="20" s="1"/>
  <c r="CW60" i="20" s="1"/>
  <c r="CX60" i="20" s="1"/>
  <c r="CY60" i="20" s="1"/>
  <c r="CZ60" i="20" s="1"/>
  <c r="DA60" i="20" s="1"/>
  <c r="DB60" i="20" s="1"/>
  <c r="DC60" i="20" s="1"/>
  <c r="DD60" i="20" s="1"/>
  <c r="DE60" i="20" s="1"/>
  <c r="DF60" i="20" s="1"/>
  <c r="DG60" i="20" s="1"/>
  <c r="DH60" i="20" s="1"/>
  <c r="DI60" i="20" s="1"/>
  <c r="DJ60" i="20" s="1"/>
  <c r="DK60" i="20" s="1"/>
  <c r="DL60" i="20" s="1"/>
  <c r="DM60" i="20" s="1"/>
  <c r="DN60" i="20" s="1"/>
  <c r="DO60" i="20" s="1"/>
  <c r="DP60" i="20" s="1"/>
  <c r="A61" i="20" s="1"/>
  <c r="B61" i="20" s="1"/>
  <c r="C61" i="20" s="1"/>
  <c r="D61" i="20" s="1"/>
  <c r="E61" i="20" s="1"/>
  <c r="F61" i="20" s="1"/>
  <c r="G61" i="20" s="1"/>
  <c r="H61" i="20" s="1"/>
  <c r="I61" i="20" s="1"/>
  <c r="J61" i="20" s="1"/>
  <c r="K61" i="20" s="1"/>
  <c r="L61" i="20" s="1"/>
  <c r="M61" i="20" s="1"/>
  <c r="N61" i="20" s="1"/>
  <c r="O61" i="20" s="1"/>
  <c r="P61" i="20" s="1"/>
  <c r="Q61" i="20" s="1"/>
  <c r="R61" i="20" s="1"/>
  <c r="S61" i="20" s="1"/>
  <c r="T61" i="20" s="1"/>
  <c r="U61" i="20" s="1"/>
  <c r="V61" i="20" s="1"/>
  <c r="W61" i="20" s="1"/>
  <c r="X61" i="20" s="1"/>
  <c r="Y61" i="20" s="1"/>
  <c r="Z61" i="20" s="1"/>
  <c r="AA61" i="20" s="1"/>
  <c r="AB61" i="20" s="1"/>
  <c r="AC61" i="20" s="1"/>
  <c r="AD61" i="20" s="1"/>
  <c r="AE61" i="20" s="1"/>
  <c r="AF61" i="20" s="1"/>
  <c r="AG61" i="20" s="1"/>
  <c r="AH61" i="20" s="1"/>
  <c r="AI61" i="20" s="1"/>
  <c r="AJ61" i="20" s="1"/>
  <c r="AK61" i="20" s="1"/>
  <c r="AL61" i="20" s="1"/>
  <c r="AM61" i="20" s="1"/>
  <c r="AN61" i="20" s="1"/>
  <c r="AO61" i="20" s="1"/>
  <c r="AP61" i="20" s="1"/>
  <c r="AQ61" i="20" s="1"/>
  <c r="AR61" i="20" s="1"/>
  <c r="AS61" i="20" s="1"/>
  <c r="AT61" i="20" s="1"/>
  <c r="AU61" i="20" s="1"/>
  <c r="AV61" i="20" s="1"/>
  <c r="AW61" i="20" s="1"/>
  <c r="AX61" i="20" s="1"/>
  <c r="AY61" i="20" s="1"/>
  <c r="AZ61" i="20" s="1"/>
  <c r="BA61" i="20" s="1"/>
  <c r="BB61" i="20" s="1"/>
  <c r="BC61" i="20" s="1"/>
  <c r="BD61" i="20" s="1"/>
  <c r="BE61" i="20" s="1"/>
  <c r="BF61" i="20" s="1"/>
  <c r="BG61" i="20" s="1"/>
  <c r="BH61" i="20" s="1"/>
  <c r="BI61" i="20" s="1"/>
  <c r="BJ61" i="20" s="1"/>
  <c r="BK61" i="20" s="1"/>
  <c r="BL61" i="20" s="1"/>
  <c r="BM61" i="20" s="1"/>
  <c r="BN61" i="20" s="1"/>
  <c r="BO61" i="20" s="1"/>
  <c r="BP61" i="20" s="1"/>
  <c r="BQ61" i="20" s="1"/>
  <c r="BR61" i="20" s="1"/>
  <c r="BS61" i="20" s="1"/>
  <c r="BT61" i="20" s="1"/>
  <c r="BU61" i="20" s="1"/>
  <c r="BV61" i="20" s="1"/>
  <c r="BW61" i="20" s="1"/>
  <c r="BX61" i="20" s="1"/>
  <c r="BY61" i="20" s="1"/>
  <c r="BZ61" i="20" s="1"/>
  <c r="CA61" i="20" s="1"/>
  <c r="CB61" i="20" s="1"/>
  <c r="CC61" i="20" s="1"/>
  <c r="CD61" i="20" s="1"/>
  <c r="CE61" i="20" s="1"/>
  <c r="CF61" i="20" s="1"/>
  <c r="CG61" i="20" s="1"/>
  <c r="CH61" i="20" s="1"/>
  <c r="CI61" i="20" s="1"/>
  <c r="CJ61" i="20" s="1"/>
  <c r="CK61" i="20" s="1"/>
  <c r="CL61" i="20" s="1"/>
  <c r="CM61" i="20" s="1"/>
  <c r="CN61" i="20" s="1"/>
  <c r="CO61" i="20" s="1"/>
  <c r="CP61" i="20" s="1"/>
  <c r="CQ61" i="20" s="1"/>
  <c r="CR61" i="20" s="1"/>
  <c r="CS61" i="20" s="1"/>
  <c r="CT61" i="20" s="1"/>
  <c r="CU61" i="20" s="1"/>
  <c r="CV61" i="20" s="1"/>
  <c r="CW61" i="20" s="1"/>
  <c r="CX61" i="20" s="1"/>
  <c r="CY61" i="20" s="1"/>
  <c r="CZ61" i="20" s="1"/>
  <c r="DA61" i="20" s="1"/>
  <c r="DB61" i="20" s="1"/>
  <c r="DC61" i="20" s="1"/>
  <c r="DD61" i="20" s="1"/>
  <c r="DE61" i="20" s="1"/>
  <c r="DF61" i="20" s="1"/>
  <c r="DG61" i="20" s="1"/>
  <c r="DH61" i="20" s="1"/>
  <c r="DI61" i="20" s="1"/>
  <c r="DJ61" i="20" s="1"/>
  <c r="DK61" i="20" s="1"/>
  <c r="DL61" i="20" s="1"/>
  <c r="DM61" i="20" s="1"/>
  <c r="DN61" i="20" s="1"/>
  <c r="DO61" i="20" s="1"/>
  <c r="DP61" i="20" s="1"/>
  <c r="A62" i="20" s="1"/>
  <c r="B62" i="20" s="1"/>
  <c r="C62" i="20" s="1"/>
  <c r="D62" i="20" s="1"/>
  <c r="E62" i="20" s="1"/>
  <c r="F62" i="20" s="1"/>
  <c r="G62" i="20" s="1"/>
  <c r="H62" i="20" s="1"/>
  <c r="I62" i="20" s="1"/>
  <c r="J62" i="20" s="1"/>
  <c r="K62" i="20" s="1"/>
  <c r="L62" i="20" s="1"/>
  <c r="M62" i="20" s="1"/>
  <c r="N62" i="20" s="1"/>
  <c r="O62" i="20" s="1"/>
  <c r="P62" i="20" s="1"/>
  <c r="Q62" i="20" s="1"/>
  <c r="R62" i="20" s="1"/>
  <c r="S62" i="20" s="1"/>
  <c r="T62" i="20" s="1"/>
  <c r="U62" i="20" s="1"/>
  <c r="V62" i="20" s="1"/>
  <c r="W62" i="20" s="1"/>
  <c r="X62" i="20" s="1"/>
  <c r="Y62" i="20" s="1"/>
  <c r="Z62" i="20" s="1"/>
  <c r="AA62" i="20" s="1"/>
  <c r="AB62" i="20" s="1"/>
  <c r="AC62" i="20" s="1"/>
  <c r="AD62" i="20" s="1"/>
  <c r="AE62" i="20" s="1"/>
  <c r="AF62" i="20" s="1"/>
  <c r="AG62" i="20" s="1"/>
  <c r="AH62" i="20" s="1"/>
  <c r="AI62" i="20" s="1"/>
  <c r="AJ62" i="20" s="1"/>
  <c r="AK62" i="20" s="1"/>
  <c r="AL62" i="20" s="1"/>
  <c r="AM62" i="20" s="1"/>
  <c r="AN62" i="20" s="1"/>
  <c r="AO62" i="20" s="1"/>
  <c r="AP62" i="20" s="1"/>
  <c r="AQ62" i="20" s="1"/>
  <c r="AR62" i="20" s="1"/>
  <c r="AS62" i="20" s="1"/>
  <c r="AT62" i="20" s="1"/>
  <c r="AU62" i="20" s="1"/>
  <c r="AV62" i="20" s="1"/>
  <c r="AW62" i="20" s="1"/>
  <c r="AX62" i="20" s="1"/>
  <c r="AY62" i="20" s="1"/>
  <c r="AZ62" i="20" s="1"/>
  <c r="BA62" i="20" s="1"/>
  <c r="BB62" i="20" s="1"/>
  <c r="BC62" i="20" s="1"/>
  <c r="BD62" i="20" s="1"/>
  <c r="BE62" i="20" s="1"/>
  <c r="BF62" i="20" s="1"/>
  <c r="BG62" i="20" s="1"/>
  <c r="BH62" i="20" s="1"/>
  <c r="BI62" i="20" s="1"/>
  <c r="BJ62" i="20" s="1"/>
  <c r="BK62" i="20" s="1"/>
  <c r="BL62" i="20" s="1"/>
  <c r="BM62" i="20" s="1"/>
  <c r="BN62" i="20" s="1"/>
  <c r="BO62" i="20" s="1"/>
  <c r="BP62" i="20" s="1"/>
  <c r="BQ62" i="20" s="1"/>
  <c r="BR62" i="20" s="1"/>
  <c r="BS62" i="20" s="1"/>
  <c r="BT62" i="20" s="1"/>
  <c r="BU62" i="20" s="1"/>
  <c r="BV62" i="20" s="1"/>
  <c r="BW62" i="20" s="1"/>
  <c r="BX62" i="20" s="1"/>
  <c r="BY62" i="20" s="1"/>
  <c r="BZ62" i="20" s="1"/>
  <c r="CA62" i="20" s="1"/>
  <c r="CB62" i="20" s="1"/>
  <c r="CC62" i="20" s="1"/>
  <c r="CD62" i="20" s="1"/>
  <c r="CE62" i="20" s="1"/>
  <c r="CF62" i="20" s="1"/>
  <c r="CG62" i="20" s="1"/>
  <c r="CH62" i="20" s="1"/>
  <c r="CI62" i="20" s="1"/>
  <c r="CJ62" i="20" s="1"/>
  <c r="CK62" i="20" s="1"/>
  <c r="CL62" i="20" s="1"/>
  <c r="CM62" i="20" s="1"/>
  <c r="CN62" i="20" s="1"/>
  <c r="CO62" i="20" s="1"/>
  <c r="CP62" i="20" s="1"/>
  <c r="CQ62" i="20" s="1"/>
  <c r="CR62" i="20" s="1"/>
  <c r="CS62" i="20" s="1"/>
  <c r="CT62" i="20" s="1"/>
  <c r="CU62" i="20" s="1"/>
  <c r="CV62" i="20" s="1"/>
  <c r="CW62" i="20" s="1"/>
  <c r="CX62" i="20" s="1"/>
  <c r="CY62" i="20" s="1"/>
  <c r="CZ62" i="20" s="1"/>
  <c r="DA62" i="20" s="1"/>
  <c r="DB62" i="20" s="1"/>
  <c r="DC62" i="20" s="1"/>
  <c r="DD62" i="20" s="1"/>
  <c r="DE62" i="20" s="1"/>
  <c r="DF62" i="20" s="1"/>
  <c r="DG62" i="20" s="1"/>
  <c r="DH62" i="20" s="1"/>
  <c r="DI62" i="20" s="1"/>
  <c r="DJ62" i="20" s="1"/>
  <c r="DK62" i="20" s="1"/>
  <c r="DL62" i="20" s="1"/>
  <c r="DM62" i="20" s="1"/>
  <c r="DN62" i="20" s="1"/>
  <c r="DO62" i="20" s="1"/>
  <c r="DP62" i="20" s="1"/>
  <c r="A63" i="20" s="1"/>
  <c r="B63" i="20" s="1"/>
  <c r="C63" i="20" s="1"/>
  <c r="D63" i="20" s="1"/>
  <c r="E63" i="20" s="1"/>
  <c r="F63" i="20" s="1"/>
  <c r="G63" i="20" s="1"/>
  <c r="H63" i="20" s="1"/>
  <c r="I63" i="20" s="1"/>
  <c r="J63" i="20" s="1"/>
  <c r="K63" i="20" s="1"/>
  <c r="L63" i="20" s="1"/>
  <c r="M63" i="20" s="1"/>
  <c r="N63" i="20" s="1"/>
  <c r="O63" i="20" s="1"/>
  <c r="P63" i="20" s="1"/>
  <c r="Q63" i="20" s="1"/>
  <c r="R63" i="20" s="1"/>
  <c r="S63" i="20" s="1"/>
  <c r="T63" i="20" s="1"/>
  <c r="U63" i="20" s="1"/>
  <c r="V63" i="20" s="1"/>
  <c r="W63" i="20" s="1"/>
  <c r="X63" i="20" s="1"/>
  <c r="Y63" i="20" s="1"/>
  <c r="Z63" i="20" s="1"/>
  <c r="AA63" i="20" s="1"/>
  <c r="AB63" i="20" s="1"/>
  <c r="AC63" i="20" s="1"/>
  <c r="AD63" i="20" s="1"/>
  <c r="AE63" i="20" s="1"/>
  <c r="AF63" i="20" s="1"/>
  <c r="AG63" i="20" s="1"/>
  <c r="AH63" i="20" s="1"/>
  <c r="AI63" i="20" s="1"/>
  <c r="AJ63" i="20" s="1"/>
  <c r="AK63" i="20" s="1"/>
  <c r="AL63" i="20" s="1"/>
  <c r="AM63" i="20" s="1"/>
  <c r="AN63" i="20" s="1"/>
  <c r="AO63" i="20" s="1"/>
  <c r="AP63" i="20" s="1"/>
  <c r="AQ63" i="20" s="1"/>
  <c r="AR63" i="20" s="1"/>
  <c r="AS63" i="20" s="1"/>
  <c r="AT63" i="20" s="1"/>
  <c r="AU63" i="20" s="1"/>
  <c r="AV63" i="20" s="1"/>
  <c r="AW63" i="20" s="1"/>
  <c r="AX63" i="20" s="1"/>
  <c r="AY63" i="20" s="1"/>
  <c r="AZ63" i="20" s="1"/>
  <c r="BA63" i="20" s="1"/>
  <c r="BB63" i="20" s="1"/>
  <c r="BC63" i="20" s="1"/>
  <c r="BD63" i="20" s="1"/>
  <c r="BE63" i="20" s="1"/>
  <c r="BF63" i="20" s="1"/>
  <c r="BG63" i="20" s="1"/>
  <c r="BH63" i="20" s="1"/>
  <c r="BI63" i="20" s="1"/>
  <c r="BJ63" i="20" s="1"/>
  <c r="BK63" i="20" s="1"/>
  <c r="BL63" i="20" s="1"/>
  <c r="BM63" i="20" s="1"/>
  <c r="BN63" i="20" s="1"/>
  <c r="BO63" i="20" s="1"/>
  <c r="BP63" i="20" s="1"/>
  <c r="BQ63" i="20" s="1"/>
  <c r="BR63" i="20" s="1"/>
  <c r="BS63" i="20" s="1"/>
  <c r="BT63" i="20" s="1"/>
  <c r="BU63" i="20" s="1"/>
  <c r="BV63" i="20" s="1"/>
  <c r="BW63" i="20" s="1"/>
  <c r="BX63" i="20" s="1"/>
  <c r="BY63" i="20" s="1"/>
  <c r="BZ63" i="20" s="1"/>
  <c r="CA63" i="20" s="1"/>
  <c r="CB63" i="20" s="1"/>
  <c r="CC63" i="20" s="1"/>
  <c r="CD63" i="20" s="1"/>
  <c r="CE63" i="20" s="1"/>
  <c r="CF63" i="20" s="1"/>
  <c r="CG63" i="20" s="1"/>
  <c r="CH63" i="20" s="1"/>
  <c r="CI63" i="20" s="1"/>
  <c r="CJ63" i="20" s="1"/>
  <c r="CK63" i="20" s="1"/>
  <c r="CL63" i="20" s="1"/>
  <c r="CM63" i="20" s="1"/>
  <c r="CN63" i="20" s="1"/>
  <c r="CO63" i="20" s="1"/>
  <c r="CP63" i="20" s="1"/>
  <c r="CQ63" i="20" s="1"/>
  <c r="CR63" i="20" s="1"/>
  <c r="CS63" i="20" s="1"/>
  <c r="CT63" i="20" s="1"/>
  <c r="CU63" i="20" s="1"/>
  <c r="CV63" i="20" s="1"/>
  <c r="CW63" i="20" s="1"/>
  <c r="CX63" i="20" s="1"/>
  <c r="CY63" i="20" s="1"/>
  <c r="CZ63" i="20" s="1"/>
  <c r="DA63" i="20" s="1"/>
  <c r="DB63" i="20" s="1"/>
  <c r="DC63" i="20" s="1"/>
  <c r="DD63" i="20" s="1"/>
  <c r="DE63" i="20" s="1"/>
  <c r="DF63" i="20" s="1"/>
  <c r="DG63" i="20" s="1"/>
  <c r="DH63" i="20" s="1"/>
  <c r="DI63" i="20" s="1"/>
  <c r="DJ63" i="20" s="1"/>
  <c r="DK63" i="20" s="1"/>
  <c r="DL63" i="20" s="1"/>
  <c r="DM63" i="20" s="1"/>
  <c r="DN63" i="20" s="1"/>
  <c r="DO63" i="20" s="1"/>
  <c r="DP63" i="20" s="1"/>
  <c r="A64" i="20" s="1"/>
  <c r="B64" i="20" s="1"/>
  <c r="C64" i="20" s="1"/>
  <c r="D64" i="20" s="1"/>
  <c r="E64" i="20" s="1"/>
  <c r="F64" i="20" s="1"/>
  <c r="G64" i="20" s="1"/>
  <c r="H64" i="20" s="1"/>
  <c r="I64" i="20" s="1"/>
  <c r="J64" i="20" s="1"/>
  <c r="K64" i="20" s="1"/>
  <c r="L64" i="20" s="1"/>
  <c r="M64" i="20" s="1"/>
  <c r="N64" i="20" s="1"/>
  <c r="O64" i="20" s="1"/>
  <c r="P64" i="20" s="1"/>
  <c r="Q64" i="20" s="1"/>
  <c r="R64" i="20" s="1"/>
  <c r="S64" i="20" s="1"/>
  <c r="T64" i="20" s="1"/>
  <c r="U64" i="20" s="1"/>
  <c r="V64" i="20" s="1"/>
  <c r="W64" i="20" s="1"/>
  <c r="X64" i="20" s="1"/>
  <c r="Y64" i="20" s="1"/>
  <c r="Z64" i="20" s="1"/>
  <c r="AA64" i="20" s="1"/>
  <c r="AB64" i="20" s="1"/>
  <c r="AC64" i="20" s="1"/>
  <c r="AD64" i="20" s="1"/>
  <c r="AE64" i="20" s="1"/>
  <c r="AF64" i="20" s="1"/>
  <c r="AG64" i="20" s="1"/>
  <c r="AH64" i="20" s="1"/>
  <c r="AI64" i="20" s="1"/>
  <c r="AJ64" i="20" s="1"/>
  <c r="AK64" i="20" s="1"/>
  <c r="AL64" i="20" s="1"/>
  <c r="AM64" i="20" s="1"/>
  <c r="AN64" i="20" s="1"/>
  <c r="AO64" i="20" s="1"/>
  <c r="AP64" i="20" s="1"/>
  <c r="AQ64" i="20" s="1"/>
  <c r="AR64" i="20" s="1"/>
  <c r="AS64" i="20" s="1"/>
  <c r="AT64" i="20" s="1"/>
  <c r="AU64" i="20" s="1"/>
  <c r="AV64" i="20" s="1"/>
  <c r="AW64" i="20" s="1"/>
  <c r="AX64" i="20" s="1"/>
  <c r="AY64" i="20" s="1"/>
  <c r="AZ64" i="20" s="1"/>
  <c r="BA64" i="20" s="1"/>
  <c r="BB64" i="20" s="1"/>
  <c r="BC64" i="20" s="1"/>
  <c r="BD64" i="20" s="1"/>
  <c r="BE64" i="20" s="1"/>
  <c r="BF64" i="20" s="1"/>
  <c r="BG64" i="20" s="1"/>
  <c r="BH64" i="20" s="1"/>
  <c r="BI64" i="20" s="1"/>
  <c r="BJ64" i="20" s="1"/>
  <c r="BK64" i="20" s="1"/>
  <c r="BL64" i="20" s="1"/>
  <c r="BM64" i="20" s="1"/>
  <c r="BN64" i="20" s="1"/>
  <c r="BO64" i="20" s="1"/>
  <c r="BP64" i="20" s="1"/>
  <c r="BQ64" i="20" s="1"/>
  <c r="BR64" i="20" s="1"/>
  <c r="BS64" i="20" s="1"/>
  <c r="BT64" i="20" s="1"/>
  <c r="BU64" i="20" s="1"/>
  <c r="BV64" i="20" s="1"/>
  <c r="BW64" i="20" s="1"/>
  <c r="BX64" i="20" s="1"/>
  <c r="BY64" i="20" s="1"/>
  <c r="BZ64" i="20" s="1"/>
  <c r="CA64" i="20" s="1"/>
  <c r="CB64" i="20" s="1"/>
  <c r="CC64" i="20" s="1"/>
  <c r="CD64" i="20" s="1"/>
  <c r="CE64" i="20" s="1"/>
  <c r="CF64" i="20" s="1"/>
  <c r="CG64" i="20" s="1"/>
  <c r="CH64" i="20" s="1"/>
  <c r="CI64" i="20" s="1"/>
  <c r="CJ64" i="20" s="1"/>
  <c r="CK64" i="20" s="1"/>
  <c r="CL64" i="20" s="1"/>
  <c r="CM64" i="20" s="1"/>
  <c r="CN64" i="20" s="1"/>
  <c r="CO64" i="20" s="1"/>
  <c r="CP64" i="20" s="1"/>
  <c r="CQ64" i="20" s="1"/>
  <c r="CR64" i="20" s="1"/>
  <c r="CS64" i="20" s="1"/>
  <c r="CT64" i="20" s="1"/>
  <c r="CU64" i="20" s="1"/>
  <c r="CV64" i="20" s="1"/>
  <c r="CW64" i="20" s="1"/>
  <c r="CX64" i="20" s="1"/>
  <c r="CY64" i="20" s="1"/>
  <c r="CZ64" i="20" s="1"/>
  <c r="DA64" i="20" s="1"/>
  <c r="DB64" i="20" s="1"/>
  <c r="DC64" i="20" s="1"/>
  <c r="DD64" i="20" s="1"/>
  <c r="DE64" i="20" s="1"/>
  <c r="DF64" i="20" s="1"/>
  <c r="DG64" i="20" s="1"/>
  <c r="DH64" i="20" s="1"/>
  <c r="DI64" i="20" s="1"/>
  <c r="DJ64" i="20" s="1"/>
  <c r="DK64" i="20" s="1"/>
  <c r="DL64" i="20" s="1"/>
  <c r="DM64" i="20" s="1"/>
  <c r="DN64" i="20" s="1"/>
  <c r="DO64" i="20" s="1"/>
  <c r="DP64" i="20" s="1"/>
  <c r="A65" i="20" s="1"/>
  <c r="B65" i="20" s="1"/>
  <c r="C65" i="20" s="1"/>
  <c r="D65" i="20" s="1"/>
  <c r="E65" i="20" s="1"/>
  <c r="F65" i="20" s="1"/>
  <c r="G65" i="20" s="1"/>
  <c r="H65" i="20" s="1"/>
  <c r="I65" i="20" s="1"/>
  <c r="J65" i="20" s="1"/>
  <c r="K65" i="20" s="1"/>
  <c r="L65" i="20" s="1"/>
  <c r="M65" i="20" s="1"/>
  <c r="N65" i="20" s="1"/>
  <c r="O65" i="20" s="1"/>
  <c r="P65" i="20" s="1"/>
  <c r="Q65" i="20" s="1"/>
  <c r="R65" i="20" s="1"/>
  <c r="S65" i="20" s="1"/>
  <c r="T65" i="20" s="1"/>
  <c r="U65" i="20" s="1"/>
  <c r="V65" i="20" s="1"/>
  <c r="W65" i="20" s="1"/>
  <c r="X65" i="20" s="1"/>
  <c r="Y65" i="20" s="1"/>
  <c r="Z65" i="20" s="1"/>
  <c r="AA65" i="20" s="1"/>
  <c r="AB65" i="20" s="1"/>
  <c r="AC65" i="20" s="1"/>
  <c r="AD65" i="20" s="1"/>
  <c r="AE65" i="20" s="1"/>
  <c r="AF65" i="20" s="1"/>
  <c r="AG65" i="20" s="1"/>
  <c r="AH65" i="20" s="1"/>
  <c r="AI65" i="20" s="1"/>
  <c r="AJ65" i="20" s="1"/>
  <c r="AK65" i="20" s="1"/>
  <c r="AL65" i="20" s="1"/>
  <c r="AM65" i="20" s="1"/>
  <c r="AN65" i="20" s="1"/>
  <c r="AO65" i="20" s="1"/>
  <c r="AP65" i="20" s="1"/>
  <c r="AQ65" i="20" s="1"/>
  <c r="AR65" i="20" s="1"/>
  <c r="AS65" i="20" s="1"/>
  <c r="AT65" i="20" s="1"/>
  <c r="AU65" i="20" s="1"/>
  <c r="AV65" i="20" s="1"/>
  <c r="AW65" i="20" s="1"/>
  <c r="AX65" i="20" s="1"/>
  <c r="AY65" i="20" s="1"/>
  <c r="AZ65" i="20" s="1"/>
  <c r="BA65" i="20" s="1"/>
  <c r="BB65" i="20" s="1"/>
  <c r="BC65" i="20" s="1"/>
  <c r="BD65" i="20" s="1"/>
  <c r="BE65" i="20" s="1"/>
  <c r="BF65" i="20" s="1"/>
  <c r="BG65" i="20" s="1"/>
  <c r="BH65" i="20" s="1"/>
  <c r="BI65" i="20" s="1"/>
  <c r="BJ65" i="20" s="1"/>
  <c r="BK65" i="20" s="1"/>
  <c r="BL65" i="20" s="1"/>
  <c r="BM65" i="20" s="1"/>
  <c r="BN65" i="20" s="1"/>
  <c r="BO65" i="20" s="1"/>
  <c r="BP65" i="20" s="1"/>
  <c r="BQ65" i="20" s="1"/>
  <c r="BR65" i="20" s="1"/>
  <c r="BS65" i="20" s="1"/>
  <c r="BT65" i="20" s="1"/>
  <c r="BU65" i="20" s="1"/>
  <c r="BV65" i="20" s="1"/>
  <c r="BW65" i="20" s="1"/>
  <c r="BX65" i="20" s="1"/>
  <c r="BY65" i="20" s="1"/>
  <c r="BZ65" i="20" s="1"/>
  <c r="CA65" i="20" s="1"/>
  <c r="CB65" i="20" s="1"/>
  <c r="CC65" i="20" s="1"/>
  <c r="CD65" i="20" s="1"/>
  <c r="CE65" i="20" s="1"/>
  <c r="CF65" i="20" s="1"/>
  <c r="CG65" i="20" s="1"/>
  <c r="CH65" i="20" s="1"/>
  <c r="CI65" i="20" s="1"/>
  <c r="CJ65" i="20" s="1"/>
  <c r="CK65" i="20" s="1"/>
  <c r="CL65" i="20" s="1"/>
  <c r="CM65" i="20" s="1"/>
  <c r="CN65" i="20" s="1"/>
  <c r="CO65" i="20" s="1"/>
  <c r="CP65" i="20" s="1"/>
  <c r="CQ65" i="20" s="1"/>
  <c r="CR65" i="20" s="1"/>
  <c r="CS65" i="20" s="1"/>
  <c r="CT65" i="20" s="1"/>
  <c r="CU65" i="20" s="1"/>
  <c r="CV65" i="20" s="1"/>
  <c r="CW65" i="20" s="1"/>
  <c r="CX65" i="20" s="1"/>
  <c r="CY65" i="20" s="1"/>
  <c r="CZ65" i="20" s="1"/>
  <c r="DA65" i="20" s="1"/>
  <c r="DB65" i="20" s="1"/>
  <c r="DC65" i="20" s="1"/>
  <c r="DD65" i="20" s="1"/>
  <c r="DE65" i="20" s="1"/>
  <c r="DF65" i="20" s="1"/>
  <c r="DG65" i="20" s="1"/>
  <c r="DH65" i="20" s="1"/>
  <c r="DI65" i="20" s="1"/>
  <c r="DJ65" i="20" s="1"/>
  <c r="DK65" i="20" s="1"/>
  <c r="DL65" i="20" s="1"/>
  <c r="DM65" i="20" s="1"/>
  <c r="DN65" i="20" s="1"/>
  <c r="DO65" i="20" s="1"/>
  <c r="DP65" i="20" s="1"/>
  <c r="A66" i="20" s="1"/>
  <c r="B66" i="20" s="1"/>
  <c r="C66" i="20" s="1"/>
  <c r="D66" i="20" s="1"/>
  <c r="E66" i="20" s="1"/>
  <c r="F66" i="20" s="1"/>
  <c r="G66" i="20" s="1"/>
  <c r="H66" i="20" s="1"/>
  <c r="I66" i="20" s="1"/>
  <c r="J66" i="20" s="1"/>
  <c r="K66" i="20" s="1"/>
  <c r="L66" i="20" s="1"/>
  <c r="M66" i="20" s="1"/>
  <c r="N66" i="20" s="1"/>
  <c r="O66" i="20" s="1"/>
  <c r="P66" i="20" s="1"/>
  <c r="Q66" i="20" s="1"/>
  <c r="R66" i="20" s="1"/>
  <c r="S66" i="20" s="1"/>
  <c r="T66" i="20" s="1"/>
  <c r="U66" i="20" s="1"/>
  <c r="V66" i="20" s="1"/>
  <c r="W66" i="20" s="1"/>
  <c r="X66" i="20" s="1"/>
  <c r="Y66" i="20" s="1"/>
  <c r="Z66" i="20" s="1"/>
  <c r="AA66" i="20" s="1"/>
  <c r="AB66" i="20" s="1"/>
  <c r="AC66" i="20" s="1"/>
  <c r="AD66" i="20" s="1"/>
  <c r="AE66" i="20" s="1"/>
  <c r="AF66" i="20" s="1"/>
  <c r="AG66" i="20" s="1"/>
  <c r="AH66" i="20" s="1"/>
  <c r="AI66" i="20" s="1"/>
  <c r="AJ66" i="20" s="1"/>
  <c r="AK66" i="20" s="1"/>
  <c r="AL66" i="20" s="1"/>
  <c r="AM66" i="20" s="1"/>
  <c r="AN66" i="20" s="1"/>
  <c r="AO66" i="20" s="1"/>
  <c r="AP66" i="20" s="1"/>
  <c r="AQ66" i="20" s="1"/>
  <c r="AR66" i="20" s="1"/>
  <c r="AS66" i="20" s="1"/>
  <c r="AT66" i="20" s="1"/>
  <c r="AU66" i="20" s="1"/>
  <c r="AV66" i="20" s="1"/>
  <c r="AW66" i="20" s="1"/>
  <c r="AX66" i="20" s="1"/>
  <c r="AY66" i="20" s="1"/>
  <c r="AZ66" i="20" s="1"/>
  <c r="BA66" i="20" s="1"/>
  <c r="BB66" i="20" s="1"/>
  <c r="BC66" i="20" s="1"/>
  <c r="BD66" i="20" s="1"/>
  <c r="BE66" i="20" s="1"/>
  <c r="BF66" i="20" s="1"/>
  <c r="BG66" i="20" s="1"/>
  <c r="BH66" i="20" s="1"/>
  <c r="BI66" i="20" s="1"/>
  <c r="BJ66" i="20" s="1"/>
  <c r="BK66" i="20" s="1"/>
  <c r="BL66" i="20" s="1"/>
  <c r="BM66" i="20" s="1"/>
  <c r="BN66" i="20" s="1"/>
  <c r="BO66" i="20" s="1"/>
  <c r="BP66" i="20" s="1"/>
  <c r="BQ66" i="20" s="1"/>
  <c r="BR66" i="20" s="1"/>
  <c r="BS66" i="20" s="1"/>
  <c r="BT66" i="20" s="1"/>
  <c r="BU66" i="20" s="1"/>
  <c r="BV66" i="20" s="1"/>
  <c r="BW66" i="20" s="1"/>
  <c r="BX66" i="20" s="1"/>
  <c r="BY66" i="20" s="1"/>
  <c r="BZ66" i="20" s="1"/>
  <c r="CA66" i="20" s="1"/>
  <c r="CB66" i="20" s="1"/>
  <c r="CC66" i="20" s="1"/>
  <c r="CD66" i="20" s="1"/>
  <c r="CE66" i="20" s="1"/>
  <c r="CF66" i="20" s="1"/>
  <c r="CG66" i="20" s="1"/>
  <c r="CH66" i="20" s="1"/>
  <c r="CI66" i="20" s="1"/>
  <c r="CJ66" i="20" s="1"/>
  <c r="CK66" i="20" s="1"/>
  <c r="CL66" i="20" s="1"/>
  <c r="CM66" i="20" s="1"/>
  <c r="CN66" i="20" s="1"/>
  <c r="CO66" i="20" s="1"/>
  <c r="CP66" i="20" s="1"/>
  <c r="CQ66" i="20" s="1"/>
  <c r="CR66" i="20" s="1"/>
  <c r="CS66" i="20" s="1"/>
  <c r="CT66" i="20" s="1"/>
  <c r="CU66" i="20" s="1"/>
  <c r="CV66" i="20" s="1"/>
  <c r="CW66" i="20" s="1"/>
  <c r="CX66" i="20" s="1"/>
  <c r="CY66" i="20" s="1"/>
  <c r="CZ66" i="20" s="1"/>
  <c r="DA66" i="20" s="1"/>
  <c r="DB66" i="20" s="1"/>
  <c r="DC66" i="20" s="1"/>
  <c r="DD66" i="20" s="1"/>
  <c r="DE66" i="20" s="1"/>
  <c r="DF66" i="20" s="1"/>
  <c r="DG66" i="20" s="1"/>
  <c r="DH66" i="20" s="1"/>
  <c r="DI66" i="20" s="1"/>
  <c r="DJ66" i="20" s="1"/>
  <c r="DK66" i="20" s="1"/>
  <c r="DL66" i="20" s="1"/>
  <c r="DM66" i="20" s="1"/>
  <c r="DN66" i="20" s="1"/>
  <c r="DO66" i="20" s="1"/>
  <c r="DP66" i="20" s="1"/>
  <c r="A67" i="20" s="1"/>
  <c r="B67" i="20" s="1"/>
  <c r="C67" i="20" s="1"/>
  <c r="D67" i="20" s="1"/>
  <c r="E67" i="20" s="1"/>
  <c r="F67" i="20" s="1"/>
  <c r="G67" i="20" s="1"/>
  <c r="H67" i="20" s="1"/>
  <c r="I67" i="20" s="1"/>
  <c r="J67" i="20" s="1"/>
  <c r="K67" i="20" s="1"/>
  <c r="L67" i="20" s="1"/>
  <c r="M67" i="20" s="1"/>
  <c r="N67" i="20" s="1"/>
  <c r="O67" i="20" s="1"/>
  <c r="P67" i="20" s="1"/>
  <c r="Q67" i="20" s="1"/>
  <c r="R67" i="20" s="1"/>
  <c r="S67" i="20" s="1"/>
  <c r="T67" i="20" s="1"/>
  <c r="U67" i="20" s="1"/>
  <c r="V67" i="20" s="1"/>
  <c r="W67" i="20" s="1"/>
  <c r="X67" i="20" s="1"/>
  <c r="Y67" i="20" s="1"/>
  <c r="Z67" i="20" s="1"/>
  <c r="AA67" i="20" s="1"/>
  <c r="AB67" i="20" s="1"/>
  <c r="AC67" i="20" s="1"/>
  <c r="AD67" i="20" s="1"/>
  <c r="AE67" i="20" s="1"/>
  <c r="AF67" i="20" s="1"/>
  <c r="AG67" i="20" s="1"/>
  <c r="AH67" i="20" s="1"/>
  <c r="AI67" i="20" s="1"/>
  <c r="AJ67" i="20" s="1"/>
  <c r="AK67" i="20" s="1"/>
  <c r="AL67" i="20" s="1"/>
  <c r="AM67" i="20" s="1"/>
  <c r="AN67" i="20" s="1"/>
  <c r="AO67" i="20" s="1"/>
  <c r="AP67" i="20" s="1"/>
  <c r="AQ67" i="20" s="1"/>
  <c r="AR67" i="20" s="1"/>
  <c r="AS67" i="20" s="1"/>
  <c r="AT67" i="20" s="1"/>
  <c r="AU67" i="20" s="1"/>
  <c r="AV67" i="20" s="1"/>
  <c r="AW67" i="20" s="1"/>
  <c r="AX67" i="20" s="1"/>
  <c r="AY67" i="20" s="1"/>
  <c r="AZ67" i="20" s="1"/>
  <c r="BA67" i="20" s="1"/>
  <c r="BB67" i="20" s="1"/>
  <c r="BC67" i="20" s="1"/>
  <c r="BD67" i="20" s="1"/>
  <c r="BE67" i="20" s="1"/>
  <c r="BF67" i="20" s="1"/>
  <c r="BG67" i="20" s="1"/>
  <c r="BH67" i="20" s="1"/>
  <c r="BI67" i="20" s="1"/>
  <c r="BJ67" i="20" s="1"/>
  <c r="BK67" i="20" s="1"/>
  <c r="BL67" i="20" s="1"/>
  <c r="BM67" i="20" s="1"/>
  <c r="BN67" i="20" s="1"/>
  <c r="BO67" i="20" s="1"/>
  <c r="BP67" i="20" s="1"/>
  <c r="BQ67" i="20" s="1"/>
  <c r="BR67" i="20" s="1"/>
  <c r="BS67" i="20" s="1"/>
  <c r="BT67" i="20" s="1"/>
  <c r="BU67" i="20" s="1"/>
  <c r="BV67" i="20" s="1"/>
  <c r="BW67" i="20" s="1"/>
  <c r="BX67" i="20" s="1"/>
  <c r="BY67" i="20" s="1"/>
  <c r="BZ67" i="20" s="1"/>
  <c r="CA67" i="20" s="1"/>
  <c r="CB67" i="20" s="1"/>
  <c r="CC67" i="20" s="1"/>
  <c r="CD67" i="20" s="1"/>
  <c r="CE67" i="20" s="1"/>
  <c r="CF67" i="20" s="1"/>
  <c r="CG67" i="20" s="1"/>
  <c r="CH67" i="20" s="1"/>
  <c r="CI67" i="20" s="1"/>
  <c r="CJ67" i="20" s="1"/>
  <c r="CK67" i="20" s="1"/>
  <c r="CL67" i="20" s="1"/>
  <c r="CM67" i="20" s="1"/>
  <c r="CN67" i="20" s="1"/>
  <c r="CO67" i="20" s="1"/>
  <c r="CP67" i="20" s="1"/>
  <c r="CQ67" i="20" s="1"/>
  <c r="CR67" i="20" s="1"/>
  <c r="CS67" i="20" s="1"/>
  <c r="CT67" i="20" s="1"/>
  <c r="CU67" i="20" s="1"/>
  <c r="CV67" i="20" s="1"/>
  <c r="CW67" i="20" s="1"/>
  <c r="CX67" i="20" s="1"/>
  <c r="CY67" i="20" s="1"/>
  <c r="CZ67" i="20" s="1"/>
  <c r="DA67" i="20" s="1"/>
  <c r="DB67" i="20" s="1"/>
  <c r="DC67" i="20" s="1"/>
  <c r="DD67" i="20" s="1"/>
  <c r="DE67" i="20" s="1"/>
  <c r="DF67" i="20" s="1"/>
  <c r="DG67" i="20" s="1"/>
  <c r="DH67" i="20" s="1"/>
  <c r="DI67" i="20" s="1"/>
  <c r="DJ67" i="20" s="1"/>
  <c r="DK67" i="20" s="1"/>
  <c r="DL67" i="20" s="1"/>
  <c r="DM67" i="20" s="1"/>
  <c r="DN67" i="20" s="1"/>
  <c r="DO67" i="20" s="1"/>
  <c r="DP67" i="20" s="1"/>
  <c r="A68" i="20" s="1"/>
  <c r="B68" i="20" s="1"/>
  <c r="C68" i="20" s="1"/>
  <c r="D68" i="20" s="1"/>
  <c r="E68" i="20" s="1"/>
  <c r="F68" i="20" s="1"/>
  <c r="G68" i="20" s="1"/>
  <c r="H68" i="20" s="1"/>
  <c r="I68" i="20" s="1"/>
  <c r="J68" i="20" s="1"/>
  <c r="K68" i="20" s="1"/>
  <c r="L68" i="20" s="1"/>
  <c r="M68" i="20" s="1"/>
  <c r="N68" i="20" s="1"/>
  <c r="O68" i="20" s="1"/>
  <c r="P68" i="20" s="1"/>
  <c r="Q68" i="20" s="1"/>
  <c r="R68" i="20" s="1"/>
  <c r="S68" i="20" s="1"/>
  <c r="T68" i="20" s="1"/>
  <c r="U68" i="20" s="1"/>
  <c r="V68" i="20" s="1"/>
  <c r="W68" i="20" s="1"/>
  <c r="X68" i="20" s="1"/>
  <c r="Y68" i="20" s="1"/>
  <c r="Z68" i="20" s="1"/>
  <c r="AA68" i="20" s="1"/>
  <c r="AB68" i="20" s="1"/>
  <c r="AC68" i="20" s="1"/>
  <c r="AD68" i="20" s="1"/>
  <c r="AE68" i="20" s="1"/>
  <c r="AF68" i="20" s="1"/>
  <c r="AG68" i="20" s="1"/>
  <c r="AH68" i="20" s="1"/>
  <c r="AI68" i="20" s="1"/>
  <c r="AJ68" i="20" s="1"/>
  <c r="AK68" i="20" s="1"/>
  <c r="AL68" i="20" s="1"/>
  <c r="AM68" i="20" s="1"/>
  <c r="AN68" i="20" s="1"/>
  <c r="AO68" i="20" s="1"/>
  <c r="AP68" i="20" s="1"/>
  <c r="AQ68" i="20" s="1"/>
  <c r="AR68" i="20" s="1"/>
  <c r="AS68" i="20" s="1"/>
  <c r="AT68" i="20" s="1"/>
  <c r="AU68" i="20" s="1"/>
  <c r="AV68" i="20" s="1"/>
  <c r="AW68" i="20" s="1"/>
  <c r="AX68" i="20" s="1"/>
  <c r="AY68" i="20" s="1"/>
  <c r="AZ68" i="20" s="1"/>
  <c r="BA68" i="20" s="1"/>
  <c r="BB68" i="20" s="1"/>
  <c r="BC68" i="20" s="1"/>
  <c r="BD68" i="20" s="1"/>
  <c r="BE68" i="20" s="1"/>
  <c r="BF68" i="20" s="1"/>
  <c r="BG68" i="20" s="1"/>
  <c r="BH68" i="20" s="1"/>
  <c r="BI68" i="20" s="1"/>
  <c r="BJ68" i="20" s="1"/>
  <c r="BK68" i="20" s="1"/>
  <c r="BL68" i="20" s="1"/>
  <c r="BM68" i="20" s="1"/>
  <c r="BN68" i="20" s="1"/>
  <c r="BO68" i="20" s="1"/>
  <c r="BP68" i="20" s="1"/>
  <c r="BQ68" i="20" s="1"/>
  <c r="BR68" i="20" s="1"/>
  <c r="BS68" i="20" s="1"/>
  <c r="BT68" i="20" s="1"/>
  <c r="BU68" i="20" s="1"/>
  <c r="BV68" i="20" s="1"/>
  <c r="BW68" i="20" s="1"/>
  <c r="BX68" i="20" s="1"/>
  <c r="BY68" i="20" s="1"/>
  <c r="BZ68" i="20" s="1"/>
  <c r="CA68" i="20" s="1"/>
  <c r="CB68" i="20" s="1"/>
  <c r="CC68" i="20" s="1"/>
  <c r="CD68" i="20" s="1"/>
  <c r="CE68" i="20" s="1"/>
  <c r="CF68" i="20" s="1"/>
  <c r="CG68" i="20" s="1"/>
  <c r="CH68" i="20" s="1"/>
  <c r="CI68" i="20" s="1"/>
  <c r="CJ68" i="20" s="1"/>
  <c r="CK68" i="20" s="1"/>
  <c r="CL68" i="20" s="1"/>
  <c r="CM68" i="20" s="1"/>
  <c r="CN68" i="20" s="1"/>
  <c r="CO68" i="20" s="1"/>
  <c r="CP68" i="20" s="1"/>
  <c r="CQ68" i="20" s="1"/>
  <c r="CR68" i="20" s="1"/>
  <c r="CS68" i="20" s="1"/>
  <c r="CT68" i="20" s="1"/>
  <c r="CU68" i="20" s="1"/>
  <c r="CV68" i="20" s="1"/>
  <c r="CW68" i="20" s="1"/>
  <c r="CX68" i="20" s="1"/>
  <c r="CY68" i="20" s="1"/>
  <c r="CZ68" i="20" s="1"/>
  <c r="DA68" i="20" s="1"/>
  <c r="DB68" i="20" s="1"/>
  <c r="DC68" i="20" s="1"/>
  <c r="DD68" i="20" s="1"/>
  <c r="DE68" i="20" s="1"/>
  <c r="DF68" i="20" s="1"/>
  <c r="DG68" i="20" s="1"/>
  <c r="DH68" i="20" s="1"/>
  <c r="DI68" i="20" s="1"/>
  <c r="DJ68" i="20" s="1"/>
  <c r="DK68" i="20" s="1"/>
  <c r="DL68" i="20" s="1"/>
  <c r="DM68" i="20" s="1"/>
  <c r="DN68" i="20" s="1"/>
  <c r="DO68" i="20" s="1"/>
  <c r="DP68" i="20" s="1"/>
  <c r="A69" i="20" s="1"/>
  <c r="B69" i="20" s="1"/>
  <c r="C69" i="20" s="1"/>
  <c r="D69" i="20" s="1"/>
  <c r="E69" i="20" s="1"/>
  <c r="F69" i="20" s="1"/>
  <c r="G69" i="20" s="1"/>
  <c r="H69" i="20" s="1"/>
  <c r="I69" i="20" s="1"/>
  <c r="J69" i="20" s="1"/>
  <c r="K69" i="20" s="1"/>
  <c r="L69" i="20" s="1"/>
  <c r="M69" i="20" s="1"/>
  <c r="N69" i="20" s="1"/>
  <c r="O69" i="20" s="1"/>
  <c r="P69" i="20" s="1"/>
  <c r="Q69" i="20" s="1"/>
  <c r="R69" i="20" s="1"/>
  <c r="S69" i="20" s="1"/>
  <c r="T69" i="20" s="1"/>
  <c r="U69" i="20" s="1"/>
  <c r="V69" i="20" s="1"/>
  <c r="W69" i="20" s="1"/>
  <c r="X69" i="20" s="1"/>
  <c r="Y69" i="20" s="1"/>
  <c r="Z69" i="20" s="1"/>
  <c r="AA69" i="20" s="1"/>
  <c r="AB69" i="20" s="1"/>
  <c r="AC69" i="20" s="1"/>
  <c r="AD69" i="20" s="1"/>
  <c r="AE69" i="20" s="1"/>
  <c r="AF69" i="20" s="1"/>
  <c r="AG69" i="20" s="1"/>
  <c r="AH69" i="20" s="1"/>
  <c r="AI69" i="20" s="1"/>
  <c r="AJ69" i="20" s="1"/>
  <c r="AK69" i="20" s="1"/>
  <c r="AL69" i="20" s="1"/>
  <c r="AM69" i="20" s="1"/>
  <c r="AN69" i="20" s="1"/>
  <c r="AO69" i="20" s="1"/>
  <c r="AP69" i="20" s="1"/>
  <c r="AQ69" i="20" s="1"/>
  <c r="AR69" i="20" s="1"/>
  <c r="AS69" i="20" s="1"/>
  <c r="AT69" i="20" s="1"/>
  <c r="AU69" i="20" s="1"/>
  <c r="AV69" i="20" s="1"/>
  <c r="AW69" i="20" s="1"/>
  <c r="AX69" i="20" s="1"/>
  <c r="AY69" i="20" s="1"/>
  <c r="AZ69" i="20" s="1"/>
  <c r="BA69" i="20" s="1"/>
  <c r="BB69" i="20" s="1"/>
  <c r="BC69" i="20" s="1"/>
  <c r="BD69" i="20" s="1"/>
  <c r="BE69" i="20" s="1"/>
  <c r="BF69" i="20" s="1"/>
  <c r="BG69" i="20" s="1"/>
  <c r="BH69" i="20" s="1"/>
  <c r="BI69" i="20" s="1"/>
  <c r="BJ69" i="20" s="1"/>
  <c r="BK69" i="20" s="1"/>
  <c r="BL69" i="20" s="1"/>
  <c r="BM69" i="20" s="1"/>
  <c r="BN69" i="20" s="1"/>
  <c r="BO69" i="20" s="1"/>
  <c r="BP69" i="20" s="1"/>
  <c r="BQ69" i="20" s="1"/>
  <c r="BR69" i="20" s="1"/>
  <c r="BS69" i="20" s="1"/>
  <c r="BT69" i="20" s="1"/>
  <c r="BU69" i="20" s="1"/>
  <c r="BV69" i="20" s="1"/>
  <c r="BW69" i="20" s="1"/>
  <c r="BX69" i="20" s="1"/>
  <c r="BY69" i="20" s="1"/>
  <c r="BZ69" i="20" s="1"/>
  <c r="CA69" i="20" s="1"/>
  <c r="CB69" i="20" s="1"/>
  <c r="CC69" i="20" s="1"/>
  <c r="CD69" i="20" s="1"/>
  <c r="CE69" i="20" s="1"/>
  <c r="CF69" i="20" s="1"/>
  <c r="CG69" i="20" s="1"/>
  <c r="CH69" i="20" s="1"/>
  <c r="CI69" i="20" s="1"/>
  <c r="CJ69" i="20" s="1"/>
  <c r="CK69" i="20" s="1"/>
  <c r="CL69" i="20" s="1"/>
  <c r="CM69" i="20" s="1"/>
  <c r="CN69" i="20" s="1"/>
  <c r="CO69" i="20" s="1"/>
  <c r="CP69" i="20" s="1"/>
  <c r="CQ69" i="20" s="1"/>
  <c r="CR69" i="20" s="1"/>
  <c r="CS69" i="20" s="1"/>
  <c r="CT69" i="20" s="1"/>
  <c r="CU69" i="20" s="1"/>
  <c r="CV69" i="20" s="1"/>
  <c r="CW69" i="20" s="1"/>
  <c r="CX69" i="20" s="1"/>
  <c r="CY69" i="20" s="1"/>
  <c r="CZ69" i="20" s="1"/>
  <c r="DA69" i="20" s="1"/>
  <c r="DB69" i="20" s="1"/>
  <c r="DC69" i="20" s="1"/>
  <c r="DD69" i="20" s="1"/>
  <c r="DE69" i="20" s="1"/>
  <c r="DF69" i="20" s="1"/>
  <c r="DG69" i="20" s="1"/>
  <c r="DH69" i="20" s="1"/>
  <c r="DI69" i="20" s="1"/>
  <c r="DJ69" i="20" s="1"/>
  <c r="DK69" i="20" s="1"/>
  <c r="DL69" i="20" s="1"/>
  <c r="DM69" i="20" s="1"/>
  <c r="DN69" i="20" s="1"/>
  <c r="DO69" i="20" s="1"/>
  <c r="DP69" i="20" s="1"/>
  <c r="A70" i="20" s="1"/>
  <c r="B70" i="20" s="1"/>
  <c r="C70" i="20" s="1"/>
  <c r="D70" i="20" s="1"/>
  <c r="E70" i="20" s="1"/>
  <c r="F70" i="20" s="1"/>
  <c r="G70" i="20" s="1"/>
  <c r="H70" i="20" s="1"/>
  <c r="I70" i="20" s="1"/>
  <c r="J70" i="20" s="1"/>
  <c r="K70" i="20" s="1"/>
  <c r="L70" i="20" s="1"/>
  <c r="M70" i="20" s="1"/>
  <c r="N70" i="20" s="1"/>
  <c r="O70" i="20" s="1"/>
  <c r="P70" i="20" s="1"/>
  <c r="Q70" i="20" s="1"/>
  <c r="R70" i="20" s="1"/>
  <c r="S70" i="20" s="1"/>
  <c r="T70" i="20" s="1"/>
  <c r="U70" i="20" s="1"/>
  <c r="V70" i="20" s="1"/>
  <c r="W70" i="20" s="1"/>
  <c r="X70" i="20" s="1"/>
  <c r="Y70" i="20" s="1"/>
  <c r="Z70" i="20" s="1"/>
  <c r="AA70" i="20" s="1"/>
  <c r="AB70" i="20" s="1"/>
  <c r="AC70" i="20" s="1"/>
  <c r="AD70" i="20" s="1"/>
  <c r="AE70" i="20" s="1"/>
  <c r="AF70" i="20" s="1"/>
  <c r="AG70" i="20" s="1"/>
  <c r="AH70" i="20" s="1"/>
  <c r="AI70" i="20" s="1"/>
  <c r="AJ70" i="20" s="1"/>
  <c r="AK70" i="20" s="1"/>
  <c r="AL70" i="20" s="1"/>
  <c r="AM70" i="20" s="1"/>
  <c r="AN70" i="20" s="1"/>
  <c r="AO70" i="20" s="1"/>
  <c r="AP70" i="20" s="1"/>
  <c r="AQ70" i="20" s="1"/>
  <c r="AR70" i="20" s="1"/>
  <c r="AS70" i="20" s="1"/>
  <c r="AT70" i="20" s="1"/>
  <c r="AU70" i="20" s="1"/>
  <c r="AV70" i="20" s="1"/>
  <c r="AW70" i="20" s="1"/>
  <c r="AX70" i="20" s="1"/>
  <c r="AY70" i="20" s="1"/>
  <c r="AZ70" i="20" s="1"/>
  <c r="BA70" i="20" s="1"/>
  <c r="BB70" i="20" s="1"/>
  <c r="BC70" i="20" s="1"/>
  <c r="BD70" i="20" s="1"/>
  <c r="BE70" i="20" s="1"/>
  <c r="BF70" i="20" s="1"/>
  <c r="BG70" i="20" s="1"/>
  <c r="BH70" i="20" s="1"/>
  <c r="BI70" i="20" s="1"/>
  <c r="BJ70" i="20" s="1"/>
  <c r="BK70" i="20" s="1"/>
  <c r="BL70" i="20" s="1"/>
  <c r="BM70" i="20" s="1"/>
  <c r="BN70" i="20" s="1"/>
  <c r="BO70" i="20" s="1"/>
  <c r="BP70" i="20" s="1"/>
  <c r="BQ70" i="20" s="1"/>
  <c r="BR70" i="20" s="1"/>
  <c r="BS70" i="20" s="1"/>
  <c r="BT70" i="20" s="1"/>
  <c r="BU70" i="20" s="1"/>
  <c r="BV70" i="20" s="1"/>
  <c r="BW70" i="20" s="1"/>
  <c r="BX70" i="20" s="1"/>
  <c r="BY70" i="20" s="1"/>
  <c r="BZ70" i="20" s="1"/>
  <c r="CA70" i="20" s="1"/>
  <c r="CB70" i="20" s="1"/>
  <c r="CC70" i="20" s="1"/>
  <c r="CD70" i="20" s="1"/>
  <c r="CE70" i="20" s="1"/>
  <c r="CF70" i="20" s="1"/>
  <c r="CG70" i="20" s="1"/>
  <c r="CH70" i="20" s="1"/>
  <c r="CI70" i="20" s="1"/>
  <c r="CJ70" i="20" s="1"/>
  <c r="CK70" i="20" s="1"/>
  <c r="CL70" i="20" s="1"/>
  <c r="CM70" i="20" s="1"/>
  <c r="CN70" i="20" s="1"/>
  <c r="CO70" i="20" s="1"/>
  <c r="CP70" i="20" s="1"/>
  <c r="CQ70" i="20" s="1"/>
  <c r="CR70" i="20" s="1"/>
  <c r="CS70" i="20" s="1"/>
  <c r="CT70" i="20" s="1"/>
  <c r="CU70" i="20" s="1"/>
  <c r="CV70" i="20" s="1"/>
  <c r="CW70" i="20" s="1"/>
  <c r="CX70" i="20" s="1"/>
  <c r="CY70" i="20" s="1"/>
  <c r="CZ70" i="20" s="1"/>
  <c r="DA70" i="20" s="1"/>
  <c r="DB70" i="20" s="1"/>
  <c r="DC70" i="20" s="1"/>
  <c r="DD70" i="20" s="1"/>
  <c r="DE70" i="20" s="1"/>
  <c r="DF70" i="20" s="1"/>
  <c r="DG70" i="20" s="1"/>
  <c r="DH70" i="20" s="1"/>
  <c r="DI70" i="20" s="1"/>
  <c r="DJ70" i="20" s="1"/>
  <c r="DK70" i="20" s="1"/>
  <c r="DL70" i="20" s="1"/>
  <c r="DM70" i="20" s="1"/>
  <c r="DN70" i="20" s="1"/>
  <c r="DO70" i="20" s="1"/>
  <c r="DP70" i="20" s="1"/>
  <c r="A71" i="20" s="1"/>
  <c r="B71" i="20" s="1"/>
  <c r="C71" i="20" s="1"/>
  <c r="D71" i="20" s="1"/>
  <c r="E71" i="20" s="1"/>
  <c r="F71" i="20" s="1"/>
  <c r="G71" i="20" s="1"/>
  <c r="H71" i="20" s="1"/>
  <c r="I71" i="20" s="1"/>
  <c r="J71" i="20" s="1"/>
  <c r="K71" i="20" s="1"/>
  <c r="L71" i="20" s="1"/>
  <c r="M71" i="20" s="1"/>
  <c r="N71" i="20" s="1"/>
  <c r="O71" i="20" s="1"/>
  <c r="P71" i="20" s="1"/>
  <c r="Q71" i="20" s="1"/>
  <c r="R71" i="20" s="1"/>
  <c r="S71" i="20" s="1"/>
  <c r="T71" i="20" s="1"/>
  <c r="U71" i="20" s="1"/>
  <c r="V71" i="20" s="1"/>
  <c r="W71" i="20" s="1"/>
  <c r="X71" i="20" s="1"/>
  <c r="Y71" i="20" s="1"/>
  <c r="Z71" i="20" s="1"/>
  <c r="AA71" i="20" s="1"/>
  <c r="AB71" i="20" s="1"/>
  <c r="AC71" i="20" s="1"/>
  <c r="AD71" i="20" s="1"/>
  <c r="AE71" i="20" s="1"/>
  <c r="AF71" i="20" s="1"/>
  <c r="AG71" i="20" s="1"/>
  <c r="AH71" i="20" s="1"/>
  <c r="AI71" i="20" s="1"/>
  <c r="AJ71" i="20" s="1"/>
  <c r="AK71" i="20" s="1"/>
  <c r="AL71" i="20" s="1"/>
  <c r="AM71" i="20" s="1"/>
  <c r="AN71" i="20" s="1"/>
  <c r="AO71" i="20" s="1"/>
  <c r="AP71" i="20" s="1"/>
  <c r="AQ71" i="20" s="1"/>
  <c r="AR71" i="20" s="1"/>
  <c r="AS71" i="20" s="1"/>
  <c r="AT71" i="20" s="1"/>
  <c r="AU71" i="20" s="1"/>
  <c r="AV71" i="20" s="1"/>
  <c r="AW71" i="20" s="1"/>
  <c r="AX71" i="20" s="1"/>
  <c r="AY71" i="20" s="1"/>
  <c r="AZ71" i="20" s="1"/>
  <c r="BA71" i="20" s="1"/>
  <c r="BB71" i="20" s="1"/>
  <c r="BC71" i="20" s="1"/>
  <c r="BD71" i="20" s="1"/>
  <c r="BE71" i="20" s="1"/>
  <c r="BF71" i="20" s="1"/>
  <c r="BG71" i="20" s="1"/>
  <c r="BH71" i="20" s="1"/>
  <c r="BI71" i="20" s="1"/>
  <c r="BJ71" i="20" s="1"/>
  <c r="BK71" i="20" s="1"/>
  <c r="BL71" i="20" s="1"/>
  <c r="BM71" i="20" s="1"/>
  <c r="BN71" i="20" s="1"/>
  <c r="BO71" i="20" s="1"/>
  <c r="BP71" i="20" s="1"/>
  <c r="BQ71" i="20" s="1"/>
  <c r="BR71" i="20" s="1"/>
  <c r="BS71" i="20" s="1"/>
  <c r="BT71" i="20" s="1"/>
  <c r="BU71" i="20" s="1"/>
  <c r="BV71" i="20" s="1"/>
  <c r="BW71" i="20" s="1"/>
  <c r="BX71" i="20" s="1"/>
  <c r="BY71" i="20" s="1"/>
  <c r="BZ71" i="20" s="1"/>
  <c r="CA71" i="20" s="1"/>
  <c r="CB71" i="20" s="1"/>
  <c r="CC71" i="20" s="1"/>
  <c r="CD71" i="20" s="1"/>
  <c r="CE71" i="20" s="1"/>
  <c r="CF71" i="20" s="1"/>
  <c r="CG71" i="20" s="1"/>
  <c r="CH71" i="20" s="1"/>
  <c r="CI71" i="20" s="1"/>
  <c r="CJ71" i="20" s="1"/>
  <c r="CK71" i="20" s="1"/>
  <c r="CL71" i="20" s="1"/>
  <c r="CM71" i="20" s="1"/>
  <c r="CN71" i="20" s="1"/>
  <c r="CO71" i="20" s="1"/>
  <c r="CP71" i="20" s="1"/>
  <c r="CQ71" i="20" s="1"/>
  <c r="CR71" i="20" s="1"/>
  <c r="CS71" i="20" s="1"/>
  <c r="CT71" i="20" s="1"/>
  <c r="CU71" i="20" s="1"/>
  <c r="CV71" i="20" s="1"/>
  <c r="CW71" i="20" s="1"/>
  <c r="CX71" i="20" s="1"/>
  <c r="CY71" i="20" s="1"/>
  <c r="CZ71" i="20" s="1"/>
  <c r="DA71" i="20" s="1"/>
  <c r="DB71" i="20" s="1"/>
  <c r="DC71" i="20" s="1"/>
  <c r="DD71" i="20" s="1"/>
  <c r="DE71" i="20" s="1"/>
  <c r="DF71" i="20" s="1"/>
  <c r="DG71" i="20" s="1"/>
  <c r="DH71" i="20" s="1"/>
  <c r="DI71" i="20" s="1"/>
  <c r="DJ71" i="20" s="1"/>
  <c r="DK71" i="20" s="1"/>
  <c r="DL71" i="20" s="1"/>
  <c r="DM71" i="20" s="1"/>
  <c r="DN71" i="20" s="1"/>
  <c r="DO71" i="20" s="1"/>
  <c r="DP71" i="20" s="1"/>
  <c r="A72" i="20" s="1"/>
  <c r="B72" i="20" s="1"/>
  <c r="C72" i="20" s="1"/>
  <c r="D72" i="20" s="1"/>
  <c r="E72" i="20" s="1"/>
  <c r="F72" i="20" s="1"/>
  <c r="G72" i="20" s="1"/>
  <c r="H72" i="20" s="1"/>
  <c r="I72" i="20" s="1"/>
  <c r="J72" i="20" s="1"/>
  <c r="K72" i="20" s="1"/>
  <c r="L72" i="20" s="1"/>
  <c r="M72" i="20" s="1"/>
  <c r="N72" i="20" s="1"/>
  <c r="O72" i="20" s="1"/>
  <c r="P72" i="20" s="1"/>
  <c r="Q72" i="20" s="1"/>
  <c r="R72" i="20" s="1"/>
  <c r="S72" i="20" s="1"/>
  <c r="T72" i="20" s="1"/>
  <c r="U72" i="20" s="1"/>
  <c r="V72" i="20" s="1"/>
  <c r="W72" i="20" s="1"/>
  <c r="X72" i="20" s="1"/>
  <c r="Y72" i="20" s="1"/>
  <c r="Z72" i="20" s="1"/>
  <c r="AA72" i="20" s="1"/>
  <c r="AB72" i="20" s="1"/>
  <c r="AC72" i="20" s="1"/>
  <c r="AD72" i="20" s="1"/>
  <c r="AE72" i="20" s="1"/>
  <c r="AF72" i="20" s="1"/>
  <c r="AG72" i="20" s="1"/>
  <c r="AH72" i="20" s="1"/>
  <c r="AI72" i="20" s="1"/>
  <c r="AJ72" i="20" s="1"/>
  <c r="AK72" i="20" s="1"/>
  <c r="AL72" i="20" s="1"/>
  <c r="AM72" i="20" s="1"/>
  <c r="AN72" i="20" s="1"/>
  <c r="AO72" i="20" s="1"/>
  <c r="AP72" i="20" s="1"/>
  <c r="AQ72" i="20" s="1"/>
  <c r="AR72" i="20" s="1"/>
  <c r="AS72" i="20" s="1"/>
  <c r="AT72" i="20" s="1"/>
  <c r="AU72" i="20" s="1"/>
  <c r="AV72" i="20" s="1"/>
  <c r="AW72" i="20" s="1"/>
  <c r="AX72" i="20" s="1"/>
  <c r="AY72" i="20" s="1"/>
  <c r="AZ72" i="20" s="1"/>
  <c r="BA72" i="20" s="1"/>
  <c r="BB72" i="20" s="1"/>
  <c r="BC72" i="20" s="1"/>
  <c r="BD72" i="20" s="1"/>
  <c r="BE72" i="20" s="1"/>
  <c r="BF72" i="20" s="1"/>
  <c r="BG72" i="20" s="1"/>
  <c r="BH72" i="20" s="1"/>
  <c r="BI72" i="20" s="1"/>
  <c r="BJ72" i="20" s="1"/>
  <c r="BK72" i="20" s="1"/>
  <c r="BL72" i="20" s="1"/>
  <c r="BM72" i="20" s="1"/>
  <c r="BN72" i="20" s="1"/>
  <c r="BO72" i="20" s="1"/>
  <c r="BP72" i="20" s="1"/>
  <c r="BQ72" i="20" s="1"/>
  <c r="BR72" i="20" s="1"/>
  <c r="BS72" i="20" s="1"/>
  <c r="BT72" i="20" s="1"/>
  <c r="BU72" i="20" s="1"/>
  <c r="BV72" i="20" s="1"/>
  <c r="BW72" i="20" s="1"/>
  <c r="BX72" i="20" s="1"/>
  <c r="BY72" i="20" s="1"/>
  <c r="BZ72" i="20" s="1"/>
  <c r="CA72" i="20" s="1"/>
  <c r="CB72" i="20" s="1"/>
  <c r="CC72" i="20" s="1"/>
  <c r="CD72" i="20" s="1"/>
  <c r="CE72" i="20" s="1"/>
  <c r="CF72" i="20" s="1"/>
  <c r="CG72" i="20" s="1"/>
  <c r="CH72" i="20" s="1"/>
  <c r="CI72" i="20" s="1"/>
  <c r="CJ72" i="20" s="1"/>
  <c r="CK72" i="20" s="1"/>
  <c r="CL72" i="20" s="1"/>
  <c r="CM72" i="20" s="1"/>
  <c r="CN72" i="20" s="1"/>
  <c r="CO72" i="20" s="1"/>
  <c r="CP72" i="20" s="1"/>
  <c r="CQ72" i="20" s="1"/>
  <c r="CR72" i="20" s="1"/>
  <c r="CS72" i="20" s="1"/>
  <c r="CT72" i="20" s="1"/>
  <c r="CU72" i="20" s="1"/>
  <c r="CV72" i="20" s="1"/>
  <c r="CW72" i="20" s="1"/>
  <c r="CX72" i="20" s="1"/>
  <c r="CY72" i="20" s="1"/>
  <c r="CZ72" i="20" s="1"/>
  <c r="DA72" i="20" s="1"/>
  <c r="DB72" i="20" s="1"/>
  <c r="DC72" i="20" s="1"/>
  <c r="DD72" i="20" s="1"/>
  <c r="DE72" i="20" s="1"/>
  <c r="DF72" i="20" s="1"/>
  <c r="DG72" i="20" s="1"/>
  <c r="DH72" i="20" s="1"/>
  <c r="DI72" i="20" s="1"/>
  <c r="DJ72" i="20" s="1"/>
  <c r="DK72" i="20" s="1"/>
  <c r="DL72" i="20" s="1"/>
  <c r="DM72" i="20" s="1"/>
  <c r="DN72" i="20" s="1"/>
  <c r="DO72" i="20" s="1"/>
  <c r="DP72" i="20" s="1"/>
  <c r="A73" i="20" s="1"/>
  <c r="B73" i="20" s="1"/>
  <c r="C73" i="20" s="1"/>
  <c r="D73" i="20" s="1"/>
  <c r="E73" i="20" s="1"/>
  <c r="F73" i="20" s="1"/>
  <c r="G73" i="20" s="1"/>
  <c r="H73" i="20" s="1"/>
  <c r="I73" i="20" s="1"/>
  <c r="J73" i="20" s="1"/>
  <c r="K73" i="20" s="1"/>
  <c r="L73" i="20" s="1"/>
  <c r="M73" i="20" s="1"/>
  <c r="N73" i="20" s="1"/>
  <c r="O73" i="20" s="1"/>
  <c r="P73" i="20" s="1"/>
  <c r="Q73" i="20" s="1"/>
  <c r="R73" i="20" s="1"/>
  <c r="S73" i="20" s="1"/>
  <c r="T73" i="20" s="1"/>
  <c r="U73" i="20" s="1"/>
  <c r="V73" i="20" s="1"/>
  <c r="W73" i="20" s="1"/>
  <c r="X73" i="20" s="1"/>
  <c r="Y73" i="20" s="1"/>
  <c r="Z73" i="20" s="1"/>
  <c r="AA73" i="20" s="1"/>
  <c r="AB73" i="20" s="1"/>
  <c r="AC73" i="20" s="1"/>
  <c r="AD73" i="20" s="1"/>
  <c r="AE73" i="20" s="1"/>
  <c r="AF73" i="20" s="1"/>
  <c r="AG73" i="20" s="1"/>
  <c r="AH73" i="20" s="1"/>
  <c r="AI73" i="20" s="1"/>
  <c r="AJ73" i="20" s="1"/>
  <c r="AK73" i="20" s="1"/>
  <c r="AL73" i="20" s="1"/>
  <c r="AM73" i="20" s="1"/>
  <c r="AN73" i="20" s="1"/>
  <c r="AO73" i="20" s="1"/>
  <c r="AP73" i="20" s="1"/>
  <c r="AQ73" i="20" s="1"/>
  <c r="AR73" i="20" s="1"/>
  <c r="AS73" i="20" s="1"/>
  <c r="AT73" i="20" s="1"/>
  <c r="AU73" i="20" s="1"/>
  <c r="AV73" i="20" s="1"/>
  <c r="AW73" i="20" s="1"/>
  <c r="AX73" i="20" s="1"/>
  <c r="AY73" i="20" s="1"/>
  <c r="AZ73" i="20" s="1"/>
  <c r="BA73" i="20" s="1"/>
  <c r="BB73" i="20" s="1"/>
  <c r="BC73" i="20" s="1"/>
  <c r="BD73" i="20" s="1"/>
  <c r="BE73" i="20" s="1"/>
  <c r="BF73" i="20" s="1"/>
  <c r="BG73" i="20" s="1"/>
  <c r="BH73" i="20" s="1"/>
  <c r="BI73" i="20" s="1"/>
  <c r="BJ73" i="20" s="1"/>
  <c r="BK73" i="20" s="1"/>
  <c r="BL73" i="20" s="1"/>
  <c r="BM73" i="20" s="1"/>
  <c r="BN73" i="20" s="1"/>
  <c r="BO73" i="20" s="1"/>
  <c r="BP73" i="20" s="1"/>
  <c r="BQ73" i="20" s="1"/>
  <c r="BR73" i="20" s="1"/>
  <c r="BS73" i="20" s="1"/>
  <c r="BT73" i="20" s="1"/>
  <c r="BU73" i="20" s="1"/>
  <c r="BV73" i="20" s="1"/>
  <c r="BW73" i="20" s="1"/>
  <c r="BX73" i="20" s="1"/>
  <c r="BY73" i="20" s="1"/>
  <c r="BZ73" i="20" s="1"/>
  <c r="CA73" i="20" s="1"/>
  <c r="CB73" i="20" s="1"/>
  <c r="CC73" i="20" s="1"/>
  <c r="CD73" i="20" s="1"/>
  <c r="CE73" i="20" s="1"/>
  <c r="CF73" i="20" s="1"/>
  <c r="CG73" i="20" s="1"/>
  <c r="CH73" i="20" s="1"/>
  <c r="CI73" i="20" s="1"/>
  <c r="CJ73" i="20" s="1"/>
  <c r="CK73" i="20" s="1"/>
  <c r="CL73" i="20" s="1"/>
  <c r="CM73" i="20" s="1"/>
  <c r="CN73" i="20" s="1"/>
  <c r="CO73" i="20" s="1"/>
  <c r="CP73" i="20" s="1"/>
  <c r="CQ73" i="20" s="1"/>
  <c r="CR73" i="20" s="1"/>
  <c r="CS73" i="20" s="1"/>
  <c r="CT73" i="20" s="1"/>
  <c r="CU73" i="20" s="1"/>
  <c r="CV73" i="20" s="1"/>
  <c r="CW73" i="20" s="1"/>
  <c r="CX73" i="20" s="1"/>
  <c r="CY73" i="20" s="1"/>
  <c r="CZ73" i="20" s="1"/>
  <c r="DA73" i="20" s="1"/>
  <c r="DB73" i="20" s="1"/>
  <c r="DC73" i="20" s="1"/>
  <c r="DD73" i="20" s="1"/>
  <c r="DE73" i="20" s="1"/>
  <c r="DF73" i="20" s="1"/>
  <c r="DG73" i="20" s="1"/>
  <c r="DH73" i="20" s="1"/>
  <c r="DI73" i="20" s="1"/>
  <c r="DJ73" i="20" s="1"/>
  <c r="DK73" i="20" s="1"/>
  <c r="DL73" i="20" s="1"/>
  <c r="DM73" i="20" s="1"/>
  <c r="DN73" i="20" s="1"/>
  <c r="DO73" i="20" s="1"/>
  <c r="DP73" i="20" s="1"/>
  <c r="A74" i="20" s="1"/>
  <c r="B74" i="20" s="1"/>
  <c r="C74" i="20" s="1"/>
  <c r="D74" i="20" s="1"/>
  <c r="E74" i="20" s="1"/>
  <c r="F74" i="20" s="1"/>
  <c r="G74" i="20" s="1"/>
  <c r="H74" i="20" s="1"/>
  <c r="I74" i="20" s="1"/>
  <c r="J74" i="20" s="1"/>
  <c r="K74" i="20" s="1"/>
  <c r="L74" i="20" s="1"/>
  <c r="M74" i="20" s="1"/>
  <c r="N74" i="20" s="1"/>
  <c r="O74" i="20" s="1"/>
  <c r="P74" i="20" s="1"/>
  <c r="Q74" i="20" s="1"/>
  <c r="R74" i="20" s="1"/>
  <c r="S74" i="20" s="1"/>
  <c r="T74" i="20" s="1"/>
  <c r="U74" i="20" s="1"/>
  <c r="V74" i="20" s="1"/>
  <c r="W74" i="20" s="1"/>
  <c r="X74" i="20" s="1"/>
  <c r="Y74" i="20" s="1"/>
  <c r="Z74" i="20" s="1"/>
  <c r="AA74" i="20" s="1"/>
  <c r="AB74" i="20" s="1"/>
  <c r="AC74" i="20" s="1"/>
  <c r="AD74" i="20" s="1"/>
  <c r="AE74" i="20" s="1"/>
  <c r="AF74" i="20" s="1"/>
  <c r="AG74" i="20" s="1"/>
  <c r="AH74" i="20" s="1"/>
  <c r="AI74" i="20" s="1"/>
  <c r="AJ74" i="20" s="1"/>
  <c r="AK74" i="20" s="1"/>
  <c r="AL74" i="20" s="1"/>
  <c r="AM74" i="20" s="1"/>
  <c r="AN74" i="20" s="1"/>
  <c r="AO74" i="20" s="1"/>
  <c r="AP74" i="20" s="1"/>
  <c r="AQ74" i="20" s="1"/>
  <c r="AR74" i="20" s="1"/>
  <c r="AS74" i="20" s="1"/>
  <c r="AT74" i="20" s="1"/>
  <c r="AU74" i="20" s="1"/>
  <c r="AV74" i="20" s="1"/>
  <c r="AW74" i="20" s="1"/>
  <c r="AX74" i="20" s="1"/>
  <c r="AY74" i="20" s="1"/>
  <c r="AZ74" i="20" s="1"/>
  <c r="BA74" i="20" s="1"/>
  <c r="BB74" i="20" s="1"/>
  <c r="BC74" i="20" s="1"/>
  <c r="BD74" i="20" s="1"/>
  <c r="BE74" i="20" s="1"/>
  <c r="BF74" i="20" s="1"/>
  <c r="BG74" i="20" s="1"/>
  <c r="BH74" i="20" s="1"/>
  <c r="BI74" i="20" s="1"/>
  <c r="BJ74" i="20" s="1"/>
  <c r="BK74" i="20" s="1"/>
  <c r="BL74" i="20" s="1"/>
  <c r="BM74" i="20" s="1"/>
  <c r="BN74" i="20" s="1"/>
  <c r="BO74" i="20" s="1"/>
  <c r="BP74" i="20" s="1"/>
  <c r="BQ74" i="20" s="1"/>
  <c r="BR74" i="20" s="1"/>
  <c r="BS74" i="20" s="1"/>
  <c r="BT74" i="20" s="1"/>
  <c r="BU74" i="20" s="1"/>
  <c r="BV74" i="20" s="1"/>
  <c r="BW74" i="20" s="1"/>
  <c r="BX74" i="20" s="1"/>
  <c r="BY74" i="20" s="1"/>
  <c r="BZ74" i="20" s="1"/>
  <c r="CA74" i="20" s="1"/>
  <c r="CB74" i="20" s="1"/>
  <c r="CC74" i="20" s="1"/>
  <c r="CD74" i="20" s="1"/>
  <c r="CE74" i="20" s="1"/>
  <c r="CF74" i="20" s="1"/>
  <c r="CG74" i="20" s="1"/>
  <c r="CH74" i="20" s="1"/>
  <c r="CI74" i="20" s="1"/>
  <c r="CJ74" i="20" s="1"/>
  <c r="CK74" i="20" s="1"/>
  <c r="CL74" i="20" s="1"/>
  <c r="CM74" i="20" s="1"/>
  <c r="CN74" i="20" s="1"/>
  <c r="CO74" i="20" s="1"/>
  <c r="CP74" i="20" s="1"/>
  <c r="CQ74" i="20" s="1"/>
  <c r="CR74" i="20" s="1"/>
  <c r="CS74" i="20" s="1"/>
  <c r="CT74" i="20" s="1"/>
  <c r="CU74" i="20" s="1"/>
  <c r="CV74" i="20" s="1"/>
  <c r="CW74" i="20" s="1"/>
  <c r="CX74" i="20" s="1"/>
  <c r="CY74" i="20" s="1"/>
  <c r="CZ74" i="20" s="1"/>
  <c r="DA74" i="20" s="1"/>
  <c r="DB74" i="20" s="1"/>
  <c r="DC74" i="20" s="1"/>
  <c r="DD74" i="20" s="1"/>
  <c r="DE74" i="20" s="1"/>
  <c r="DF74" i="20" s="1"/>
  <c r="DG74" i="20" s="1"/>
  <c r="DH74" i="20" s="1"/>
  <c r="DI74" i="20" s="1"/>
  <c r="DJ74" i="20" s="1"/>
  <c r="DK74" i="20" s="1"/>
  <c r="DL74" i="20" s="1"/>
  <c r="DM74" i="20" s="1"/>
  <c r="DN74" i="20" s="1"/>
  <c r="DO74" i="20" s="1"/>
  <c r="DP74" i="20" s="1"/>
  <c r="A75" i="20" s="1"/>
  <c r="B75" i="20" s="1"/>
  <c r="C75" i="20" s="1"/>
  <c r="D75" i="20" s="1"/>
  <c r="E75" i="20" s="1"/>
  <c r="F75" i="20" s="1"/>
  <c r="G75" i="20" s="1"/>
  <c r="H75" i="20" s="1"/>
  <c r="I75" i="20" s="1"/>
  <c r="J75" i="20" s="1"/>
  <c r="K75" i="20" s="1"/>
  <c r="L75" i="20" s="1"/>
  <c r="M75" i="20" s="1"/>
  <c r="N75" i="20" s="1"/>
  <c r="O75" i="20" s="1"/>
  <c r="P75" i="20" s="1"/>
  <c r="Q75" i="20" s="1"/>
  <c r="R75" i="20" s="1"/>
  <c r="S75" i="20" s="1"/>
  <c r="T75" i="20" s="1"/>
  <c r="U75" i="20" s="1"/>
  <c r="V75" i="20" s="1"/>
  <c r="W75" i="20" s="1"/>
  <c r="X75" i="20" s="1"/>
  <c r="Y75" i="20" s="1"/>
  <c r="Z75" i="20" s="1"/>
  <c r="AA75" i="20" s="1"/>
  <c r="AB75" i="20" s="1"/>
  <c r="AC75" i="20" s="1"/>
  <c r="AD75" i="20" s="1"/>
  <c r="AE75" i="20" s="1"/>
  <c r="AF75" i="20" s="1"/>
  <c r="AG75" i="20" s="1"/>
  <c r="AH75" i="20" s="1"/>
  <c r="AI75" i="20" s="1"/>
  <c r="AJ75" i="20" s="1"/>
  <c r="AK75" i="20" s="1"/>
  <c r="AL75" i="20" s="1"/>
  <c r="AM75" i="20" s="1"/>
  <c r="AN75" i="20" s="1"/>
  <c r="AO75" i="20" s="1"/>
  <c r="AP75" i="20" s="1"/>
  <c r="AQ75" i="20" s="1"/>
  <c r="AR75" i="20" s="1"/>
  <c r="AS75" i="20" s="1"/>
  <c r="AT75" i="20" s="1"/>
  <c r="AU75" i="20" s="1"/>
  <c r="AV75" i="20" s="1"/>
  <c r="AW75" i="20" s="1"/>
  <c r="AX75" i="20" s="1"/>
  <c r="AY75" i="20" s="1"/>
  <c r="AZ75" i="20" s="1"/>
  <c r="BA75" i="20" s="1"/>
  <c r="BB75" i="20" s="1"/>
  <c r="BC75" i="20" s="1"/>
  <c r="BD75" i="20" s="1"/>
  <c r="BE75" i="20" s="1"/>
  <c r="BF75" i="20" s="1"/>
  <c r="BG75" i="20" s="1"/>
  <c r="BH75" i="20" s="1"/>
  <c r="BI75" i="20" s="1"/>
  <c r="BJ75" i="20" s="1"/>
  <c r="BK75" i="20" s="1"/>
  <c r="BL75" i="20" s="1"/>
  <c r="BM75" i="20" s="1"/>
  <c r="BN75" i="20" s="1"/>
  <c r="BO75" i="20" s="1"/>
  <c r="BP75" i="20" s="1"/>
  <c r="BQ75" i="20" s="1"/>
  <c r="BR75" i="20" s="1"/>
  <c r="BS75" i="20" s="1"/>
  <c r="BT75" i="20" s="1"/>
  <c r="BU75" i="20" s="1"/>
  <c r="BV75" i="20" s="1"/>
  <c r="BW75" i="20" s="1"/>
  <c r="BX75" i="20" s="1"/>
  <c r="BY75" i="20" s="1"/>
  <c r="BZ75" i="20" s="1"/>
  <c r="CA75" i="20" s="1"/>
  <c r="CB75" i="20" s="1"/>
  <c r="CC75" i="20" s="1"/>
  <c r="CD75" i="20" s="1"/>
  <c r="CE75" i="20" s="1"/>
  <c r="CF75" i="20" s="1"/>
  <c r="CG75" i="20" s="1"/>
  <c r="CH75" i="20" s="1"/>
  <c r="CI75" i="20" s="1"/>
  <c r="CJ75" i="20" s="1"/>
  <c r="CK75" i="20" s="1"/>
  <c r="CL75" i="20" s="1"/>
  <c r="CM75" i="20" s="1"/>
  <c r="CN75" i="20" s="1"/>
  <c r="CO75" i="20" s="1"/>
  <c r="CP75" i="20" s="1"/>
  <c r="CQ75" i="20" s="1"/>
  <c r="CR75" i="20" s="1"/>
  <c r="CS75" i="20" s="1"/>
  <c r="CT75" i="20" s="1"/>
  <c r="CU75" i="20" s="1"/>
  <c r="CV75" i="20" s="1"/>
  <c r="CW75" i="20" s="1"/>
  <c r="CX75" i="20" s="1"/>
  <c r="CY75" i="20" s="1"/>
  <c r="CZ75" i="20" s="1"/>
  <c r="DA75" i="20" s="1"/>
  <c r="DB75" i="20" s="1"/>
  <c r="DC75" i="20" s="1"/>
  <c r="DD75" i="20" s="1"/>
  <c r="DE75" i="20" s="1"/>
  <c r="DF75" i="20" s="1"/>
  <c r="DG75" i="20" s="1"/>
  <c r="DH75" i="20" s="1"/>
  <c r="DI75" i="20" s="1"/>
  <c r="DJ75" i="20" s="1"/>
  <c r="DK75" i="20" s="1"/>
  <c r="DL75" i="20" s="1"/>
  <c r="DM75" i="20" s="1"/>
  <c r="DN75" i="20" s="1"/>
  <c r="DO75" i="20" s="1"/>
  <c r="DP75" i="20" s="1"/>
  <c r="A76" i="20" s="1"/>
  <c r="B76" i="20" s="1"/>
  <c r="C76" i="20" s="1"/>
  <c r="D76" i="20" s="1"/>
  <c r="E76" i="20" s="1"/>
  <c r="F76" i="20" s="1"/>
  <c r="G76" i="20" s="1"/>
  <c r="H76" i="20" s="1"/>
  <c r="I76" i="20" s="1"/>
  <c r="J76" i="20" s="1"/>
  <c r="K76" i="20" s="1"/>
  <c r="L76" i="20" s="1"/>
  <c r="M76" i="20" s="1"/>
  <c r="N76" i="20" s="1"/>
  <c r="O76" i="20" s="1"/>
  <c r="P76" i="20" s="1"/>
  <c r="Q76" i="20" s="1"/>
  <c r="R76" i="20" s="1"/>
  <c r="S76" i="20" s="1"/>
  <c r="T76" i="20" s="1"/>
  <c r="U76" i="20" s="1"/>
  <c r="V76" i="20" s="1"/>
  <c r="W76" i="20" s="1"/>
  <c r="X76" i="20" s="1"/>
  <c r="Y76" i="20" s="1"/>
  <c r="Z76" i="20" s="1"/>
  <c r="AA76" i="20" s="1"/>
  <c r="AB76" i="20" s="1"/>
  <c r="AC76" i="20" s="1"/>
  <c r="AD76" i="20" s="1"/>
  <c r="AE76" i="20" s="1"/>
  <c r="AF76" i="20" s="1"/>
  <c r="AG76" i="20" s="1"/>
  <c r="AH76" i="20" s="1"/>
  <c r="AI76" i="20" s="1"/>
  <c r="AJ76" i="20" s="1"/>
  <c r="AK76" i="20" s="1"/>
  <c r="AL76" i="20" s="1"/>
  <c r="AM76" i="20" s="1"/>
  <c r="AN76" i="20" s="1"/>
  <c r="AO76" i="20" s="1"/>
  <c r="AP76" i="20" s="1"/>
  <c r="AQ76" i="20" s="1"/>
  <c r="AR76" i="20" s="1"/>
  <c r="AS76" i="20" s="1"/>
  <c r="AT76" i="20" s="1"/>
  <c r="AU76" i="20" s="1"/>
  <c r="AV76" i="20" s="1"/>
  <c r="AW76" i="20" s="1"/>
  <c r="AX76" i="20" s="1"/>
  <c r="AY76" i="20" s="1"/>
  <c r="AZ76" i="20" s="1"/>
  <c r="BA76" i="20" s="1"/>
  <c r="BB76" i="20" s="1"/>
  <c r="BC76" i="20" s="1"/>
  <c r="BD76" i="20" s="1"/>
  <c r="BE76" i="20" s="1"/>
  <c r="BF76" i="20" s="1"/>
  <c r="BG76" i="20" s="1"/>
  <c r="BH76" i="20" s="1"/>
  <c r="BI76" i="20" s="1"/>
  <c r="BJ76" i="20" s="1"/>
  <c r="BK76" i="20" s="1"/>
  <c r="BL76" i="20" s="1"/>
  <c r="BM76" i="20" s="1"/>
  <c r="BN76" i="20" s="1"/>
  <c r="BO76" i="20" s="1"/>
  <c r="BP76" i="20" s="1"/>
  <c r="BQ76" i="20" s="1"/>
  <c r="BR76" i="20" s="1"/>
  <c r="BS76" i="20" s="1"/>
  <c r="BT76" i="20" s="1"/>
  <c r="BU76" i="20" s="1"/>
  <c r="BV76" i="20" s="1"/>
  <c r="BW76" i="20" s="1"/>
  <c r="BX76" i="20" s="1"/>
  <c r="BY76" i="20" s="1"/>
  <c r="BZ76" i="20" s="1"/>
  <c r="CA76" i="20" s="1"/>
  <c r="CB76" i="20" s="1"/>
  <c r="CC76" i="20" s="1"/>
  <c r="CD76" i="20" s="1"/>
  <c r="CE76" i="20" s="1"/>
  <c r="CF76" i="20" s="1"/>
  <c r="CG76" i="20" s="1"/>
  <c r="CH76" i="20" s="1"/>
  <c r="CI76" i="20" s="1"/>
  <c r="CJ76" i="20" s="1"/>
  <c r="CK76" i="20" s="1"/>
  <c r="CL76" i="20" s="1"/>
  <c r="CM76" i="20" s="1"/>
  <c r="CN76" i="20" s="1"/>
  <c r="CO76" i="20" s="1"/>
  <c r="CP76" i="20" s="1"/>
  <c r="CQ76" i="20" s="1"/>
  <c r="CR76" i="20" s="1"/>
  <c r="CS76" i="20" s="1"/>
  <c r="CT76" i="20" s="1"/>
  <c r="CU76" i="20" s="1"/>
  <c r="CV76" i="20" s="1"/>
  <c r="CW76" i="20" s="1"/>
  <c r="CX76" i="20" s="1"/>
  <c r="CY76" i="20" s="1"/>
  <c r="CZ76" i="20" s="1"/>
  <c r="DA76" i="20" s="1"/>
  <c r="DB76" i="20" s="1"/>
  <c r="DC76" i="20" s="1"/>
  <c r="DD76" i="20" s="1"/>
  <c r="DE76" i="20" s="1"/>
  <c r="DF76" i="20" s="1"/>
  <c r="DG76" i="20" s="1"/>
  <c r="DH76" i="20" s="1"/>
  <c r="DI76" i="20" s="1"/>
  <c r="DJ76" i="20" s="1"/>
  <c r="DK76" i="20" s="1"/>
  <c r="DL76" i="20" s="1"/>
  <c r="DM76" i="20" s="1"/>
  <c r="DN76" i="20" s="1"/>
  <c r="DO76" i="20" s="1"/>
  <c r="DP76" i="20" s="1"/>
  <c r="A77" i="20" s="1"/>
  <c r="B77" i="20" s="1"/>
  <c r="C77" i="20" s="1"/>
  <c r="D77" i="20" s="1"/>
  <c r="E77" i="20" s="1"/>
  <c r="F77" i="20" s="1"/>
  <c r="G77" i="20" s="1"/>
  <c r="H77" i="20" s="1"/>
  <c r="I77" i="20" s="1"/>
  <c r="J77" i="20" s="1"/>
  <c r="K77" i="20" s="1"/>
  <c r="L77" i="20" s="1"/>
  <c r="M77" i="20" s="1"/>
  <c r="N77" i="20" s="1"/>
  <c r="O77" i="20" s="1"/>
  <c r="P77" i="20" s="1"/>
  <c r="Q77" i="20" s="1"/>
  <c r="R77" i="20" s="1"/>
  <c r="S77" i="20" s="1"/>
  <c r="T77" i="20" s="1"/>
  <c r="U77" i="20" s="1"/>
  <c r="V77" i="20" s="1"/>
  <c r="W77" i="20" s="1"/>
  <c r="X77" i="20" s="1"/>
  <c r="Y77" i="20" s="1"/>
  <c r="Z77" i="20" s="1"/>
  <c r="AA77" i="20" s="1"/>
  <c r="AB77" i="20" s="1"/>
  <c r="AC77" i="20" s="1"/>
  <c r="AD77" i="20" s="1"/>
  <c r="AE77" i="20" s="1"/>
  <c r="AF77" i="20" s="1"/>
  <c r="AG77" i="20" s="1"/>
  <c r="AH77" i="20" s="1"/>
  <c r="AI77" i="20" s="1"/>
  <c r="AJ77" i="20" s="1"/>
  <c r="AK77" i="20" s="1"/>
  <c r="AL77" i="20" s="1"/>
  <c r="AM77" i="20" s="1"/>
  <c r="AN77" i="20" s="1"/>
  <c r="AO77" i="20" s="1"/>
  <c r="AP77" i="20" s="1"/>
  <c r="AQ77" i="20" s="1"/>
  <c r="AR77" i="20" s="1"/>
  <c r="AS77" i="20" s="1"/>
  <c r="AT77" i="20" s="1"/>
  <c r="AU77" i="20" s="1"/>
  <c r="AV77" i="20" s="1"/>
  <c r="AW77" i="20" s="1"/>
  <c r="AX77" i="20" s="1"/>
  <c r="AY77" i="20" s="1"/>
  <c r="AZ77" i="20" s="1"/>
  <c r="BA77" i="20" s="1"/>
  <c r="BB77" i="20" s="1"/>
  <c r="BC77" i="20" s="1"/>
  <c r="BD77" i="20" s="1"/>
  <c r="BE77" i="20" s="1"/>
  <c r="BF77" i="20" s="1"/>
  <c r="BG77" i="20" s="1"/>
  <c r="BH77" i="20" s="1"/>
  <c r="BI77" i="20" s="1"/>
  <c r="BJ77" i="20" s="1"/>
  <c r="BK77" i="20" s="1"/>
  <c r="BL77" i="20" s="1"/>
  <c r="BM77" i="20" s="1"/>
  <c r="BN77" i="20" s="1"/>
  <c r="BO77" i="20" s="1"/>
  <c r="BP77" i="20" s="1"/>
  <c r="BQ77" i="20" s="1"/>
  <c r="BR77" i="20" s="1"/>
  <c r="BS77" i="20" s="1"/>
  <c r="BT77" i="20" s="1"/>
  <c r="BU77" i="20" s="1"/>
  <c r="BV77" i="20" s="1"/>
  <c r="BW77" i="20" s="1"/>
  <c r="BX77" i="20" s="1"/>
  <c r="BY77" i="20" s="1"/>
  <c r="BZ77" i="20" s="1"/>
  <c r="CA77" i="20" s="1"/>
  <c r="CB77" i="20" s="1"/>
  <c r="CC77" i="20" s="1"/>
  <c r="CD77" i="20" s="1"/>
  <c r="CE77" i="20" s="1"/>
  <c r="CF77" i="20" s="1"/>
  <c r="CG77" i="20" s="1"/>
  <c r="CH77" i="20" s="1"/>
  <c r="CI77" i="20" s="1"/>
  <c r="CJ77" i="20" s="1"/>
  <c r="CK77" i="20" s="1"/>
  <c r="CL77" i="20" s="1"/>
  <c r="CM77" i="20" s="1"/>
  <c r="CN77" i="20" s="1"/>
  <c r="CO77" i="20" s="1"/>
  <c r="CP77" i="20" s="1"/>
  <c r="CQ77" i="20" s="1"/>
  <c r="CR77" i="20" s="1"/>
  <c r="CS77" i="20" s="1"/>
  <c r="CT77" i="20" s="1"/>
  <c r="CU77" i="20" s="1"/>
  <c r="CV77" i="20" s="1"/>
  <c r="CW77" i="20" s="1"/>
  <c r="CX77" i="20" s="1"/>
  <c r="CY77" i="20" s="1"/>
  <c r="CZ77" i="20" s="1"/>
  <c r="DA77" i="20" s="1"/>
  <c r="DB77" i="20" s="1"/>
  <c r="DC77" i="20" s="1"/>
  <c r="DD77" i="20" s="1"/>
  <c r="DE77" i="20" s="1"/>
  <c r="DF77" i="20" s="1"/>
  <c r="DG77" i="20" s="1"/>
  <c r="DH77" i="20" s="1"/>
  <c r="DI77" i="20" s="1"/>
  <c r="DJ77" i="20" s="1"/>
  <c r="DK77" i="20" s="1"/>
  <c r="DL77" i="20" s="1"/>
  <c r="DM77" i="20" s="1"/>
  <c r="DN77" i="20" s="1"/>
  <c r="DO77" i="20" s="1"/>
  <c r="DP77" i="20" s="1"/>
  <c r="A78" i="20" s="1"/>
  <c r="B78" i="20" s="1"/>
  <c r="C78" i="20" s="1"/>
  <c r="D78" i="20" s="1"/>
  <c r="E78" i="20" s="1"/>
  <c r="F78" i="20" s="1"/>
  <c r="G78" i="20" s="1"/>
  <c r="H78" i="20" s="1"/>
  <c r="I78" i="20" s="1"/>
  <c r="J78" i="20" s="1"/>
  <c r="K78" i="20" s="1"/>
  <c r="L78" i="20" s="1"/>
  <c r="M78" i="20" s="1"/>
  <c r="N78" i="20" s="1"/>
  <c r="O78" i="20" s="1"/>
  <c r="P78" i="20" s="1"/>
  <c r="Q78" i="20" s="1"/>
  <c r="R78" i="20" s="1"/>
  <c r="S78" i="20" s="1"/>
  <c r="T78" i="20" s="1"/>
  <c r="U78" i="20" s="1"/>
  <c r="V78" i="20" s="1"/>
  <c r="W78" i="20" s="1"/>
  <c r="X78" i="20" s="1"/>
  <c r="Y78" i="20" s="1"/>
  <c r="Z78" i="20" s="1"/>
  <c r="AA78" i="20" s="1"/>
  <c r="AB78" i="20" s="1"/>
  <c r="AC78" i="20" s="1"/>
  <c r="AD78" i="20" s="1"/>
  <c r="AE78" i="20" s="1"/>
  <c r="AF78" i="20" s="1"/>
  <c r="AG78" i="20" s="1"/>
  <c r="AH78" i="20" s="1"/>
  <c r="AI78" i="20" s="1"/>
  <c r="AJ78" i="20" s="1"/>
  <c r="AK78" i="20" s="1"/>
  <c r="AL78" i="20" s="1"/>
  <c r="AM78" i="20" s="1"/>
  <c r="AN78" i="20" s="1"/>
  <c r="AO78" i="20" s="1"/>
  <c r="AP78" i="20" s="1"/>
  <c r="AQ78" i="20" s="1"/>
  <c r="AR78" i="20" s="1"/>
  <c r="AS78" i="20" s="1"/>
  <c r="AT78" i="20" s="1"/>
  <c r="AU78" i="20" s="1"/>
  <c r="AV78" i="20" s="1"/>
  <c r="AW78" i="20" s="1"/>
  <c r="AX78" i="20" s="1"/>
  <c r="AY78" i="20" s="1"/>
  <c r="AZ78" i="20" s="1"/>
  <c r="BA78" i="20" s="1"/>
  <c r="BB78" i="20" s="1"/>
  <c r="BC78" i="20" s="1"/>
  <c r="BD78" i="20" s="1"/>
  <c r="BE78" i="20" s="1"/>
  <c r="BF78" i="20" s="1"/>
  <c r="BG78" i="20" s="1"/>
  <c r="BH78" i="20" s="1"/>
  <c r="BI78" i="20" s="1"/>
  <c r="BJ78" i="20" s="1"/>
  <c r="BK78" i="20" s="1"/>
  <c r="BL78" i="20" s="1"/>
  <c r="BM78" i="20" s="1"/>
  <c r="BN78" i="20" s="1"/>
  <c r="BO78" i="20" s="1"/>
  <c r="BP78" i="20" s="1"/>
  <c r="BQ78" i="20" s="1"/>
  <c r="BR78" i="20" s="1"/>
  <c r="BS78" i="20" s="1"/>
  <c r="BT78" i="20" s="1"/>
  <c r="BU78" i="20" s="1"/>
  <c r="BV78" i="20" s="1"/>
  <c r="BW78" i="20" s="1"/>
  <c r="BX78" i="20" s="1"/>
  <c r="BY78" i="20" s="1"/>
  <c r="BZ78" i="20" s="1"/>
  <c r="CA78" i="20" s="1"/>
  <c r="CB78" i="20" s="1"/>
  <c r="CC78" i="20" s="1"/>
  <c r="CD78" i="20" s="1"/>
  <c r="CE78" i="20" s="1"/>
  <c r="CF78" i="20" s="1"/>
  <c r="CG78" i="20" s="1"/>
  <c r="CH78" i="20" s="1"/>
  <c r="CI78" i="20" s="1"/>
  <c r="CJ78" i="20" s="1"/>
  <c r="CK78" i="20" s="1"/>
  <c r="CL78" i="20" s="1"/>
  <c r="CM78" i="20" s="1"/>
  <c r="CN78" i="20" s="1"/>
  <c r="CO78" i="20" s="1"/>
  <c r="CP78" i="20" s="1"/>
  <c r="CQ78" i="20" s="1"/>
  <c r="CR78" i="20" s="1"/>
  <c r="CS78" i="20" s="1"/>
  <c r="CT78" i="20" s="1"/>
  <c r="CU78" i="20" s="1"/>
  <c r="CV78" i="20" s="1"/>
  <c r="CW78" i="20" s="1"/>
  <c r="CX78" i="20" s="1"/>
  <c r="CY78" i="20" s="1"/>
  <c r="CZ78" i="20" s="1"/>
  <c r="DA78" i="20" s="1"/>
  <c r="DB78" i="20" s="1"/>
  <c r="DC78" i="20" s="1"/>
  <c r="DD78" i="20" s="1"/>
  <c r="DE78" i="20" s="1"/>
  <c r="DF78" i="20" s="1"/>
  <c r="DG78" i="20" s="1"/>
  <c r="DH78" i="20" s="1"/>
  <c r="DI78" i="20" s="1"/>
  <c r="DJ78" i="20" s="1"/>
  <c r="DK78" i="20" s="1"/>
  <c r="DL78" i="20" s="1"/>
  <c r="DM78" i="20" s="1"/>
  <c r="DN78" i="20" s="1"/>
  <c r="DO78" i="20" s="1"/>
  <c r="DP78" i="20" s="1"/>
  <c r="A79" i="20" s="1"/>
  <c r="B79" i="20" s="1"/>
  <c r="C79" i="20" s="1"/>
  <c r="D79" i="20" s="1"/>
  <c r="E79" i="20" s="1"/>
  <c r="F79" i="20" s="1"/>
  <c r="G79" i="20" s="1"/>
  <c r="H79" i="20" s="1"/>
  <c r="I79" i="20" s="1"/>
  <c r="J79" i="20" s="1"/>
  <c r="K79" i="20" s="1"/>
  <c r="L79" i="20" s="1"/>
  <c r="M79" i="20" s="1"/>
  <c r="N79" i="20" s="1"/>
  <c r="O79" i="20" s="1"/>
  <c r="P79" i="20" s="1"/>
  <c r="Q79" i="20" s="1"/>
  <c r="R79" i="20" s="1"/>
  <c r="S79" i="20" s="1"/>
  <c r="T79" i="20" s="1"/>
  <c r="U79" i="20" s="1"/>
  <c r="V79" i="20" s="1"/>
  <c r="W79" i="20" s="1"/>
  <c r="X79" i="20" s="1"/>
  <c r="Y79" i="20" s="1"/>
  <c r="Z79" i="20" s="1"/>
  <c r="AA79" i="20" s="1"/>
  <c r="AB79" i="20" s="1"/>
  <c r="AC79" i="20" s="1"/>
  <c r="AD79" i="20" s="1"/>
  <c r="AE79" i="20" s="1"/>
  <c r="AF79" i="20" s="1"/>
  <c r="AG79" i="20" s="1"/>
  <c r="AH79" i="20" s="1"/>
  <c r="AI79" i="20" s="1"/>
  <c r="AJ79" i="20" s="1"/>
  <c r="AK79" i="20" s="1"/>
  <c r="AL79" i="20" s="1"/>
  <c r="AM79" i="20" s="1"/>
  <c r="AN79" i="20" s="1"/>
  <c r="AO79" i="20" s="1"/>
  <c r="AP79" i="20" s="1"/>
  <c r="AQ79" i="20" s="1"/>
  <c r="AR79" i="20" s="1"/>
  <c r="AS79" i="20" s="1"/>
  <c r="AT79" i="20" s="1"/>
  <c r="AU79" i="20" s="1"/>
  <c r="AV79" i="20" s="1"/>
  <c r="AW79" i="20" s="1"/>
  <c r="AX79" i="20" s="1"/>
  <c r="AY79" i="20" s="1"/>
  <c r="AZ79" i="20" s="1"/>
  <c r="BA79" i="20" s="1"/>
  <c r="BB79" i="20" s="1"/>
  <c r="BC79" i="20" s="1"/>
  <c r="BD79" i="20" s="1"/>
  <c r="BE79" i="20" s="1"/>
  <c r="BF79" i="20" s="1"/>
  <c r="BG79" i="20" s="1"/>
  <c r="BH79" i="20" s="1"/>
  <c r="BI79" i="20" s="1"/>
  <c r="BJ79" i="20" s="1"/>
  <c r="BK79" i="20" s="1"/>
  <c r="BL79" i="20" s="1"/>
  <c r="BM79" i="20" s="1"/>
  <c r="BN79" i="20" s="1"/>
  <c r="BO79" i="20" s="1"/>
  <c r="BP79" i="20" s="1"/>
  <c r="BQ79" i="20" s="1"/>
  <c r="BR79" i="20" s="1"/>
  <c r="BS79" i="20" s="1"/>
  <c r="BT79" i="20" s="1"/>
  <c r="BU79" i="20" s="1"/>
  <c r="BV79" i="20" s="1"/>
  <c r="BW79" i="20" s="1"/>
  <c r="BX79" i="20" s="1"/>
  <c r="BY79" i="20" s="1"/>
  <c r="BZ79" i="20" s="1"/>
  <c r="CA79" i="20" s="1"/>
  <c r="CB79" i="20" s="1"/>
  <c r="CC79" i="20" s="1"/>
  <c r="CD79" i="20" s="1"/>
  <c r="CE79" i="20" s="1"/>
  <c r="CF79" i="20" s="1"/>
  <c r="CG79" i="20" s="1"/>
  <c r="CH79" i="20" s="1"/>
  <c r="CI79" i="20" s="1"/>
  <c r="CJ79" i="20" s="1"/>
  <c r="CK79" i="20" s="1"/>
  <c r="CL79" i="20" s="1"/>
  <c r="CM79" i="20" s="1"/>
  <c r="CN79" i="20" s="1"/>
  <c r="CO79" i="20" s="1"/>
  <c r="CP79" i="20" s="1"/>
  <c r="CQ79" i="20" s="1"/>
  <c r="CR79" i="20" s="1"/>
  <c r="CS79" i="20" s="1"/>
  <c r="CT79" i="20" s="1"/>
  <c r="CU79" i="20" s="1"/>
  <c r="CV79" i="20" s="1"/>
  <c r="CW79" i="20" s="1"/>
  <c r="CX79" i="20" s="1"/>
  <c r="CY79" i="20" s="1"/>
  <c r="CZ79" i="20" s="1"/>
  <c r="DA79" i="20" s="1"/>
  <c r="DB79" i="20" s="1"/>
  <c r="DC79" i="20" s="1"/>
  <c r="DD79" i="20" s="1"/>
  <c r="DE79" i="20" s="1"/>
  <c r="DF79" i="20" s="1"/>
  <c r="DG79" i="20" s="1"/>
  <c r="DH79" i="20" s="1"/>
  <c r="DI79" i="20" s="1"/>
  <c r="DJ79" i="20" s="1"/>
  <c r="DK79" i="20" s="1"/>
  <c r="DL79" i="20" s="1"/>
  <c r="DM79" i="20" s="1"/>
  <c r="DN79" i="20" s="1"/>
  <c r="DO79" i="20" s="1"/>
  <c r="DP79" i="20" s="1"/>
  <c r="A80" i="20" s="1"/>
  <c r="B80" i="20" s="1"/>
  <c r="C80" i="20" s="1"/>
  <c r="D80" i="20" s="1"/>
  <c r="E80" i="20" s="1"/>
  <c r="F80" i="20" s="1"/>
  <c r="G80" i="20" s="1"/>
  <c r="H80" i="20" s="1"/>
  <c r="I80" i="20" s="1"/>
  <c r="J80" i="20" s="1"/>
  <c r="K80" i="20" s="1"/>
  <c r="L80" i="20" s="1"/>
  <c r="M80" i="20" s="1"/>
  <c r="N80" i="20" s="1"/>
  <c r="O80" i="20" s="1"/>
  <c r="P80" i="20" s="1"/>
  <c r="Q80" i="20" s="1"/>
  <c r="R80" i="20" s="1"/>
  <c r="S80" i="20" s="1"/>
  <c r="T80" i="20" s="1"/>
  <c r="U80" i="20" s="1"/>
  <c r="V80" i="20" s="1"/>
  <c r="W80" i="20" s="1"/>
  <c r="X80" i="20" s="1"/>
  <c r="Y80" i="20" s="1"/>
  <c r="Z80" i="20" s="1"/>
  <c r="AA80" i="20" s="1"/>
  <c r="AB80" i="20" s="1"/>
  <c r="AC80" i="20" s="1"/>
  <c r="AD80" i="20" s="1"/>
  <c r="AE80" i="20" s="1"/>
  <c r="AF80" i="20" s="1"/>
  <c r="AG80" i="20" s="1"/>
  <c r="AH80" i="20" s="1"/>
  <c r="AI80" i="20" s="1"/>
  <c r="AJ80" i="20" s="1"/>
  <c r="AK80" i="20" s="1"/>
  <c r="AL80" i="20" s="1"/>
  <c r="AM80" i="20" s="1"/>
  <c r="AN80" i="20" s="1"/>
  <c r="AO80" i="20" s="1"/>
  <c r="AP80" i="20" s="1"/>
  <c r="AQ80" i="20" s="1"/>
  <c r="AR80" i="20" s="1"/>
  <c r="AS80" i="20" s="1"/>
  <c r="AT80" i="20" s="1"/>
  <c r="AU80" i="20" s="1"/>
  <c r="AV80" i="20" s="1"/>
  <c r="AW80" i="20" s="1"/>
  <c r="AX80" i="20" s="1"/>
  <c r="AY80" i="20" s="1"/>
  <c r="AZ80" i="20" s="1"/>
  <c r="BA80" i="20" s="1"/>
  <c r="BB80" i="20" s="1"/>
  <c r="BC80" i="20" s="1"/>
  <c r="BD80" i="20" s="1"/>
  <c r="BE80" i="20" s="1"/>
  <c r="BF80" i="20" s="1"/>
  <c r="BG80" i="20" s="1"/>
  <c r="BH80" i="20" s="1"/>
  <c r="BI80" i="20" s="1"/>
  <c r="BJ80" i="20" s="1"/>
  <c r="BK80" i="20" s="1"/>
  <c r="BL80" i="20" s="1"/>
  <c r="BM80" i="20" s="1"/>
  <c r="BN80" i="20" s="1"/>
  <c r="BO80" i="20" s="1"/>
  <c r="BP80" i="20" s="1"/>
  <c r="BQ80" i="20" s="1"/>
  <c r="BR80" i="20" s="1"/>
  <c r="BS80" i="20" s="1"/>
  <c r="BT80" i="20" s="1"/>
  <c r="BU80" i="20" s="1"/>
  <c r="BV80" i="20" s="1"/>
  <c r="BW80" i="20" s="1"/>
  <c r="BX80" i="20" s="1"/>
  <c r="BY80" i="20" s="1"/>
  <c r="BZ80" i="20" s="1"/>
  <c r="CA80" i="20" s="1"/>
  <c r="CB80" i="20" s="1"/>
  <c r="CC80" i="20" s="1"/>
  <c r="CD80" i="20" s="1"/>
  <c r="CE80" i="20" s="1"/>
  <c r="CF80" i="20" s="1"/>
  <c r="CG80" i="20" s="1"/>
  <c r="CH80" i="20" s="1"/>
  <c r="CI80" i="20" s="1"/>
  <c r="CJ80" i="20" s="1"/>
  <c r="CK80" i="20" s="1"/>
  <c r="CL80" i="20" s="1"/>
  <c r="CM80" i="20" s="1"/>
  <c r="CN80" i="20" s="1"/>
  <c r="CO80" i="20" s="1"/>
  <c r="CP80" i="20" s="1"/>
  <c r="CQ80" i="20" s="1"/>
  <c r="CR80" i="20" s="1"/>
  <c r="CS80" i="20" s="1"/>
  <c r="CT80" i="20" s="1"/>
  <c r="CU80" i="20" s="1"/>
  <c r="CV80" i="20" s="1"/>
  <c r="CW80" i="20" s="1"/>
  <c r="CX80" i="20" s="1"/>
  <c r="CY80" i="20" s="1"/>
  <c r="CZ80" i="20" s="1"/>
  <c r="DA80" i="20" s="1"/>
  <c r="DB80" i="20" s="1"/>
  <c r="DC80" i="20" s="1"/>
  <c r="DD80" i="20" s="1"/>
  <c r="DE80" i="20" s="1"/>
  <c r="DF80" i="20" s="1"/>
  <c r="DG80" i="20" s="1"/>
  <c r="DH80" i="20" s="1"/>
  <c r="DI80" i="20" s="1"/>
  <c r="DJ80" i="20" s="1"/>
  <c r="DK80" i="20" s="1"/>
  <c r="DL80" i="20" s="1"/>
  <c r="DM80" i="20" s="1"/>
  <c r="DN80" i="20" s="1"/>
  <c r="DO80" i="20" s="1"/>
  <c r="DP80" i="20" s="1"/>
  <c r="A81" i="20" s="1"/>
  <c r="B81" i="20" s="1"/>
  <c r="C81" i="20" s="1"/>
  <c r="D81" i="20" s="1"/>
  <c r="E81" i="20" s="1"/>
  <c r="F81" i="20" s="1"/>
  <c r="G81" i="20" s="1"/>
  <c r="H81" i="20" s="1"/>
  <c r="I81" i="20" s="1"/>
  <c r="J81" i="20" s="1"/>
  <c r="K81" i="20" s="1"/>
  <c r="L81" i="20" s="1"/>
  <c r="M81" i="20" s="1"/>
  <c r="N81" i="20" s="1"/>
  <c r="O81" i="20" s="1"/>
  <c r="P81" i="20" s="1"/>
  <c r="Q81" i="20" s="1"/>
  <c r="R81" i="20" s="1"/>
  <c r="S81" i="20" s="1"/>
  <c r="T81" i="20" s="1"/>
  <c r="U81" i="20" s="1"/>
  <c r="V81" i="20" s="1"/>
  <c r="W81" i="20" s="1"/>
  <c r="X81" i="20" s="1"/>
  <c r="Y81" i="20" s="1"/>
  <c r="Z81" i="20" s="1"/>
  <c r="AA81" i="20" s="1"/>
  <c r="AB81" i="20" s="1"/>
  <c r="AC81" i="20" s="1"/>
  <c r="AD81" i="20" s="1"/>
  <c r="AE81" i="20" s="1"/>
  <c r="AF81" i="20" s="1"/>
  <c r="AG81" i="20" s="1"/>
  <c r="AH81" i="20" s="1"/>
  <c r="AI81" i="20" s="1"/>
  <c r="AJ81" i="20" s="1"/>
  <c r="AK81" i="20" s="1"/>
  <c r="AL81" i="20" s="1"/>
  <c r="AM81" i="20" s="1"/>
  <c r="AN81" i="20" s="1"/>
  <c r="AO81" i="20" s="1"/>
  <c r="AP81" i="20" s="1"/>
  <c r="AQ81" i="20" s="1"/>
  <c r="AR81" i="20" s="1"/>
  <c r="AS81" i="20" s="1"/>
  <c r="AT81" i="20" s="1"/>
  <c r="AU81" i="20" s="1"/>
  <c r="AV81" i="20" s="1"/>
  <c r="AW81" i="20" s="1"/>
  <c r="AX81" i="20" s="1"/>
  <c r="AY81" i="20" s="1"/>
  <c r="AZ81" i="20" s="1"/>
  <c r="BA81" i="20" s="1"/>
  <c r="BB81" i="20" s="1"/>
  <c r="BC81" i="20" s="1"/>
  <c r="BD81" i="20" s="1"/>
  <c r="BE81" i="20" s="1"/>
  <c r="BF81" i="20" s="1"/>
  <c r="BG81" i="20" s="1"/>
  <c r="BH81" i="20" s="1"/>
  <c r="BI81" i="20" s="1"/>
  <c r="BJ81" i="20" s="1"/>
  <c r="BK81" i="20" s="1"/>
  <c r="BL81" i="20" s="1"/>
  <c r="BM81" i="20" s="1"/>
  <c r="BN81" i="20" s="1"/>
  <c r="BO81" i="20" s="1"/>
  <c r="BP81" i="20" s="1"/>
  <c r="BQ81" i="20" s="1"/>
  <c r="BR81" i="20" s="1"/>
  <c r="BS81" i="20" s="1"/>
  <c r="BT81" i="20" s="1"/>
  <c r="BU81" i="20" s="1"/>
  <c r="BV81" i="20" s="1"/>
  <c r="BW81" i="20" s="1"/>
  <c r="BX81" i="20" s="1"/>
  <c r="BY81" i="20" s="1"/>
  <c r="BZ81" i="20" s="1"/>
  <c r="CA81" i="20" s="1"/>
  <c r="CB81" i="20" s="1"/>
  <c r="CC81" i="20" s="1"/>
  <c r="CD81" i="20" s="1"/>
  <c r="CE81" i="20" s="1"/>
  <c r="CF81" i="20" s="1"/>
  <c r="CG81" i="20" s="1"/>
  <c r="CH81" i="20" s="1"/>
  <c r="CI81" i="20" s="1"/>
  <c r="CJ81" i="20" s="1"/>
  <c r="CK81" i="20" s="1"/>
  <c r="CL81" i="20" s="1"/>
  <c r="CM81" i="20" s="1"/>
  <c r="CN81" i="20" s="1"/>
  <c r="CO81" i="20" s="1"/>
  <c r="CP81" i="20" s="1"/>
  <c r="CQ81" i="20" s="1"/>
  <c r="CR81" i="20" s="1"/>
  <c r="CS81" i="20" s="1"/>
  <c r="CT81" i="20" s="1"/>
  <c r="CU81" i="20" s="1"/>
  <c r="CV81" i="20" s="1"/>
  <c r="CW81" i="20" s="1"/>
  <c r="CX81" i="20" s="1"/>
  <c r="CY81" i="20" s="1"/>
  <c r="CZ81" i="20" s="1"/>
  <c r="DA81" i="20" s="1"/>
  <c r="DB81" i="20" s="1"/>
  <c r="DC81" i="20" s="1"/>
  <c r="DD81" i="20" s="1"/>
  <c r="DE81" i="20" s="1"/>
  <c r="DF81" i="20" s="1"/>
  <c r="DG81" i="20" s="1"/>
  <c r="DH81" i="20" s="1"/>
  <c r="DI81" i="20" s="1"/>
  <c r="DJ81" i="20" s="1"/>
  <c r="DK81" i="20" s="1"/>
  <c r="DL81" i="20" s="1"/>
  <c r="DM81" i="20" s="1"/>
  <c r="DN81" i="20" s="1"/>
  <c r="DO81" i="20" s="1"/>
  <c r="DP81" i="20" s="1"/>
  <c r="A82" i="20" s="1"/>
  <c r="B82" i="20" s="1"/>
  <c r="C82" i="20" s="1"/>
  <c r="D82" i="20" s="1"/>
  <c r="E82" i="20" s="1"/>
  <c r="F82" i="20" s="1"/>
  <c r="G82" i="20" s="1"/>
  <c r="H82" i="20" s="1"/>
  <c r="I82" i="20" s="1"/>
  <c r="J82" i="20" s="1"/>
  <c r="K82" i="20" s="1"/>
  <c r="L82" i="20" s="1"/>
  <c r="M82" i="20" s="1"/>
  <c r="N82" i="20" s="1"/>
  <c r="O82" i="20" s="1"/>
  <c r="P82" i="20" s="1"/>
  <c r="Q82" i="20" s="1"/>
  <c r="R82" i="20" s="1"/>
  <c r="S82" i="20" s="1"/>
  <c r="T82" i="20" s="1"/>
  <c r="U82" i="20" s="1"/>
  <c r="V82" i="20" s="1"/>
  <c r="W82" i="20" s="1"/>
  <c r="X82" i="20" s="1"/>
  <c r="Y82" i="20" s="1"/>
  <c r="Z82" i="20" s="1"/>
  <c r="AA82" i="20" s="1"/>
  <c r="AB82" i="20" s="1"/>
  <c r="AC82" i="20" s="1"/>
  <c r="AD82" i="20" s="1"/>
  <c r="AE82" i="20" s="1"/>
  <c r="AF82" i="20" s="1"/>
  <c r="AG82" i="20" s="1"/>
  <c r="AH82" i="20" s="1"/>
  <c r="AI82" i="20" s="1"/>
  <c r="AJ82" i="20" s="1"/>
  <c r="AK82" i="20" s="1"/>
  <c r="AL82" i="20" s="1"/>
  <c r="AM82" i="20" s="1"/>
  <c r="AN82" i="20" s="1"/>
  <c r="AO82" i="20" s="1"/>
  <c r="AP82" i="20" s="1"/>
  <c r="AQ82" i="20" s="1"/>
  <c r="AR82" i="20" s="1"/>
  <c r="AS82" i="20" s="1"/>
  <c r="AT82" i="20" s="1"/>
  <c r="AU82" i="20" s="1"/>
  <c r="AV82" i="20" s="1"/>
  <c r="AW82" i="20" s="1"/>
  <c r="AX82" i="20" s="1"/>
  <c r="AY82" i="20" s="1"/>
  <c r="AZ82" i="20" s="1"/>
  <c r="BA82" i="20" s="1"/>
  <c r="BB82" i="20" s="1"/>
  <c r="BC82" i="20" s="1"/>
  <c r="BD82" i="20" s="1"/>
  <c r="BE82" i="20" s="1"/>
  <c r="BF82" i="20" s="1"/>
  <c r="BG82" i="20" s="1"/>
  <c r="BH82" i="20" s="1"/>
  <c r="BI82" i="20" s="1"/>
  <c r="BJ82" i="20" s="1"/>
  <c r="BK82" i="20" s="1"/>
  <c r="BL82" i="20" s="1"/>
  <c r="BM82" i="20" s="1"/>
  <c r="BN82" i="20" s="1"/>
  <c r="BO82" i="20" s="1"/>
  <c r="BP82" i="20" s="1"/>
  <c r="BQ82" i="20" s="1"/>
  <c r="BR82" i="20" s="1"/>
  <c r="BS82" i="20" s="1"/>
  <c r="BT82" i="20" s="1"/>
  <c r="BU82" i="20" s="1"/>
  <c r="BV82" i="20" s="1"/>
  <c r="BW82" i="20" s="1"/>
  <c r="BX82" i="20" s="1"/>
  <c r="BY82" i="20" s="1"/>
  <c r="BZ82" i="20" s="1"/>
  <c r="CA82" i="20" s="1"/>
  <c r="CB82" i="20" s="1"/>
  <c r="CC82" i="20" s="1"/>
  <c r="CD82" i="20" s="1"/>
  <c r="CE82" i="20" s="1"/>
  <c r="CF82" i="20" s="1"/>
  <c r="CG82" i="20" s="1"/>
  <c r="CH82" i="20" s="1"/>
  <c r="CI82" i="20" s="1"/>
  <c r="CJ82" i="20" s="1"/>
  <c r="CK82" i="20" s="1"/>
  <c r="CL82" i="20" s="1"/>
  <c r="CM82" i="20" s="1"/>
  <c r="CN82" i="20" s="1"/>
  <c r="CO82" i="20" s="1"/>
  <c r="CP82" i="20" s="1"/>
  <c r="CQ82" i="20" s="1"/>
  <c r="CR82" i="20" s="1"/>
  <c r="CS82" i="20" s="1"/>
  <c r="CT82" i="20" s="1"/>
  <c r="CU82" i="20" s="1"/>
  <c r="CV82" i="20" s="1"/>
  <c r="CW82" i="20" s="1"/>
  <c r="CX82" i="20" s="1"/>
  <c r="CY82" i="20" s="1"/>
  <c r="CZ82" i="20" s="1"/>
  <c r="DA82" i="20" s="1"/>
  <c r="DB82" i="20" s="1"/>
  <c r="DC82" i="20" s="1"/>
  <c r="DD82" i="20" s="1"/>
  <c r="DE82" i="20" s="1"/>
  <c r="DF82" i="20" s="1"/>
  <c r="DG82" i="20" s="1"/>
  <c r="DH82" i="20" s="1"/>
  <c r="DI82" i="20" s="1"/>
  <c r="DJ82" i="20" s="1"/>
  <c r="DK82" i="20" s="1"/>
  <c r="DL82" i="20" s="1"/>
  <c r="DM82" i="20" s="1"/>
  <c r="DN82" i="20" s="1"/>
  <c r="DO82" i="20" s="1"/>
  <c r="DP82" i="20" s="1"/>
  <c r="A83" i="20" s="1"/>
  <c r="B83" i="20" s="1"/>
  <c r="C83" i="20" s="1"/>
  <c r="D83" i="20" s="1"/>
  <c r="E83" i="20" s="1"/>
  <c r="F83" i="20" s="1"/>
  <c r="G83" i="20" s="1"/>
  <c r="H83" i="20" s="1"/>
  <c r="I83" i="20" s="1"/>
  <c r="J83" i="20" s="1"/>
  <c r="K83" i="20" s="1"/>
  <c r="L83" i="20" s="1"/>
  <c r="M83" i="20" s="1"/>
  <c r="N83" i="20" s="1"/>
  <c r="O83" i="20" s="1"/>
  <c r="P83" i="20" s="1"/>
  <c r="Q83" i="20" s="1"/>
  <c r="R83" i="20" s="1"/>
  <c r="S83" i="20" s="1"/>
  <c r="T83" i="20" s="1"/>
  <c r="U83" i="20" s="1"/>
  <c r="V83" i="20" s="1"/>
  <c r="W83" i="20" s="1"/>
  <c r="X83" i="20" s="1"/>
  <c r="Y83" i="20" s="1"/>
  <c r="Z83" i="20" s="1"/>
  <c r="AA83" i="20" s="1"/>
  <c r="AB83" i="20" s="1"/>
  <c r="AC83" i="20" s="1"/>
  <c r="AD83" i="20" s="1"/>
  <c r="AE83" i="20" s="1"/>
  <c r="AF83" i="20" s="1"/>
  <c r="AG83" i="20" s="1"/>
  <c r="AH83" i="20" s="1"/>
  <c r="AI83" i="20" s="1"/>
  <c r="AJ83" i="20" s="1"/>
  <c r="AK83" i="20" s="1"/>
  <c r="AL83" i="20" s="1"/>
  <c r="AM83" i="20" s="1"/>
  <c r="AN83" i="20" s="1"/>
  <c r="AO83" i="20" s="1"/>
  <c r="AP83" i="20" s="1"/>
  <c r="AQ83" i="20" s="1"/>
  <c r="AR83" i="20" s="1"/>
  <c r="AS83" i="20" s="1"/>
  <c r="AT83" i="20" s="1"/>
  <c r="AU83" i="20" s="1"/>
  <c r="AV83" i="20" s="1"/>
  <c r="AW83" i="20" s="1"/>
  <c r="AX83" i="20" s="1"/>
  <c r="AY83" i="20" s="1"/>
  <c r="AZ83" i="20" s="1"/>
  <c r="BA83" i="20" s="1"/>
  <c r="BB83" i="20" s="1"/>
  <c r="BC83" i="20" s="1"/>
  <c r="BD83" i="20" s="1"/>
  <c r="BE83" i="20" s="1"/>
  <c r="BF83" i="20" s="1"/>
  <c r="BG83" i="20" s="1"/>
  <c r="BH83" i="20" s="1"/>
  <c r="BI83" i="20" s="1"/>
  <c r="BJ83" i="20" s="1"/>
  <c r="BK83" i="20" s="1"/>
  <c r="BL83" i="20" s="1"/>
  <c r="BM83" i="20" s="1"/>
  <c r="BN83" i="20" s="1"/>
  <c r="BO83" i="20" s="1"/>
  <c r="BP83" i="20" s="1"/>
  <c r="BQ83" i="20" s="1"/>
  <c r="BR83" i="20" s="1"/>
  <c r="BS83" i="20" s="1"/>
  <c r="BT83" i="20" s="1"/>
  <c r="BU83" i="20" s="1"/>
  <c r="BV83" i="20" s="1"/>
  <c r="BW83" i="20" s="1"/>
  <c r="BX83" i="20" s="1"/>
  <c r="BY83" i="20" s="1"/>
  <c r="BZ83" i="20" s="1"/>
  <c r="CA83" i="20" s="1"/>
  <c r="CB83" i="20" s="1"/>
  <c r="CC83" i="20" s="1"/>
  <c r="CD83" i="20" s="1"/>
  <c r="CE83" i="20" s="1"/>
  <c r="CF83" i="20" s="1"/>
  <c r="CG83" i="20" s="1"/>
  <c r="CH83" i="20" s="1"/>
  <c r="CI83" i="20" s="1"/>
  <c r="CJ83" i="20" s="1"/>
  <c r="CK83" i="20" s="1"/>
  <c r="CL83" i="20" s="1"/>
  <c r="CM83" i="20" s="1"/>
  <c r="CN83" i="20" s="1"/>
  <c r="CO83" i="20" s="1"/>
  <c r="CP83" i="20" s="1"/>
  <c r="CQ83" i="20" s="1"/>
  <c r="CR83" i="20" s="1"/>
  <c r="CS83" i="20" s="1"/>
  <c r="CT83" i="20" s="1"/>
  <c r="CU83" i="20" s="1"/>
  <c r="CV83" i="20" s="1"/>
  <c r="CW83" i="20" s="1"/>
  <c r="CX83" i="20" s="1"/>
  <c r="CY83" i="20" s="1"/>
  <c r="CZ83" i="20" s="1"/>
  <c r="DA83" i="20" s="1"/>
  <c r="DB83" i="20" s="1"/>
  <c r="DC83" i="20" s="1"/>
  <c r="DD83" i="20" s="1"/>
  <c r="DE83" i="20" s="1"/>
  <c r="DF83" i="20" s="1"/>
  <c r="DG83" i="20" s="1"/>
  <c r="DH83" i="20" s="1"/>
  <c r="DI83" i="20" s="1"/>
  <c r="DJ83" i="20" s="1"/>
  <c r="DK83" i="20" s="1"/>
  <c r="DL83" i="20" s="1"/>
  <c r="DM83" i="20" s="1"/>
  <c r="DN83" i="20" s="1"/>
  <c r="DO83" i="20" s="1"/>
  <c r="DP83" i="20" s="1"/>
  <c r="A84" i="20" s="1"/>
  <c r="B84" i="20" s="1"/>
  <c r="C84" i="20" s="1"/>
  <c r="D84" i="20" s="1"/>
  <c r="E84" i="20" s="1"/>
  <c r="F84" i="20" s="1"/>
  <c r="G84" i="20" s="1"/>
  <c r="H84" i="20" s="1"/>
  <c r="I84" i="20" s="1"/>
  <c r="J84" i="20" s="1"/>
  <c r="K84" i="20" s="1"/>
  <c r="L84" i="20" s="1"/>
  <c r="M84" i="20" s="1"/>
  <c r="N84" i="20" s="1"/>
  <c r="O84" i="20" s="1"/>
  <c r="P84" i="20" s="1"/>
  <c r="Q84" i="20" s="1"/>
  <c r="R84" i="20" s="1"/>
  <c r="S84" i="20" s="1"/>
  <c r="T84" i="20" s="1"/>
  <c r="U84" i="20" s="1"/>
  <c r="V84" i="20" s="1"/>
  <c r="W84" i="20" s="1"/>
  <c r="X84" i="20" s="1"/>
  <c r="Y84" i="20" s="1"/>
  <c r="Z84" i="20" s="1"/>
  <c r="AA84" i="20" s="1"/>
  <c r="AB84" i="20" s="1"/>
  <c r="AC84" i="20" s="1"/>
  <c r="AD84" i="20" s="1"/>
  <c r="AE84" i="20" s="1"/>
  <c r="AF84" i="20" s="1"/>
  <c r="AG84" i="20" s="1"/>
  <c r="AH84" i="20" s="1"/>
  <c r="AI84" i="20" s="1"/>
  <c r="AJ84" i="20" s="1"/>
  <c r="AK84" i="20" s="1"/>
  <c r="AL84" i="20" s="1"/>
  <c r="AM84" i="20" s="1"/>
  <c r="AN84" i="20" s="1"/>
  <c r="AO84" i="20" s="1"/>
  <c r="AP84" i="20" s="1"/>
  <c r="AQ84" i="20" s="1"/>
  <c r="AR84" i="20" s="1"/>
  <c r="AS84" i="20" s="1"/>
  <c r="AT84" i="20" s="1"/>
  <c r="AU84" i="20" s="1"/>
  <c r="AV84" i="20" s="1"/>
  <c r="AW84" i="20" s="1"/>
  <c r="AX84" i="20" s="1"/>
  <c r="AY84" i="20" s="1"/>
  <c r="AZ84" i="20" s="1"/>
  <c r="BA84" i="20" s="1"/>
  <c r="BB84" i="20" s="1"/>
  <c r="BC84" i="20" s="1"/>
  <c r="BD84" i="20" s="1"/>
  <c r="BE84" i="20" s="1"/>
  <c r="BF84" i="20" s="1"/>
  <c r="BG84" i="20" s="1"/>
  <c r="BH84" i="20" s="1"/>
  <c r="BI84" i="20" s="1"/>
  <c r="BJ84" i="20" s="1"/>
  <c r="BK84" i="20" s="1"/>
  <c r="BL84" i="20" s="1"/>
  <c r="BM84" i="20" s="1"/>
  <c r="BN84" i="20" s="1"/>
  <c r="BO84" i="20" s="1"/>
  <c r="BP84" i="20" s="1"/>
  <c r="BQ84" i="20" s="1"/>
  <c r="BR84" i="20" s="1"/>
  <c r="BS84" i="20" s="1"/>
  <c r="BT84" i="20" s="1"/>
  <c r="BU84" i="20" s="1"/>
  <c r="BV84" i="20" s="1"/>
  <c r="BW84" i="20" s="1"/>
  <c r="BX84" i="20" s="1"/>
  <c r="BY84" i="20" s="1"/>
  <c r="BZ84" i="20" s="1"/>
  <c r="CA84" i="20" s="1"/>
  <c r="CB84" i="20" s="1"/>
  <c r="CC84" i="20" s="1"/>
  <c r="CD84" i="20" s="1"/>
  <c r="CE84" i="20" s="1"/>
  <c r="CF84" i="20" s="1"/>
  <c r="CG84" i="20" s="1"/>
  <c r="CH84" i="20" s="1"/>
  <c r="CI84" i="20" s="1"/>
  <c r="CJ84" i="20" s="1"/>
  <c r="CK84" i="20" s="1"/>
  <c r="CL84" i="20" s="1"/>
  <c r="CM84" i="20" s="1"/>
  <c r="CN84" i="20" s="1"/>
  <c r="CO84" i="20" s="1"/>
  <c r="CP84" i="20" s="1"/>
  <c r="CQ84" i="20" s="1"/>
  <c r="CR84" i="20" s="1"/>
  <c r="CS84" i="20" s="1"/>
  <c r="CT84" i="20" s="1"/>
  <c r="CU84" i="20" s="1"/>
  <c r="CV84" i="20" s="1"/>
  <c r="CW84" i="20" s="1"/>
  <c r="CX84" i="20" s="1"/>
  <c r="CY84" i="20" s="1"/>
  <c r="CZ84" i="20" s="1"/>
  <c r="DA84" i="20" s="1"/>
  <c r="DB84" i="20" s="1"/>
  <c r="DC84" i="20" s="1"/>
  <c r="DD84" i="20" s="1"/>
  <c r="DE84" i="20" s="1"/>
  <c r="DF84" i="20" s="1"/>
  <c r="DG84" i="20" s="1"/>
  <c r="DH84" i="20" s="1"/>
  <c r="DI84" i="20" s="1"/>
  <c r="DJ84" i="20" s="1"/>
  <c r="DK84" i="20" s="1"/>
  <c r="DL84" i="20" s="1"/>
  <c r="DM84" i="20" s="1"/>
  <c r="DN84" i="20" s="1"/>
  <c r="DO84" i="20" s="1"/>
  <c r="DP84" i="20" s="1"/>
  <c r="A85" i="20" s="1"/>
  <c r="B85" i="20" s="1"/>
  <c r="C85" i="20" s="1"/>
  <c r="D85" i="20" s="1"/>
  <c r="E85" i="20" s="1"/>
  <c r="F85" i="20" s="1"/>
  <c r="G85" i="20" s="1"/>
  <c r="H85" i="20" s="1"/>
  <c r="I85" i="20" s="1"/>
  <c r="J85" i="20" s="1"/>
  <c r="K85" i="20" s="1"/>
  <c r="L85" i="20" s="1"/>
  <c r="M85" i="20" s="1"/>
  <c r="N85" i="20" s="1"/>
  <c r="O85" i="20" s="1"/>
  <c r="P85" i="20" s="1"/>
  <c r="Q85" i="20" s="1"/>
  <c r="R85" i="20" s="1"/>
  <c r="S85" i="20" s="1"/>
  <c r="T85" i="20" s="1"/>
  <c r="U85" i="20" s="1"/>
  <c r="V85" i="20" s="1"/>
  <c r="W85" i="20" s="1"/>
  <c r="X85" i="20" s="1"/>
  <c r="Y85" i="20" s="1"/>
  <c r="Z85" i="20" s="1"/>
  <c r="AA85" i="20" s="1"/>
  <c r="AB85" i="20" s="1"/>
  <c r="AC85" i="20" s="1"/>
  <c r="AD85" i="20" s="1"/>
  <c r="AE85" i="20" s="1"/>
  <c r="AF85" i="20" s="1"/>
  <c r="AG85" i="20" s="1"/>
  <c r="AH85" i="20" s="1"/>
  <c r="AI85" i="20" s="1"/>
  <c r="AJ85" i="20" s="1"/>
  <c r="AK85" i="20" s="1"/>
  <c r="AL85" i="20" s="1"/>
  <c r="AM85" i="20" s="1"/>
  <c r="AN85" i="20" s="1"/>
  <c r="AO85" i="20" s="1"/>
  <c r="AP85" i="20" s="1"/>
  <c r="AQ85" i="20" s="1"/>
  <c r="AR85" i="20" s="1"/>
  <c r="AS85" i="20" s="1"/>
  <c r="AT85" i="20" s="1"/>
  <c r="AU85" i="20" s="1"/>
  <c r="AV85" i="20" s="1"/>
  <c r="AW85" i="20" s="1"/>
  <c r="AX85" i="20" s="1"/>
  <c r="AY85" i="20" s="1"/>
  <c r="AZ85" i="20" s="1"/>
  <c r="BA85" i="20" s="1"/>
  <c r="BB85" i="20" s="1"/>
  <c r="BC85" i="20" s="1"/>
  <c r="BD85" i="20" s="1"/>
  <c r="BE85" i="20" s="1"/>
  <c r="BF85" i="20" s="1"/>
  <c r="BG85" i="20" s="1"/>
  <c r="BH85" i="20" s="1"/>
  <c r="BI85" i="20" s="1"/>
  <c r="BJ85" i="20" s="1"/>
  <c r="BK85" i="20" s="1"/>
  <c r="BL85" i="20" s="1"/>
  <c r="BM85" i="20" s="1"/>
  <c r="BN85" i="20" s="1"/>
  <c r="BO85" i="20" s="1"/>
  <c r="BP85" i="20" s="1"/>
  <c r="BQ85" i="20" s="1"/>
  <c r="BR85" i="20" s="1"/>
  <c r="BS85" i="20" s="1"/>
  <c r="BT85" i="20" s="1"/>
  <c r="BU85" i="20" s="1"/>
  <c r="BV85" i="20" s="1"/>
  <c r="BW85" i="20" s="1"/>
  <c r="BX85" i="20" s="1"/>
  <c r="BY85" i="20" s="1"/>
  <c r="BZ85" i="20" s="1"/>
  <c r="CA85" i="20" s="1"/>
  <c r="CB85" i="20" s="1"/>
  <c r="CC85" i="20" s="1"/>
  <c r="CD85" i="20" s="1"/>
  <c r="CE85" i="20" s="1"/>
  <c r="CF85" i="20" s="1"/>
  <c r="CG85" i="20" s="1"/>
  <c r="CH85" i="20" s="1"/>
  <c r="CI85" i="20" s="1"/>
  <c r="CJ85" i="20" s="1"/>
  <c r="CK85" i="20" s="1"/>
  <c r="CL85" i="20" s="1"/>
  <c r="CM85" i="20" s="1"/>
  <c r="CN85" i="20" s="1"/>
  <c r="CO85" i="20" s="1"/>
  <c r="CP85" i="20" s="1"/>
  <c r="CQ85" i="20" s="1"/>
  <c r="CR85" i="20" s="1"/>
  <c r="CS85" i="20" s="1"/>
  <c r="CT85" i="20" s="1"/>
  <c r="CU85" i="20" s="1"/>
  <c r="CV85" i="20" s="1"/>
  <c r="CW85" i="20" s="1"/>
  <c r="CX85" i="20" s="1"/>
  <c r="CY85" i="20" s="1"/>
  <c r="CZ85" i="20" s="1"/>
  <c r="DA85" i="20" s="1"/>
  <c r="DB85" i="20" s="1"/>
  <c r="DC85" i="20" s="1"/>
  <c r="DD85" i="20" s="1"/>
  <c r="DE85" i="20" s="1"/>
  <c r="DF85" i="20" s="1"/>
  <c r="DG85" i="20" s="1"/>
  <c r="DH85" i="20" s="1"/>
  <c r="DI85" i="20" s="1"/>
  <c r="DJ85" i="20" s="1"/>
  <c r="DK85" i="20" s="1"/>
  <c r="DL85" i="20" s="1"/>
  <c r="DM85" i="20" s="1"/>
  <c r="DN85" i="20" s="1"/>
  <c r="DO85" i="20" s="1"/>
  <c r="DP85" i="20" s="1"/>
  <c r="A86" i="20" s="1"/>
  <c r="B86" i="20" s="1"/>
  <c r="C86" i="20" s="1"/>
  <c r="D86" i="20" s="1"/>
  <c r="E86" i="20" s="1"/>
  <c r="F86" i="20" s="1"/>
  <c r="G86" i="20" s="1"/>
  <c r="H86" i="20" s="1"/>
  <c r="I86" i="20" s="1"/>
  <c r="J86" i="20" s="1"/>
  <c r="K86" i="20" s="1"/>
  <c r="L86" i="20" s="1"/>
  <c r="M86" i="20" s="1"/>
  <c r="N86" i="20" s="1"/>
  <c r="O86" i="20" s="1"/>
  <c r="P86" i="20" s="1"/>
  <c r="Q86" i="20" s="1"/>
  <c r="R86" i="20" s="1"/>
  <c r="S86" i="20" s="1"/>
  <c r="T86" i="20" s="1"/>
  <c r="U86" i="20" s="1"/>
  <c r="V86" i="20" s="1"/>
  <c r="W86" i="20" s="1"/>
  <c r="X86" i="20" s="1"/>
  <c r="Y86" i="20" s="1"/>
  <c r="Z86" i="20" s="1"/>
  <c r="AA86" i="20" s="1"/>
  <c r="AB86" i="20" s="1"/>
  <c r="AC86" i="20" s="1"/>
  <c r="AD86" i="20" s="1"/>
  <c r="AE86" i="20" s="1"/>
  <c r="AF86" i="20" s="1"/>
  <c r="AG86" i="20" s="1"/>
  <c r="AH86" i="20" s="1"/>
  <c r="AI86" i="20" s="1"/>
  <c r="AJ86" i="20" s="1"/>
  <c r="AK86" i="20" s="1"/>
  <c r="AL86" i="20" s="1"/>
  <c r="AM86" i="20" s="1"/>
  <c r="AN86" i="20" s="1"/>
  <c r="AO86" i="20" s="1"/>
  <c r="AP86" i="20" s="1"/>
  <c r="AQ86" i="20" s="1"/>
  <c r="AR86" i="20" s="1"/>
  <c r="AS86" i="20" s="1"/>
  <c r="AT86" i="20" s="1"/>
  <c r="AU86" i="20" s="1"/>
  <c r="AV86" i="20" s="1"/>
  <c r="AW86" i="20" s="1"/>
  <c r="AX86" i="20" s="1"/>
  <c r="AY86" i="20" s="1"/>
  <c r="AZ86" i="20" s="1"/>
  <c r="BA86" i="20" s="1"/>
  <c r="BB86" i="20" s="1"/>
  <c r="BC86" i="20" s="1"/>
  <c r="BD86" i="20" s="1"/>
  <c r="BE86" i="20" s="1"/>
  <c r="BF86" i="20" s="1"/>
  <c r="BG86" i="20" s="1"/>
  <c r="BH86" i="20" s="1"/>
  <c r="BI86" i="20" s="1"/>
  <c r="BJ86" i="20" s="1"/>
  <c r="BK86" i="20" s="1"/>
  <c r="BL86" i="20" s="1"/>
  <c r="BM86" i="20" s="1"/>
  <c r="BN86" i="20" s="1"/>
  <c r="BO86" i="20" s="1"/>
  <c r="BP86" i="20" s="1"/>
  <c r="BQ86" i="20" s="1"/>
  <c r="BR86" i="20" s="1"/>
  <c r="BS86" i="20" s="1"/>
  <c r="BT86" i="20" s="1"/>
  <c r="BU86" i="20" s="1"/>
  <c r="BV86" i="20" s="1"/>
  <c r="BW86" i="20" s="1"/>
  <c r="BX86" i="20" s="1"/>
  <c r="BY86" i="20" s="1"/>
  <c r="BZ86" i="20" s="1"/>
  <c r="CA86" i="20" s="1"/>
  <c r="CB86" i="20" s="1"/>
  <c r="CC86" i="20" s="1"/>
  <c r="CD86" i="20" s="1"/>
  <c r="CE86" i="20" s="1"/>
  <c r="CF86" i="20" s="1"/>
  <c r="CG86" i="20" s="1"/>
  <c r="CH86" i="20" s="1"/>
  <c r="CI86" i="20" s="1"/>
  <c r="CJ86" i="20" s="1"/>
  <c r="CK86" i="20" s="1"/>
  <c r="CL86" i="20" s="1"/>
  <c r="CM86" i="20" s="1"/>
  <c r="CN86" i="20" s="1"/>
  <c r="CO86" i="20" s="1"/>
  <c r="CP86" i="20" s="1"/>
  <c r="CQ86" i="20" s="1"/>
  <c r="CR86" i="20" s="1"/>
  <c r="CS86" i="20" s="1"/>
  <c r="CT86" i="20" s="1"/>
  <c r="CU86" i="20" s="1"/>
  <c r="CV86" i="20" s="1"/>
  <c r="CW86" i="20" s="1"/>
  <c r="CX86" i="20" s="1"/>
  <c r="CY86" i="20" s="1"/>
  <c r="CZ86" i="20" s="1"/>
  <c r="DA86" i="20" s="1"/>
  <c r="DB86" i="20" s="1"/>
  <c r="DC86" i="20" s="1"/>
  <c r="DD86" i="20" s="1"/>
  <c r="DE86" i="20" s="1"/>
  <c r="DF86" i="20" s="1"/>
  <c r="DG86" i="20" s="1"/>
  <c r="DH86" i="20" s="1"/>
  <c r="DI86" i="20" s="1"/>
  <c r="DJ86" i="20" s="1"/>
  <c r="DK86" i="20" s="1"/>
  <c r="DL86" i="20" s="1"/>
  <c r="DM86" i="20" s="1"/>
  <c r="DN86" i="20" s="1"/>
  <c r="DO86" i="20" s="1"/>
  <c r="DP86" i="20" s="1"/>
  <c r="A87" i="20" s="1"/>
  <c r="B87" i="20" s="1"/>
  <c r="C87" i="20" s="1"/>
  <c r="D87" i="20" s="1"/>
  <c r="E87" i="20" s="1"/>
  <c r="F87" i="20" s="1"/>
  <c r="G87" i="20" s="1"/>
  <c r="H87" i="20" s="1"/>
  <c r="I87" i="20" s="1"/>
  <c r="J87" i="20" s="1"/>
  <c r="K87" i="20" s="1"/>
  <c r="L87" i="20" s="1"/>
  <c r="M87" i="20" s="1"/>
  <c r="N87" i="20" s="1"/>
  <c r="O87" i="20" s="1"/>
  <c r="P87" i="20" s="1"/>
  <c r="Q87" i="20" s="1"/>
  <c r="R87" i="20" s="1"/>
  <c r="S87" i="20" s="1"/>
  <c r="T87" i="20" s="1"/>
  <c r="U87" i="20" s="1"/>
  <c r="V87" i="20" s="1"/>
  <c r="W87" i="20" s="1"/>
  <c r="X87" i="20" s="1"/>
  <c r="Y87" i="20" s="1"/>
  <c r="Z87" i="20" s="1"/>
  <c r="AA87" i="20" s="1"/>
  <c r="AB87" i="20" s="1"/>
  <c r="AC87" i="20" s="1"/>
  <c r="AD87" i="20" s="1"/>
  <c r="AE87" i="20" s="1"/>
  <c r="AF87" i="20" s="1"/>
  <c r="AG87" i="20" s="1"/>
  <c r="AH87" i="20" s="1"/>
  <c r="AI87" i="20" s="1"/>
  <c r="AJ87" i="20" s="1"/>
  <c r="AK87" i="20" s="1"/>
  <c r="AL87" i="20" s="1"/>
  <c r="AM87" i="20" s="1"/>
  <c r="AN87" i="20" s="1"/>
  <c r="AO87" i="20" s="1"/>
  <c r="AP87" i="20" s="1"/>
  <c r="AQ87" i="20" s="1"/>
  <c r="AR87" i="20" s="1"/>
  <c r="AS87" i="20" s="1"/>
  <c r="AT87" i="20" s="1"/>
  <c r="AU87" i="20" s="1"/>
  <c r="AV87" i="20" s="1"/>
  <c r="AW87" i="20" s="1"/>
  <c r="AX87" i="20" s="1"/>
  <c r="AY87" i="20" s="1"/>
  <c r="AZ87" i="20" s="1"/>
  <c r="BA87" i="20" s="1"/>
  <c r="BB87" i="20" s="1"/>
  <c r="BC87" i="20" s="1"/>
  <c r="BD87" i="20" s="1"/>
  <c r="BE87" i="20" s="1"/>
  <c r="BF87" i="20" s="1"/>
  <c r="BG87" i="20" s="1"/>
  <c r="BH87" i="20" s="1"/>
  <c r="BI87" i="20" s="1"/>
  <c r="BJ87" i="20" s="1"/>
  <c r="BK87" i="20" s="1"/>
  <c r="BL87" i="20" s="1"/>
  <c r="BM87" i="20" s="1"/>
  <c r="BN87" i="20" s="1"/>
  <c r="BO87" i="20" s="1"/>
  <c r="BP87" i="20" s="1"/>
  <c r="BQ87" i="20" s="1"/>
  <c r="BR87" i="20" s="1"/>
  <c r="BS87" i="20" s="1"/>
  <c r="BT87" i="20" s="1"/>
  <c r="BU87" i="20" s="1"/>
  <c r="BV87" i="20" s="1"/>
  <c r="BW87" i="20" s="1"/>
  <c r="BX87" i="20" s="1"/>
  <c r="BY87" i="20" s="1"/>
  <c r="BZ87" i="20" s="1"/>
  <c r="CA87" i="20" s="1"/>
  <c r="CB87" i="20" s="1"/>
  <c r="CC87" i="20" s="1"/>
  <c r="CD87" i="20" s="1"/>
  <c r="CE87" i="20" s="1"/>
  <c r="CF87" i="20" s="1"/>
  <c r="CG87" i="20" s="1"/>
  <c r="CH87" i="20" s="1"/>
  <c r="CI87" i="20" s="1"/>
  <c r="CJ87" i="20" s="1"/>
  <c r="CK87" i="20" s="1"/>
  <c r="CL87" i="20" s="1"/>
  <c r="CM87" i="20" s="1"/>
  <c r="CN87" i="20" s="1"/>
  <c r="CO87" i="20" s="1"/>
  <c r="CP87" i="20" s="1"/>
  <c r="CQ87" i="20" s="1"/>
  <c r="CR87" i="20" s="1"/>
  <c r="CS87" i="20" s="1"/>
  <c r="CT87" i="20" s="1"/>
  <c r="CU87" i="20" s="1"/>
  <c r="CV87" i="20" s="1"/>
  <c r="CW87" i="20" s="1"/>
  <c r="CX87" i="20" s="1"/>
  <c r="CY87" i="20" s="1"/>
  <c r="CZ87" i="20" s="1"/>
  <c r="DA87" i="20" s="1"/>
  <c r="DB87" i="20" s="1"/>
  <c r="DC87" i="20" s="1"/>
  <c r="DD87" i="20" s="1"/>
  <c r="DE87" i="20" s="1"/>
  <c r="DF87" i="20" s="1"/>
  <c r="DG87" i="20" s="1"/>
  <c r="DH87" i="20" s="1"/>
  <c r="DI87" i="20" s="1"/>
  <c r="DJ87" i="20" s="1"/>
  <c r="DK87" i="20" s="1"/>
  <c r="DL87" i="20" s="1"/>
  <c r="DM87" i="20" s="1"/>
  <c r="DN87" i="20" s="1"/>
  <c r="DO87" i="20" s="1"/>
  <c r="DP87" i="20" s="1"/>
  <c r="A88" i="20" s="1"/>
  <c r="B88" i="20" s="1"/>
  <c r="C88" i="20" s="1"/>
  <c r="D88" i="20" s="1"/>
  <c r="E88" i="20" s="1"/>
  <c r="F88" i="20" s="1"/>
  <c r="G88" i="20" s="1"/>
  <c r="H88" i="20" s="1"/>
  <c r="I88" i="20" s="1"/>
  <c r="J88" i="20" s="1"/>
  <c r="K88" i="20" s="1"/>
  <c r="L88" i="20" s="1"/>
  <c r="M88" i="20" s="1"/>
  <c r="N88" i="20" s="1"/>
  <c r="O88" i="20" s="1"/>
  <c r="P88" i="20" s="1"/>
  <c r="Q88" i="20" s="1"/>
  <c r="R88" i="20" s="1"/>
  <c r="S88" i="20" s="1"/>
  <c r="T88" i="20" s="1"/>
  <c r="U88" i="20" s="1"/>
  <c r="V88" i="20" s="1"/>
  <c r="W88" i="20" s="1"/>
  <c r="X88" i="20" s="1"/>
  <c r="Y88" i="20" s="1"/>
  <c r="Z88" i="20" s="1"/>
  <c r="AA88" i="20" s="1"/>
  <c r="AB88" i="20" s="1"/>
  <c r="AC88" i="20" s="1"/>
  <c r="AD88" i="20" s="1"/>
  <c r="AE88" i="20" s="1"/>
  <c r="AF88" i="20" s="1"/>
  <c r="AG88" i="20" s="1"/>
  <c r="AH88" i="20" s="1"/>
  <c r="AI88" i="20" s="1"/>
  <c r="AJ88" i="20" s="1"/>
  <c r="AK88" i="20" s="1"/>
  <c r="AL88" i="20" s="1"/>
  <c r="AM88" i="20" s="1"/>
  <c r="AN88" i="20" s="1"/>
  <c r="AO88" i="20" s="1"/>
  <c r="AP88" i="20" s="1"/>
  <c r="AQ88" i="20" s="1"/>
  <c r="AR88" i="20" s="1"/>
  <c r="AS88" i="20" s="1"/>
  <c r="AT88" i="20" s="1"/>
  <c r="AU88" i="20" s="1"/>
  <c r="AV88" i="20" s="1"/>
  <c r="AW88" i="20" s="1"/>
  <c r="AX88" i="20" s="1"/>
  <c r="AY88" i="20" s="1"/>
  <c r="AZ88" i="20" s="1"/>
  <c r="BA88" i="20" s="1"/>
  <c r="BB88" i="20" s="1"/>
  <c r="BC88" i="20" s="1"/>
  <c r="BD88" i="20" s="1"/>
  <c r="BE88" i="20" s="1"/>
  <c r="BF88" i="20" s="1"/>
  <c r="BG88" i="20" s="1"/>
  <c r="BH88" i="20" s="1"/>
  <c r="BI88" i="20" s="1"/>
  <c r="BJ88" i="20" s="1"/>
  <c r="BK88" i="20" s="1"/>
  <c r="BL88" i="20" s="1"/>
  <c r="BM88" i="20" s="1"/>
  <c r="BN88" i="20" s="1"/>
  <c r="BO88" i="20" s="1"/>
  <c r="BP88" i="20" s="1"/>
  <c r="BQ88" i="20" s="1"/>
  <c r="BR88" i="20" s="1"/>
  <c r="BS88" i="20" s="1"/>
  <c r="BT88" i="20" s="1"/>
  <c r="BU88" i="20" s="1"/>
  <c r="BV88" i="20" s="1"/>
  <c r="BW88" i="20" s="1"/>
  <c r="BX88" i="20" s="1"/>
  <c r="BY88" i="20" s="1"/>
  <c r="BZ88" i="20" s="1"/>
  <c r="CA88" i="20" s="1"/>
  <c r="CB88" i="20" s="1"/>
  <c r="CC88" i="20" s="1"/>
  <c r="CD88" i="20" s="1"/>
  <c r="CE88" i="20" s="1"/>
  <c r="CF88" i="20" s="1"/>
  <c r="CG88" i="20" s="1"/>
  <c r="CH88" i="20" s="1"/>
  <c r="CI88" i="20" s="1"/>
  <c r="CJ88" i="20" s="1"/>
  <c r="CK88" i="20" s="1"/>
  <c r="CL88" i="20" s="1"/>
  <c r="CM88" i="20" s="1"/>
  <c r="CN88" i="20" s="1"/>
  <c r="CO88" i="20" s="1"/>
  <c r="CP88" i="20" s="1"/>
  <c r="CQ88" i="20" s="1"/>
  <c r="CR88" i="20" s="1"/>
  <c r="CS88" i="20" s="1"/>
  <c r="CT88" i="20" s="1"/>
  <c r="CU88" i="20" s="1"/>
  <c r="CV88" i="20" s="1"/>
  <c r="CW88" i="20" s="1"/>
  <c r="CX88" i="20" s="1"/>
  <c r="CY88" i="20" s="1"/>
  <c r="CZ88" i="20" s="1"/>
  <c r="DA88" i="20" s="1"/>
  <c r="DB88" i="20" s="1"/>
  <c r="DC88" i="20" s="1"/>
  <c r="DD88" i="20" s="1"/>
  <c r="DE88" i="20" s="1"/>
  <c r="DF88" i="20" s="1"/>
  <c r="DG88" i="20" s="1"/>
  <c r="DH88" i="20" s="1"/>
  <c r="DI88" i="20" s="1"/>
  <c r="DJ88" i="20" s="1"/>
  <c r="DK88" i="20" s="1"/>
  <c r="DL88" i="20" s="1"/>
  <c r="DM88" i="20" s="1"/>
  <c r="DN88" i="20" s="1"/>
  <c r="DO88" i="20" s="1"/>
  <c r="DP88" i="20" s="1"/>
  <c r="A89" i="20" s="1"/>
  <c r="B89" i="20" s="1"/>
  <c r="C89" i="20" s="1"/>
  <c r="D89" i="20" s="1"/>
  <c r="E89" i="20" s="1"/>
  <c r="F89" i="20" s="1"/>
  <c r="G89" i="20" s="1"/>
  <c r="H89" i="20" s="1"/>
  <c r="I89" i="20" s="1"/>
  <c r="J89" i="20" s="1"/>
  <c r="K89" i="20" s="1"/>
  <c r="L89" i="20" s="1"/>
  <c r="M89" i="20" s="1"/>
  <c r="N89" i="20" s="1"/>
  <c r="O89" i="20" s="1"/>
  <c r="P89" i="20" s="1"/>
  <c r="Q89" i="20" s="1"/>
  <c r="R89" i="20" s="1"/>
  <c r="S89" i="20" s="1"/>
  <c r="T89" i="20" s="1"/>
  <c r="U89" i="20" s="1"/>
  <c r="V89" i="20" s="1"/>
  <c r="W89" i="20" s="1"/>
  <c r="X89" i="20" s="1"/>
  <c r="Y89" i="20" s="1"/>
  <c r="Z89" i="20" s="1"/>
  <c r="AA89" i="20" s="1"/>
  <c r="AB89" i="20" s="1"/>
  <c r="AC89" i="20" s="1"/>
  <c r="AD89" i="20" s="1"/>
  <c r="AE89" i="20" s="1"/>
  <c r="AF89" i="20" s="1"/>
  <c r="AG89" i="20" s="1"/>
  <c r="AH89" i="20" s="1"/>
  <c r="AI89" i="20" s="1"/>
  <c r="AJ89" i="20" s="1"/>
  <c r="AK89" i="20" s="1"/>
  <c r="AL89" i="20" s="1"/>
  <c r="AM89" i="20" s="1"/>
  <c r="AN89" i="20" s="1"/>
  <c r="AO89" i="20" s="1"/>
  <c r="AP89" i="20" s="1"/>
  <c r="AQ89" i="20" s="1"/>
  <c r="AR89" i="20" s="1"/>
  <c r="AS89" i="20" s="1"/>
  <c r="AT89" i="20" s="1"/>
  <c r="AU89" i="20" s="1"/>
  <c r="AV89" i="20" s="1"/>
  <c r="AW89" i="20" s="1"/>
  <c r="AX89" i="20" s="1"/>
  <c r="AY89" i="20" s="1"/>
  <c r="AZ89" i="20" s="1"/>
  <c r="BA89" i="20" s="1"/>
  <c r="BB89" i="20" s="1"/>
  <c r="BC89" i="20" s="1"/>
  <c r="BD89" i="20" s="1"/>
  <c r="BE89" i="20" s="1"/>
  <c r="BF89" i="20" s="1"/>
  <c r="BG89" i="20" s="1"/>
  <c r="BH89" i="20" s="1"/>
  <c r="BI89" i="20" s="1"/>
  <c r="BJ89" i="20" s="1"/>
  <c r="BK89" i="20" s="1"/>
  <c r="BL89" i="20" s="1"/>
  <c r="BM89" i="20" s="1"/>
  <c r="BN89" i="20" s="1"/>
  <c r="BO89" i="20" s="1"/>
  <c r="BP89" i="20" s="1"/>
  <c r="BQ89" i="20" s="1"/>
  <c r="BR89" i="20" s="1"/>
  <c r="BS89" i="20" s="1"/>
  <c r="BT89" i="20" s="1"/>
  <c r="BU89" i="20" s="1"/>
  <c r="BV89" i="20" s="1"/>
  <c r="BW89" i="20" s="1"/>
  <c r="BX89" i="20" s="1"/>
  <c r="BY89" i="20" s="1"/>
  <c r="BZ89" i="20" s="1"/>
  <c r="CA89" i="20" s="1"/>
  <c r="CB89" i="20" s="1"/>
  <c r="CC89" i="20" s="1"/>
  <c r="CD89" i="20" s="1"/>
  <c r="CE89" i="20" s="1"/>
  <c r="CF89" i="20" s="1"/>
  <c r="CG89" i="20" s="1"/>
  <c r="CH89" i="20" s="1"/>
  <c r="CI89" i="20" s="1"/>
  <c r="CJ89" i="20" s="1"/>
  <c r="CK89" i="20" s="1"/>
  <c r="CL89" i="20" s="1"/>
  <c r="CM89" i="20" s="1"/>
  <c r="CN89" i="20" s="1"/>
  <c r="CO89" i="20" s="1"/>
  <c r="CP89" i="20" s="1"/>
  <c r="CQ89" i="20" s="1"/>
  <c r="CR89" i="20" s="1"/>
  <c r="CS89" i="20" s="1"/>
  <c r="CT89" i="20" s="1"/>
  <c r="CU89" i="20" s="1"/>
  <c r="CV89" i="20" s="1"/>
  <c r="CW89" i="20" s="1"/>
  <c r="CX89" i="20" s="1"/>
  <c r="CY89" i="20" s="1"/>
  <c r="CZ89" i="20" s="1"/>
  <c r="DA89" i="20" s="1"/>
  <c r="DB89" i="20" s="1"/>
  <c r="DC89" i="20" s="1"/>
  <c r="DD89" i="20" s="1"/>
  <c r="DE89" i="20" s="1"/>
  <c r="DF89" i="20" s="1"/>
  <c r="DG89" i="20" s="1"/>
  <c r="DH89" i="20" s="1"/>
  <c r="DI89" i="20" s="1"/>
  <c r="DJ89" i="20" s="1"/>
  <c r="DK89" i="20" s="1"/>
  <c r="DL89" i="20" s="1"/>
  <c r="DM89" i="20" s="1"/>
  <c r="DN89" i="20" s="1"/>
  <c r="DO89" i="20" s="1"/>
  <c r="DP89" i="20" s="1"/>
  <c r="A90" i="20" s="1"/>
  <c r="B90" i="20" s="1"/>
  <c r="C90" i="20" s="1"/>
  <c r="D90" i="20" s="1"/>
  <c r="E90" i="20" s="1"/>
  <c r="F90" i="20" s="1"/>
  <c r="G90" i="20" s="1"/>
  <c r="H90" i="20" s="1"/>
  <c r="I90" i="20" s="1"/>
  <c r="J90" i="20" s="1"/>
  <c r="K90" i="20" s="1"/>
  <c r="L90" i="20" s="1"/>
  <c r="M90" i="20" s="1"/>
  <c r="N90" i="20" s="1"/>
  <c r="O90" i="20" s="1"/>
  <c r="P90" i="20" s="1"/>
  <c r="Q90" i="20" s="1"/>
  <c r="R90" i="20" s="1"/>
  <c r="S90" i="20" s="1"/>
  <c r="T90" i="20" s="1"/>
  <c r="U90" i="20" s="1"/>
  <c r="V90" i="20" s="1"/>
  <c r="W90" i="20" s="1"/>
  <c r="X90" i="20" s="1"/>
  <c r="Y90" i="20" s="1"/>
  <c r="Z90" i="20" s="1"/>
  <c r="AA90" i="20" s="1"/>
  <c r="AB90" i="20" s="1"/>
  <c r="AC90" i="20" s="1"/>
  <c r="AD90" i="20" s="1"/>
  <c r="AE90" i="20" s="1"/>
  <c r="AF90" i="20" s="1"/>
  <c r="AG90" i="20" s="1"/>
  <c r="AH90" i="20" s="1"/>
  <c r="AI90" i="20" s="1"/>
  <c r="AJ90" i="20" s="1"/>
  <c r="AK90" i="20" s="1"/>
  <c r="AL90" i="20" s="1"/>
  <c r="AM90" i="20" s="1"/>
  <c r="AN90" i="20" s="1"/>
  <c r="AO90" i="20" s="1"/>
  <c r="AP90" i="20" s="1"/>
  <c r="AQ90" i="20" s="1"/>
  <c r="AR90" i="20" s="1"/>
  <c r="AS90" i="20" s="1"/>
  <c r="AT90" i="20" s="1"/>
  <c r="AU90" i="20" s="1"/>
  <c r="AV90" i="20" s="1"/>
  <c r="AW90" i="20" s="1"/>
  <c r="AX90" i="20" s="1"/>
  <c r="AY90" i="20" s="1"/>
  <c r="AZ90" i="20" s="1"/>
  <c r="BA90" i="20" s="1"/>
  <c r="BB90" i="20" s="1"/>
  <c r="BC90" i="20" s="1"/>
  <c r="BD90" i="20" s="1"/>
  <c r="BE90" i="20" s="1"/>
  <c r="BF90" i="20" s="1"/>
  <c r="BG90" i="20" s="1"/>
  <c r="BH90" i="20" s="1"/>
  <c r="BI90" i="20" s="1"/>
  <c r="BJ90" i="20" s="1"/>
  <c r="BK90" i="20" s="1"/>
  <c r="BL90" i="20" s="1"/>
  <c r="BM90" i="20" s="1"/>
  <c r="BN90" i="20" s="1"/>
  <c r="BO90" i="20" s="1"/>
  <c r="BP90" i="20" s="1"/>
  <c r="BQ90" i="20" s="1"/>
  <c r="BR90" i="20" s="1"/>
  <c r="BS90" i="20" s="1"/>
  <c r="BT90" i="20" s="1"/>
  <c r="BU90" i="20" s="1"/>
  <c r="BV90" i="20" s="1"/>
  <c r="BW90" i="20" s="1"/>
  <c r="BX90" i="20" s="1"/>
  <c r="BY90" i="20" s="1"/>
  <c r="BZ90" i="20" s="1"/>
  <c r="CA90" i="20" s="1"/>
  <c r="CB90" i="20" s="1"/>
  <c r="CC90" i="20" s="1"/>
  <c r="CD90" i="20" s="1"/>
  <c r="CE90" i="20" s="1"/>
  <c r="CF90" i="20" s="1"/>
  <c r="CG90" i="20" s="1"/>
  <c r="CH90" i="20" s="1"/>
  <c r="CI90" i="20" s="1"/>
  <c r="CJ90" i="20" s="1"/>
  <c r="CK90" i="20" s="1"/>
  <c r="CL90" i="20" s="1"/>
  <c r="CM90" i="20" s="1"/>
  <c r="CN90" i="20" s="1"/>
  <c r="CO90" i="20" s="1"/>
  <c r="CP90" i="20" s="1"/>
  <c r="CQ90" i="20" s="1"/>
  <c r="CR90" i="20" s="1"/>
  <c r="CS90" i="20" s="1"/>
  <c r="CT90" i="20" s="1"/>
  <c r="CU90" i="20" s="1"/>
  <c r="CV90" i="20" s="1"/>
  <c r="CW90" i="20" s="1"/>
  <c r="CX90" i="20" s="1"/>
  <c r="CY90" i="20" s="1"/>
  <c r="CZ90" i="20" s="1"/>
  <c r="DA90" i="20" s="1"/>
  <c r="DB90" i="20" s="1"/>
  <c r="DC90" i="20" s="1"/>
  <c r="DD90" i="20" s="1"/>
  <c r="DE90" i="20" s="1"/>
  <c r="DF90" i="20" s="1"/>
  <c r="DG90" i="20" s="1"/>
  <c r="DH90" i="20" s="1"/>
  <c r="DI90" i="20" s="1"/>
  <c r="DJ90" i="20" s="1"/>
  <c r="DK90" i="20" s="1"/>
  <c r="DL90" i="20" s="1"/>
  <c r="DM90" i="20" s="1"/>
  <c r="DN90" i="20" s="1"/>
  <c r="DO90" i="20" s="1"/>
  <c r="DP90" i="20" s="1"/>
  <c r="A91" i="20" s="1"/>
  <c r="B91" i="20" s="1"/>
  <c r="C91" i="20" s="1"/>
  <c r="D91" i="20" s="1"/>
  <c r="E91" i="20" s="1"/>
  <c r="F91" i="20" s="1"/>
  <c r="G91" i="20" s="1"/>
  <c r="H91" i="20" s="1"/>
  <c r="I91" i="20" s="1"/>
  <c r="J91" i="20" s="1"/>
  <c r="K91" i="20" s="1"/>
  <c r="L91" i="20" s="1"/>
  <c r="M91" i="20" s="1"/>
  <c r="N91" i="20" s="1"/>
  <c r="O91" i="20" s="1"/>
  <c r="P91" i="20" s="1"/>
  <c r="Q91" i="20" s="1"/>
  <c r="R91" i="20" s="1"/>
  <c r="S91" i="20" s="1"/>
  <c r="T91" i="20" s="1"/>
  <c r="U91" i="20" s="1"/>
  <c r="V91" i="20" s="1"/>
  <c r="W91" i="20" s="1"/>
  <c r="X91" i="20" s="1"/>
  <c r="Y91" i="20" s="1"/>
  <c r="Z91" i="20" s="1"/>
  <c r="AA91" i="20" s="1"/>
  <c r="AB91" i="20" s="1"/>
  <c r="AC91" i="20" s="1"/>
  <c r="AD91" i="20" s="1"/>
  <c r="AE91" i="20" s="1"/>
  <c r="AF91" i="20" s="1"/>
  <c r="AG91" i="20" s="1"/>
  <c r="AH91" i="20" s="1"/>
  <c r="AI91" i="20" s="1"/>
  <c r="AJ91" i="20" s="1"/>
  <c r="AK91" i="20" s="1"/>
  <c r="AL91" i="20" s="1"/>
  <c r="AM91" i="20" s="1"/>
  <c r="AN91" i="20" s="1"/>
  <c r="AO91" i="20" s="1"/>
  <c r="AP91" i="20" s="1"/>
  <c r="AQ91" i="20" s="1"/>
  <c r="AR91" i="20" s="1"/>
  <c r="AS91" i="20" s="1"/>
  <c r="AT91" i="20" s="1"/>
  <c r="AU91" i="20" s="1"/>
  <c r="AV91" i="20" s="1"/>
  <c r="AW91" i="20" s="1"/>
  <c r="AX91" i="20" s="1"/>
  <c r="AY91" i="20" s="1"/>
  <c r="AZ91" i="20" s="1"/>
  <c r="BA91" i="20" s="1"/>
  <c r="BB91" i="20" s="1"/>
  <c r="BC91" i="20" s="1"/>
  <c r="BD91" i="20" s="1"/>
  <c r="BE91" i="20" s="1"/>
  <c r="BF91" i="20" s="1"/>
  <c r="BG91" i="20" s="1"/>
  <c r="BH91" i="20" s="1"/>
  <c r="BI91" i="20" s="1"/>
  <c r="BJ91" i="20" s="1"/>
  <c r="BK91" i="20" s="1"/>
  <c r="BL91" i="20" s="1"/>
  <c r="BM91" i="20" s="1"/>
  <c r="BN91" i="20" s="1"/>
  <c r="BO91" i="20" s="1"/>
  <c r="BP91" i="20" s="1"/>
  <c r="BQ91" i="20" s="1"/>
  <c r="BR91" i="20" s="1"/>
  <c r="BS91" i="20" s="1"/>
  <c r="BT91" i="20" s="1"/>
  <c r="BU91" i="20" s="1"/>
  <c r="BV91" i="20" s="1"/>
  <c r="BW91" i="20" s="1"/>
  <c r="BX91" i="20" s="1"/>
  <c r="BY91" i="20" s="1"/>
  <c r="BZ91" i="20" s="1"/>
  <c r="CA91" i="20" s="1"/>
  <c r="CB91" i="20" s="1"/>
  <c r="CC91" i="20" s="1"/>
  <c r="CD91" i="20" s="1"/>
  <c r="CE91" i="20" s="1"/>
  <c r="CF91" i="20" s="1"/>
  <c r="CG91" i="20" s="1"/>
  <c r="CH91" i="20" s="1"/>
  <c r="CI91" i="20" s="1"/>
  <c r="CJ91" i="20" s="1"/>
  <c r="CK91" i="20" s="1"/>
  <c r="CL91" i="20" s="1"/>
  <c r="CM91" i="20" s="1"/>
  <c r="CN91" i="20" s="1"/>
  <c r="CO91" i="20" s="1"/>
  <c r="CP91" i="20" s="1"/>
  <c r="CQ91" i="20" s="1"/>
  <c r="CR91" i="20" s="1"/>
  <c r="CS91" i="20" s="1"/>
  <c r="CT91" i="20" s="1"/>
  <c r="CU91" i="20" s="1"/>
  <c r="CV91" i="20" s="1"/>
  <c r="CW91" i="20" s="1"/>
  <c r="CX91" i="20" s="1"/>
  <c r="CY91" i="20" s="1"/>
  <c r="CZ91" i="20" s="1"/>
  <c r="DA91" i="20" s="1"/>
  <c r="DB91" i="20" s="1"/>
  <c r="DC91" i="20" s="1"/>
  <c r="DD91" i="20" s="1"/>
  <c r="DE91" i="20" s="1"/>
  <c r="DF91" i="20" s="1"/>
  <c r="DG91" i="20" s="1"/>
  <c r="DH91" i="20" s="1"/>
  <c r="DI91" i="20" s="1"/>
  <c r="DJ91" i="20" s="1"/>
  <c r="DK91" i="20" s="1"/>
  <c r="DL91" i="20" s="1"/>
  <c r="DM91" i="20" s="1"/>
  <c r="DN91" i="20" s="1"/>
  <c r="DO91" i="20" s="1"/>
  <c r="DP91" i="20" s="1"/>
  <c r="A92" i="20" s="1"/>
  <c r="B92" i="20" s="1"/>
  <c r="C92" i="20" s="1"/>
  <c r="D92" i="20" s="1"/>
  <c r="E92" i="20" s="1"/>
  <c r="F92" i="20" s="1"/>
  <c r="G92" i="20" s="1"/>
  <c r="H92" i="20" s="1"/>
  <c r="I92" i="20" s="1"/>
  <c r="J92" i="20" s="1"/>
  <c r="K92" i="20" s="1"/>
  <c r="L92" i="20" s="1"/>
  <c r="M92" i="20" s="1"/>
  <c r="N92" i="20" s="1"/>
  <c r="O92" i="20" s="1"/>
  <c r="P92" i="20" s="1"/>
  <c r="Q92" i="20" s="1"/>
  <c r="R92" i="20" s="1"/>
  <c r="S92" i="20" s="1"/>
  <c r="T92" i="20" s="1"/>
  <c r="U92" i="20" s="1"/>
  <c r="V92" i="20" s="1"/>
  <c r="W92" i="20" s="1"/>
  <c r="X92" i="20" s="1"/>
  <c r="Y92" i="20" s="1"/>
  <c r="Z92" i="20" s="1"/>
  <c r="AA92" i="20" s="1"/>
  <c r="AB92" i="20" s="1"/>
  <c r="AC92" i="20" s="1"/>
  <c r="AD92" i="20" s="1"/>
  <c r="AE92" i="20" s="1"/>
  <c r="AF92" i="20" s="1"/>
  <c r="AG92" i="20" s="1"/>
  <c r="AH92" i="20" s="1"/>
  <c r="AI92" i="20" s="1"/>
  <c r="AJ92" i="20" s="1"/>
  <c r="AK92" i="20" s="1"/>
  <c r="AL92" i="20" s="1"/>
  <c r="AM92" i="20" s="1"/>
  <c r="AN92" i="20" s="1"/>
  <c r="AO92" i="20" s="1"/>
  <c r="AP92" i="20" s="1"/>
  <c r="AQ92" i="20" s="1"/>
  <c r="AR92" i="20" s="1"/>
  <c r="AS92" i="20" s="1"/>
  <c r="AT92" i="20" s="1"/>
  <c r="AU92" i="20" s="1"/>
  <c r="AV92" i="20" s="1"/>
  <c r="AW92" i="20" s="1"/>
  <c r="AX92" i="20" s="1"/>
  <c r="AY92" i="20" s="1"/>
  <c r="AZ92" i="20" s="1"/>
  <c r="BA92" i="20" s="1"/>
  <c r="BB92" i="20" s="1"/>
  <c r="BC92" i="20" s="1"/>
  <c r="BD92" i="20" s="1"/>
  <c r="BE92" i="20" s="1"/>
  <c r="BF92" i="20" s="1"/>
  <c r="BG92" i="20" s="1"/>
  <c r="BH92" i="20" s="1"/>
  <c r="BI92" i="20" s="1"/>
  <c r="BJ92" i="20" s="1"/>
  <c r="BK92" i="20" s="1"/>
  <c r="BL92" i="20" s="1"/>
  <c r="BM92" i="20" s="1"/>
  <c r="BN92" i="20" s="1"/>
  <c r="BO92" i="20" s="1"/>
  <c r="BP92" i="20" s="1"/>
  <c r="BQ92" i="20" s="1"/>
  <c r="BR92" i="20" s="1"/>
  <c r="BS92" i="20" s="1"/>
  <c r="BT92" i="20" s="1"/>
  <c r="BU92" i="20" s="1"/>
  <c r="BV92" i="20" s="1"/>
  <c r="BW92" i="20" s="1"/>
  <c r="BX92" i="20" s="1"/>
  <c r="BY92" i="20" s="1"/>
  <c r="BZ92" i="20" s="1"/>
  <c r="CA92" i="20" s="1"/>
  <c r="CB92" i="20" s="1"/>
  <c r="CC92" i="20" s="1"/>
  <c r="CD92" i="20" s="1"/>
  <c r="CE92" i="20" s="1"/>
  <c r="CF92" i="20" s="1"/>
  <c r="CG92" i="20" s="1"/>
  <c r="CH92" i="20" s="1"/>
  <c r="CI92" i="20" s="1"/>
  <c r="CJ92" i="20" s="1"/>
  <c r="CK92" i="20" s="1"/>
  <c r="CL92" i="20" s="1"/>
  <c r="CM92" i="20" s="1"/>
  <c r="CN92" i="20" s="1"/>
  <c r="CO92" i="20" s="1"/>
  <c r="CP92" i="20" s="1"/>
  <c r="CQ92" i="20" s="1"/>
  <c r="CR92" i="20" s="1"/>
  <c r="CS92" i="20" s="1"/>
  <c r="CT92" i="20" s="1"/>
  <c r="CU92" i="20" s="1"/>
  <c r="CV92" i="20" s="1"/>
  <c r="CW92" i="20" s="1"/>
  <c r="CX92" i="20" s="1"/>
  <c r="CY92" i="20" s="1"/>
  <c r="CZ92" i="20" s="1"/>
  <c r="DA92" i="20" s="1"/>
  <c r="DB92" i="20" s="1"/>
  <c r="DC92" i="20" s="1"/>
  <c r="DD92" i="20" s="1"/>
  <c r="DE92" i="20" s="1"/>
  <c r="DF92" i="20" s="1"/>
  <c r="DG92" i="20" s="1"/>
  <c r="DH92" i="20" s="1"/>
  <c r="DI92" i="20" s="1"/>
  <c r="DJ92" i="20" s="1"/>
  <c r="DK92" i="20" s="1"/>
  <c r="DL92" i="20" s="1"/>
  <c r="DM92" i="20" s="1"/>
  <c r="DN92" i="20" s="1"/>
  <c r="DO92" i="20" s="1"/>
  <c r="DP92" i="20" s="1"/>
  <c r="A93" i="20" s="1"/>
  <c r="B93" i="20" s="1"/>
  <c r="C93" i="20" s="1"/>
  <c r="D93" i="20" s="1"/>
  <c r="E93" i="20" s="1"/>
  <c r="F93" i="20" s="1"/>
  <c r="G93" i="20" s="1"/>
  <c r="H93" i="20" s="1"/>
  <c r="I93" i="20" s="1"/>
  <c r="J93" i="20" s="1"/>
  <c r="K93" i="20" s="1"/>
  <c r="L93" i="20" s="1"/>
  <c r="M93" i="20" s="1"/>
  <c r="N93" i="20" s="1"/>
  <c r="O93" i="20" s="1"/>
  <c r="P93" i="20" s="1"/>
  <c r="Q93" i="20" s="1"/>
  <c r="R93" i="20" s="1"/>
  <c r="S93" i="20" s="1"/>
  <c r="T93" i="20" s="1"/>
  <c r="U93" i="20" s="1"/>
  <c r="V93" i="20" s="1"/>
  <c r="W93" i="20" s="1"/>
  <c r="X93" i="20" s="1"/>
  <c r="Y93" i="20" s="1"/>
  <c r="Z93" i="20" s="1"/>
  <c r="AA93" i="20" s="1"/>
  <c r="AB93" i="20" s="1"/>
  <c r="AC93" i="20" s="1"/>
  <c r="AD93" i="20" s="1"/>
  <c r="AE93" i="20" s="1"/>
  <c r="AF93" i="20" s="1"/>
  <c r="AG93" i="20" s="1"/>
  <c r="AH93" i="20" s="1"/>
  <c r="AI93" i="20" s="1"/>
  <c r="AJ93" i="20" s="1"/>
  <c r="AK93" i="20" s="1"/>
  <c r="AL93" i="20" s="1"/>
  <c r="AM93" i="20" s="1"/>
  <c r="AN93" i="20" s="1"/>
  <c r="AO93" i="20" s="1"/>
  <c r="AP93" i="20" s="1"/>
  <c r="AQ93" i="20" s="1"/>
  <c r="AR93" i="20" s="1"/>
  <c r="AS93" i="20" s="1"/>
  <c r="AT93" i="20" s="1"/>
  <c r="AU93" i="20" s="1"/>
  <c r="AV93" i="20" s="1"/>
  <c r="AW93" i="20" s="1"/>
  <c r="AX93" i="20" s="1"/>
  <c r="AY93" i="20" s="1"/>
  <c r="AZ93" i="20" s="1"/>
  <c r="BA93" i="20" s="1"/>
  <c r="BB93" i="20" s="1"/>
  <c r="BC93" i="20" s="1"/>
  <c r="BD93" i="20" s="1"/>
  <c r="BE93" i="20" s="1"/>
  <c r="BF93" i="20" s="1"/>
  <c r="BG93" i="20" s="1"/>
  <c r="BH93" i="20" s="1"/>
  <c r="BI93" i="20" s="1"/>
  <c r="BJ93" i="20" s="1"/>
  <c r="BK93" i="20" s="1"/>
  <c r="BL93" i="20" s="1"/>
  <c r="BM93" i="20" s="1"/>
  <c r="BN93" i="20" s="1"/>
  <c r="BO93" i="20" s="1"/>
  <c r="BP93" i="20" s="1"/>
  <c r="BQ93" i="20" s="1"/>
  <c r="BR93" i="20" s="1"/>
  <c r="BS93" i="20" s="1"/>
  <c r="BT93" i="20" s="1"/>
  <c r="BU93" i="20" s="1"/>
  <c r="BV93" i="20" s="1"/>
  <c r="BW93" i="20" s="1"/>
  <c r="BX93" i="20" s="1"/>
  <c r="BY93" i="20" s="1"/>
  <c r="BZ93" i="20" s="1"/>
  <c r="CA93" i="20" s="1"/>
  <c r="CB93" i="20" s="1"/>
  <c r="CC93" i="20" s="1"/>
  <c r="CD93" i="20" s="1"/>
  <c r="CE93" i="20" s="1"/>
  <c r="CF93" i="20" s="1"/>
  <c r="CG93" i="20" s="1"/>
  <c r="CH93" i="20" s="1"/>
  <c r="CI93" i="20" s="1"/>
  <c r="CJ93" i="20" s="1"/>
  <c r="CK93" i="20" s="1"/>
  <c r="CL93" i="20" s="1"/>
  <c r="CM93" i="20" s="1"/>
  <c r="CN93" i="20" s="1"/>
  <c r="CO93" i="20" s="1"/>
  <c r="CP93" i="20" s="1"/>
  <c r="CQ93" i="20" s="1"/>
  <c r="CR93" i="20" s="1"/>
  <c r="CS93" i="20" s="1"/>
  <c r="CT93" i="20" s="1"/>
  <c r="CU93" i="20" s="1"/>
  <c r="CV93" i="20" s="1"/>
  <c r="CW93" i="20" s="1"/>
  <c r="CX93" i="20" s="1"/>
  <c r="CY93" i="20" s="1"/>
  <c r="CZ93" i="20" s="1"/>
  <c r="DA93" i="20" s="1"/>
  <c r="DB93" i="20" s="1"/>
  <c r="DC93" i="20" s="1"/>
  <c r="DD93" i="20" s="1"/>
  <c r="DE93" i="20" s="1"/>
  <c r="DF93" i="20" s="1"/>
  <c r="DG93" i="20" s="1"/>
  <c r="DH93" i="20" s="1"/>
  <c r="DI93" i="20" s="1"/>
  <c r="DJ93" i="20" s="1"/>
  <c r="DK93" i="20" s="1"/>
  <c r="DL93" i="20" s="1"/>
  <c r="DM93" i="20" s="1"/>
  <c r="DN93" i="20" s="1"/>
  <c r="DO93" i="20" s="1"/>
  <c r="DP93" i="20" s="1"/>
  <c r="B29" i="20"/>
  <c r="C29" i="20" s="1"/>
  <c r="D29" i="20" s="1"/>
  <c r="E29" i="20" s="1"/>
  <c r="F29" i="20" s="1"/>
  <c r="G29" i="20" s="1"/>
  <c r="H29" i="20" s="1"/>
  <c r="I29" i="20" s="1"/>
  <c r="J29" i="20" s="1"/>
  <c r="K29" i="20" s="1"/>
  <c r="L29" i="20" s="1"/>
  <c r="M29" i="20" s="1"/>
  <c r="N29" i="20" s="1"/>
  <c r="O29" i="20" s="1"/>
  <c r="P29" i="20" s="1"/>
  <c r="Q29" i="20" s="1"/>
  <c r="R29" i="20" s="1"/>
  <c r="S29" i="20" s="1"/>
  <c r="T29" i="20" s="1"/>
  <c r="U29" i="20" s="1"/>
  <c r="V29" i="20" s="1"/>
  <c r="W29" i="20" s="1"/>
  <c r="X29" i="20" s="1"/>
  <c r="Y29" i="20" s="1"/>
  <c r="Z29" i="20" s="1"/>
  <c r="AA29" i="20" s="1"/>
  <c r="AB29" i="20" s="1"/>
  <c r="AC29" i="20" s="1"/>
  <c r="AD29" i="20" s="1"/>
  <c r="AE29" i="20" s="1"/>
  <c r="AF29" i="20" s="1"/>
  <c r="AG29" i="20" s="1"/>
  <c r="AH29" i="20" s="1"/>
  <c r="AI29" i="20" s="1"/>
  <c r="AJ29" i="20" s="1"/>
  <c r="AK29" i="20" s="1"/>
  <c r="AL29" i="20" s="1"/>
  <c r="AM29" i="20" s="1"/>
  <c r="AN29" i="20" s="1"/>
  <c r="AO29" i="20" s="1"/>
  <c r="AP29" i="20" s="1"/>
  <c r="AQ29" i="20" s="1"/>
  <c r="AR29" i="20" s="1"/>
  <c r="AS29" i="20" s="1"/>
  <c r="AT29" i="20" s="1"/>
  <c r="AU29" i="20" s="1"/>
  <c r="AV29" i="20" s="1"/>
  <c r="AW29" i="20" s="1"/>
  <c r="AX29" i="20" s="1"/>
  <c r="AY29" i="20" s="1"/>
  <c r="AZ29" i="20" s="1"/>
  <c r="BA29" i="20" s="1"/>
  <c r="BB29" i="20" s="1"/>
  <c r="BC29" i="20" s="1"/>
  <c r="BD29" i="20" s="1"/>
  <c r="BE29" i="20" s="1"/>
  <c r="BF29" i="20" s="1"/>
  <c r="BG29" i="20" s="1"/>
  <c r="BH29" i="20" s="1"/>
  <c r="BI29" i="20" s="1"/>
  <c r="BJ29" i="20" s="1"/>
  <c r="BK29" i="20" s="1"/>
  <c r="BL29" i="20" s="1"/>
  <c r="BM29" i="20" s="1"/>
  <c r="BN29" i="20" s="1"/>
  <c r="BO29" i="20" s="1"/>
  <c r="BP29" i="20" s="1"/>
  <c r="BQ29" i="20" s="1"/>
  <c r="BR29" i="20" s="1"/>
  <c r="BS29" i="20" s="1"/>
  <c r="BT29" i="20" s="1"/>
  <c r="BU29" i="20" s="1"/>
  <c r="BV29" i="20" s="1"/>
  <c r="BW29" i="20" s="1"/>
  <c r="BX29" i="20" s="1"/>
  <c r="BY29" i="20" s="1"/>
  <c r="BZ29" i="20" s="1"/>
  <c r="CA29" i="20" s="1"/>
  <c r="CB29" i="20" s="1"/>
  <c r="CC29" i="20" s="1"/>
  <c r="CD29" i="20" s="1"/>
  <c r="CE29" i="20" s="1"/>
  <c r="CF29" i="20" s="1"/>
  <c r="CG29" i="20" s="1"/>
  <c r="CH29" i="20" s="1"/>
  <c r="CI29" i="20" s="1"/>
  <c r="CJ29" i="20" s="1"/>
  <c r="CK29" i="20" s="1"/>
  <c r="CL29" i="20" s="1"/>
  <c r="CM29" i="20" s="1"/>
  <c r="CN29" i="20" s="1"/>
  <c r="CO29" i="20" s="1"/>
  <c r="CP29" i="20" s="1"/>
  <c r="CQ29" i="20" s="1"/>
  <c r="CR29" i="20" s="1"/>
  <c r="CS29" i="20" s="1"/>
  <c r="CT29" i="20" s="1"/>
  <c r="CU29" i="20" s="1"/>
  <c r="CV29" i="20" s="1"/>
  <c r="CW29" i="20" s="1"/>
  <c r="CX29" i="20" s="1"/>
  <c r="CY29" i="20" s="1"/>
  <c r="CZ29" i="20" s="1"/>
  <c r="DA29" i="20" s="1"/>
  <c r="DB29" i="20" s="1"/>
  <c r="DC29" i="20" s="1"/>
  <c r="DD29" i="20" s="1"/>
  <c r="DE29" i="20" s="1"/>
  <c r="DF29" i="20" s="1"/>
  <c r="DG29" i="20" s="1"/>
  <c r="DH29" i="20" s="1"/>
  <c r="DI29" i="20" s="1"/>
  <c r="DJ29" i="20" s="1"/>
  <c r="DK29" i="20" s="1"/>
  <c r="DL29" i="20" s="1"/>
  <c r="DM29" i="20" s="1"/>
  <c r="DN29" i="20" s="1"/>
  <c r="DO29" i="20" s="1"/>
  <c r="DP29" i="20" s="1"/>
  <c r="S131" i="20"/>
  <c r="A131" i="20"/>
  <c r="O129" i="20"/>
  <c r="A129" i="20"/>
  <c r="O128" i="20"/>
  <c r="A128" i="20"/>
  <c r="O127" i="20"/>
  <c r="A127" i="20"/>
  <c r="O126" i="20"/>
  <c r="A126" i="20"/>
  <c r="F156" i="20"/>
  <c r="F154" i="20"/>
  <c r="F152" i="20"/>
  <c r="BC150" i="20"/>
  <c r="AK150" i="20"/>
  <c r="F150" i="20"/>
  <c r="F148" i="20"/>
  <c r="F142" i="20"/>
  <c r="F140" i="20"/>
  <c r="F138" i="20"/>
  <c r="F136" i="20"/>
  <c r="B28" i="20"/>
  <c r="C28" i="20" s="1"/>
  <c r="D28" i="20" s="1"/>
  <c r="E28" i="20" s="1"/>
  <c r="F28" i="20" s="1"/>
  <c r="G28" i="20" s="1"/>
  <c r="H28" i="20" s="1"/>
  <c r="I28" i="20" s="1"/>
  <c r="J28" i="20" s="1"/>
  <c r="K28" i="20" s="1"/>
  <c r="L28" i="20" s="1"/>
  <c r="M28" i="20" s="1"/>
  <c r="N28" i="20" s="1"/>
  <c r="O28" i="20" s="1"/>
  <c r="P28" i="20" s="1"/>
  <c r="Q28" i="20" s="1"/>
  <c r="R28" i="20" s="1"/>
  <c r="S28" i="20" s="1"/>
  <c r="T28" i="20" s="1"/>
  <c r="U28" i="20" s="1"/>
  <c r="V28" i="20" s="1"/>
  <c r="W28" i="20" s="1"/>
  <c r="X28" i="20" s="1"/>
  <c r="Y28" i="20" s="1"/>
  <c r="Z28" i="20" s="1"/>
  <c r="AA28" i="20" s="1"/>
  <c r="AB28" i="20" s="1"/>
  <c r="AC28" i="20" s="1"/>
  <c r="AD28" i="20" s="1"/>
  <c r="AE28" i="20" s="1"/>
  <c r="AF28" i="20" s="1"/>
  <c r="AG28" i="20" s="1"/>
  <c r="AH28" i="20" s="1"/>
  <c r="AI28" i="20" s="1"/>
  <c r="AJ28" i="20" s="1"/>
  <c r="AK28" i="20" s="1"/>
  <c r="AL28" i="20" s="1"/>
  <c r="AM28" i="20" s="1"/>
  <c r="AN28" i="20" s="1"/>
  <c r="AO28" i="20" s="1"/>
  <c r="AP28" i="20" s="1"/>
  <c r="AQ28" i="20" s="1"/>
  <c r="AR28" i="20" s="1"/>
  <c r="AS28" i="20" s="1"/>
  <c r="AT28" i="20" s="1"/>
  <c r="AU28" i="20" s="1"/>
  <c r="AV28" i="20" s="1"/>
  <c r="AW28" i="20" s="1"/>
  <c r="AX28" i="20" s="1"/>
  <c r="AY28" i="20" s="1"/>
  <c r="AZ28" i="20" s="1"/>
  <c r="BA28" i="20" s="1"/>
  <c r="BB28" i="20" s="1"/>
  <c r="BC28" i="20" s="1"/>
  <c r="BD28" i="20" s="1"/>
  <c r="BE28" i="20" s="1"/>
  <c r="BF28" i="20" s="1"/>
  <c r="BG28" i="20" s="1"/>
  <c r="BH28" i="20" s="1"/>
  <c r="BI28" i="20" s="1"/>
  <c r="BJ28" i="20" s="1"/>
  <c r="BK28" i="20" s="1"/>
  <c r="BL28" i="20" s="1"/>
  <c r="BM28" i="20" s="1"/>
  <c r="BN28" i="20" s="1"/>
  <c r="BO28" i="20" s="1"/>
  <c r="BP28" i="20" s="1"/>
  <c r="BQ28" i="20" s="1"/>
  <c r="BR28" i="20" s="1"/>
  <c r="BS28" i="20" s="1"/>
  <c r="BT28" i="20" s="1"/>
  <c r="BU28" i="20" s="1"/>
  <c r="BV28" i="20" s="1"/>
  <c r="BW28" i="20" s="1"/>
  <c r="BX28" i="20" s="1"/>
  <c r="BY28" i="20" s="1"/>
  <c r="BZ28" i="20" s="1"/>
  <c r="CA28" i="20" s="1"/>
  <c r="CB28" i="20" s="1"/>
  <c r="CC28" i="20" s="1"/>
  <c r="CD28" i="20" s="1"/>
  <c r="CE28" i="20" s="1"/>
  <c r="CF28" i="20" s="1"/>
  <c r="CG28" i="20" s="1"/>
  <c r="CH28" i="20" s="1"/>
  <c r="CI28" i="20" s="1"/>
  <c r="CJ28" i="20" s="1"/>
  <c r="CK28" i="20" s="1"/>
  <c r="CL28" i="20" s="1"/>
  <c r="CM28" i="20" s="1"/>
  <c r="CN28" i="20" s="1"/>
  <c r="CO28" i="20" s="1"/>
  <c r="CP28" i="20" s="1"/>
  <c r="CQ28" i="20" s="1"/>
  <c r="CR28" i="20" s="1"/>
  <c r="CS28" i="20" s="1"/>
  <c r="CT28" i="20" s="1"/>
  <c r="CU28" i="20" s="1"/>
  <c r="CV28" i="20" s="1"/>
  <c r="CW28" i="20" s="1"/>
  <c r="CX28" i="20" s="1"/>
  <c r="CY28" i="20" s="1"/>
  <c r="CZ28" i="20" s="1"/>
  <c r="DA28" i="20" s="1"/>
  <c r="DB28" i="20" s="1"/>
  <c r="DC28" i="20" s="1"/>
  <c r="DD28" i="20" s="1"/>
  <c r="DE28" i="20" s="1"/>
  <c r="DF28" i="20" s="1"/>
  <c r="DG28" i="20" s="1"/>
  <c r="DH28" i="20" s="1"/>
  <c r="DI28" i="20" s="1"/>
  <c r="DJ28" i="20" s="1"/>
  <c r="DK28" i="20" s="1"/>
  <c r="DL28" i="20" s="1"/>
  <c r="DM28" i="20" s="1"/>
  <c r="DN28" i="20" s="1"/>
  <c r="DO28" i="20" s="1"/>
  <c r="DP28" i="20" s="1"/>
  <c r="B27" i="20"/>
  <c r="C27" i="20" s="1"/>
  <c r="D27" i="20" s="1"/>
  <c r="E27" i="20" s="1"/>
  <c r="F27" i="20" s="1"/>
  <c r="G27" i="20" s="1"/>
  <c r="H27" i="20" s="1"/>
  <c r="I27" i="20" s="1"/>
  <c r="J27" i="20" s="1"/>
  <c r="K27" i="20" s="1"/>
  <c r="L27" i="20" s="1"/>
  <c r="M27" i="20" s="1"/>
  <c r="N27" i="20" s="1"/>
  <c r="O27" i="20" s="1"/>
  <c r="P27" i="20" s="1"/>
  <c r="Q27" i="20" s="1"/>
  <c r="R27" i="20" s="1"/>
  <c r="S27" i="20" s="1"/>
  <c r="T27" i="20" s="1"/>
  <c r="U27" i="20" s="1"/>
  <c r="V27" i="20" s="1"/>
  <c r="W27" i="20" s="1"/>
  <c r="X27" i="20" s="1"/>
  <c r="Y27" i="20" s="1"/>
  <c r="Z27" i="20" s="1"/>
  <c r="AA27" i="20" s="1"/>
  <c r="AB27" i="20" s="1"/>
  <c r="AC27" i="20" s="1"/>
  <c r="AD27" i="20" s="1"/>
  <c r="AE27" i="20" s="1"/>
  <c r="AF27" i="20" s="1"/>
  <c r="AG27" i="20" s="1"/>
  <c r="AH27" i="20" s="1"/>
  <c r="AI27" i="20" s="1"/>
  <c r="AJ27" i="20" s="1"/>
  <c r="AK27" i="20" s="1"/>
  <c r="AL27" i="20" s="1"/>
  <c r="AM27" i="20" s="1"/>
  <c r="AN27" i="20" s="1"/>
  <c r="AO27" i="20" s="1"/>
  <c r="AP27" i="20" s="1"/>
  <c r="AQ27" i="20" s="1"/>
  <c r="AR27" i="20" s="1"/>
  <c r="AS27" i="20" s="1"/>
  <c r="AT27" i="20" s="1"/>
  <c r="AU27" i="20" s="1"/>
  <c r="AV27" i="20" s="1"/>
  <c r="AW27" i="20" s="1"/>
  <c r="AX27" i="20" s="1"/>
  <c r="AY27" i="20" s="1"/>
  <c r="AZ27" i="20" s="1"/>
  <c r="BA27" i="20" s="1"/>
  <c r="BB27" i="20" s="1"/>
  <c r="BC27" i="20" s="1"/>
  <c r="BD27" i="20" s="1"/>
  <c r="BE27" i="20" s="1"/>
  <c r="BF27" i="20" s="1"/>
  <c r="BG27" i="20" s="1"/>
  <c r="BH27" i="20" s="1"/>
  <c r="BI27" i="20" s="1"/>
  <c r="BJ27" i="20" s="1"/>
  <c r="BK27" i="20" s="1"/>
  <c r="BL27" i="20" s="1"/>
  <c r="BM27" i="20" s="1"/>
  <c r="BN27" i="20" s="1"/>
  <c r="BO27" i="20" s="1"/>
  <c r="BP27" i="20" s="1"/>
  <c r="BQ27" i="20" s="1"/>
  <c r="BR27" i="20" s="1"/>
  <c r="BS27" i="20" s="1"/>
  <c r="BT27" i="20" s="1"/>
  <c r="BU27" i="20" s="1"/>
  <c r="BV27" i="20" s="1"/>
  <c r="BW27" i="20" s="1"/>
  <c r="BX27" i="20" s="1"/>
  <c r="BY27" i="20" s="1"/>
  <c r="BZ27" i="20" s="1"/>
  <c r="CA27" i="20" s="1"/>
  <c r="CB27" i="20" s="1"/>
  <c r="CC27" i="20" s="1"/>
  <c r="CD27" i="20" s="1"/>
  <c r="CE27" i="20" s="1"/>
  <c r="CF27" i="20" s="1"/>
  <c r="CG27" i="20" s="1"/>
  <c r="CH27" i="20" s="1"/>
  <c r="CI27" i="20" s="1"/>
  <c r="CJ27" i="20" s="1"/>
  <c r="CK27" i="20" s="1"/>
  <c r="CL27" i="20" s="1"/>
  <c r="CM27" i="20" s="1"/>
  <c r="CN27" i="20" s="1"/>
  <c r="CO27" i="20" s="1"/>
  <c r="CP27" i="20" s="1"/>
  <c r="CQ27" i="20" s="1"/>
  <c r="CR27" i="20" s="1"/>
  <c r="CS27" i="20" s="1"/>
  <c r="CT27" i="20" s="1"/>
  <c r="CU27" i="20" s="1"/>
  <c r="CV27" i="20" s="1"/>
  <c r="CW27" i="20" s="1"/>
  <c r="CX27" i="20" s="1"/>
  <c r="CY27" i="20" s="1"/>
  <c r="CZ27" i="20" s="1"/>
  <c r="DA27" i="20" s="1"/>
  <c r="DB27" i="20" s="1"/>
  <c r="DC27" i="20" s="1"/>
  <c r="DD27" i="20" s="1"/>
  <c r="DE27" i="20" s="1"/>
  <c r="DF27" i="20" s="1"/>
  <c r="DG27" i="20" s="1"/>
  <c r="DH27" i="20" s="1"/>
  <c r="DI27" i="20" s="1"/>
  <c r="DJ27" i="20" s="1"/>
  <c r="DK27" i="20" s="1"/>
  <c r="DL27" i="20" s="1"/>
  <c r="DM27" i="20" s="1"/>
  <c r="DN27" i="20" s="1"/>
  <c r="DO27" i="20" s="1"/>
  <c r="DP27" i="20" s="1"/>
  <c r="B26" i="20"/>
  <c r="C26" i="20" s="1"/>
  <c r="D26" i="20" s="1"/>
  <c r="E26" i="20" s="1"/>
  <c r="F26" i="20" s="1"/>
  <c r="G26" i="20" s="1"/>
  <c r="H26" i="20" s="1"/>
  <c r="I26" i="20" s="1"/>
  <c r="J26" i="20" s="1"/>
  <c r="K26" i="20" s="1"/>
  <c r="L26" i="20" s="1"/>
  <c r="M26" i="20" s="1"/>
  <c r="N26" i="20" s="1"/>
  <c r="O26" i="20" s="1"/>
  <c r="P26" i="20" s="1"/>
  <c r="Q26" i="20" s="1"/>
  <c r="R26" i="20" s="1"/>
  <c r="S26" i="20" s="1"/>
  <c r="T26" i="20" s="1"/>
  <c r="U26" i="20" s="1"/>
  <c r="V26" i="20" s="1"/>
  <c r="W26" i="20" s="1"/>
  <c r="X26" i="20" s="1"/>
  <c r="Y26" i="20" s="1"/>
  <c r="Z26" i="20" s="1"/>
  <c r="AA26" i="20" s="1"/>
  <c r="AB26" i="20" s="1"/>
  <c r="AC26" i="20" s="1"/>
  <c r="AD26" i="20" s="1"/>
  <c r="AE26" i="20" s="1"/>
  <c r="AF26" i="20" s="1"/>
  <c r="AG26" i="20" s="1"/>
  <c r="AH26" i="20" s="1"/>
  <c r="AI26" i="20" s="1"/>
  <c r="AJ26" i="20" s="1"/>
  <c r="AK26" i="20" s="1"/>
  <c r="AL26" i="20" s="1"/>
  <c r="AM26" i="20" s="1"/>
  <c r="AN26" i="20" s="1"/>
  <c r="AO26" i="20" s="1"/>
  <c r="AP26" i="20" s="1"/>
  <c r="AQ26" i="20" s="1"/>
  <c r="AR26" i="20" s="1"/>
  <c r="AS26" i="20" s="1"/>
  <c r="AT26" i="20" s="1"/>
  <c r="AU26" i="20" s="1"/>
  <c r="AV26" i="20" s="1"/>
  <c r="AW26" i="20" s="1"/>
  <c r="AX26" i="20" s="1"/>
  <c r="AY26" i="20" s="1"/>
  <c r="AZ26" i="20" s="1"/>
  <c r="BA26" i="20" s="1"/>
  <c r="BB26" i="20" s="1"/>
  <c r="BC26" i="20" s="1"/>
  <c r="BD26" i="20" s="1"/>
  <c r="BE26" i="20" s="1"/>
  <c r="BF26" i="20" s="1"/>
  <c r="BG26" i="20" s="1"/>
  <c r="BH26" i="20" s="1"/>
  <c r="BI26" i="20" s="1"/>
  <c r="BJ26" i="20" s="1"/>
  <c r="BK26" i="20" s="1"/>
  <c r="BL26" i="20" s="1"/>
  <c r="BM26" i="20" s="1"/>
  <c r="BN26" i="20" s="1"/>
  <c r="BO26" i="20" s="1"/>
  <c r="BP26" i="20" s="1"/>
  <c r="BQ26" i="20" s="1"/>
  <c r="BR26" i="20" s="1"/>
  <c r="BS26" i="20" s="1"/>
  <c r="BT26" i="20" s="1"/>
  <c r="BU26" i="20" s="1"/>
  <c r="BV26" i="20" s="1"/>
  <c r="BW26" i="20" s="1"/>
  <c r="BX26" i="20" s="1"/>
  <c r="BY26" i="20" s="1"/>
  <c r="BZ26" i="20" s="1"/>
  <c r="CA26" i="20" s="1"/>
  <c r="CB26" i="20" s="1"/>
  <c r="CC26" i="20" s="1"/>
  <c r="CD26" i="20" s="1"/>
  <c r="CE26" i="20" s="1"/>
  <c r="CF26" i="20" s="1"/>
  <c r="CG26" i="20" s="1"/>
  <c r="CH26" i="20" s="1"/>
  <c r="CI26" i="20" s="1"/>
  <c r="CJ26" i="20" s="1"/>
  <c r="CK26" i="20" s="1"/>
  <c r="CL26" i="20" s="1"/>
  <c r="CM26" i="20" s="1"/>
  <c r="CN26" i="20" s="1"/>
  <c r="CO26" i="20" s="1"/>
  <c r="CP26" i="20" s="1"/>
  <c r="CQ26" i="20" s="1"/>
  <c r="CR26" i="20" s="1"/>
  <c r="CS26" i="20" s="1"/>
  <c r="CT26" i="20" s="1"/>
  <c r="CU26" i="20" s="1"/>
  <c r="CV26" i="20" s="1"/>
  <c r="CW26" i="20" s="1"/>
  <c r="CX26" i="20" s="1"/>
  <c r="CY26" i="20" s="1"/>
  <c r="CZ26" i="20" s="1"/>
  <c r="DA26" i="20" s="1"/>
  <c r="DB26" i="20" s="1"/>
  <c r="DC26" i="20" s="1"/>
  <c r="DD26" i="20" s="1"/>
  <c r="DE26" i="20" s="1"/>
  <c r="DF26" i="20" s="1"/>
  <c r="DG26" i="20" s="1"/>
  <c r="DH26" i="20" s="1"/>
  <c r="DI26" i="20" s="1"/>
  <c r="DJ26" i="20" s="1"/>
  <c r="DK26" i="20" s="1"/>
  <c r="DL26" i="20" s="1"/>
  <c r="DM26" i="20" s="1"/>
  <c r="DN26" i="20" s="1"/>
  <c r="DO26" i="20" s="1"/>
  <c r="DP26" i="20" s="1"/>
  <c r="B25" i="20"/>
  <c r="C25" i="20" s="1"/>
  <c r="D25" i="20" s="1"/>
  <c r="E25" i="20" s="1"/>
  <c r="F25" i="20" s="1"/>
  <c r="G25" i="20" s="1"/>
  <c r="H25" i="20" s="1"/>
  <c r="I25" i="20" s="1"/>
  <c r="J25" i="20" s="1"/>
  <c r="K25" i="20" s="1"/>
  <c r="L25" i="20" s="1"/>
  <c r="M25" i="20" s="1"/>
  <c r="N25" i="20" s="1"/>
  <c r="O25" i="20" s="1"/>
  <c r="P25" i="20" s="1"/>
  <c r="Q25" i="20" s="1"/>
  <c r="R25" i="20" s="1"/>
  <c r="S25" i="20" s="1"/>
  <c r="T25" i="20" s="1"/>
  <c r="U25" i="20" s="1"/>
  <c r="V25" i="20" s="1"/>
  <c r="W25" i="20" s="1"/>
  <c r="X25" i="20" s="1"/>
  <c r="Y25" i="20" s="1"/>
  <c r="Z25" i="20" s="1"/>
  <c r="AA25" i="20" s="1"/>
  <c r="AB25" i="20" s="1"/>
  <c r="AC25" i="20" s="1"/>
  <c r="AD25" i="20" s="1"/>
  <c r="AE25" i="20" s="1"/>
  <c r="AF25" i="20" s="1"/>
  <c r="AG25" i="20" s="1"/>
  <c r="AH25" i="20" s="1"/>
  <c r="AI25" i="20" s="1"/>
  <c r="AJ25" i="20" s="1"/>
  <c r="AK25" i="20" s="1"/>
  <c r="AL25" i="20" s="1"/>
  <c r="AM25" i="20" s="1"/>
  <c r="AN25" i="20" s="1"/>
  <c r="AO25" i="20" s="1"/>
  <c r="AP25" i="20" s="1"/>
  <c r="AQ25" i="20" s="1"/>
  <c r="AR25" i="20" s="1"/>
  <c r="AS25" i="20" s="1"/>
  <c r="AT25" i="20" s="1"/>
  <c r="AU25" i="20" s="1"/>
  <c r="AV25" i="20" s="1"/>
  <c r="AW25" i="20" s="1"/>
  <c r="AX25" i="20" s="1"/>
  <c r="AY25" i="20" s="1"/>
  <c r="AZ25" i="20" s="1"/>
  <c r="BA25" i="20" s="1"/>
  <c r="BB25" i="20" s="1"/>
  <c r="BC25" i="20" s="1"/>
  <c r="BD25" i="20" s="1"/>
  <c r="BE25" i="20" s="1"/>
  <c r="BF25" i="20" s="1"/>
  <c r="BG25" i="20" s="1"/>
  <c r="BH25" i="20" s="1"/>
  <c r="BI25" i="20" s="1"/>
  <c r="BJ25" i="20" s="1"/>
  <c r="BK25" i="20" s="1"/>
  <c r="BL25" i="20" s="1"/>
  <c r="BM25" i="20" s="1"/>
  <c r="BN25" i="20" s="1"/>
  <c r="BO25" i="20" s="1"/>
  <c r="BP25" i="20" s="1"/>
  <c r="BQ25" i="20" s="1"/>
  <c r="BR25" i="20" s="1"/>
  <c r="BS25" i="20" s="1"/>
  <c r="BT25" i="20" s="1"/>
  <c r="BU25" i="20" s="1"/>
  <c r="BV25" i="20" s="1"/>
  <c r="BW25" i="20" s="1"/>
  <c r="BX25" i="20" s="1"/>
  <c r="BY25" i="20" s="1"/>
  <c r="BZ25" i="20" s="1"/>
  <c r="CA25" i="20" s="1"/>
  <c r="CB25" i="20" s="1"/>
  <c r="CC25" i="20" s="1"/>
  <c r="CD25" i="20" s="1"/>
  <c r="CE25" i="20" s="1"/>
  <c r="CF25" i="20" s="1"/>
  <c r="CG25" i="20" s="1"/>
  <c r="CH25" i="20" s="1"/>
  <c r="CI25" i="20" s="1"/>
  <c r="CJ25" i="20" s="1"/>
  <c r="CK25" i="20" s="1"/>
  <c r="CL25" i="20" s="1"/>
  <c r="CM25" i="20" s="1"/>
  <c r="CN25" i="20" s="1"/>
  <c r="CO25" i="20" s="1"/>
  <c r="CP25" i="20" s="1"/>
  <c r="CQ25" i="20" s="1"/>
  <c r="CR25" i="20" s="1"/>
  <c r="CS25" i="20" s="1"/>
  <c r="CT25" i="20" s="1"/>
  <c r="CU25" i="20" s="1"/>
  <c r="CV25" i="20" s="1"/>
  <c r="CW25" i="20" s="1"/>
  <c r="CX25" i="20" s="1"/>
  <c r="CY25" i="20" s="1"/>
  <c r="CZ25" i="20" s="1"/>
  <c r="DA25" i="20" s="1"/>
  <c r="DB25" i="20" s="1"/>
  <c r="DC25" i="20" s="1"/>
  <c r="DD25" i="20" s="1"/>
  <c r="DE25" i="20" s="1"/>
  <c r="DF25" i="20" s="1"/>
  <c r="DG25" i="20" s="1"/>
  <c r="DH25" i="20" s="1"/>
  <c r="DI25" i="20" s="1"/>
  <c r="DJ25" i="20" s="1"/>
  <c r="DK25" i="20" s="1"/>
  <c r="DL25" i="20" s="1"/>
  <c r="DM25" i="20" s="1"/>
  <c r="DN25" i="20" s="1"/>
  <c r="DO25" i="20" s="1"/>
  <c r="DP25" i="20" s="1"/>
  <c r="B24" i="20"/>
  <c r="C24" i="20" s="1"/>
  <c r="D24" i="20" s="1"/>
  <c r="E24" i="20" s="1"/>
  <c r="F24" i="20" s="1"/>
  <c r="G24" i="20" s="1"/>
  <c r="H24" i="20" s="1"/>
  <c r="I24" i="20" s="1"/>
  <c r="J24" i="20" s="1"/>
  <c r="K24" i="20" s="1"/>
  <c r="L24" i="20" s="1"/>
  <c r="M24" i="20" s="1"/>
  <c r="N24" i="20" s="1"/>
  <c r="O24" i="20" s="1"/>
  <c r="P24" i="20" s="1"/>
  <c r="Q24" i="20" s="1"/>
  <c r="R24" i="20" s="1"/>
  <c r="S24" i="20" s="1"/>
  <c r="T24" i="20" s="1"/>
  <c r="U24" i="20" s="1"/>
  <c r="V24" i="20" s="1"/>
  <c r="W24" i="20" s="1"/>
  <c r="X24" i="20" s="1"/>
  <c r="Y24" i="20" s="1"/>
  <c r="Z24" i="20" s="1"/>
  <c r="AA24" i="20" s="1"/>
  <c r="AB24" i="20" s="1"/>
  <c r="AC24" i="20" s="1"/>
  <c r="AD24" i="20" s="1"/>
  <c r="AE24" i="20" s="1"/>
  <c r="AF24" i="20" s="1"/>
  <c r="AG24" i="20" s="1"/>
  <c r="AH24" i="20" s="1"/>
  <c r="AI24" i="20" s="1"/>
  <c r="AJ24" i="20" s="1"/>
  <c r="AK24" i="20" s="1"/>
  <c r="AL24" i="20" s="1"/>
  <c r="AM24" i="20" s="1"/>
  <c r="AN24" i="20" s="1"/>
  <c r="AO24" i="20" s="1"/>
  <c r="AP24" i="20" s="1"/>
  <c r="AQ24" i="20" s="1"/>
  <c r="AR24" i="20" s="1"/>
  <c r="AS24" i="20" s="1"/>
  <c r="AT24" i="20" s="1"/>
  <c r="AU24" i="20" s="1"/>
  <c r="AV24" i="20" s="1"/>
  <c r="AW24" i="20" s="1"/>
  <c r="AX24" i="20" s="1"/>
  <c r="AY24" i="20" s="1"/>
  <c r="AZ24" i="20" s="1"/>
  <c r="BA24" i="20" s="1"/>
  <c r="BB24" i="20" s="1"/>
  <c r="BC24" i="20" s="1"/>
  <c r="BD24" i="20" s="1"/>
  <c r="BE24" i="20" s="1"/>
  <c r="BF24" i="20" s="1"/>
  <c r="BG24" i="20" s="1"/>
  <c r="BH24" i="20" s="1"/>
  <c r="BI24" i="20" s="1"/>
  <c r="BJ24" i="20" s="1"/>
  <c r="BK24" i="20" s="1"/>
  <c r="BL24" i="20" s="1"/>
  <c r="BM24" i="20" s="1"/>
  <c r="BN24" i="20" s="1"/>
  <c r="BO24" i="20" s="1"/>
  <c r="BP24" i="20" s="1"/>
  <c r="BQ24" i="20" s="1"/>
  <c r="BR24" i="20" s="1"/>
  <c r="BS24" i="20" s="1"/>
  <c r="BT24" i="20" s="1"/>
  <c r="BU24" i="20" s="1"/>
  <c r="BV24" i="20" s="1"/>
  <c r="BW24" i="20" s="1"/>
  <c r="BX24" i="20" s="1"/>
  <c r="BY24" i="20" s="1"/>
  <c r="BZ24" i="20" s="1"/>
  <c r="CA24" i="20" s="1"/>
  <c r="CB24" i="20" s="1"/>
  <c r="CC24" i="20" s="1"/>
  <c r="CD24" i="20" s="1"/>
  <c r="CE24" i="20" s="1"/>
  <c r="CF24" i="20" s="1"/>
  <c r="CG24" i="20" s="1"/>
  <c r="CH24" i="20" s="1"/>
  <c r="CI24" i="20" s="1"/>
  <c r="CJ24" i="20" s="1"/>
  <c r="CK24" i="20" s="1"/>
  <c r="CL24" i="20" s="1"/>
  <c r="CM24" i="20" s="1"/>
  <c r="CN24" i="20" s="1"/>
  <c r="CO24" i="20" s="1"/>
  <c r="CP24" i="20" s="1"/>
  <c r="CQ24" i="20" s="1"/>
  <c r="CR24" i="20" s="1"/>
  <c r="CS24" i="20" s="1"/>
  <c r="CT24" i="20" s="1"/>
  <c r="CU24" i="20" s="1"/>
  <c r="CV24" i="20" s="1"/>
  <c r="CW24" i="20" s="1"/>
  <c r="CX24" i="20" s="1"/>
  <c r="CY24" i="20" s="1"/>
  <c r="CZ24" i="20" s="1"/>
  <c r="DA24" i="20" s="1"/>
  <c r="DB24" i="20" s="1"/>
  <c r="DC24" i="20" s="1"/>
  <c r="DD24" i="20" s="1"/>
  <c r="DE24" i="20" s="1"/>
  <c r="DF24" i="20" s="1"/>
  <c r="DG24" i="20" s="1"/>
  <c r="DH24" i="20" s="1"/>
  <c r="DI24" i="20" s="1"/>
  <c r="DJ24" i="20" s="1"/>
  <c r="DK24" i="20" s="1"/>
  <c r="DL24" i="20" s="1"/>
  <c r="DM24" i="20" s="1"/>
  <c r="DN24" i="20" s="1"/>
  <c r="DO24" i="20" s="1"/>
  <c r="DP24" i="20" s="1"/>
  <c r="B23" i="20"/>
  <c r="C23" i="20" s="1"/>
  <c r="D23" i="20" s="1"/>
  <c r="E23" i="20" s="1"/>
  <c r="F23" i="20" s="1"/>
  <c r="G23" i="20" s="1"/>
  <c r="H23" i="20" s="1"/>
  <c r="I23" i="20" s="1"/>
  <c r="J23" i="20" s="1"/>
  <c r="K23" i="20" s="1"/>
  <c r="L23" i="20" s="1"/>
  <c r="M23" i="20" s="1"/>
  <c r="N23" i="20" s="1"/>
  <c r="O23" i="20" s="1"/>
  <c r="P23" i="20" s="1"/>
  <c r="Q23" i="20" s="1"/>
  <c r="R23" i="20" s="1"/>
  <c r="S23" i="20" s="1"/>
  <c r="T23" i="20" s="1"/>
  <c r="U23" i="20" s="1"/>
  <c r="V23" i="20" s="1"/>
  <c r="W23" i="20" s="1"/>
  <c r="X23" i="20" s="1"/>
  <c r="Y23" i="20" s="1"/>
  <c r="Z23" i="20" s="1"/>
  <c r="AA23" i="20" s="1"/>
  <c r="AB23" i="20" s="1"/>
  <c r="AC23" i="20" s="1"/>
  <c r="AD23" i="20" s="1"/>
  <c r="AE23" i="20" s="1"/>
  <c r="AF23" i="20" s="1"/>
  <c r="AG23" i="20" s="1"/>
  <c r="AH23" i="20" s="1"/>
  <c r="AI23" i="20" s="1"/>
  <c r="AJ23" i="20" s="1"/>
  <c r="AK23" i="20" s="1"/>
  <c r="AL23" i="20" s="1"/>
  <c r="AM23" i="20" s="1"/>
  <c r="AN23" i="20" s="1"/>
  <c r="AO23" i="20" s="1"/>
  <c r="AP23" i="20" s="1"/>
  <c r="AQ23" i="20" s="1"/>
  <c r="AR23" i="20" s="1"/>
  <c r="AS23" i="20" s="1"/>
  <c r="AT23" i="20" s="1"/>
  <c r="AU23" i="20" s="1"/>
  <c r="AV23" i="20" s="1"/>
  <c r="AW23" i="20" s="1"/>
  <c r="AX23" i="20" s="1"/>
  <c r="AY23" i="20" s="1"/>
  <c r="AZ23" i="20" s="1"/>
  <c r="BA23" i="20" s="1"/>
  <c r="BB23" i="20" s="1"/>
  <c r="BC23" i="20" s="1"/>
  <c r="BD23" i="20" s="1"/>
  <c r="BE23" i="20" s="1"/>
  <c r="BF23" i="20" s="1"/>
  <c r="BG23" i="20" s="1"/>
  <c r="BH23" i="20" s="1"/>
  <c r="BI23" i="20" s="1"/>
  <c r="BJ23" i="20" s="1"/>
  <c r="BK23" i="20" s="1"/>
  <c r="BL23" i="20" s="1"/>
  <c r="BM23" i="20" s="1"/>
  <c r="BN23" i="20" s="1"/>
  <c r="BO23" i="20" s="1"/>
  <c r="BP23" i="20" s="1"/>
  <c r="BQ23" i="20" s="1"/>
  <c r="BR23" i="20" s="1"/>
  <c r="BS23" i="20" s="1"/>
  <c r="BT23" i="20" s="1"/>
  <c r="BU23" i="20" s="1"/>
  <c r="BV23" i="20" s="1"/>
  <c r="BW23" i="20" s="1"/>
  <c r="BX23" i="20" s="1"/>
  <c r="BY23" i="20" s="1"/>
  <c r="BZ23" i="20" s="1"/>
  <c r="CA23" i="20" s="1"/>
  <c r="CB23" i="20" s="1"/>
  <c r="CC23" i="20" s="1"/>
  <c r="CD23" i="20" s="1"/>
  <c r="CE23" i="20" s="1"/>
  <c r="CF23" i="20" s="1"/>
  <c r="CG23" i="20" s="1"/>
  <c r="CH23" i="20" s="1"/>
  <c r="CI23" i="20" s="1"/>
  <c r="CJ23" i="20" s="1"/>
  <c r="CK23" i="20" s="1"/>
  <c r="CL23" i="20" s="1"/>
  <c r="CM23" i="20" s="1"/>
  <c r="CN23" i="20" s="1"/>
  <c r="CO23" i="20" s="1"/>
  <c r="CP23" i="20" s="1"/>
  <c r="CQ23" i="20" s="1"/>
  <c r="CR23" i="20" s="1"/>
  <c r="CS23" i="20" s="1"/>
  <c r="CT23" i="20" s="1"/>
  <c r="CU23" i="20" s="1"/>
  <c r="CV23" i="20" s="1"/>
  <c r="CW23" i="20" s="1"/>
  <c r="CX23" i="20" s="1"/>
  <c r="CY23" i="20" s="1"/>
  <c r="CZ23" i="20" s="1"/>
  <c r="DA23" i="20" s="1"/>
  <c r="DB23" i="20" s="1"/>
  <c r="DC23" i="20" s="1"/>
  <c r="DD23" i="20" s="1"/>
  <c r="DE23" i="20" s="1"/>
  <c r="DF23" i="20" s="1"/>
  <c r="DG23" i="20" s="1"/>
  <c r="DH23" i="20" s="1"/>
  <c r="DI23" i="20" s="1"/>
  <c r="DJ23" i="20" s="1"/>
  <c r="DK23" i="20" s="1"/>
  <c r="DL23" i="20" s="1"/>
  <c r="DM23" i="20" s="1"/>
  <c r="DN23" i="20" s="1"/>
  <c r="DO23" i="20" s="1"/>
  <c r="DP23" i="20" s="1"/>
  <c r="B22" i="20"/>
  <c r="C22" i="20" s="1"/>
  <c r="D22" i="20" s="1"/>
  <c r="E22" i="20" s="1"/>
  <c r="F22" i="20" s="1"/>
  <c r="G22" i="20" s="1"/>
  <c r="H22" i="20" s="1"/>
  <c r="I22" i="20" s="1"/>
  <c r="J22" i="20" s="1"/>
  <c r="K22" i="20" s="1"/>
  <c r="L22" i="20" s="1"/>
  <c r="M22" i="20" s="1"/>
  <c r="N22" i="20" s="1"/>
  <c r="O22" i="20" s="1"/>
  <c r="P22" i="20" s="1"/>
  <c r="Q22" i="20" s="1"/>
  <c r="R22" i="20" s="1"/>
  <c r="S22" i="20" s="1"/>
  <c r="T22" i="20" s="1"/>
  <c r="U22" i="20" s="1"/>
  <c r="V22" i="20" s="1"/>
  <c r="W22" i="20" s="1"/>
  <c r="X22" i="20" s="1"/>
  <c r="Y22" i="20" s="1"/>
  <c r="Z22" i="20" s="1"/>
  <c r="AA22" i="20" s="1"/>
  <c r="AB22" i="20" s="1"/>
  <c r="AC22" i="20" s="1"/>
  <c r="AD22" i="20" s="1"/>
  <c r="AE22" i="20" s="1"/>
  <c r="AF22" i="20" s="1"/>
  <c r="AG22" i="20" s="1"/>
  <c r="AH22" i="20" s="1"/>
  <c r="AI22" i="20" s="1"/>
  <c r="AJ22" i="20" s="1"/>
  <c r="AK22" i="20" s="1"/>
  <c r="AL22" i="20" s="1"/>
  <c r="AM22" i="20" s="1"/>
  <c r="AN22" i="20" s="1"/>
  <c r="AO22" i="20" s="1"/>
  <c r="AP22" i="20" s="1"/>
  <c r="AQ22" i="20" s="1"/>
  <c r="AR22" i="20" s="1"/>
  <c r="AS22" i="20" s="1"/>
  <c r="AT22" i="20" s="1"/>
  <c r="AU22" i="20" s="1"/>
  <c r="AV22" i="20" s="1"/>
  <c r="AW22" i="20" s="1"/>
  <c r="AX22" i="20" s="1"/>
  <c r="AY22" i="20" s="1"/>
  <c r="AZ22" i="20" s="1"/>
  <c r="BA22" i="20" s="1"/>
  <c r="BB22" i="20" s="1"/>
  <c r="BC22" i="20" s="1"/>
  <c r="BD22" i="20" s="1"/>
  <c r="BE22" i="20" s="1"/>
  <c r="BF22" i="20" s="1"/>
  <c r="BG22" i="20" s="1"/>
  <c r="BH22" i="20" s="1"/>
  <c r="BI22" i="20" s="1"/>
  <c r="BJ22" i="20" s="1"/>
  <c r="BK22" i="20" s="1"/>
  <c r="BL22" i="20" s="1"/>
  <c r="BM22" i="20" s="1"/>
  <c r="BN22" i="20" s="1"/>
  <c r="BO22" i="20" s="1"/>
  <c r="BP22" i="20" s="1"/>
  <c r="BQ22" i="20" s="1"/>
  <c r="BR22" i="20" s="1"/>
  <c r="BS22" i="20" s="1"/>
  <c r="BT22" i="20" s="1"/>
  <c r="BU22" i="20" s="1"/>
  <c r="BV22" i="20" s="1"/>
  <c r="BW22" i="20" s="1"/>
  <c r="BX22" i="20" s="1"/>
  <c r="BY22" i="20" s="1"/>
  <c r="BZ22" i="20" s="1"/>
  <c r="CA22" i="20" s="1"/>
  <c r="CB22" i="20" s="1"/>
  <c r="CC22" i="20" s="1"/>
  <c r="CD22" i="20" s="1"/>
  <c r="CE22" i="20" s="1"/>
  <c r="CF22" i="20" s="1"/>
  <c r="CG22" i="20" s="1"/>
  <c r="CH22" i="20" s="1"/>
  <c r="CI22" i="20" s="1"/>
  <c r="CJ22" i="20" s="1"/>
  <c r="CK22" i="20" s="1"/>
  <c r="CL22" i="20" s="1"/>
  <c r="CM22" i="20" s="1"/>
  <c r="CN22" i="20" s="1"/>
  <c r="CO22" i="20" s="1"/>
  <c r="CP22" i="20" s="1"/>
  <c r="CQ22" i="20" s="1"/>
  <c r="CR22" i="20" s="1"/>
  <c r="CS22" i="20" s="1"/>
  <c r="CT22" i="20" s="1"/>
  <c r="CU22" i="20" s="1"/>
  <c r="CV22" i="20" s="1"/>
  <c r="CW22" i="20" s="1"/>
  <c r="CX22" i="20" s="1"/>
  <c r="CY22" i="20" s="1"/>
  <c r="CZ22" i="20" s="1"/>
  <c r="DA22" i="20" s="1"/>
  <c r="DB22" i="20" s="1"/>
  <c r="DC22" i="20" s="1"/>
  <c r="DD22" i="20" s="1"/>
  <c r="DE22" i="20" s="1"/>
  <c r="DF22" i="20" s="1"/>
  <c r="DG22" i="20" s="1"/>
  <c r="DH22" i="20" s="1"/>
  <c r="DI22" i="20" s="1"/>
  <c r="DJ22" i="20" s="1"/>
  <c r="DK22" i="20" s="1"/>
  <c r="DL22" i="20" s="1"/>
  <c r="DM22" i="20" s="1"/>
  <c r="DN22" i="20" s="1"/>
  <c r="DO22" i="20" s="1"/>
  <c r="DP22" i="20" s="1"/>
  <c r="B21" i="20"/>
  <c r="C21" i="20" s="1"/>
  <c r="D21" i="20" s="1"/>
  <c r="E21" i="20" s="1"/>
  <c r="F21" i="20" s="1"/>
  <c r="G21" i="20" s="1"/>
  <c r="H21" i="20" s="1"/>
  <c r="I21" i="20" s="1"/>
  <c r="J21" i="20" s="1"/>
  <c r="K21" i="20" s="1"/>
  <c r="L21" i="20" s="1"/>
  <c r="M21" i="20" s="1"/>
  <c r="N21" i="20" s="1"/>
  <c r="O21" i="20" s="1"/>
  <c r="P21" i="20" s="1"/>
  <c r="Q21" i="20" s="1"/>
  <c r="R21" i="20" s="1"/>
  <c r="S21" i="20" s="1"/>
  <c r="T21" i="20" s="1"/>
  <c r="U21" i="20" s="1"/>
  <c r="V21" i="20" s="1"/>
  <c r="W21" i="20" s="1"/>
  <c r="X21" i="20" s="1"/>
  <c r="Y21" i="20" s="1"/>
  <c r="Z21" i="20" s="1"/>
  <c r="AA21" i="20" s="1"/>
  <c r="AB21" i="20" s="1"/>
  <c r="AC21" i="20" s="1"/>
  <c r="AD21" i="20" s="1"/>
  <c r="AE21" i="20" s="1"/>
  <c r="AF21" i="20" s="1"/>
  <c r="AG21" i="20" s="1"/>
  <c r="AH21" i="20" s="1"/>
  <c r="AI21" i="20" s="1"/>
  <c r="AJ21" i="20" s="1"/>
  <c r="AK21" i="20" s="1"/>
  <c r="AL21" i="20" s="1"/>
  <c r="AM21" i="20" s="1"/>
  <c r="AN21" i="20" s="1"/>
  <c r="AO21" i="20" s="1"/>
  <c r="AP21" i="20" s="1"/>
  <c r="AQ21" i="20" s="1"/>
  <c r="AR21" i="20" s="1"/>
  <c r="AS21" i="20" s="1"/>
  <c r="AT21" i="20" s="1"/>
  <c r="AU21" i="20" s="1"/>
  <c r="AV21" i="20" s="1"/>
  <c r="AW21" i="20" s="1"/>
  <c r="AX21" i="20" s="1"/>
  <c r="AY21" i="20" s="1"/>
  <c r="AZ21" i="20" s="1"/>
  <c r="BA21" i="20" s="1"/>
  <c r="BB21" i="20" s="1"/>
  <c r="BC21" i="20" s="1"/>
  <c r="BD21" i="20" s="1"/>
  <c r="BE21" i="20" s="1"/>
  <c r="BF21" i="20" s="1"/>
  <c r="BG21" i="20" s="1"/>
  <c r="BH21" i="20" s="1"/>
  <c r="BI21" i="20" s="1"/>
  <c r="BJ21" i="20" s="1"/>
  <c r="BK21" i="20" s="1"/>
  <c r="BL21" i="20" s="1"/>
  <c r="BM21" i="20" s="1"/>
  <c r="BN21" i="20" s="1"/>
  <c r="BO21" i="20" s="1"/>
  <c r="BP21" i="20" s="1"/>
  <c r="BQ21" i="20" s="1"/>
  <c r="BR21" i="20" s="1"/>
  <c r="BS21" i="20" s="1"/>
  <c r="BT21" i="20" s="1"/>
  <c r="BU21" i="20" s="1"/>
  <c r="BV21" i="20" s="1"/>
  <c r="BW21" i="20" s="1"/>
  <c r="BX21" i="20" s="1"/>
  <c r="BY21" i="20" s="1"/>
  <c r="BZ21" i="20" s="1"/>
  <c r="CA21" i="20" s="1"/>
  <c r="CB21" i="20" s="1"/>
  <c r="CC21" i="20" s="1"/>
  <c r="CD21" i="20" s="1"/>
  <c r="CE21" i="20" s="1"/>
  <c r="CF21" i="20" s="1"/>
  <c r="CG21" i="20" s="1"/>
  <c r="CH21" i="20" s="1"/>
  <c r="CI21" i="20" s="1"/>
  <c r="CJ21" i="20" s="1"/>
  <c r="CK21" i="20" s="1"/>
  <c r="CL21" i="20" s="1"/>
  <c r="CM21" i="20" s="1"/>
  <c r="CN21" i="20" s="1"/>
  <c r="CO21" i="20" s="1"/>
  <c r="CP21" i="20" s="1"/>
  <c r="CQ21" i="20" s="1"/>
  <c r="CR21" i="20" s="1"/>
  <c r="CS21" i="20" s="1"/>
  <c r="CT21" i="20" s="1"/>
  <c r="CU21" i="20" s="1"/>
  <c r="CV21" i="20" s="1"/>
  <c r="CW21" i="20" s="1"/>
  <c r="CX21" i="20" s="1"/>
  <c r="CY21" i="20" s="1"/>
  <c r="CZ21" i="20" s="1"/>
  <c r="DA21" i="20" s="1"/>
  <c r="DB21" i="20" s="1"/>
  <c r="DC21" i="20" s="1"/>
  <c r="DD21" i="20" s="1"/>
  <c r="DE21" i="20" s="1"/>
  <c r="DF21" i="20" s="1"/>
  <c r="DG21" i="20" s="1"/>
  <c r="DH21" i="20" s="1"/>
  <c r="DI21" i="20" s="1"/>
  <c r="DJ21" i="20" s="1"/>
  <c r="DK21" i="20" s="1"/>
  <c r="DL21" i="20" s="1"/>
  <c r="DM21" i="20" s="1"/>
  <c r="DN21" i="20" s="1"/>
  <c r="DO21" i="20" s="1"/>
  <c r="DP21" i="20" s="1"/>
  <c r="B20" i="20"/>
  <c r="C20" i="20" s="1"/>
  <c r="D20" i="20" s="1"/>
  <c r="E20" i="20" s="1"/>
  <c r="F20" i="20" s="1"/>
  <c r="G20" i="20" s="1"/>
  <c r="H20" i="20" s="1"/>
  <c r="I20" i="20" s="1"/>
  <c r="J20" i="20" s="1"/>
  <c r="K20" i="20" s="1"/>
  <c r="L20" i="20" s="1"/>
  <c r="M20" i="20" s="1"/>
  <c r="N20" i="20" s="1"/>
  <c r="O20" i="20" s="1"/>
  <c r="P20" i="20" s="1"/>
  <c r="Q20" i="20" s="1"/>
  <c r="R20" i="20" s="1"/>
  <c r="S20" i="20" s="1"/>
  <c r="T20" i="20" s="1"/>
  <c r="U20" i="20" s="1"/>
  <c r="V20" i="20" s="1"/>
  <c r="W20" i="20" s="1"/>
  <c r="X20" i="20" s="1"/>
  <c r="Y20" i="20" s="1"/>
  <c r="Z20" i="20" s="1"/>
  <c r="AA20" i="20" s="1"/>
  <c r="AB20" i="20" s="1"/>
  <c r="AC20" i="20" s="1"/>
  <c r="AD20" i="20" s="1"/>
  <c r="AE20" i="20" s="1"/>
  <c r="AF20" i="20" s="1"/>
  <c r="AG20" i="20" s="1"/>
  <c r="AH20" i="20" s="1"/>
  <c r="AI20" i="20" s="1"/>
  <c r="AJ20" i="20" s="1"/>
  <c r="AK20" i="20" s="1"/>
  <c r="AL20" i="20" s="1"/>
  <c r="AM20" i="20" s="1"/>
  <c r="AN20" i="20" s="1"/>
  <c r="AO20" i="20" s="1"/>
  <c r="AP20" i="20" s="1"/>
  <c r="AQ20" i="20" s="1"/>
  <c r="AR20" i="20" s="1"/>
  <c r="AS20" i="20" s="1"/>
  <c r="AT20" i="20" s="1"/>
  <c r="AU20" i="20" s="1"/>
  <c r="AV20" i="20" s="1"/>
  <c r="AW20" i="20" s="1"/>
  <c r="AX20" i="20" s="1"/>
  <c r="AY20" i="20" s="1"/>
  <c r="AZ20" i="20" s="1"/>
  <c r="BA20" i="20" s="1"/>
  <c r="BB20" i="20" s="1"/>
  <c r="BC20" i="20" s="1"/>
  <c r="BD20" i="20" s="1"/>
  <c r="BE20" i="20" s="1"/>
  <c r="BF20" i="20" s="1"/>
  <c r="BG20" i="20" s="1"/>
  <c r="BH20" i="20" s="1"/>
  <c r="BI20" i="20" s="1"/>
  <c r="BJ20" i="20" s="1"/>
  <c r="BK20" i="20" s="1"/>
  <c r="BL20" i="20" s="1"/>
  <c r="BM20" i="20" s="1"/>
  <c r="BN20" i="20" s="1"/>
  <c r="BO20" i="20" s="1"/>
  <c r="BP20" i="20" s="1"/>
  <c r="BQ20" i="20" s="1"/>
  <c r="BR20" i="20" s="1"/>
  <c r="BS20" i="20" s="1"/>
  <c r="BT20" i="20" s="1"/>
  <c r="BU20" i="20" s="1"/>
  <c r="BV20" i="20" s="1"/>
  <c r="BW20" i="20" s="1"/>
  <c r="BX20" i="20" s="1"/>
  <c r="BY20" i="20" s="1"/>
  <c r="BZ20" i="20" s="1"/>
  <c r="CA20" i="20" s="1"/>
  <c r="CB20" i="20" s="1"/>
  <c r="CC20" i="20" s="1"/>
  <c r="CD20" i="20" s="1"/>
  <c r="CE20" i="20" s="1"/>
  <c r="CF20" i="20" s="1"/>
  <c r="CG20" i="20" s="1"/>
  <c r="CH20" i="20" s="1"/>
  <c r="CI20" i="20" s="1"/>
  <c r="CJ20" i="20" s="1"/>
  <c r="CK20" i="20" s="1"/>
  <c r="CL20" i="20" s="1"/>
  <c r="CM20" i="20" s="1"/>
  <c r="CN20" i="20" s="1"/>
  <c r="CO20" i="20" s="1"/>
  <c r="CP20" i="20" s="1"/>
  <c r="CQ20" i="20" s="1"/>
  <c r="CR20" i="20" s="1"/>
  <c r="CS20" i="20" s="1"/>
  <c r="CT20" i="20" s="1"/>
  <c r="CU20" i="20" s="1"/>
  <c r="CV20" i="20" s="1"/>
  <c r="CW20" i="20" s="1"/>
  <c r="CX20" i="20" s="1"/>
  <c r="CY20" i="20" s="1"/>
  <c r="CZ20" i="20" s="1"/>
  <c r="DA20" i="20" s="1"/>
  <c r="DB20" i="20" s="1"/>
  <c r="DC20" i="20" s="1"/>
  <c r="DD20" i="20" s="1"/>
  <c r="DE20" i="20" s="1"/>
  <c r="DF20" i="20" s="1"/>
  <c r="DG20" i="20" s="1"/>
  <c r="DH20" i="20" s="1"/>
  <c r="DI20" i="20" s="1"/>
  <c r="DJ20" i="20" s="1"/>
  <c r="DK20" i="20" s="1"/>
  <c r="DL20" i="20" s="1"/>
  <c r="DM20" i="20" s="1"/>
  <c r="DN20" i="20" s="1"/>
  <c r="DO20" i="20" s="1"/>
  <c r="DP20" i="20" s="1"/>
  <c r="B19" i="20"/>
  <c r="C19" i="20" s="1"/>
  <c r="D19" i="20" s="1"/>
  <c r="E19" i="20" s="1"/>
  <c r="F19" i="20" s="1"/>
  <c r="G19" i="20" s="1"/>
  <c r="H19" i="20" s="1"/>
  <c r="I19" i="20" s="1"/>
  <c r="J19" i="20" s="1"/>
  <c r="K19" i="20" s="1"/>
  <c r="L19" i="20" s="1"/>
  <c r="M19" i="20" s="1"/>
  <c r="N19" i="20" s="1"/>
  <c r="O19" i="20" s="1"/>
  <c r="P19" i="20" s="1"/>
  <c r="Q19" i="20" s="1"/>
  <c r="R19" i="20" s="1"/>
  <c r="S19" i="20" s="1"/>
  <c r="T19" i="20" s="1"/>
  <c r="U19" i="20" s="1"/>
  <c r="V19" i="20" s="1"/>
  <c r="W19" i="20" s="1"/>
  <c r="X19" i="20" s="1"/>
  <c r="Y19" i="20" s="1"/>
  <c r="Z19" i="20" s="1"/>
  <c r="AA19" i="20" s="1"/>
  <c r="AB19" i="20" s="1"/>
  <c r="AC19" i="20" s="1"/>
  <c r="AD19" i="20" s="1"/>
  <c r="AE19" i="20" s="1"/>
  <c r="AF19" i="20" s="1"/>
  <c r="AG19" i="20" s="1"/>
  <c r="AH19" i="20" s="1"/>
  <c r="AI19" i="20" s="1"/>
  <c r="AJ19" i="20" s="1"/>
  <c r="AK19" i="20" s="1"/>
  <c r="AL19" i="20" s="1"/>
  <c r="AM19" i="20" s="1"/>
  <c r="AN19" i="20" s="1"/>
  <c r="AO19" i="20" s="1"/>
  <c r="AP19" i="20" s="1"/>
  <c r="AQ19" i="20" s="1"/>
  <c r="AR19" i="20" s="1"/>
  <c r="AS19" i="20" s="1"/>
  <c r="AT19" i="20" s="1"/>
  <c r="AU19" i="20" s="1"/>
  <c r="AV19" i="20" s="1"/>
  <c r="AW19" i="20" s="1"/>
  <c r="AX19" i="20" s="1"/>
  <c r="AY19" i="20" s="1"/>
  <c r="AZ19" i="20" s="1"/>
  <c r="BA19" i="20" s="1"/>
  <c r="BB19" i="20" s="1"/>
  <c r="BC19" i="20" s="1"/>
  <c r="BD19" i="20" s="1"/>
  <c r="BE19" i="20" s="1"/>
  <c r="BF19" i="20" s="1"/>
  <c r="BG19" i="20" s="1"/>
  <c r="BH19" i="20" s="1"/>
  <c r="BI19" i="20" s="1"/>
  <c r="BJ19" i="20" s="1"/>
  <c r="BK19" i="20" s="1"/>
  <c r="BL19" i="20" s="1"/>
  <c r="BM19" i="20" s="1"/>
  <c r="BN19" i="20" s="1"/>
  <c r="BO19" i="20" s="1"/>
  <c r="BP19" i="20" s="1"/>
  <c r="BQ19" i="20" s="1"/>
  <c r="BR19" i="20" s="1"/>
  <c r="BS19" i="20" s="1"/>
  <c r="BT19" i="20" s="1"/>
  <c r="BU19" i="20" s="1"/>
  <c r="BV19" i="20" s="1"/>
  <c r="BW19" i="20" s="1"/>
  <c r="BX19" i="20" s="1"/>
  <c r="BY19" i="20" s="1"/>
  <c r="BZ19" i="20" s="1"/>
  <c r="CA19" i="20" s="1"/>
  <c r="CB19" i="20" s="1"/>
  <c r="CC19" i="20" s="1"/>
  <c r="CD19" i="20" s="1"/>
  <c r="CE19" i="20" s="1"/>
  <c r="CF19" i="20" s="1"/>
  <c r="CG19" i="20" s="1"/>
  <c r="CH19" i="20" s="1"/>
  <c r="CI19" i="20" s="1"/>
  <c r="CJ19" i="20" s="1"/>
  <c r="CK19" i="20" s="1"/>
  <c r="CL19" i="20" s="1"/>
  <c r="CM19" i="20" s="1"/>
  <c r="CN19" i="20" s="1"/>
  <c r="CO19" i="20" s="1"/>
  <c r="CP19" i="20" s="1"/>
  <c r="CQ19" i="20" s="1"/>
  <c r="CR19" i="20" s="1"/>
  <c r="CS19" i="20" s="1"/>
  <c r="CT19" i="20" s="1"/>
  <c r="CU19" i="20" s="1"/>
  <c r="CV19" i="20" s="1"/>
  <c r="CW19" i="20" s="1"/>
  <c r="CX19" i="20" s="1"/>
  <c r="CY19" i="20" s="1"/>
  <c r="CZ19" i="20" s="1"/>
  <c r="DA19" i="20" s="1"/>
  <c r="DB19" i="20" s="1"/>
  <c r="DC19" i="20" s="1"/>
  <c r="DD19" i="20" s="1"/>
  <c r="DE19" i="20" s="1"/>
  <c r="DF19" i="20" s="1"/>
  <c r="DG19" i="20" s="1"/>
  <c r="DH19" i="20" s="1"/>
  <c r="DI19" i="20" s="1"/>
  <c r="DJ19" i="20" s="1"/>
  <c r="DK19" i="20" s="1"/>
  <c r="DL19" i="20" s="1"/>
  <c r="DM19" i="20" s="1"/>
  <c r="DN19" i="20" s="1"/>
  <c r="DO19" i="20" s="1"/>
  <c r="DP19" i="20" s="1"/>
  <c r="B18" i="20"/>
  <c r="C18" i="20" s="1"/>
  <c r="D18" i="20" s="1"/>
  <c r="E18" i="20" s="1"/>
  <c r="F18" i="20" s="1"/>
  <c r="G18" i="20" s="1"/>
  <c r="H18" i="20" s="1"/>
  <c r="I18" i="20" s="1"/>
  <c r="J18" i="20" s="1"/>
  <c r="K18" i="20" s="1"/>
  <c r="L18" i="20" s="1"/>
  <c r="M18" i="20" s="1"/>
  <c r="N18" i="20" s="1"/>
  <c r="O18" i="20" s="1"/>
  <c r="P18" i="20" s="1"/>
  <c r="Q18" i="20" s="1"/>
  <c r="R18" i="20" s="1"/>
  <c r="S18" i="20" s="1"/>
  <c r="T18" i="20" s="1"/>
  <c r="U18" i="20" s="1"/>
  <c r="V18" i="20" s="1"/>
  <c r="W18" i="20" s="1"/>
  <c r="X18" i="20" s="1"/>
  <c r="Y18" i="20" s="1"/>
  <c r="Z18" i="20" s="1"/>
  <c r="AA18" i="20" s="1"/>
  <c r="AB18" i="20" s="1"/>
  <c r="AC18" i="20" s="1"/>
  <c r="AD18" i="20" s="1"/>
  <c r="AE18" i="20" s="1"/>
  <c r="AF18" i="20" s="1"/>
  <c r="AG18" i="20" s="1"/>
  <c r="AH18" i="20" s="1"/>
  <c r="AI18" i="20" s="1"/>
  <c r="AJ18" i="20" s="1"/>
  <c r="AK18" i="20" s="1"/>
  <c r="AL18" i="20" s="1"/>
  <c r="AM18" i="20" s="1"/>
  <c r="AN18" i="20" s="1"/>
  <c r="AO18" i="20" s="1"/>
  <c r="AP18" i="20" s="1"/>
  <c r="AQ18" i="20" s="1"/>
  <c r="AR18" i="20" s="1"/>
  <c r="AS18" i="20" s="1"/>
  <c r="AT18" i="20" s="1"/>
  <c r="AU18" i="20" s="1"/>
  <c r="AV18" i="20" s="1"/>
  <c r="AW18" i="20" s="1"/>
  <c r="AX18" i="20" s="1"/>
  <c r="AY18" i="20" s="1"/>
  <c r="AZ18" i="20" s="1"/>
  <c r="BA18" i="20" s="1"/>
  <c r="BB18" i="20" s="1"/>
  <c r="BC18" i="20" s="1"/>
  <c r="BD18" i="20" s="1"/>
  <c r="BE18" i="20" s="1"/>
  <c r="BF18" i="20" s="1"/>
  <c r="BG18" i="20" s="1"/>
  <c r="BH18" i="20" s="1"/>
  <c r="BI18" i="20" s="1"/>
  <c r="BJ18" i="20" s="1"/>
  <c r="BK18" i="20" s="1"/>
  <c r="BL18" i="20" s="1"/>
  <c r="BM18" i="20" s="1"/>
  <c r="BN18" i="20" s="1"/>
  <c r="BO18" i="20" s="1"/>
  <c r="BP18" i="20" s="1"/>
  <c r="BQ18" i="20" s="1"/>
  <c r="BR18" i="20" s="1"/>
  <c r="BS18" i="20" s="1"/>
  <c r="BT18" i="20" s="1"/>
  <c r="BU18" i="20" s="1"/>
  <c r="BV18" i="20" s="1"/>
  <c r="BW18" i="20" s="1"/>
  <c r="BX18" i="20" s="1"/>
  <c r="BY18" i="20" s="1"/>
  <c r="BZ18" i="20" s="1"/>
  <c r="CA18" i="20" s="1"/>
  <c r="CB18" i="20" s="1"/>
  <c r="CC18" i="20" s="1"/>
  <c r="CD18" i="20" s="1"/>
  <c r="CE18" i="20" s="1"/>
  <c r="CF18" i="20" s="1"/>
  <c r="CG18" i="20" s="1"/>
  <c r="CH18" i="20" s="1"/>
  <c r="CI18" i="20" s="1"/>
  <c r="CJ18" i="20" s="1"/>
  <c r="CK18" i="20" s="1"/>
  <c r="CL18" i="20" s="1"/>
  <c r="CM18" i="20" s="1"/>
  <c r="CN18" i="20" s="1"/>
  <c r="CO18" i="20" s="1"/>
  <c r="CP18" i="20" s="1"/>
  <c r="CQ18" i="20" s="1"/>
  <c r="CR18" i="20" s="1"/>
  <c r="CS18" i="20" s="1"/>
  <c r="CT18" i="20" s="1"/>
  <c r="CU18" i="20" s="1"/>
  <c r="CV18" i="20" s="1"/>
  <c r="CW18" i="20" s="1"/>
  <c r="CX18" i="20" s="1"/>
  <c r="CY18" i="20" s="1"/>
  <c r="CZ18" i="20" s="1"/>
  <c r="DA18" i="20" s="1"/>
  <c r="DB18" i="20" s="1"/>
  <c r="DC18" i="20" s="1"/>
  <c r="DD18" i="20" s="1"/>
  <c r="DE18" i="20" s="1"/>
  <c r="DF18" i="20" s="1"/>
  <c r="DG18" i="20" s="1"/>
  <c r="DH18" i="20" s="1"/>
  <c r="DI18" i="20" s="1"/>
  <c r="DJ18" i="20" s="1"/>
  <c r="DK18" i="20" s="1"/>
  <c r="DL18" i="20" s="1"/>
  <c r="DM18" i="20" s="1"/>
  <c r="DN18" i="20" s="1"/>
  <c r="DO18" i="20" s="1"/>
  <c r="DP18" i="20" s="1"/>
  <c r="B17" i="20"/>
  <c r="C17" i="20" s="1"/>
  <c r="D17" i="20" s="1"/>
  <c r="E17" i="20" s="1"/>
  <c r="F17" i="20" s="1"/>
  <c r="G17" i="20" s="1"/>
  <c r="H17" i="20" s="1"/>
  <c r="I17" i="20" s="1"/>
  <c r="J17" i="20" s="1"/>
  <c r="K17" i="20" s="1"/>
  <c r="L17" i="20" s="1"/>
  <c r="M17" i="20" s="1"/>
  <c r="N17" i="20" s="1"/>
  <c r="O17" i="20" s="1"/>
  <c r="P17" i="20" s="1"/>
  <c r="Q17" i="20" s="1"/>
  <c r="R17" i="20" s="1"/>
  <c r="S17" i="20" s="1"/>
  <c r="T17" i="20" s="1"/>
  <c r="U17" i="20" s="1"/>
  <c r="V17" i="20" s="1"/>
  <c r="W17" i="20" s="1"/>
  <c r="X17" i="20" s="1"/>
  <c r="Y17" i="20" s="1"/>
  <c r="Z17" i="20" s="1"/>
  <c r="AA17" i="20" s="1"/>
  <c r="AB17" i="20" s="1"/>
  <c r="AC17" i="20" s="1"/>
  <c r="AD17" i="20" s="1"/>
  <c r="AE17" i="20" s="1"/>
  <c r="AF17" i="20" s="1"/>
  <c r="AG17" i="20" s="1"/>
  <c r="AH17" i="20" s="1"/>
  <c r="AI17" i="20" s="1"/>
  <c r="AJ17" i="20" s="1"/>
  <c r="AK17" i="20" s="1"/>
  <c r="AL17" i="20" s="1"/>
  <c r="AM17" i="20" s="1"/>
  <c r="AN17" i="20" s="1"/>
  <c r="AO17" i="20" s="1"/>
  <c r="AP17" i="20" s="1"/>
  <c r="AQ17" i="20" s="1"/>
  <c r="AR17" i="20" s="1"/>
  <c r="AS17" i="20" s="1"/>
  <c r="AT17" i="20" s="1"/>
  <c r="AU17" i="20" s="1"/>
  <c r="AV17" i="20" s="1"/>
  <c r="AW17" i="20" s="1"/>
  <c r="AX17" i="20" s="1"/>
  <c r="AY17" i="20" s="1"/>
  <c r="AZ17" i="20" s="1"/>
  <c r="BA17" i="20" s="1"/>
  <c r="BB17" i="20" s="1"/>
  <c r="BC17" i="20" s="1"/>
  <c r="BD17" i="20" s="1"/>
  <c r="BE17" i="20" s="1"/>
  <c r="BF17" i="20" s="1"/>
  <c r="BG17" i="20" s="1"/>
  <c r="BH17" i="20" s="1"/>
  <c r="BI17" i="20" s="1"/>
  <c r="BJ17" i="20" s="1"/>
  <c r="BK17" i="20" s="1"/>
  <c r="BL17" i="20" s="1"/>
  <c r="BM17" i="20" s="1"/>
  <c r="BN17" i="20" s="1"/>
  <c r="BO17" i="20" s="1"/>
  <c r="BP17" i="20" s="1"/>
  <c r="BQ17" i="20" s="1"/>
  <c r="BR17" i="20" s="1"/>
  <c r="BS17" i="20" s="1"/>
  <c r="BT17" i="20" s="1"/>
  <c r="BU17" i="20" s="1"/>
  <c r="BV17" i="20" s="1"/>
  <c r="BW17" i="20" s="1"/>
  <c r="BX17" i="20" s="1"/>
  <c r="BY17" i="20" s="1"/>
  <c r="BZ17" i="20" s="1"/>
  <c r="CA17" i="20" s="1"/>
  <c r="CB17" i="20" s="1"/>
  <c r="CC17" i="20" s="1"/>
  <c r="CD17" i="20" s="1"/>
  <c r="CE17" i="20" s="1"/>
  <c r="CF17" i="20" s="1"/>
  <c r="CG17" i="20" s="1"/>
  <c r="CH17" i="20" s="1"/>
  <c r="CI17" i="20" s="1"/>
  <c r="CJ17" i="20" s="1"/>
  <c r="CK17" i="20" s="1"/>
  <c r="CL17" i="20" s="1"/>
  <c r="CM17" i="20" s="1"/>
  <c r="CN17" i="20" s="1"/>
  <c r="CO17" i="20" s="1"/>
  <c r="CP17" i="20" s="1"/>
  <c r="CQ17" i="20" s="1"/>
  <c r="CR17" i="20" s="1"/>
  <c r="CS17" i="20" s="1"/>
  <c r="CT17" i="20" s="1"/>
  <c r="CU17" i="20" s="1"/>
  <c r="CV17" i="20" s="1"/>
  <c r="CW17" i="20" s="1"/>
  <c r="CX17" i="20" s="1"/>
  <c r="CY17" i="20" s="1"/>
  <c r="CZ17" i="20" s="1"/>
  <c r="DA17" i="20" s="1"/>
  <c r="DB17" i="20" s="1"/>
  <c r="DC17" i="20" s="1"/>
  <c r="DD17" i="20" s="1"/>
  <c r="DE17" i="20" s="1"/>
  <c r="DF17" i="20" s="1"/>
  <c r="DG17" i="20" s="1"/>
  <c r="DH17" i="20" s="1"/>
  <c r="DI17" i="20" s="1"/>
  <c r="DJ17" i="20" s="1"/>
  <c r="DK17" i="20" s="1"/>
  <c r="DL17" i="20" s="1"/>
  <c r="DM17" i="20" s="1"/>
  <c r="DN17" i="20" s="1"/>
  <c r="DO17" i="20" s="1"/>
  <c r="DP17" i="20" s="1"/>
  <c r="B16" i="20"/>
  <c r="C16" i="20" s="1"/>
  <c r="D16" i="20" s="1"/>
  <c r="E16" i="20" s="1"/>
  <c r="F16" i="20" s="1"/>
  <c r="G16" i="20" s="1"/>
  <c r="H16" i="20" s="1"/>
  <c r="I16" i="20" s="1"/>
  <c r="J16" i="20" s="1"/>
  <c r="K16" i="20" s="1"/>
  <c r="L16" i="20" s="1"/>
  <c r="M16" i="20" s="1"/>
  <c r="N16" i="20" s="1"/>
  <c r="O16" i="20" s="1"/>
  <c r="P16" i="20" s="1"/>
  <c r="Q16" i="20" s="1"/>
  <c r="R16" i="20" s="1"/>
  <c r="S16" i="20" s="1"/>
  <c r="T16" i="20" s="1"/>
  <c r="U16" i="20" s="1"/>
  <c r="V16" i="20" s="1"/>
  <c r="W16" i="20" s="1"/>
  <c r="X16" i="20" s="1"/>
  <c r="Y16" i="20" s="1"/>
  <c r="Z16" i="20" s="1"/>
  <c r="AA16" i="20" s="1"/>
  <c r="AB16" i="20" s="1"/>
  <c r="AC16" i="20" s="1"/>
  <c r="AD16" i="20" s="1"/>
  <c r="AE16" i="20" s="1"/>
  <c r="AF16" i="20" s="1"/>
  <c r="AG16" i="20" s="1"/>
  <c r="AH16" i="20" s="1"/>
  <c r="AI16" i="20" s="1"/>
  <c r="AJ16" i="20" s="1"/>
  <c r="AK16" i="20" s="1"/>
  <c r="AL16" i="20" s="1"/>
  <c r="AM16" i="20" s="1"/>
  <c r="AN16" i="20" s="1"/>
  <c r="AO16" i="20" s="1"/>
  <c r="AP16" i="20" s="1"/>
  <c r="AQ16" i="20" s="1"/>
  <c r="AR16" i="20" s="1"/>
  <c r="AS16" i="20" s="1"/>
  <c r="AT16" i="20" s="1"/>
  <c r="AU16" i="20" s="1"/>
  <c r="AV16" i="20" s="1"/>
  <c r="AW16" i="20" s="1"/>
  <c r="AX16" i="20" s="1"/>
  <c r="AY16" i="20" s="1"/>
  <c r="AZ16" i="20" s="1"/>
  <c r="BA16" i="20" s="1"/>
  <c r="BB16" i="20" s="1"/>
  <c r="BC16" i="20" s="1"/>
  <c r="BD16" i="20" s="1"/>
  <c r="BE16" i="20" s="1"/>
  <c r="BF16" i="20" s="1"/>
  <c r="BG16" i="20" s="1"/>
  <c r="BH16" i="20" s="1"/>
  <c r="BI16" i="20" s="1"/>
  <c r="BJ16" i="20" s="1"/>
  <c r="BK16" i="20" s="1"/>
  <c r="BL16" i="20" s="1"/>
  <c r="BM16" i="20" s="1"/>
  <c r="BN16" i="20" s="1"/>
  <c r="BO16" i="20" s="1"/>
  <c r="BP16" i="20" s="1"/>
  <c r="BQ16" i="20" s="1"/>
  <c r="BR16" i="20" s="1"/>
  <c r="BS16" i="20" s="1"/>
  <c r="BT16" i="20" s="1"/>
  <c r="BU16" i="20" s="1"/>
  <c r="BV16" i="20" s="1"/>
  <c r="BW16" i="20" s="1"/>
  <c r="BX16" i="20" s="1"/>
  <c r="BY16" i="20" s="1"/>
  <c r="BZ16" i="20" s="1"/>
  <c r="CA16" i="20" s="1"/>
  <c r="CB16" i="20" s="1"/>
  <c r="CC16" i="20" s="1"/>
  <c r="CD16" i="20" s="1"/>
  <c r="CE16" i="20" s="1"/>
  <c r="CF16" i="20" s="1"/>
  <c r="CG16" i="20" s="1"/>
  <c r="CH16" i="20" s="1"/>
  <c r="CI16" i="20" s="1"/>
  <c r="CJ16" i="20" s="1"/>
  <c r="CK16" i="20" s="1"/>
  <c r="CL16" i="20" s="1"/>
  <c r="CM16" i="20" s="1"/>
  <c r="CN16" i="20" s="1"/>
  <c r="CO16" i="20" s="1"/>
  <c r="CP16" i="20" s="1"/>
  <c r="CQ16" i="20" s="1"/>
  <c r="CR16" i="20" s="1"/>
  <c r="CS16" i="20" s="1"/>
  <c r="CT16" i="20" s="1"/>
  <c r="CU16" i="20" s="1"/>
  <c r="CV16" i="20" s="1"/>
  <c r="CW16" i="20" s="1"/>
  <c r="CX16" i="20" s="1"/>
  <c r="CY16" i="20" s="1"/>
  <c r="CZ16" i="20" s="1"/>
  <c r="DA16" i="20" s="1"/>
  <c r="DB16" i="20" s="1"/>
  <c r="DC16" i="20" s="1"/>
  <c r="DD16" i="20" s="1"/>
  <c r="DE16" i="20" s="1"/>
  <c r="DF16" i="20" s="1"/>
  <c r="DG16" i="20" s="1"/>
  <c r="DH16" i="20" s="1"/>
  <c r="DI16" i="20" s="1"/>
  <c r="DJ16" i="20" s="1"/>
  <c r="DK16" i="20" s="1"/>
  <c r="DL16" i="20" s="1"/>
  <c r="DM16" i="20" s="1"/>
  <c r="DN16" i="20" s="1"/>
  <c r="DO16" i="20" s="1"/>
  <c r="DP16" i="20" s="1"/>
  <c r="B15" i="20"/>
  <c r="C15" i="20" s="1"/>
  <c r="D15" i="20" s="1"/>
  <c r="E15" i="20" s="1"/>
  <c r="F15" i="20" s="1"/>
  <c r="G15" i="20" s="1"/>
  <c r="H15" i="20" s="1"/>
  <c r="I15" i="20" s="1"/>
  <c r="J15" i="20" s="1"/>
  <c r="K15" i="20" s="1"/>
  <c r="L15" i="20" s="1"/>
  <c r="M15" i="20" s="1"/>
  <c r="N15" i="20" s="1"/>
  <c r="O15" i="20" s="1"/>
  <c r="P15" i="20" s="1"/>
  <c r="Q15" i="20" s="1"/>
  <c r="R15" i="20" s="1"/>
  <c r="S15" i="20" s="1"/>
  <c r="T15" i="20" s="1"/>
  <c r="U15" i="20" s="1"/>
  <c r="V15" i="20" s="1"/>
  <c r="W15" i="20" s="1"/>
  <c r="X15" i="20" s="1"/>
  <c r="Y15" i="20" s="1"/>
  <c r="Z15" i="20" s="1"/>
  <c r="AA15" i="20" s="1"/>
  <c r="AB15" i="20" s="1"/>
  <c r="AC15" i="20" s="1"/>
  <c r="AD15" i="20" s="1"/>
  <c r="AE15" i="20" s="1"/>
  <c r="AF15" i="20" s="1"/>
  <c r="AG15" i="20" s="1"/>
  <c r="AH15" i="20" s="1"/>
  <c r="AI15" i="20" s="1"/>
  <c r="AJ15" i="20" s="1"/>
  <c r="AK15" i="20" s="1"/>
  <c r="AL15" i="20" s="1"/>
  <c r="AM15" i="20" s="1"/>
  <c r="AN15" i="20" s="1"/>
  <c r="AO15" i="20" s="1"/>
  <c r="AP15" i="20" s="1"/>
  <c r="AQ15" i="20" s="1"/>
  <c r="AR15" i="20" s="1"/>
  <c r="AS15" i="20" s="1"/>
  <c r="AT15" i="20" s="1"/>
  <c r="AU15" i="20" s="1"/>
  <c r="AV15" i="20" s="1"/>
  <c r="AW15" i="20" s="1"/>
  <c r="AX15" i="20" s="1"/>
  <c r="AY15" i="20" s="1"/>
  <c r="AZ15" i="20" s="1"/>
  <c r="BA15" i="20" s="1"/>
  <c r="BB15" i="20" s="1"/>
  <c r="BC15" i="20" s="1"/>
  <c r="BD15" i="20" s="1"/>
  <c r="BE15" i="20" s="1"/>
  <c r="BF15" i="20" s="1"/>
  <c r="BG15" i="20" s="1"/>
  <c r="BH15" i="20" s="1"/>
  <c r="BI15" i="20" s="1"/>
  <c r="BJ15" i="20" s="1"/>
  <c r="BK15" i="20" s="1"/>
  <c r="BL15" i="20" s="1"/>
  <c r="BM15" i="20" s="1"/>
  <c r="BN15" i="20" s="1"/>
  <c r="BO15" i="20" s="1"/>
  <c r="BP15" i="20" s="1"/>
  <c r="BQ15" i="20" s="1"/>
  <c r="BR15" i="20" s="1"/>
  <c r="BS15" i="20" s="1"/>
  <c r="BT15" i="20" s="1"/>
  <c r="BU15" i="20" s="1"/>
  <c r="BV15" i="20" s="1"/>
  <c r="BW15" i="20" s="1"/>
  <c r="BX15" i="20" s="1"/>
  <c r="BY15" i="20" s="1"/>
  <c r="BZ15" i="20" s="1"/>
  <c r="CA15" i="20" s="1"/>
  <c r="CB15" i="20" s="1"/>
  <c r="CC15" i="20" s="1"/>
  <c r="CD15" i="20" s="1"/>
  <c r="CE15" i="20" s="1"/>
  <c r="CF15" i="20" s="1"/>
  <c r="CG15" i="20" s="1"/>
  <c r="CH15" i="20" s="1"/>
  <c r="CI15" i="20" s="1"/>
  <c r="CJ15" i="20" s="1"/>
  <c r="CK15" i="20" s="1"/>
  <c r="CL15" i="20" s="1"/>
  <c r="CM15" i="20" s="1"/>
  <c r="CN15" i="20" s="1"/>
  <c r="CO15" i="20" s="1"/>
  <c r="CP15" i="20" s="1"/>
  <c r="CQ15" i="20" s="1"/>
  <c r="CR15" i="20" s="1"/>
  <c r="CS15" i="20" s="1"/>
  <c r="CT15" i="20" s="1"/>
  <c r="CU15" i="20" s="1"/>
  <c r="CV15" i="20" s="1"/>
  <c r="CW15" i="20" s="1"/>
  <c r="CX15" i="20" s="1"/>
  <c r="CY15" i="20" s="1"/>
  <c r="CZ15" i="20" s="1"/>
  <c r="DA15" i="20" s="1"/>
  <c r="DB15" i="20" s="1"/>
  <c r="DC15" i="20" s="1"/>
  <c r="DD15" i="20" s="1"/>
  <c r="DE15" i="20" s="1"/>
  <c r="DF15" i="20" s="1"/>
  <c r="DG15" i="20" s="1"/>
  <c r="DH15" i="20" s="1"/>
  <c r="DI15" i="20" s="1"/>
  <c r="DJ15" i="20" s="1"/>
  <c r="DK15" i="20" s="1"/>
  <c r="DL15" i="20" s="1"/>
  <c r="DM15" i="20" s="1"/>
  <c r="DN15" i="20" s="1"/>
  <c r="DO15" i="20" s="1"/>
  <c r="DP15" i="20" s="1"/>
  <c r="B14" i="20"/>
  <c r="C14" i="20" s="1"/>
  <c r="D14" i="20" s="1"/>
  <c r="E14" i="20" s="1"/>
  <c r="F14" i="20" s="1"/>
  <c r="G14" i="20" s="1"/>
  <c r="H14" i="20" s="1"/>
  <c r="I14" i="20" s="1"/>
  <c r="J14" i="20" s="1"/>
  <c r="K14" i="20" s="1"/>
  <c r="L14" i="20" s="1"/>
  <c r="M14" i="20" s="1"/>
  <c r="N14" i="20" s="1"/>
  <c r="O14" i="20" s="1"/>
  <c r="P14" i="20" s="1"/>
  <c r="Q14" i="20" s="1"/>
  <c r="R14" i="20" s="1"/>
  <c r="S14" i="20" s="1"/>
  <c r="T14" i="20" s="1"/>
  <c r="U14" i="20" s="1"/>
  <c r="V14" i="20" s="1"/>
  <c r="W14" i="20" s="1"/>
  <c r="X14" i="20" s="1"/>
  <c r="Y14" i="20" s="1"/>
  <c r="Z14" i="20" s="1"/>
  <c r="AA14" i="20" s="1"/>
  <c r="AB14" i="20" s="1"/>
  <c r="AC14" i="20" s="1"/>
  <c r="AD14" i="20" s="1"/>
  <c r="AE14" i="20" s="1"/>
  <c r="AF14" i="20" s="1"/>
  <c r="AG14" i="20" s="1"/>
  <c r="AH14" i="20" s="1"/>
  <c r="AI14" i="20" s="1"/>
  <c r="AJ14" i="20" s="1"/>
  <c r="AK14" i="20" s="1"/>
  <c r="AL14" i="20" s="1"/>
  <c r="AM14" i="20" s="1"/>
  <c r="AN14" i="20" s="1"/>
  <c r="AO14" i="20" s="1"/>
  <c r="AP14" i="20" s="1"/>
  <c r="AQ14" i="20" s="1"/>
  <c r="AR14" i="20" s="1"/>
  <c r="AS14" i="20" s="1"/>
  <c r="AT14" i="20" s="1"/>
  <c r="AU14" i="20" s="1"/>
  <c r="AV14" i="20" s="1"/>
  <c r="AW14" i="20" s="1"/>
  <c r="AX14" i="20" s="1"/>
  <c r="AY14" i="20" s="1"/>
  <c r="AZ14" i="20" s="1"/>
  <c r="BA14" i="20" s="1"/>
  <c r="BB14" i="20" s="1"/>
  <c r="BC14" i="20" s="1"/>
  <c r="BD14" i="20" s="1"/>
  <c r="BE14" i="20" s="1"/>
  <c r="BF14" i="20" s="1"/>
  <c r="BG14" i="20" s="1"/>
  <c r="BH14" i="20" s="1"/>
  <c r="BI14" i="20" s="1"/>
  <c r="BJ14" i="20" s="1"/>
  <c r="BK14" i="20" s="1"/>
  <c r="BL14" i="20" s="1"/>
  <c r="BM14" i="20" s="1"/>
  <c r="BN14" i="20" s="1"/>
  <c r="BO14" i="20" s="1"/>
  <c r="BP14" i="20" s="1"/>
  <c r="BQ14" i="20" s="1"/>
  <c r="BR14" i="20" s="1"/>
  <c r="BS14" i="20" s="1"/>
  <c r="BT14" i="20" s="1"/>
  <c r="BU14" i="20" s="1"/>
  <c r="BV14" i="20" s="1"/>
  <c r="BW14" i="20" s="1"/>
  <c r="BX14" i="20" s="1"/>
  <c r="BY14" i="20" s="1"/>
  <c r="BZ14" i="20" s="1"/>
  <c r="CA14" i="20" s="1"/>
  <c r="CB14" i="20" s="1"/>
  <c r="CC14" i="20" s="1"/>
  <c r="CD14" i="20" s="1"/>
  <c r="CE14" i="20" s="1"/>
  <c r="CF14" i="20" s="1"/>
  <c r="CG14" i="20" s="1"/>
  <c r="CH14" i="20" s="1"/>
  <c r="CI14" i="20" s="1"/>
  <c r="CJ14" i="20" s="1"/>
  <c r="CK14" i="20" s="1"/>
  <c r="CL14" i="20" s="1"/>
  <c r="CM14" i="20" s="1"/>
  <c r="CN14" i="20" s="1"/>
  <c r="CO14" i="20" s="1"/>
  <c r="CP14" i="20" s="1"/>
  <c r="CQ14" i="20" s="1"/>
  <c r="CR14" i="20" s="1"/>
  <c r="CS14" i="20" s="1"/>
  <c r="CT14" i="20" s="1"/>
  <c r="CU14" i="20" s="1"/>
  <c r="CV14" i="20" s="1"/>
  <c r="CW14" i="20" s="1"/>
  <c r="CX14" i="20" s="1"/>
  <c r="CY14" i="20" s="1"/>
  <c r="CZ14" i="20" s="1"/>
  <c r="DA14" i="20" s="1"/>
  <c r="DB14" i="20" s="1"/>
  <c r="DC14" i="20" s="1"/>
  <c r="DD14" i="20" s="1"/>
  <c r="DE14" i="20" s="1"/>
  <c r="DF14" i="20" s="1"/>
  <c r="DG14" i="20" s="1"/>
  <c r="DH14" i="20" s="1"/>
  <c r="DI14" i="20" s="1"/>
  <c r="DJ14" i="20" s="1"/>
  <c r="DK14" i="20" s="1"/>
  <c r="DL14" i="20" s="1"/>
  <c r="DM14" i="20" s="1"/>
  <c r="DN14" i="20" s="1"/>
  <c r="DO14" i="20" s="1"/>
  <c r="DP14" i="20" s="1"/>
  <c r="B13" i="20"/>
  <c r="C13" i="20" s="1"/>
  <c r="D13" i="20" s="1"/>
  <c r="E13" i="20" s="1"/>
  <c r="F13" i="20" s="1"/>
  <c r="G13" i="20" s="1"/>
  <c r="H13" i="20" s="1"/>
  <c r="I13" i="20" s="1"/>
  <c r="J13" i="20" s="1"/>
  <c r="K13" i="20" s="1"/>
  <c r="L13" i="20" s="1"/>
  <c r="M13" i="20" s="1"/>
  <c r="N13" i="20" s="1"/>
  <c r="O13" i="20" s="1"/>
  <c r="P13" i="20" s="1"/>
  <c r="Q13" i="20" s="1"/>
  <c r="R13" i="20" s="1"/>
  <c r="S13" i="20" s="1"/>
  <c r="T13" i="20" s="1"/>
  <c r="U13" i="20" s="1"/>
  <c r="V13" i="20" s="1"/>
  <c r="W13" i="20" s="1"/>
  <c r="X13" i="20" s="1"/>
  <c r="Y13" i="20" s="1"/>
  <c r="Z13" i="20" s="1"/>
  <c r="AA13" i="20" s="1"/>
  <c r="AB13" i="20" s="1"/>
  <c r="AC13" i="20" s="1"/>
  <c r="AD13" i="20" s="1"/>
  <c r="AE13" i="20" s="1"/>
  <c r="AF13" i="20" s="1"/>
  <c r="AG13" i="20" s="1"/>
  <c r="AH13" i="20" s="1"/>
  <c r="AI13" i="20" s="1"/>
  <c r="AJ13" i="20" s="1"/>
  <c r="AK13" i="20" s="1"/>
  <c r="AL13" i="20" s="1"/>
  <c r="AM13" i="20" s="1"/>
  <c r="AN13" i="20" s="1"/>
  <c r="AO13" i="20" s="1"/>
  <c r="AP13" i="20" s="1"/>
  <c r="AQ13" i="20" s="1"/>
  <c r="AR13" i="20" s="1"/>
  <c r="AS13" i="20" s="1"/>
  <c r="AT13" i="20" s="1"/>
  <c r="AU13" i="20" s="1"/>
  <c r="AV13" i="20" s="1"/>
  <c r="AW13" i="20" s="1"/>
  <c r="AX13" i="20" s="1"/>
  <c r="AY13" i="20" s="1"/>
  <c r="AZ13" i="20" s="1"/>
  <c r="BA13" i="20" s="1"/>
  <c r="BB13" i="20" s="1"/>
  <c r="BC13" i="20" s="1"/>
  <c r="BD13" i="20" s="1"/>
  <c r="BE13" i="20" s="1"/>
  <c r="BF13" i="20" s="1"/>
  <c r="BG13" i="20" s="1"/>
  <c r="BH13" i="20" s="1"/>
  <c r="BI13" i="20" s="1"/>
  <c r="BJ13" i="20" s="1"/>
  <c r="BK13" i="20" s="1"/>
  <c r="BL13" i="20" s="1"/>
  <c r="BM13" i="20" s="1"/>
  <c r="BN13" i="20" s="1"/>
  <c r="BO13" i="20" s="1"/>
  <c r="BP13" i="20" s="1"/>
  <c r="BQ13" i="20" s="1"/>
  <c r="BR13" i="20" s="1"/>
  <c r="BS13" i="20" s="1"/>
  <c r="BT13" i="20" s="1"/>
  <c r="BU13" i="20" s="1"/>
  <c r="BV13" i="20" s="1"/>
  <c r="BW13" i="20" s="1"/>
  <c r="BX13" i="20" s="1"/>
  <c r="BY13" i="20" s="1"/>
  <c r="BZ13" i="20" s="1"/>
  <c r="CA13" i="20" s="1"/>
  <c r="CB13" i="20" s="1"/>
  <c r="CC13" i="20" s="1"/>
  <c r="CD13" i="20" s="1"/>
  <c r="CE13" i="20" s="1"/>
  <c r="CF13" i="20" s="1"/>
  <c r="CG13" i="20" s="1"/>
  <c r="CH13" i="20" s="1"/>
  <c r="CI13" i="20" s="1"/>
  <c r="CJ13" i="20" s="1"/>
  <c r="CK13" i="20" s="1"/>
  <c r="CL13" i="20" s="1"/>
  <c r="CM13" i="20" s="1"/>
  <c r="CN13" i="20" s="1"/>
  <c r="CO13" i="20" s="1"/>
  <c r="CP13" i="20" s="1"/>
  <c r="CQ13" i="20" s="1"/>
  <c r="CR13" i="20" s="1"/>
  <c r="CS13" i="20" s="1"/>
  <c r="CT13" i="20" s="1"/>
  <c r="CU13" i="20" s="1"/>
  <c r="CV13" i="20" s="1"/>
  <c r="CW13" i="20" s="1"/>
  <c r="CX13" i="20" s="1"/>
  <c r="CY13" i="20" s="1"/>
  <c r="CZ13" i="20" s="1"/>
  <c r="DA13" i="20" s="1"/>
  <c r="DB13" i="20" s="1"/>
  <c r="DC13" i="20" s="1"/>
  <c r="DD13" i="20" s="1"/>
  <c r="DE13" i="20" s="1"/>
  <c r="DF13" i="20" s="1"/>
  <c r="DG13" i="20" s="1"/>
  <c r="DH13" i="20" s="1"/>
  <c r="DI13" i="20" s="1"/>
  <c r="DJ13" i="20" s="1"/>
  <c r="DK13" i="20" s="1"/>
  <c r="DL13" i="20" s="1"/>
  <c r="DM13" i="20" s="1"/>
  <c r="DN13" i="20" s="1"/>
  <c r="DO13" i="20" s="1"/>
  <c r="DP13" i="20" s="1"/>
  <c r="B12" i="20"/>
  <c r="C12" i="20" s="1"/>
  <c r="D12" i="20" s="1"/>
  <c r="E12" i="20" s="1"/>
  <c r="F12" i="20" s="1"/>
  <c r="G12" i="20" s="1"/>
  <c r="H12" i="20" s="1"/>
  <c r="I12" i="20" s="1"/>
  <c r="J12" i="20" s="1"/>
  <c r="K12" i="20" s="1"/>
  <c r="L12" i="20" s="1"/>
  <c r="M12" i="20" s="1"/>
  <c r="N12" i="20" s="1"/>
  <c r="O12" i="20" s="1"/>
  <c r="P12" i="20" s="1"/>
  <c r="Q12" i="20" s="1"/>
  <c r="R12" i="20" s="1"/>
  <c r="S12" i="20" s="1"/>
  <c r="T12" i="20" s="1"/>
  <c r="U12" i="20" s="1"/>
  <c r="V12" i="20" s="1"/>
  <c r="W12" i="20" s="1"/>
  <c r="X12" i="20" s="1"/>
  <c r="Y12" i="20" s="1"/>
  <c r="Z12" i="20" s="1"/>
  <c r="AA12" i="20" s="1"/>
  <c r="AB12" i="20" s="1"/>
  <c r="AC12" i="20" s="1"/>
  <c r="AD12" i="20" s="1"/>
  <c r="AE12" i="20" s="1"/>
  <c r="AF12" i="20" s="1"/>
  <c r="AG12" i="20" s="1"/>
  <c r="AH12" i="20" s="1"/>
  <c r="AI12" i="20" s="1"/>
  <c r="AJ12" i="20" s="1"/>
  <c r="AK12" i="20" s="1"/>
  <c r="AL12" i="20" s="1"/>
  <c r="AM12" i="20" s="1"/>
  <c r="AN12" i="20" s="1"/>
  <c r="AO12" i="20" s="1"/>
  <c r="AP12" i="20" s="1"/>
  <c r="AQ12" i="20" s="1"/>
  <c r="AR12" i="20" s="1"/>
  <c r="AS12" i="20" s="1"/>
  <c r="AT12" i="20" s="1"/>
  <c r="AU12" i="20" s="1"/>
  <c r="AV12" i="20" s="1"/>
  <c r="AW12" i="20" s="1"/>
  <c r="AX12" i="20" s="1"/>
  <c r="AY12" i="20" s="1"/>
  <c r="AZ12" i="20" s="1"/>
  <c r="BA12" i="20" s="1"/>
  <c r="BB12" i="20" s="1"/>
  <c r="BC12" i="20" s="1"/>
  <c r="BD12" i="20" s="1"/>
  <c r="BE12" i="20" s="1"/>
  <c r="BF12" i="20" s="1"/>
  <c r="BG12" i="20" s="1"/>
  <c r="BH12" i="20" s="1"/>
  <c r="BI12" i="20" s="1"/>
  <c r="BJ12" i="20" s="1"/>
  <c r="BK12" i="20" s="1"/>
  <c r="BL12" i="20" s="1"/>
  <c r="BM12" i="20" s="1"/>
  <c r="BN12" i="20" s="1"/>
  <c r="BO12" i="20" s="1"/>
  <c r="BP12" i="20" s="1"/>
  <c r="BQ12" i="20" s="1"/>
  <c r="BR12" i="20" s="1"/>
  <c r="BS12" i="20" s="1"/>
  <c r="BT12" i="20" s="1"/>
  <c r="BU12" i="20" s="1"/>
  <c r="BV12" i="20" s="1"/>
  <c r="BW12" i="20" s="1"/>
  <c r="BX12" i="20" s="1"/>
  <c r="BY12" i="20" s="1"/>
  <c r="BZ12" i="20" s="1"/>
  <c r="CA12" i="20" s="1"/>
  <c r="CB12" i="20" s="1"/>
  <c r="CC12" i="20" s="1"/>
  <c r="CD12" i="20" s="1"/>
  <c r="CE12" i="20" s="1"/>
  <c r="CF12" i="20" s="1"/>
  <c r="CG12" i="20" s="1"/>
  <c r="CH12" i="20" s="1"/>
  <c r="CI12" i="20" s="1"/>
  <c r="CJ12" i="20" s="1"/>
  <c r="CK12" i="20" s="1"/>
  <c r="CL12" i="20" s="1"/>
  <c r="CM12" i="20" s="1"/>
  <c r="CN12" i="20" s="1"/>
  <c r="CO12" i="20" s="1"/>
  <c r="CP12" i="20" s="1"/>
  <c r="CQ12" i="20" s="1"/>
  <c r="CR12" i="20" s="1"/>
  <c r="CS12" i="20" s="1"/>
  <c r="CT12" i="20" s="1"/>
  <c r="CU12" i="20" s="1"/>
  <c r="CV12" i="20" s="1"/>
  <c r="CW12" i="20" s="1"/>
  <c r="CX12" i="20" s="1"/>
  <c r="CY12" i="20" s="1"/>
  <c r="CZ12" i="20" s="1"/>
  <c r="DA12" i="20" s="1"/>
  <c r="DB12" i="20" s="1"/>
  <c r="DC12" i="20" s="1"/>
  <c r="DD12" i="20" s="1"/>
  <c r="DE12" i="20" s="1"/>
  <c r="DF12" i="20" s="1"/>
  <c r="DG12" i="20" s="1"/>
  <c r="DH12" i="20" s="1"/>
  <c r="DI12" i="20" s="1"/>
  <c r="DJ12" i="20" s="1"/>
  <c r="DK12" i="20" s="1"/>
  <c r="DL12" i="20" s="1"/>
  <c r="DM12" i="20" s="1"/>
  <c r="DN12" i="20" s="1"/>
  <c r="DO12" i="20" s="1"/>
  <c r="DP12" i="20" s="1"/>
  <c r="B11" i="20"/>
  <c r="C11" i="20" s="1"/>
  <c r="D11" i="20" s="1"/>
  <c r="E11" i="20" s="1"/>
  <c r="F11" i="20" s="1"/>
  <c r="G11" i="20" s="1"/>
  <c r="H11" i="20" s="1"/>
  <c r="I11" i="20" s="1"/>
  <c r="J11" i="20" s="1"/>
  <c r="K11" i="20" s="1"/>
  <c r="L11" i="20" s="1"/>
  <c r="M11" i="20" s="1"/>
  <c r="N11" i="20" s="1"/>
  <c r="O11" i="20" s="1"/>
  <c r="P11" i="20" s="1"/>
  <c r="Q11" i="20" s="1"/>
  <c r="R11" i="20" s="1"/>
  <c r="S11" i="20" s="1"/>
  <c r="T11" i="20" s="1"/>
  <c r="U11" i="20" s="1"/>
  <c r="V11" i="20" s="1"/>
  <c r="W11" i="20" s="1"/>
  <c r="X11" i="20" s="1"/>
  <c r="Y11" i="20" s="1"/>
  <c r="Z11" i="20" s="1"/>
  <c r="AA11" i="20" s="1"/>
  <c r="AB11" i="20" s="1"/>
  <c r="AC11" i="20" s="1"/>
  <c r="AD11" i="20" s="1"/>
  <c r="AE11" i="20" s="1"/>
  <c r="AF11" i="20" s="1"/>
  <c r="AG11" i="20" s="1"/>
  <c r="AH11" i="20" s="1"/>
  <c r="AI11" i="20" s="1"/>
  <c r="AJ11" i="20" s="1"/>
  <c r="AK11" i="20" s="1"/>
  <c r="AL11" i="20" s="1"/>
  <c r="AM11" i="20" s="1"/>
  <c r="AN11" i="20" s="1"/>
  <c r="AO11" i="20" s="1"/>
  <c r="AP11" i="20" s="1"/>
  <c r="AQ11" i="20" s="1"/>
  <c r="AR11" i="20" s="1"/>
  <c r="AS11" i="20" s="1"/>
  <c r="AT11" i="20" s="1"/>
  <c r="AU11" i="20" s="1"/>
  <c r="AV11" i="20" s="1"/>
  <c r="AW11" i="20" s="1"/>
  <c r="AX11" i="20" s="1"/>
  <c r="AY11" i="20" s="1"/>
  <c r="AZ11" i="20" s="1"/>
  <c r="BA11" i="20" s="1"/>
  <c r="BB11" i="20" s="1"/>
  <c r="BC11" i="20" s="1"/>
  <c r="BD11" i="20" s="1"/>
  <c r="BE11" i="20" s="1"/>
  <c r="BF11" i="20" s="1"/>
  <c r="BG11" i="20" s="1"/>
  <c r="BH11" i="20" s="1"/>
  <c r="BI11" i="20" s="1"/>
  <c r="BJ11" i="20" s="1"/>
  <c r="BK11" i="20" s="1"/>
  <c r="BL11" i="20" s="1"/>
  <c r="BM11" i="20" s="1"/>
  <c r="BN11" i="20" s="1"/>
  <c r="BO11" i="20" s="1"/>
  <c r="BP11" i="20" s="1"/>
  <c r="BQ11" i="20" s="1"/>
  <c r="BR11" i="20" s="1"/>
  <c r="BS11" i="20" s="1"/>
  <c r="BT11" i="20" s="1"/>
  <c r="BU11" i="20" s="1"/>
  <c r="BV11" i="20" s="1"/>
  <c r="BW11" i="20" s="1"/>
  <c r="BX11" i="20" s="1"/>
  <c r="BY11" i="20" s="1"/>
  <c r="BZ11" i="20" s="1"/>
  <c r="CA11" i="20" s="1"/>
  <c r="CB11" i="20" s="1"/>
  <c r="CC11" i="20" s="1"/>
  <c r="CD11" i="20" s="1"/>
  <c r="CE11" i="20" s="1"/>
  <c r="CF11" i="20" s="1"/>
  <c r="CG11" i="20" s="1"/>
  <c r="CH11" i="20" s="1"/>
  <c r="CI11" i="20" s="1"/>
  <c r="CJ11" i="20" s="1"/>
  <c r="CK11" i="20" s="1"/>
  <c r="CL11" i="20" s="1"/>
  <c r="CM11" i="20" s="1"/>
  <c r="CN11" i="20" s="1"/>
  <c r="CO11" i="20" s="1"/>
  <c r="CP11" i="20" s="1"/>
  <c r="CQ11" i="20" s="1"/>
  <c r="CR11" i="20" s="1"/>
  <c r="CS11" i="20" s="1"/>
  <c r="CT11" i="20" s="1"/>
  <c r="CU11" i="20" s="1"/>
  <c r="CV11" i="20" s="1"/>
  <c r="CW11" i="20" s="1"/>
  <c r="CX11" i="20" s="1"/>
  <c r="CY11" i="20" s="1"/>
  <c r="CZ11" i="20" s="1"/>
  <c r="DA11" i="20" s="1"/>
  <c r="DB11" i="20" s="1"/>
  <c r="DC11" i="20" s="1"/>
  <c r="DD11" i="20" s="1"/>
  <c r="DE11" i="20" s="1"/>
  <c r="DF11" i="20" s="1"/>
  <c r="DG11" i="20" s="1"/>
  <c r="DH11" i="20" s="1"/>
  <c r="DI11" i="20" s="1"/>
  <c r="DJ11" i="20" s="1"/>
  <c r="DK11" i="20" s="1"/>
  <c r="DL11" i="20" s="1"/>
  <c r="DM11" i="20" s="1"/>
  <c r="DN11" i="20" s="1"/>
  <c r="DO11" i="20" s="1"/>
  <c r="DP11" i="20" s="1"/>
  <c r="B10" i="20"/>
  <c r="C10" i="20" s="1"/>
  <c r="D10" i="20" s="1"/>
  <c r="E10" i="20" s="1"/>
  <c r="F10" i="20" s="1"/>
  <c r="G10" i="20" s="1"/>
  <c r="H10" i="20" s="1"/>
  <c r="I10" i="20" s="1"/>
  <c r="J10" i="20" s="1"/>
  <c r="K10" i="20" s="1"/>
  <c r="L10" i="20" s="1"/>
  <c r="M10" i="20" s="1"/>
  <c r="N10" i="20" s="1"/>
  <c r="O10" i="20" s="1"/>
  <c r="P10" i="20" s="1"/>
  <c r="Q10" i="20" s="1"/>
  <c r="R10" i="20" s="1"/>
  <c r="S10" i="20" s="1"/>
  <c r="T10" i="20" s="1"/>
  <c r="U10" i="20" s="1"/>
  <c r="V10" i="20" s="1"/>
  <c r="W10" i="20" s="1"/>
  <c r="X10" i="20" s="1"/>
  <c r="Y10" i="20" s="1"/>
  <c r="Z10" i="20" s="1"/>
  <c r="AA10" i="20" s="1"/>
  <c r="AB10" i="20" s="1"/>
  <c r="AC10" i="20" s="1"/>
  <c r="AD10" i="20" s="1"/>
  <c r="AE10" i="20" s="1"/>
  <c r="AF10" i="20" s="1"/>
  <c r="AG10" i="20" s="1"/>
  <c r="AH10" i="20" s="1"/>
  <c r="AI10" i="20" s="1"/>
  <c r="AJ10" i="20" s="1"/>
  <c r="AK10" i="20" s="1"/>
  <c r="AL10" i="20" s="1"/>
  <c r="AM10" i="20" s="1"/>
  <c r="AN10" i="20" s="1"/>
  <c r="AO10" i="20" s="1"/>
  <c r="AP10" i="20" s="1"/>
  <c r="AQ10" i="20" s="1"/>
  <c r="AR10" i="20" s="1"/>
  <c r="AS10" i="20" s="1"/>
  <c r="AT10" i="20" s="1"/>
  <c r="AU10" i="20" s="1"/>
  <c r="AV10" i="20" s="1"/>
  <c r="AW10" i="20" s="1"/>
  <c r="AX10" i="20" s="1"/>
  <c r="AY10" i="20" s="1"/>
  <c r="AZ10" i="20" s="1"/>
  <c r="BA10" i="20" s="1"/>
  <c r="BB10" i="20" s="1"/>
  <c r="BC10" i="20" s="1"/>
  <c r="BD10" i="20" s="1"/>
  <c r="BE10" i="20" s="1"/>
  <c r="BF10" i="20" s="1"/>
  <c r="BG10" i="20" s="1"/>
  <c r="BH10" i="20" s="1"/>
  <c r="BI10" i="20" s="1"/>
  <c r="BJ10" i="20" s="1"/>
  <c r="BK10" i="20" s="1"/>
  <c r="BL10" i="20" s="1"/>
  <c r="BM10" i="20" s="1"/>
  <c r="BN10" i="20" s="1"/>
  <c r="BO10" i="20" s="1"/>
  <c r="BP10" i="20" s="1"/>
  <c r="BQ10" i="20" s="1"/>
  <c r="BR10" i="20" s="1"/>
  <c r="BS10" i="20" s="1"/>
  <c r="BT10" i="20" s="1"/>
  <c r="BU10" i="20" s="1"/>
  <c r="BV10" i="20" s="1"/>
  <c r="BW10" i="20" s="1"/>
  <c r="BX10" i="20" s="1"/>
  <c r="BY10" i="20" s="1"/>
  <c r="BZ10" i="20" s="1"/>
  <c r="CA10" i="20" s="1"/>
  <c r="CB10" i="20" s="1"/>
  <c r="CC10" i="20" s="1"/>
  <c r="CD10" i="20" s="1"/>
  <c r="CE10" i="20" s="1"/>
  <c r="CF10" i="20" s="1"/>
  <c r="CG10" i="20" s="1"/>
  <c r="CH10" i="20" s="1"/>
  <c r="CI10" i="20" s="1"/>
  <c r="CJ10" i="20" s="1"/>
  <c r="CK10" i="20" s="1"/>
  <c r="CL10" i="20" s="1"/>
  <c r="CM10" i="20" s="1"/>
  <c r="CN10" i="20" s="1"/>
  <c r="CO10" i="20" s="1"/>
  <c r="CP10" i="20" s="1"/>
  <c r="CQ10" i="20" s="1"/>
  <c r="CR10" i="20" s="1"/>
  <c r="CS10" i="20" s="1"/>
  <c r="CT10" i="20" s="1"/>
  <c r="CU10" i="20" s="1"/>
  <c r="CV10" i="20" s="1"/>
  <c r="CW10" i="20" s="1"/>
  <c r="CX10" i="20" s="1"/>
  <c r="CY10" i="20" s="1"/>
  <c r="CZ10" i="20" s="1"/>
  <c r="DA10" i="20" s="1"/>
  <c r="DB10" i="20" s="1"/>
  <c r="DC10" i="20" s="1"/>
  <c r="DD10" i="20" s="1"/>
  <c r="DE10" i="20" s="1"/>
  <c r="DF10" i="20" s="1"/>
  <c r="DG10" i="20" s="1"/>
  <c r="DH10" i="20" s="1"/>
  <c r="DI10" i="20" s="1"/>
  <c r="DJ10" i="20" s="1"/>
  <c r="DK10" i="20" s="1"/>
  <c r="DL10" i="20" s="1"/>
  <c r="DM10" i="20" s="1"/>
  <c r="DN10" i="20" s="1"/>
  <c r="DO10" i="20" s="1"/>
  <c r="DP10" i="20" s="1"/>
  <c r="B9" i="20"/>
  <c r="C9" i="20" s="1"/>
  <c r="D9" i="20" s="1"/>
  <c r="E9" i="20" s="1"/>
  <c r="F9" i="20" s="1"/>
  <c r="G9" i="20" s="1"/>
  <c r="H9" i="20" s="1"/>
  <c r="I9" i="20" s="1"/>
  <c r="J9" i="20" s="1"/>
  <c r="K9" i="20" s="1"/>
  <c r="L9" i="20" s="1"/>
  <c r="M9" i="20" s="1"/>
  <c r="N9" i="20" s="1"/>
  <c r="O9" i="20" s="1"/>
  <c r="P9" i="20" s="1"/>
  <c r="Q9" i="20" s="1"/>
  <c r="R9" i="20" s="1"/>
  <c r="S9" i="20" s="1"/>
  <c r="T9" i="20" s="1"/>
  <c r="U9" i="20" s="1"/>
  <c r="V9" i="20" s="1"/>
  <c r="W9" i="20" s="1"/>
  <c r="X9" i="20" s="1"/>
  <c r="Y9" i="20" s="1"/>
  <c r="Z9" i="20" s="1"/>
  <c r="AA9" i="20" s="1"/>
  <c r="AB9" i="20" s="1"/>
  <c r="AC9" i="20" s="1"/>
  <c r="AD9" i="20" s="1"/>
  <c r="AE9" i="20" s="1"/>
  <c r="AF9" i="20" s="1"/>
  <c r="AG9" i="20" s="1"/>
  <c r="AH9" i="20" s="1"/>
  <c r="AI9" i="20" s="1"/>
  <c r="AJ9" i="20" s="1"/>
  <c r="AK9" i="20" s="1"/>
  <c r="AL9" i="20" s="1"/>
  <c r="AM9" i="20" s="1"/>
  <c r="AN9" i="20" s="1"/>
  <c r="AO9" i="20" s="1"/>
  <c r="AP9" i="20" s="1"/>
  <c r="AQ9" i="20" s="1"/>
  <c r="AR9" i="20" s="1"/>
  <c r="AS9" i="20" s="1"/>
  <c r="AT9" i="20" s="1"/>
  <c r="AU9" i="20" s="1"/>
  <c r="AV9" i="20" s="1"/>
  <c r="AW9" i="20" s="1"/>
  <c r="AX9" i="20" s="1"/>
  <c r="AY9" i="20" s="1"/>
  <c r="AZ9" i="20" s="1"/>
  <c r="BA9" i="20" s="1"/>
  <c r="BB9" i="20" s="1"/>
  <c r="BC9" i="20" s="1"/>
  <c r="BD9" i="20" s="1"/>
  <c r="BE9" i="20" s="1"/>
  <c r="BF9" i="20" s="1"/>
  <c r="BG9" i="20" s="1"/>
  <c r="BH9" i="20" s="1"/>
  <c r="BI9" i="20" s="1"/>
  <c r="BJ9" i="20" s="1"/>
  <c r="BK9" i="20" s="1"/>
  <c r="BL9" i="20" s="1"/>
  <c r="BM9" i="20" s="1"/>
  <c r="BN9" i="20" s="1"/>
  <c r="BO9" i="20" s="1"/>
  <c r="BP9" i="20" s="1"/>
  <c r="BQ9" i="20" s="1"/>
  <c r="BR9" i="20" s="1"/>
  <c r="BS9" i="20" s="1"/>
  <c r="BT9" i="20" s="1"/>
  <c r="BU9" i="20" s="1"/>
  <c r="BV9" i="20" s="1"/>
  <c r="BW9" i="20" s="1"/>
  <c r="BX9" i="20" s="1"/>
  <c r="BY9" i="20" s="1"/>
  <c r="BZ9" i="20" s="1"/>
  <c r="CA9" i="20" s="1"/>
  <c r="CB9" i="20" s="1"/>
  <c r="CC9" i="20" s="1"/>
  <c r="CD9" i="20" s="1"/>
  <c r="CE9" i="20" s="1"/>
  <c r="CF9" i="20" s="1"/>
  <c r="CG9" i="20" s="1"/>
  <c r="CH9" i="20" s="1"/>
  <c r="CI9" i="20" s="1"/>
  <c r="CJ9" i="20" s="1"/>
  <c r="CK9" i="20" s="1"/>
  <c r="CL9" i="20" s="1"/>
  <c r="CM9" i="20" s="1"/>
  <c r="CN9" i="20" s="1"/>
  <c r="CO9" i="20" s="1"/>
  <c r="CP9" i="20" s="1"/>
  <c r="CQ9" i="20" s="1"/>
  <c r="CR9" i="20" s="1"/>
  <c r="CS9" i="20" s="1"/>
  <c r="CT9" i="20" s="1"/>
  <c r="CU9" i="20" s="1"/>
  <c r="CV9" i="20" s="1"/>
  <c r="CW9" i="20" s="1"/>
  <c r="CX9" i="20" s="1"/>
  <c r="CY9" i="20" s="1"/>
  <c r="CZ9" i="20" s="1"/>
  <c r="DA9" i="20" s="1"/>
  <c r="DB9" i="20" s="1"/>
  <c r="DC9" i="20" s="1"/>
  <c r="DD9" i="20" s="1"/>
  <c r="DE9" i="20" s="1"/>
  <c r="DF9" i="20" s="1"/>
  <c r="DG9" i="20" s="1"/>
  <c r="DH9" i="20" s="1"/>
  <c r="DI9" i="20" s="1"/>
  <c r="DJ9" i="20" s="1"/>
  <c r="DK9" i="20" s="1"/>
  <c r="DL9" i="20" s="1"/>
  <c r="DM9" i="20" s="1"/>
  <c r="DN9" i="20" s="1"/>
  <c r="DO9" i="20" s="1"/>
  <c r="DP9" i="20" s="1"/>
  <c r="B8" i="20"/>
  <c r="C8" i="20" s="1"/>
  <c r="D8" i="20" s="1"/>
  <c r="E8" i="20" s="1"/>
  <c r="F8" i="20" s="1"/>
  <c r="G8" i="20" s="1"/>
  <c r="H8" i="20" s="1"/>
  <c r="I8" i="20" s="1"/>
  <c r="J8" i="20" s="1"/>
  <c r="K8" i="20" s="1"/>
  <c r="L8" i="20" s="1"/>
  <c r="M8" i="20" s="1"/>
  <c r="N8" i="20" s="1"/>
  <c r="O8" i="20" s="1"/>
  <c r="P8" i="20" s="1"/>
  <c r="Q8" i="20" s="1"/>
  <c r="R8" i="20" s="1"/>
  <c r="S8" i="20" s="1"/>
  <c r="T8" i="20" s="1"/>
  <c r="U8" i="20" s="1"/>
  <c r="V8" i="20" s="1"/>
  <c r="W8" i="20" s="1"/>
  <c r="X8" i="20" s="1"/>
  <c r="Y8" i="20" s="1"/>
  <c r="Z8" i="20" s="1"/>
  <c r="AA8" i="20" s="1"/>
  <c r="AB8" i="20" s="1"/>
  <c r="AC8" i="20" s="1"/>
  <c r="AD8" i="20" s="1"/>
  <c r="AE8" i="20" s="1"/>
  <c r="AF8" i="20" s="1"/>
  <c r="AG8" i="20" s="1"/>
  <c r="AH8" i="20" s="1"/>
  <c r="AI8" i="20" s="1"/>
  <c r="AJ8" i="20" s="1"/>
  <c r="AK8" i="20" s="1"/>
  <c r="AL8" i="20" s="1"/>
  <c r="AM8" i="20" s="1"/>
  <c r="AN8" i="20" s="1"/>
  <c r="AO8" i="20" s="1"/>
  <c r="AP8" i="20" s="1"/>
  <c r="AQ8" i="20" s="1"/>
  <c r="AR8" i="20" s="1"/>
  <c r="AS8" i="20" s="1"/>
  <c r="AT8" i="20" s="1"/>
  <c r="AU8" i="20" s="1"/>
  <c r="AV8" i="20" s="1"/>
  <c r="AW8" i="20" s="1"/>
  <c r="AX8" i="20" s="1"/>
  <c r="AY8" i="20" s="1"/>
  <c r="AZ8" i="20" s="1"/>
  <c r="BA8" i="20" s="1"/>
  <c r="BB8" i="20" s="1"/>
  <c r="BC8" i="20" s="1"/>
  <c r="BD8" i="20" s="1"/>
  <c r="BE8" i="20" s="1"/>
  <c r="BF8" i="20" s="1"/>
  <c r="BG8" i="20" s="1"/>
  <c r="BH8" i="20" s="1"/>
  <c r="BI8" i="20" s="1"/>
  <c r="BJ8" i="20" s="1"/>
  <c r="BK8" i="20" s="1"/>
  <c r="BL8" i="20" s="1"/>
  <c r="BM8" i="20" s="1"/>
  <c r="BN8" i="20" s="1"/>
  <c r="BO8" i="20" s="1"/>
  <c r="BP8" i="20" s="1"/>
  <c r="BQ8" i="20" s="1"/>
  <c r="BR8" i="20" s="1"/>
  <c r="BS8" i="20" s="1"/>
  <c r="BT8" i="20" s="1"/>
  <c r="BU8" i="20" s="1"/>
  <c r="BV8" i="20" s="1"/>
  <c r="BW8" i="20" s="1"/>
  <c r="BX8" i="20" s="1"/>
  <c r="BY8" i="20" s="1"/>
  <c r="BZ8" i="20" s="1"/>
  <c r="CA8" i="20" s="1"/>
  <c r="CB8" i="20" s="1"/>
  <c r="CC8" i="20" s="1"/>
  <c r="CD8" i="20" s="1"/>
  <c r="CE8" i="20" s="1"/>
  <c r="CF8" i="20" s="1"/>
  <c r="CG8" i="20" s="1"/>
  <c r="CH8" i="20" s="1"/>
  <c r="CI8" i="20" s="1"/>
  <c r="CJ8" i="20" s="1"/>
  <c r="CK8" i="20" s="1"/>
  <c r="CL8" i="20" s="1"/>
  <c r="CM8" i="20" s="1"/>
  <c r="CN8" i="20" s="1"/>
  <c r="CO8" i="20" s="1"/>
  <c r="CP8" i="20" s="1"/>
  <c r="CQ8" i="20" s="1"/>
  <c r="CR8" i="20" s="1"/>
  <c r="CS8" i="20" s="1"/>
  <c r="CT8" i="20" s="1"/>
  <c r="CU8" i="20" s="1"/>
  <c r="CV8" i="20" s="1"/>
  <c r="CW8" i="20" s="1"/>
  <c r="CX8" i="20" s="1"/>
  <c r="CY8" i="20" s="1"/>
  <c r="CZ8" i="20" s="1"/>
  <c r="DA8" i="20" s="1"/>
  <c r="DB8" i="20" s="1"/>
  <c r="DC8" i="20" s="1"/>
  <c r="DD8" i="20" s="1"/>
  <c r="DE8" i="20" s="1"/>
  <c r="DF8" i="20" s="1"/>
  <c r="DG8" i="20" s="1"/>
  <c r="DH8" i="20" s="1"/>
  <c r="DI8" i="20" s="1"/>
  <c r="DJ8" i="20" s="1"/>
  <c r="DK8" i="20" s="1"/>
  <c r="DL8" i="20" s="1"/>
  <c r="DM8" i="20" s="1"/>
  <c r="DN8" i="20" s="1"/>
  <c r="DO8" i="20" s="1"/>
  <c r="DP8" i="20" s="1"/>
  <c r="B7" i="20"/>
  <c r="C7" i="20" s="1"/>
  <c r="D7" i="20" s="1"/>
  <c r="E7" i="20" s="1"/>
  <c r="F7" i="20" s="1"/>
  <c r="G7" i="20" s="1"/>
  <c r="H7" i="20" s="1"/>
  <c r="I7" i="20" s="1"/>
  <c r="J7" i="20" s="1"/>
  <c r="K7" i="20" s="1"/>
  <c r="L7" i="20" s="1"/>
  <c r="M7" i="20" s="1"/>
  <c r="N7" i="20" s="1"/>
  <c r="O7" i="20" s="1"/>
  <c r="P7" i="20" s="1"/>
  <c r="Q7" i="20" s="1"/>
  <c r="R7" i="20" s="1"/>
  <c r="S7" i="20" s="1"/>
  <c r="T7" i="20" s="1"/>
  <c r="U7" i="20" s="1"/>
  <c r="V7" i="20" s="1"/>
  <c r="W7" i="20" s="1"/>
  <c r="X7" i="20" s="1"/>
  <c r="Y7" i="20" s="1"/>
  <c r="Z7" i="20" s="1"/>
  <c r="AA7" i="20" s="1"/>
  <c r="AB7" i="20" s="1"/>
  <c r="AC7" i="20" s="1"/>
  <c r="AD7" i="20" s="1"/>
  <c r="AE7" i="20" s="1"/>
  <c r="AF7" i="20" s="1"/>
  <c r="AG7" i="20" s="1"/>
  <c r="AH7" i="20" s="1"/>
  <c r="AI7" i="20" s="1"/>
  <c r="AJ7" i="20" s="1"/>
  <c r="AK7" i="20" s="1"/>
  <c r="AL7" i="20" s="1"/>
  <c r="AM7" i="20" s="1"/>
  <c r="AN7" i="20" s="1"/>
  <c r="AO7" i="20" s="1"/>
  <c r="AP7" i="20" s="1"/>
  <c r="AQ7" i="20" s="1"/>
  <c r="AR7" i="20" s="1"/>
  <c r="AS7" i="20" s="1"/>
  <c r="AT7" i="20" s="1"/>
  <c r="AU7" i="20" s="1"/>
  <c r="AV7" i="20" s="1"/>
  <c r="AW7" i="20" s="1"/>
  <c r="AX7" i="20" s="1"/>
  <c r="AY7" i="20" s="1"/>
  <c r="AZ7" i="20" s="1"/>
  <c r="BA7" i="20" s="1"/>
  <c r="BB7" i="20" s="1"/>
  <c r="BC7" i="20" s="1"/>
  <c r="BD7" i="20" s="1"/>
  <c r="BE7" i="20" s="1"/>
  <c r="BF7" i="20" s="1"/>
  <c r="BG7" i="20" s="1"/>
  <c r="BH7" i="20" s="1"/>
  <c r="BI7" i="20" s="1"/>
  <c r="BJ7" i="20" s="1"/>
  <c r="BK7" i="20" s="1"/>
  <c r="BL7" i="20" s="1"/>
  <c r="BM7" i="20" s="1"/>
  <c r="BN7" i="20" s="1"/>
  <c r="BO7" i="20" s="1"/>
  <c r="BP7" i="20" s="1"/>
  <c r="BQ7" i="20" s="1"/>
  <c r="BR7" i="20" s="1"/>
  <c r="BS7" i="20" s="1"/>
  <c r="BT7" i="20" s="1"/>
  <c r="BU7" i="20" s="1"/>
  <c r="BV7" i="20" s="1"/>
  <c r="BW7" i="20" s="1"/>
  <c r="BX7" i="20" s="1"/>
  <c r="BY7" i="20" s="1"/>
  <c r="BZ7" i="20" s="1"/>
  <c r="CA7" i="20" s="1"/>
  <c r="CB7" i="20" s="1"/>
  <c r="CC7" i="20" s="1"/>
  <c r="CD7" i="20" s="1"/>
  <c r="CE7" i="20" s="1"/>
  <c r="CF7" i="20" s="1"/>
  <c r="CG7" i="20" s="1"/>
  <c r="CH7" i="20" s="1"/>
  <c r="CI7" i="20" s="1"/>
  <c r="CJ7" i="20" s="1"/>
  <c r="CK7" i="20" s="1"/>
  <c r="CL7" i="20" s="1"/>
  <c r="CM7" i="20" s="1"/>
  <c r="CN7" i="20" s="1"/>
  <c r="CO7" i="20" s="1"/>
  <c r="CP7" i="20" s="1"/>
  <c r="CQ7" i="20" s="1"/>
  <c r="CR7" i="20" s="1"/>
  <c r="CS7" i="20" s="1"/>
  <c r="CT7" i="20" s="1"/>
  <c r="CU7" i="20" s="1"/>
  <c r="CV7" i="20" s="1"/>
  <c r="CW7" i="20" s="1"/>
  <c r="CX7" i="20" s="1"/>
  <c r="CY7" i="20" s="1"/>
  <c r="CZ7" i="20" s="1"/>
  <c r="DA7" i="20" s="1"/>
  <c r="DB7" i="20" s="1"/>
  <c r="DC7" i="20" s="1"/>
  <c r="DD7" i="20" s="1"/>
  <c r="DE7" i="20" s="1"/>
  <c r="DF7" i="20" s="1"/>
  <c r="DG7" i="20" s="1"/>
  <c r="DH7" i="20" s="1"/>
  <c r="DI7" i="20" s="1"/>
  <c r="DJ7" i="20" s="1"/>
  <c r="DK7" i="20" s="1"/>
  <c r="DL7" i="20" s="1"/>
  <c r="DM7" i="20" s="1"/>
  <c r="DN7" i="20" s="1"/>
  <c r="DO7" i="20" s="1"/>
  <c r="DP7" i="20" s="1"/>
  <c r="B6" i="20"/>
  <c r="C6" i="20" s="1"/>
  <c r="D6" i="20" s="1"/>
  <c r="E6" i="20" s="1"/>
  <c r="F6" i="20" s="1"/>
  <c r="G6" i="20" s="1"/>
  <c r="H6" i="20" s="1"/>
  <c r="I6" i="20" s="1"/>
  <c r="J6" i="20" s="1"/>
  <c r="K6" i="20" s="1"/>
  <c r="L6" i="20" s="1"/>
  <c r="M6" i="20" s="1"/>
  <c r="N6" i="20" s="1"/>
  <c r="O6" i="20" s="1"/>
  <c r="P6" i="20" s="1"/>
  <c r="Q6" i="20" s="1"/>
  <c r="R6" i="20" s="1"/>
  <c r="S6" i="20" s="1"/>
  <c r="T6" i="20" s="1"/>
  <c r="U6" i="20" s="1"/>
  <c r="V6" i="20" s="1"/>
  <c r="W6" i="20" s="1"/>
  <c r="X6" i="20" s="1"/>
  <c r="Y6" i="20" s="1"/>
  <c r="Z6" i="20" s="1"/>
  <c r="AA6" i="20" s="1"/>
  <c r="AB6" i="20" s="1"/>
  <c r="AC6" i="20" s="1"/>
  <c r="AD6" i="20" s="1"/>
  <c r="AE6" i="20" s="1"/>
  <c r="AF6" i="20" s="1"/>
  <c r="AG6" i="20" s="1"/>
  <c r="AH6" i="20" s="1"/>
  <c r="AI6" i="20" s="1"/>
  <c r="AJ6" i="20" s="1"/>
  <c r="AK6" i="20" s="1"/>
  <c r="AL6" i="20" s="1"/>
  <c r="AM6" i="20" s="1"/>
  <c r="AN6" i="20" s="1"/>
  <c r="AO6" i="20" s="1"/>
  <c r="AP6" i="20" s="1"/>
  <c r="AQ6" i="20" s="1"/>
  <c r="AR6" i="20" s="1"/>
  <c r="AS6" i="20" s="1"/>
  <c r="AT6" i="20" s="1"/>
  <c r="AU6" i="20" s="1"/>
  <c r="AV6" i="20" s="1"/>
  <c r="AW6" i="20" s="1"/>
  <c r="AX6" i="20" s="1"/>
  <c r="AY6" i="20" s="1"/>
  <c r="AZ6" i="20" s="1"/>
  <c r="BA6" i="20" s="1"/>
  <c r="BB6" i="20" s="1"/>
  <c r="BC6" i="20" s="1"/>
  <c r="BD6" i="20" s="1"/>
  <c r="BE6" i="20" s="1"/>
  <c r="BF6" i="20" s="1"/>
  <c r="BG6" i="20" s="1"/>
  <c r="BH6" i="20" s="1"/>
  <c r="BI6" i="20" s="1"/>
  <c r="BJ6" i="20" s="1"/>
  <c r="BK6" i="20" s="1"/>
  <c r="BL6" i="20" s="1"/>
  <c r="BM6" i="20" s="1"/>
  <c r="BN6" i="20" s="1"/>
  <c r="BO6" i="20" s="1"/>
  <c r="BP6" i="20" s="1"/>
  <c r="BQ6" i="20" s="1"/>
  <c r="BR6" i="20" s="1"/>
  <c r="BS6" i="20" s="1"/>
  <c r="BT6" i="20" s="1"/>
  <c r="BU6" i="20" s="1"/>
  <c r="BV6" i="20" s="1"/>
  <c r="BW6" i="20" s="1"/>
  <c r="BX6" i="20" s="1"/>
  <c r="BY6" i="20" s="1"/>
  <c r="BZ6" i="20" s="1"/>
  <c r="CA6" i="20" s="1"/>
  <c r="CB6" i="20" s="1"/>
  <c r="CC6" i="20" s="1"/>
  <c r="CD6" i="20" s="1"/>
  <c r="CE6" i="20" s="1"/>
  <c r="CF6" i="20" s="1"/>
  <c r="CG6" i="20" s="1"/>
  <c r="CH6" i="20" s="1"/>
  <c r="CI6" i="20" s="1"/>
  <c r="CJ6" i="20" s="1"/>
  <c r="CK6" i="20" s="1"/>
  <c r="CL6" i="20" s="1"/>
  <c r="CM6" i="20" s="1"/>
  <c r="CN6" i="20" s="1"/>
  <c r="CO6" i="20" s="1"/>
  <c r="CP6" i="20" s="1"/>
  <c r="CQ6" i="20" s="1"/>
  <c r="CR6" i="20" s="1"/>
  <c r="CS6" i="20" s="1"/>
  <c r="CT6" i="20" s="1"/>
  <c r="CU6" i="20" s="1"/>
  <c r="CV6" i="20" s="1"/>
  <c r="CW6" i="20" s="1"/>
  <c r="CX6" i="20" s="1"/>
  <c r="CY6" i="20" s="1"/>
  <c r="CZ6" i="20" s="1"/>
  <c r="DA6" i="20" s="1"/>
  <c r="DB6" i="20" s="1"/>
  <c r="DC6" i="20" s="1"/>
  <c r="DD6" i="20" s="1"/>
  <c r="DE6" i="20" s="1"/>
  <c r="DF6" i="20" s="1"/>
  <c r="DG6" i="20" s="1"/>
  <c r="DH6" i="20" s="1"/>
  <c r="DI6" i="20" s="1"/>
  <c r="DJ6" i="20" s="1"/>
  <c r="DK6" i="20" s="1"/>
  <c r="DL6" i="20" s="1"/>
  <c r="DM6" i="20" s="1"/>
  <c r="DN6" i="20" s="1"/>
  <c r="DO6" i="20" s="1"/>
  <c r="DP6" i="20" s="1"/>
  <c r="B5" i="20"/>
  <c r="C5" i="20" s="1"/>
  <c r="D5" i="20" s="1"/>
  <c r="E5" i="20" s="1"/>
  <c r="F5" i="20" s="1"/>
  <c r="G5" i="20" s="1"/>
  <c r="H5" i="20" s="1"/>
  <c r="I5" i="20" s="1"/>
  <c r="J5" i="20" s="1"/>
  <c r="K5" i="20" s="1"/>
  <c r="L5" i="20" s="1"/>
  <c r="M5" i="20" s="1"/>
  <c r="N5" i="20" s="1"/>
  <c r="O5" i="20" s="1"/>
  <c r="P5" i="20" s="1"/>
  <c r="Q5" i="20" s="1"/>
  <c r="R5" i="20" s="1"/>
  <c r="S5" i="20" s="1"/>
  <c r="T5" i="20" s="1"/>
  <c r="U5" i="20" s="1"/>
  <c r="V5" i="20" s="1"/>
  <c r="W5" i="20" s="1"/>
  <c r="X5" i="20" s="1"/>
  <c r="Y5" i="20" s="1"/>
  <c r="Z5" i="20" s="1"/>
  <c r="AA5" i="20" s="1"/>
  <c r="AB5" i="20" s="1"/>
  <c r="AC5" i="20" s="1"/>
  <c r="AD5" i="20" s="1"/>
  <c r="AE5" i="20" s="1"/>
  <c r="AF5" i="20" s="1"/>
  <c r="AG5" i="20" s="1"/>
  <c r="AH5" i="20" s="1"/>
  <c r="AI5" i="20" s="1"/>
  <c r="AJ5" i="20" s="1"/>
  <c r="AK5" i="20" s="1"/>
  <c r="AL5" i="20" s="1"/>
  <c r="AM5" i="20" s="1"/>
  <c r="AN5" i="20" s="1"/>
  <c r="AO5" i="20" s="1"/>
  <c r="AP5" i="20" s="1"/>
  <c r="AQ5" i="20" s="1"/>
  <c r="AR5" i="20" s="1"/>
  <c r="AS5" i="20" s="1"/>
  <c r="AT5" i="20" s="1"/>
  <c r="AU5" i="20" s="1"/>
  <c r="AV5" i="20" s="1"/>
  <c r="AW5" i="20" s="1"/>
  <c r="AX5" i="20" s="1"/>
  <c r="AY5" i="20" s="1"/>
  <c r="AZ5" i="20" s="1"/>
  <c r="BA5" i="20" s="1"/>
  <c r="BB5" i="20" s="1"/>
  <c r="BC5" i="20" s="1"/>
  <c r="BD5" i="20" s="1"/>
  <c r="BE5" i="20" s="1"/>
  <c r="BF5" i="20" s="1"/>
  <c r="BG5" i="20" s="1"/>
  <c r="BH5" i="20" s="1"/>
  <c r="BI5" i="20" s="1"/>
  <c r="BJ5" i="20" s="1"/>
  <c r="BK5" i="20" s="1"/>
  <c r="BL5" i="20" s="1"/>
  <c r="BM5" i="20" s="1"/>
  <c r="BN5" i="20" s="1"/>
  <c r="BO5" i="20" s="1"/>
  <c r="BP5" i="20" s="1"/>
  <c r="BQ5" i="20" s="1"/>
  <c r="BR5" i="20" s="1"/>
  <c r="BS5" i="20" s="1"/>
  <c r="BT5" i="20" s="1"/>
  <c r="BU5" i="20" s="1"/>
  <c r="BV5" i="20" s="1"/>
  <c r="BW5" i="20" s="1"/>
  <c r="BX5" i="20" s="1"/>
  <c r="BY5" i="20" s="1"/>
  <c r="BZ5" i="20" s="1"/>
  <c r="CA5" i="20" s="1"/>
  <c r="CB5" i="20" s="1"/>
  <c r="CC5" i="20" s="1"/>
  <c r="CD5" i="20" s="1"/>
  <c r="CE5" i="20" s="1"/>
  <c r="CF5" i="20" s="1"/>
  <c r="CG5" i="20" s="1"/>
  <c r="CH5" i="20" s="1"/>
  <c r="CI5" i="20" s="1"/>
  <c r="CJ5" i="20" s="1"/>
  <c r="CK5" i="20" s="1"/>
  <c r="CL5" i="20" s="1"/>
  <c r="CM5" i="20" s="1"/>
  <c r="CN5" i="20" s="1"/>
  <c r="CO5" i="20" s="1"/>
  <c r="CP5" i="20" s="1"/>
  <c r="CQ5" i="20" s="1"/>
  <c r="CR5" i="20" s="1"/>
  <c r="CS5" i="20" s="1"/>
  <c r="CT5" i="20" s="1"/>
  <c r="CU5" i="20" s="1"/>
  <c r="CV5" i="20" s="1"/>
  <c r="CW5" i="20" s="1"/>
  <c r="CX5" i="20" s="1"/>
  <c r="CY5" i="20" s="1"/>
  <c r="CZ5" i="20" s="1"/>
  <c r="DA5" i="20" s="1"/>
  <c r="DB5" i="20" s="1"/>
  <c r="DC5" i="20" s="1"/>
  <c r="DD5" i="20" s="1"/>
  <c r="DE5" i="20" s="1"/>
  <c r="DF5" i="20" s="1"/>
  <c r="DG5" i="20" s="1"/>
  <c r="DH5" i="20" s="1"/>
  <c r="DI5" i="20" s="1"/>
  <c r="DJ5" i="20" s="1"/>
  <c r="DK5" i="20" s="1"/>
  <c r="DL5" i="20" s="1"/>
  <c r="DM5" i="20" s="1"/>
  <c r="DN5" i="20" s="1"/>
  <c r="DO5" i="20" s="1"/>
  <c r="DP5" i="20" s="1"/>
  <c r="B4" i="20"/>
  <c r="C4" i="20" s="1"/>
  <c r="D4" i="20" s="1"/>
  <c r="E4" i="20" s="1"/>
  <c r="F4" i="20" s="1"/>
  <c r="G4" i="20" s="1"/>
  <c r="H4" i="20" s="1"/>
  <c r="I4" i="20" s="1"/>
  <c r="J4" i="20" s="1"/>
  <c r="K4" i="20" s="1"/>
  <c r="L4" i="20" s="1"/>
  <c r="M4" i="20" s="1"/>
  <c r="N4" i="20" s="1"/>
  <c r="O4" i="20" s="1"/>
  <c r="P4" i="20" s="1"/>
  <c r="Q4" i="20" s="1"/>
  <c r="R4" i="20" s="1"/>
  <c r="S4" i="20" s="1"/>
  <c r="T4" i="20" s="1"/>
  <c r="U4" i="20" s="1"/>
  <c r="V4" i="20" s="1"/>
  <c r="W4" i="20" s="1"/>
  <c r="X4" i="20" s="1"/>
  <c r="Y4" i="20" s="1"/>
  <c r="Z4" i="20" s="1"/>
  <c r="AA4" i="20" s="1"/>
  <c r="AB4" i="20" s="1"/>
  <c r="AC4" i="20" s="1"/>
  <c r="AD4" i="20" s="1"/>
  <c r="AE4" i="20" s="1"/>
  <c r="AF4" i="20" s="1"/>
  <c r="AG4" i="20" s="1"/>
  <c r="AH4" i="20" s="1"/>
  <c r="AI4" i="20" s="1"/>
  <c r="AJ4" i="20" s="1"/>
  <c r="AK4" i="20" s="1"/>
  <c r="AL4" i="20" s="1"/>
  <c r="AM4" i="20" s="1"/>
  <c r="AN4" i="20" s="1"/>
  <c r="AO4" i="20" s="1"/>
  <c r="AP4" i="20" s="1"/>
  <c r="AQ4" i="20" s="1"/>
  <c r="AR4" i="20" s="1"/>
  <c r="AS4" i="20" s="1"/>
  <c r="AT4" i="20" s="1"/>
  <c r="AU4" i="20" s="1"/>
  <c r="AV4" i="20" s="1"/>
  <c r="AW4" i="20" s="1"/>
  <c r="AX4" i="20" s="1"/>
  <c r="AY4" i="20" s="1"/>
  <c r="AZ4" i="20" s="1"/>
  <c r="BA4" i="20" s="1"/>
  <c r="BB4" i="20" s="1"/>
  <c r="BC4" i="20" s="1"/>
  <c r="BD4" i="20" s="1"/>
  <c r="BE4" i="20" s="1"/>
  <c r="BF4" i="20" s="1"/>
  <c r="BG4" i="20" s="1"/>
  <c r="BH4" i="20" s="1"/>
  <c r="BI4" i="20" s="1"/>
  <c r="BJ4" i="20" s="1"/>
  <c r="BK4" i="20" s="1"/>
  <c r="BL4" i="20" s="1"/>
  <c r="BM4" i="20" s="1"/>
  <c r="BN4" i="20" s="1"/>
  <c r="BO4" i="20" s="1"/>
  <c r="BP4" i="20" s="1"/>
  <c r="BQ4" i="20" s="1"/>
  <c r="BR4" i="20" s="1"/>
  <c r="BS4" i="20" s="1"/>
  <c r="BT4" i="20" s="1"/>
  <c r="BU4" i="20" s="1"/>
  <c r="BV4" i="20" s="1"/>
  <c r="BW4" i="20" s="1"/>
  <c r="BX4" i="20" s="1"/>
  <c r="BY4" i="20" s="1"/>
  <c r="BZ4" i="20" s="1"/>
  <c r="CA4" i="20" s="1"/>
  <c r="CB4" i="20" s="1"/>
  <c r="CC4" i="20" s="1"/>
  <c r="CD4" i="20" s="1"/>
  <c r="CE4" i="20" s="1"/>
  <c r="CF4" i="20" s="1"/>
  <c r="CG4" i="20" s="1"/>
  <c r="CH4" i="20" s="1"/>
  <c r="CI4" i="20" s="1"/>
  <c r="CJ4" i="20" s="1"/>
  <c r="CK4" i="20" s="1"/>
  <c r="CL4" i="20" s="1"/>
  <c r="CM4" i="20" s="1"/>
  <c r="CN4" i="20" s="1"/>
  <c r="CO4" i="20" s="1"/>
  <c r="CP4" i="20" s="1"/>
  <c r="CQ4" i="20" s="1"/>
  <c r="CR4" i="20" s="1"/>
  <c r="CS4" i="20" s="1"/>
  <c r="CT4" i="20" s="1"/>
  <c r="CU4" i="20" s="1"/>
  <c r="CV4" i="20" s="1"/>
  <c r="CW4" i="20" s="1"/>
  <c r="CX4" i="20" s="1"/>
  <c r="CY4" i="20" s="1"/>
  <c r="CZ4" i="20" s="1"/>
  <c r="DA4" i="20" s="1"/>
  <c r="DB4" i="20" s="1"/>
  <c r="DC4" i="20" s="1"/>
  <c r="DD4" i="20" s="1"/>
  <c r="DE4" i="20" s="1"/>
  <c r="DF4" i="20" s="1"/>
  <c r="DG4" i="20" s="1"/>
  <c r="DH4" i="20" s="1"/>
  <c r="DI4" i="20" s="1"/>
  <c r="DJ4" i="20" s="1"/>
  <c r="DK4" i="20" s="1"/>
  <c r="DL4" i="20" s="1"/>
  <c r="DM4" i="20" s="1"/>
  <c r="DN4" i="20" s="1"/>
  <c r="DO4" i="20" s="1"/>
  <c r="DP4" i="20" s="1"/>
  <c r="BZ2" i="20"/>
  <c r="H30" i="13"/>
  <c r="I466" i="21" s="1"/>
  <c r="S58" i="4"/>
  <c r="AH14" i="19"/>
  <c r="AG14" i="19"/>
  <c r="AG13" i="19"/>
  <c r="AH13" i="19" s="1"/>
  <c r="H49" i="3"/>
  <c r="D49" i="3"/>
  <c r="D17" i="3"/>
  <c r="AC75" i="3"/>
  <c r="K49" i="3"/>
  <c r="H48" i="3"/>
  <c r="F47" i="3"/>
  <c r="AC66" i="3"/>
  <c r="H48" i="13"/>
  <c r="H46" i="13"/>
  <c r="H44" i="13"/>
  <c r="H42" i="13"/>
  <c r="H40" i="13"/>
  <c r="AC66" i="7"/>
  <c r="S69" i="7" s="1"/>
  <c r="A32" i="7"/>
  <c r="AM134" i="19"/>
  <c r="L33" i="19"/>
  <c r="L32" i="19"/>
  <c r="N32" i="19"/>
  <c r="L22" i="4"/>
  <c r="F22" i="4"/>
  <c r="J36" i="21" s="1"/>
  <c r="E22" i="4"/>
  <c r="D55" i="13"/>
  <c r="T44" i="13" s="1"/>
  <c r="Y19" i="7"/>
  <c r="W8" i="11" s="1"/>
  <c r="AZ23" i="19"/>
  <c r="Z107" i="19"/>
  <c r="AV107" i="19"/>
  <c r="AU107" i="19"/>
  <c r="AT107" i="19"/>
  <c r="AS107" i="19"/>
  <c r="AQ107" i="19"/>
  <c r="AP107" i="19"/>
  <c r="AO107" i="19"/>
  <c r="AN107" i="19"/>
  <c r="AM107" i="19"/>
  <c r="AL107" i="19"/>
  <c r="AK107" i="19"/>
  <c r="AJ107" i="19"/>
  <c r="AI107" i="19"/>
  <c r="AH107" i="19"/>
  <c r="AG107" i="19"/>
  <c r="AF107" i="19"/>
  <c r="AE107" i="19"/>
  <c r="BB28" i="19"/>
  <c r="BI103" i="19"/>
  <c r="BC119" i="19"/>
  <c r="BF119" i="19"/>
  <c r="BG119" i="19"/>
  <c r="BH119" i="19"/>
  <c r="BI119" i="19"/>
  <c r="BK119" i="19"/>
  <c r="BC120" i="19"/>
  <c r="BF120" i="19"/>
  <c r="BG120" i="19"/>
  <c r="BH120" i="19"/>
  <c r="BI120" i="19"/>
  <c r="BK120" i="19"/>
  <c r="BC121" i="19"/>
  <c r="BF121" i="19"/>
  <c r="BG121" i="19"/>
  <c r="BH121" i="19"/>
  <c r="BI121" i="19"/>
  <c r="BK121" i="19"/>
  <c r="H31" i="1"/>
  <c r="B3" i="11" s="1"/>
  <c r="G31" i="1"/>
  <c r="I27" i="1"/>
  <c r="I26" i="1"/>
  <c r="I31" i="1" s="1"/>
  <c r="U16" i="13"/>
  <c r="S13" i="13"/>
  <c r="H50" i="13"/>
  <c r="H22" i="13"/>
  <c r="H26" i="13"/>
  <c r="H18" i="13"/>
  <c r="D12" i="12"/>
  <c r="BK17" i="10" l="1"/>
  <c r="F11" i="21"/>
  <c r="E12" i="21"/>
  <c r="G543" i="21"/>
  <c r="G358" i="21"/>
  <c r="G359" i="21"/>
  <c r="G169" i="21"/>
  <c r="G170" i="21" s="1"/>
  <c r="G171" i="21" s="1"/>
  <c r="H201" i="21"/>
  <c r="V5" i="5"/>
  <c r="Q34" i="10"/>
  <c r="BO9" i="10" s="1"/>
  <c r="J175" i="21" s="1"/>
  <c r="Q36" i="10"/>
  <c r="BO11" i="10" s="1"/>
  <c r="J177" i="21" s="1"/>
  <c r="Q32" i="10"/>
  <c r="BO7" i="10" s="1"/>
  <c r="J173" i="21" s="1"/>
  <c r="Q28" i="10"/>
  <c r="BO3" i="10" s="1"/>
  <c r="J169" i="21" s="1"/>
  <c r="Q35" i="10"/>
  <c r="BO10" i="10" s="1"/>
  <c r="J176" i="21" s="1"/>
  <c r="Q31" i="10"/>
  <c r="BO6" i="10" s="1"/>
  <c r="J172" i="21" s="1"/>
  <c r="Q27" i="10"/>
  <c r="BO2" i="10" s="1"/>
  <c r="J168" i="21" s="1"/>
  <c r="Q30" i="10"/>
  <c r="BO5" i="10" s="1"/>
  <c r="J171" i="21" s="1"/>
  <c r="Q33" i="10"/>
  <c r="BO8" i="10" s="1"/>
  <c r="J174" i="21" s="1"/>
  <c r="Q29" i="10"/>
  <c r="BO4" i="10" s="1"/>
  <c r="J170" i="21" s="1"/>
  <c r="I471" i="21"/>
  <c r="H36" i="21"/>
  <c r="I36" i="21"/>
  <c r="H457" i="21"/>
  <c r="H454" i="21"/>
  <c r="I454" i="21"/>
  <c r="H456" i="21"/>
  <c r="H455" i="21"/>
  <c r="H463" i="21"/>
  <c r="H465" i="21"/>
  <c r="I462" i="21"/>
  <c r="H462" i="21"/>
  <c r="H464" i="21"/>
  <c r="H461" i="21"/>
  <c r="H458" i="21"/>
  <c r="H460" i="21"/>
  <c r="I458" i="21"/>
  <c r="H459" i="21"/>
  <c r="H27" i="21"/>
  <c r="G27" i="21" s="1"/>
  <c r="I27" i="21"/>
  <c r="F29" i="5"/>
  <c r="J42" i="21" s="1"/>
  <c r="I42" i="21"/>
  <c r="C52" i="5"/>
  <c r="T54" i="5" s="1"/>
  <c r="U54" i="5" s="1"/>
  <c r="U56" i="5" s="1"/>
  <c r="T40" i="5" s="1"/>
  <c r="F44" i="3"/>
  <c r="J27" i="21" s="1"/>
  <c r="B3" i="2"/>
  <c r="B3" i="3" s="1"/>
  <c r="F55" i="7"/>
  <c r="C40" i="1"/>
  <c r="E40" i="1" s="1"/>
  <c r="H43" i="13"/>
  <c r="I472" i="21" s="1"/>
  <c r="F36" i="2"/>
  <c r="J18" i="21" s="1"/>
  <c r="A132" i="20"/>
  <c r="B27" i="6"/>
  <c r="E27" i="6"/>
  <c r="T48" i="6" s="1"/>
  <c r="S49" i="5"/>
  <c r="S46" i="5"/>
  <c r="S45" i="5"/>
  <c r="H45" i="13"/>
  <c r="I473" i="21" s="1"/>
  <c r="F41" i="13"/>
  <c r="J471" i="21" s="1"/>
  <c r="S16" i="13"/>
  <c r="S15" i="13"/>
  <c r="T14" i="13"/>
  <c r="AL3" i="10"/>
  <c r="AM3" i="10" s="1"/>
  <c r="U60" i="6"/>
  <c r="S61" i="6" s="1"/>
  <c r="H56" i="21" s="1"/>
  <c r="H51" i="13"/>
  <c r="F51" i="13" s="1"/>
  <c r="J476" i="21" s="1"/>
  <c r="H49" i="13"/>
  <c r="F49" i="13" s="1"/>
  <c r="J475" i="21" s="1"/>
  <c r="H47" i="13"/>
  <c r="I474" i="21" s="1"/>
  <c r="T15" i="13"/>
  <c r="T16" i="13"/>
  <c r="S73" i="7"/>
  <c r="S74" i="7"/>
  <c r="S71" i="7"/>
  <c r="S72" i="7"/>
  <c r="S70" i="7"/>
  <c r="S66" i="7"/>
  <c r="AC67" i="7"/>
  <c r="S67" i="7"/>
  <c r="S68" i="7"/>
  <c r="BS29" i="17"/>
  <c r="S14" i="13"/>
  <c r="B4" i="19"/>
  <c r="AB13" i="19"/>
  <c r="AB9" i="19"/>
  <c r="X106" i="7"/>
  <c r="I49" i="7"/>
  <c r="X120" i="7"/>
  <c r="X119" i="7"/>
  <c r="X118" i="7"/>
  <c r="X121" i="7"/>
  <c r="X117" i="7"/>
  <c r="X113" i="7"/>
  <c r="X109" i="7"/>
  <c r="X104" i="7"/>
  <c r="E52" i="7"/>
  <c r="F51" i="7"/>
  <c r="J85" i="21" s="1"/>
  <c r="D50" i="7"/>
  <c r="F48" i="7"/>
  <c r="J82" i="21" s="1"/>
  <c r="X116" i="7"/>
  <c r="X115" i="7"/>
  <c r="X114" i="7"/>
  <c r="X112" i="7"/>
  <c r="X111" i="7"/>
  <c r="X110" i="7"/>
  <c r="AC49" i="2"/>
  <c r="AC47" i="2"/>
  <c r="U49" i="2"/>
  <c r="T49" i="2"/>
  <c r="W28" i="11"/>
  <c r="W27" i="11"/>
  <c r="AJ33" i="10"/>
  <c r="AI33" i="10"/>
  <c r="B151" i="16"/>
  <c r="B153" i="16"/>
  <c r="C28" i="11"/>
  <c r="H136" i="16"/>
  <c r="I299" i="21" s="1"/>
  <c r="F136" i="16"/>
  <c r="J299" i="21" s="1"/>
  <c r="D135" i="16"/>
  <c r="H134" i="16"/>
  <c r="I297" i="21" s="1"/>
  <c r="K134" i="16"/>
  <c r="F134" i="16"/>
  <c r="J297" i="21" s="1"/>
  <c r="E191" i="16"/>
  <c r="E190" i="16"/>
  <c r="E189" i="16"/>
  <c r="E188" i="16"/>
  <c r="E149" i="16"/>
  <c r="F149" i="16" s="1"/>
  <c r="J304" i="21" s="1"/>
  <c r="E148" i="16"/>
  <c r="H148" i="16" s="1"/>
  <c r="I303" i="21" s="1"/>
  <c r="E147" i="16"/>
  <c r="H147" i="16" s="1"/>
  <c r="I302" i="21" s="1"/>
  <c r="E135" i="16"/>
  <c r="E133" i="16"/>
  <c r="E127" i="16"/>
  <c r="F127" i="16" s="1"/>
  <c r="F133" i="16"/>
  <c r="J296" i="21" s="1"/>
  <c r="H133" i="16"/>
  <c r="I296" i="21" s="1"/>
  <c r="K135" i="16"/>
  <c r="H135" i="16"/>
  <c r="F135" i="16"/>
  <c r="J298" i="21" s="1"/>
  <c r="D134" i="16"/>
  <c r="S17" i="16"/>
  <c r="H33" i="16"/>
  <c r="I237" i="21" s="1"/>
  <c r="H31" i="16"/>
  <c r="I235" i="21" s="1"/>
  <c r="H30" i="16"/>
  <c r="I234" i="21" s="1"/>
  <c r="H27" i="16"/>
  <c r="I232" i="21" s="1"/>
  <c r="H26" i="16"/>
  <c r="I231" i="21" s="1"/>
  <c r="H25" i="16"/>
  <c r="I230" i="21" s="1"/>
  <c r="H24" i="16"/>
  <c r="I229" i="21" s="1"/>
  <c r="H23" i="16"/>
  <c r="H22" i="16"/>
  <c r="I227" i="21" s="1"/>
  <c r="H21" i="16"/>
  <c r="E13" i="16"/>
  <c r="E12" i="16"/>
  <c r="H13" i="16"/>
  <c r="I221" i="21" s="1"/>
  <c r="H12" i="16"/>
  <c r="I220" i="21" s="1"/>
  <c r="E11" i="16"/>
  <c r="H11" i="16"/>
  <c r="I219" i="21" s="1"/>
  <c r="E10" i="16"/>
  <c r="H10" i="16"/>
  <c r="I218" i="21" s="1"/>
  <c r="H191" i="16"/>
  <c r="H190" i="16"/>
  <c r="H189" i="16"/>
  <c r="H188" i="16"/>
  <c r="H183" i="16"/>
  <c r="H182" i="16"/>
  <c r="H176" i="16"/>
  <c r="I332" i="21" s="1"/>
  <c r="H177" i="16"/>
  <c r="T187" i="16"/>
  <c r="N21" i="1" s="1"/>
  <c r="T177" i="16"/>
  <c r="O21" i="1" s="1"/>
  <c r="A162" i="16"/>
  <c r="H320" i="21" s="1"/>
  <c r="W41" i="8"/>
  <c r="L21" i="1" s="1"/>
  <c r="H174" i="16"/>
  <c r="I331" i="21" s="1"/>
  <c r="H173" i="16"/>
  <c r="I330" i="21" s="1"/>
  <c r="H170" i="16"/>
  <c r="H169" i="16"/>
  <c r="H168" i="16"/>
  <c r="H167" i="16"/>
  <c r="H166" i="16"/>
  <c r="K5" i="19"/>
  <c r="U3" i="6"/>
  <c r="U4" i="6"/>
  <c r="B1" i="2"/>
  <c r="F7" i="1"/>
  <c r="F6" i="1"/>
  <c r="V33" i="11" s="1"/>
  <c r="W33" i="11" s="1"/>
  <c r="H162" i="16"/>
  <c r="I320" i="21" s="1"/>
  <c r="H158" i="16"/>
  <c r="H159" i="16"/>
  <c r="I318" i="21" s="1"/>
  <c r="H157" i="16"/>
  <c r="I316" i="21" s="1"/>
  <c r="H156" i="16"/>
  <c r="X8" i="8"/>
  <c r="K16" i="8"/>
  <c r="F28" i="8"/>
  <c r="Y14" i="7"/>
  <c r="CC1" i="17"/>
  <c r="AG1" i="17"/>
  <c r="A1" i="17"/>
  <c r="BU46" i="17"/>
  <c r="T31" i="19"/>
  <c r="T30" i="19"/>
  <c r="T29" i="19"/>
  <c r="T28" i="19"/>
  <c r="T27" i="19"/>
  <c r="T26" i="19"/>
  <c r="T25" i="19"/>
  <c r="T24" i="19"/>
  <c r="T23" i="19"/>
  <c r="T22" i="19"/>
  <c r="T21" i="19"/>
  <c r="T20" i="19"/>
  <c r="T19" i="19"/>
  <c r="T18" i="19"/>
  <c r="T17" i="19"/>
  <c r="V2" i="11"/>
  <c r="T58" i="2"/>
  <c r="AB11" i="19"/>
  <c r="AB10" i="19"/>
  <c r="V35" i="3"/>
  <c r="BL3" i="10" l="1"/>
  <c r="AM4" i="10"/>
  <c r="AM5" i="10" s="1"/>
  <c r="AM6" i="10" s="1"/>
  <c r="AM7" i="10" s="1"/>
  <c r="AM8" i="10" s="1"/>
  <c r="AM9" i="10" s="1"/>
  <c r="AM10" i="10" s="1"/>
  <c r="AM11" i="10" s="1"/>
  <c r="AM12" i="10" s="1"/>
  <c r="AM13" i="10" s="1"/>
  <c r="AM14" i="10" s="1"/>
  <c r="AM15" i="10" s="1"/>
  <c r="AM16" i="10" s="1"/>
  <c r="AM17" i="10" s="1"/>
  <c r="AM18" i="10" s="1"/>
  <c r="AM19" i="10" s="1"/>
  <c r="AM20" i="10" s="1"/>
  <c r="AM21" i="10" s="1"/>
  <c r="AM22" i="10" s="1"/>
  <c r="AM23" i="10" s="1"/>
  <c r="AM24" i="10" s="1"/>
  <c r="AM25" i="10" s="1"/>
  <c r="AM26" i="10" s="1"/>
  <c r="AM27" i="10" s="1"/>
  <c r="AM28" i="10" s="1"/>
  <c r="AM29" i="10" s="1"/>
  <c r="AM30" i="10" s="1"/>
  <c r="AM31" i="10" s="1"/>
  <c r="AM32" i="10" s="1"/>
  <c r="AM33" i="10" s="1"/>
  <c r="AM34" i="10" s="1"/>
  <c r="AM35" i="10" s="1"/>
  <c r="AM36" i="10" s="1"/>
  <c r="AM37" i="10" s="1"/>
  <c r="AM38" i="10" s="1"/>
  <c r="AM39" i="10" s="1"/>
  <c r="AM40" i="10" s="1"/>
  <c r="AM41" i="10" s="1"/>
  <c r="AM42" i="10" s="1"/>
  <c r="AM43" i="10" s="1"/>
  <c r="AM44" i="10" s="1"/>
  <c r="AM45" i="10" s="1"/>
  <c r="AM46" i="10" s="1"/>
  <c r="AM47" i="10" s="1"/>
  <c r="AM48" i="10" s="1"/>
  <c r="AM49" i="10" s="1"/>
  <c r="AM50" i="10" s="1"/>
  <c r="AM51" i="10" s="1"/>
  <c r="AM52" i="10" s="1"/>
  <c r="AM53" i="10" s="1"/>
  <c r="AM54" i="10" s="1"/>
  <c r="AM55" i="10" s="1"/>
  <c r="AM56" i="10" s="1"/>
  <c r="AM57" i="10" s="1"/>
  <c r="AM58" i="10" s="1"/>
  <c r="AM59" i="10" s="1"/>
  <c r="AM60" i="10" s="1"/>
  <c r="AM61" i="10" s="1"/>
  <c r="AM62" i="10" s="1"/>
  <c r="AM63" i="10" s="1"/>
  <c r="AM64" i="10" s="1"/>
  <c r="AM65" i="10" s="1"/>
  <c r="AM66" i="10" s="1"/>
  <c r="AM67" i="10" s="1"/>
  <c r="AM68" i="10" s="1"/>
  <c r="AM69" i="10" s="1"/>
  <c r="AM70" i="10" s="1"/>
  <c r="AM71" i="10" s="1"/>
  <c r="AM72" i="10" s="1"/>
  <c r="AM73" i="10" s="1"/>
  <c r="AM74" i="10" s="1"/>
  <c r="AM75" i="10" s="1"/>
  <c r="AM76" i="10" s="1"/>
  <c r="AM77" i="10" s="1"/>
  <c r="AM78" i="10" s="1"/>
  <c r="AM79" i="10" s="1"/>
  <c r="AM80" i="10" s="1"/>
  <c r="AM81" i="10" s="1"/>
  <c r="AM82" i="10" s="1"/>
  <c r="AM83" i="10" s="1"/>
  <c r="AM84" i="10" s="1"/>
  <c r="AM85" i="10" s="1"/>
  <c r="AM86" i="10" s="1"/>
  <c r="AM87" i="10" s="1"/>
  <c r="AM88" i="10" s="1"/>
  <c r="AM89" i="10" s="1"/>
  <c r="AM90" i="10" s="1"/>
  <c r="AM91" i="10" s="1"/>
  <c r="AM92" i="10" s="1"/>
  <c r="AM93" i="10" s="1"/>
  <c r="AM94" i="10" s="1"/>
  <c r="AM95" i="10" s="1"/>
  <c r="AM96" i="10" s="1"/>
  <c r="AM97" i="10" s="1"/>
  <c r="AM98" i="10" s="1"/>
  <c r="AM99" i="10" s="1"/>
  <c r="AM100" i="10" s="1"/>
  <c r="AM101" i="10" s="1"/>
  <c r="AM102" i="10" s="1"/>
  <c r="AM103" i="10" s="1"/>
  <c r="AM104" i="10" s="1"/>
  <c r="AM105" i="10" s="1"/>
  <c r="AM106" i="10" s="1"/>
  <c r="AM107" i="10" s="1"/>
  <c r="AM108" i="10" s="1"/>
  <c r="AM109" i="10" s="1"/>
  <c r="AM110" i="10" s="1"/>
  <c r="AM111" i="10" s="1"/>
  <c r="AM112" i="10" s="1"/>
  <c r="AM113" i="10" s="1"/>
  <c r="AM114" i="10" s="1"/>
  <c r="AM115" i="10" s="1"/>
  <c r="AM116" i="10" s="1"/>
  <c r="AM117" i="10" s="1"/>
  <c r="AM118" i="10" s="1"/>
  <c r="AM119" i="10" s="1"/>
  <c r="AM120" i="10" s="1"/>
  <c r="AM121" i="10" s="1"/>
  <c r="AM122" i="10" s="1"/>
  <c r="AM123" i="10" s="1"/>
  <c r="AM124" i="10" s="1"/>
  <c r="AM125" i="10" s="1"/>
  <c r="AM126" i="10" s="1"/>
  <c r="AM127" i="10" s="1"/>
  <c r="AM128" i="10" s="1"/>
  <c r="AM129" i="10" s="1"/>
  <c r="AM130" i="10" s="1"/>
  <c r="AM131" i="10" s="1"/>
  <c r="AM132" i="10" s="1"/>
  <c r="AM133" i="10" s="1"/>
  <c r="AM134" i="10" s="1"/>
  <c r="AM135" i="10" s="1"/>
  <c r="AM136" i="10" s="1"/>
  <c r="AM137" i="10" s="1"/>
  <c r="AM138" i="10" s="1"/>
  <c r="AM139" i="10" s="1"/>
  <c r="AM140" i="10" s="1"/>
  <c r="AM141" i="10" s="1"/>
  <c r="AM142" i="10" s="1"/>
  <c r="AM143" i="10" s="1"/>
  <c r="AM144" i="10" s="1"/>
  <c r="AM145" i="10" s="1"/>
  <c r="AM146" i="10" s="1"/>
  <c r="AM147" i="10" s="1"/>
  <c r="AM148" i="10" s="1"/>
  <c r="AM149" i="10" s="1"/>
  <c r="AM150" i="10" s="1"/>
  <c r="AM151" i="10" s="1"/>
  <c r="AM152" i="10" s="1"/>
  <c r="AM153" i="10" s="1"/>
  <c r="AM154" i="10" s="1"/>
  <c r="AM155" i="10" s="1"/>
  <c r="AM156" i="10" s="1"/>
  <c r="AM157" i="10" s="1"/>
  <c r="AM158" i="10" s="1"/>
  <c r="AM159" i="10" s="1"/>
  <c r="AM160" i="10" s="1"/>
  <c r="AM161" i="10" s="1"/>
  <c r="AM162" i="10" s="1"/>
  <c r="AM163" i="10" s="1"/>
  <c r="AM164" i="10" s="1"/>
  <c r="AM165" i="10" s="1"/>
  <c r="AM166" i="10" s="1"/>
  <c r="AM167" i="10" s="1"/>
  <c r="AM168" i="10" s="1"/>
  <c r="AM169" i="10" s="1"/>
  <c r="AM170" i="10" s="1"/>
  <c r="AM171" i="10" s="1"/>
  <c r="AM172" i="10" s="1"/>
  <c r="AM173" i="10" s="1"/>
  <c r="AM174" i="10" s="1"/>
  <c r="AM175" i="10" s="1"/>
  <c r="AM176" i="10" s="1"/>
  <c r="AM177" i="10" s="1"/>
  <c r="AM178" i="10" s="1"/>
  <c r="AM179" i="10" s="1"/>
  <c r="AM180" i="10" s="1"/>
  <c r="AM181" i="10" s="1"/>
  <c r="AM182" i="10" s="1"/>
  <c r="AM183" i="10" s="1"/>
  <c r="AM184" i="10" s="1"/>
  <c r="AM185" i="10" s="1"/>
  <c r="AM186" i="10" s="1"/>
  <c r="AM187" i="10" s="1"/>
  <c r="AM188" i="10" s="1"/>
  <c r="AM189" i="10" s="1"/>
  <c r="AM190" i="10" s="1"/>
  <c r="AM191" i="10" s="1"/>
  <c r="AM192" i="10" s="1"/>
  <c r="AM193" i="10" s="1"/>
  <c r="AM194" i="10" s="1"/>
  <c r="AM195" i="10" s="1"/>
  <c r="AM196" i="10" s="1"/>
  <c r="AM197" i="10" s="1"/>
  <c r="AM198" i="10" s="1"/>
  <c r="AM199" i="10" s="1"/>
  <c r="AM200" i="10" s="1"/>
  <c r="AM201" i="10" s="1"/>
  <c r="AM202" i="10" s="1"/>
  <c r="AM203" i="10" s="1"/>
  <c r="AM204" i="10" s="1"/>
  <c r="AM205" i="10" s="1"/>
  <c r="AM206" i="10" s="1"/>
  <c r="AM207" i="10" s="1"/>
  <c r="AM208" i="10" s="1"/>
  <c r="AM209" i="10" s="1"/>
  <c r="AM210" i="10" s="1"/>
  <c r="AM211" i="10" s="1"/>
  <c r="AM212" i="10" s="1"/>
  <c r="AM213" i="10" s="1"/>
  <c r="AM214" i="10" s="1"/>
  <c r="AM215" i="10" s="1"/>
  <c r="AM216" i="10" s="1"/>
  <c r="AM217" i="10" s="1"/>
  <c r="AM218" i="10" s="1"/>
  <c r="AM219" i="10" s="1"/>
  <c r="AM220" i="10" s="1"/>
  <c r="AM221" i="10" s="1"/>
  <c r="AM222" i="10" s="1"/>
  <c r="AM223" i="10" s="1"/>
  <c r="AM224" i="10" s="1"/>
  <c r="AM225" i="10" s="1"/>
  <c r="AM226" i="10" s="1"/>
  <c r="AM227" i="10" s="1"/>
  <c r="AM228" i="10" s="1"/>
  <c r="AM229" i="10" s="1"/>
  <c r="AM230" i="10" s="1"/>
  <c r="AM231" i="10" s="1"/>
  <c r="AM232" i="10" s="1"/>
  <c r="AM233" i="10" s="1"/>
  <c r="AM234" i="10" s="1"/>
  <c r="AM235" i="10" s="1"/>
  <c r="AM236" i="10" s="1"/>
  <c r="AM237" i="10" s="1"/>
  <c r="AM238" i="10" s="1"/>
  <c r="AM239" i="10" s="1"/>
  <c r="AM240" i="10" s="1"/>
  <c r="AM241" i="10" s="1"/>
  <c r="AM242" i="10" s="1"/>
  <c r="AM243" i="10" s="1"/>
  <c r="AM244" i="10" s="1"/>
  <c r="AM245" i="10" s="1"/>
  <c r="AM246" i="10" s="1"/>
  <c r="AM247" i="10" s="1"/>
  <c r="AM248" i="10" s="1"/>
  <c r="AM249" i="10" s="1"/>
  <c r="AM250" i="10" s="1"/>
  <c r="AM251" i="10" s="1"/>
  <c r="AM252" i="10" s="1"/>
  <c r="AM253" i="10" s="1"/>
  <c r="AM254" i="10" s="1"/>
  <c r="AM255" i="10" s="1"/>
  <c r="AM256" i="10" s="1"/>
  <c r="AM257" i="10" s="1"/>
  <c r="AM258" i="10" s="1"/>
  <c r="AM259" i="10" s="1"/>
  <c r="AM260" i="10" s="1"/>
  <c r="AM261" i="10" s="1"/>
  <c r="AM262" i="10" s="1"/>
  <c r="AM263" i="10" s="1"/>
  <c r="AM264" i="10" s="1"/>
  <c r="AM265" i="10" s="1"/>
  <c r="AM266" i="10" s="1"/>
  <c r="AM267" i="10" s="1"/>
  <c r="AM268" i="10" s="1"/>
  <c r="AM269" i="10" s="1"/>
  <c r="AM270" i="10" s="1"/>
  <c r="AM271" i="10" s="1"/>
  <c r="AM272" i="10" s="1"/>
  <c r="AM273" i="10" s="1"/>
  <c r="AM274" i="10" s="1"/>
  <c r="AM275" i="10" s="1"/>
  <c r="AM276" i="10" s="1"/>
  <c r="AM277" i="10" s="1"/>
  <c r="AM278" i="10" s="1"/>
  <c r="AM279" i="10" s="1"/>
  <c r="AM280" i="10" s="1"/>
  <c r="AM281" i="10" s="1"/>
  <c r="AM282" i="10" s="1"/>
  <c r="AM283" i="10" s="1"/>
  <c r="AM284" i="10" s="1"/>
  <c r="AM285" i="10" s="1"/>
  <c r="AM286" i="10" s="1"/>
  <c r="AM287" i="10" s="1"/>
  <c r="AM288" i="10" s="1"/>
  <c r="AM289" i="10" s="1"/>
  <c r="AM290" i="10" s="1"/>
  <c r="AM291" i="10" s="1"/>
  <c r="AM292" i="10" s="1"/>
  <c r="AM293" i="10" s="1"/>
  <c r="AM294" i="10" s="1"/>
  <c r="AM295" i="10" s="1"/>
  <c r="AM296" i="10" s="1"/>
  <c r="AM297" i="10" s="1"/>
  <c r="AM298" i="10" s="1"/>
  <c r="AM299" i="10" s="1"/>
  <c r="AM300" i="10" s="1"/>
  <c r="AM301" i="10" s="1"/>
  <c r="AM302" i="10" s="1"/>
  <c r="AM303" i="10" s="1"/>
  <c r="AM304" i="10" s="1"/>
  <c r="AM305" i="10" s="1"/>
  <c r="AM306" i="10" s="1"/>
  <c r="AM307" i="10" s="1"/>
  <c r="AM308" i="10" s="1"/>
  <c r="AM309" i="10" s="1"/>
  <c r="AM310" i="10" s="1"/>
  <c r="AM311" i="10" s="1"/>
  <c r="AM312" i="10" s="1"/>
  <c r="AM313" i="10" s="1"/>
  <c r="AM314" i="10" s="1"/>
  <c r="AM315" i="10" s="1"/>
  <c r="AM316" i="10" s="1"/>
  <c r="AM317" i="10" s="1"/>
  <c r="AM318" i="10" s="1"/>
  <c r="AM319" i="10" s="1"/>
  <c r="AM320" i="10" s="1"/>
  <c r="AM321" i="10" s="1"/>
  <c r="AM322" i="10" s="1"/>
  <c r="AM323" i="10" s="1"/>
  <c r="AM324" i="10" s="1"/>
  <c r="AM325" i="10" s="1"/>
  <c r="AM326" i="10" s="1"/>
  <c r="AM327" i="10" s="1"/>
  <c r="AM328" i="10" s="1"/>
  <c r="AM329" i="10" s="1"/>
  <c r="AM330" i="10" s="1"/>
  <c r="AM331" i="10" s="1"/>
  <c r="AM332" i="10" s="1"/>
  <c r="AM333" i="10" s="1"/>
  <c r="AM334" i="10" s="1"/>
  <c r="AM335" i="10" s="1"/>
  <c r="AM336" i="10" s="1"/>
  <c r="AM337" i="10" s="1"/>
  <c r="AM338" i="10" s="1"/>
  <c r="AM339" i="10" s="1"/>
  <c r="AM340" i="10" s="1"/>
  <c r="AM341" i="10" s="1"/>
  <c r="AM342" i="10" s="1"/>
  <c r="AM343" i="10" s="1"/>
  <c r="AM344" i="10" s="1"/>
  <c r="AM345" i="10" s="1"/>
  <c r="AM346" i="10" s="1"/>
  <c r="AM347" i="10" s="1"/>
  <c r="AM348" i="10" s="1"/>
  <c r="AM349" i="10" s="1"/>
  <c r="AM350" i="10" s="1"/>
  <c r="AM351" i="10" s="1"/>
  <c r="AM352" i="10" s="1"/>
  <c r="AM353" i="10" s="1"/>
  <c r="AM354" i="10" s="1"/>
  <c r="AM355" i="10" s="1"/>
  <c r="AM356" i="10" s="1"/>
  <c r="AM357" i="10" s="1"/>
  <c r="AM358" i="10" s="1"/>
  <c r="AM359" i="10" s="1"/>
  <c r="AM360" i="10" s="1"/>
  <c r="AM361" i="10" s="1"/>
  <c r="AM362" i="10" s="1"/>
  <c r="AM363" i="10" s="1"/>
  <c r="AM364" i="10" s="1"/>
  <c r="AM365" i="10" s="1"/>
  <c r="AM366" i="10" s="1"/>
  <c r="AM367" i="10" s="1"/>
  <c r="AM368" i="10" s="1"/>
  <c r="AM369" i="10" s="1"/>
  <c r="AM370" i="10" s="1"/>
  <c r="AM371" i="10" s="1"/>
  <c r="AM372" i="10" s="1"/>
  <c r="AM373" i="10" s="1"/>
  <c r="AM374" i="10" s="1"/>
  <c r="AM375" i="10" s="1"/>
  <c r="AM376" i="10" s="1"/>
  <c r="AM377" i="10" s="1"/>
  <c r="AM378" i="10" s="1"/>
  <c r="AM379" i="10" s="1"/>
  <c r="AM380" i="10" s="1"/>
  <c r="AM381" i="10" s="1"/>
  <c r="AM382" i="10" s="1"/>
  <c r="AM383" i="10" s="1"/>
  <c r="AM384" i="10" s="1"/>
  <c r="AM385" i="10" s="1"/>
  <c r="AM386" i="10" s="1"/>
  <c r="AM387" i="10" s="1"/>
  <c r="AM388" i="10" s="1"/>
  <c r="AM389" i="10" s="1"/>
  <c r="AM390" i="10" s="1"/>
  <c r="AM391" i="10" s="1"/>
  <c r="AM392" i="10" s="1"/>
  <c r="AM393" i="10" s="1"/>
  <c r="AM394" i="10" s="1"/>
  <c r="AM395" i="10" s="1"/>
  <c r="AM396" i="10" s="1"/>
  <c r="AM397" i="10" s="1"/>
  <c r="AM398" i="10" s="1"/>
  <c r="AM399" i="10" s="1"/>
  <c r="AM400" i="10" s="1"/>
  <c r="AM401" i="10" s="1"/>
  <c r="AM402" i="10" s="1"/>
  <c r="AM403" i="10" s="1"/>
  <c r="AM404" i="10" s="1"/>
  <c r="AM405" i="10" s="1"/>
  <c r="AM406" i="10" s="1"/>
  <c r="AM407" i="10" s="1"/>
  <c r="AM408" i="10" s="1"/>
  <c r="AM409" i="10" s="1"/>
  <c r="AM410" i="10" s="1"/>
  <c r="AM411" i="10" s="1"/>
  <c r="AM412" i="10" s="1"/>
  <c r="AM413" i="10" s="1"/>
  <c r="AM414" i="10" s="1"/>
  <c r="AM415" i="10" s="1"/>
  <c r="AM416" i="10" s="1"/>
  <c r="AM417" i="10" s="1"/>
  <c r="AM418" i="10" s="1"/>
  <c r="AM419" i="10" s="1"/>
  <c r="AM420" i="10" s="1"/>
  <c r="AM421" i="10" s="1"/>
  <c r="AM422" i="10" s="1"/>
  <c r="AM423" i="10" s="1"/>
  <c r="AM424" i="10" s="1"/>
  <c r="AM425" i="10" s="1"/>
  <c r="AM426" i="10" s="1"/>
  <c r="AM427" i="10" s="1"/>
  <c r="AM428" i="10" s="1"/>
  <c r="AM429" i="10" s="1"/>
  <c r="AM430" i="10" s="1"/>
  <c r="AM431" i="10" s="1"/>
  <c r="AM432" i="10" s="1"/>
  <c r="AM433" i="10" s="1"/>
  <c r="AM434" i="10" s="1"/>
  <c r="AM435" i="10" s="1"/>
  <c r="AM436" i="10" s="1"/>
  <c r="AM437" i="10" s="1"/>
  <c r="AM438" i="10" s="1"/>
  <c r="AM439" i="10" s="1"/>
  <c r="AM440" i="10" s="1"/>
  <c r="AM441" i="10" s="1"/>
  <c r="AM442" i="10" s="1"/>
  <c r="AM443" i="10" s="1"/>
  <c r="AM444" i="10" s="1"/>
  <c r="AM445" i="10" s="1"/>
  <c r="AM446" i="10" s="1"/>
  <c r="AM447" i="10" s="1"/>
  <c r="AM448" i="10" s="1"/>
  <c r="AM449" i="10" s="1"/>
  <c r="AM450" i="10" s="1"/>
  <c r="AM451" i="10" s="1"/>
  <c r="AM452" i="10" s="1"/>
  <c r="AM453" i="10" s="1"/>
  <c r="AM454" i="10" s="1"/>
  <c r="AM455" i="10" s="1"/>
  <c r="AM456" i="10" s="1"/>
  <c r="AM457" i="10" s="1"/>
  <c r="AM458" i="10" s="1"/>
  <c r="AM459" i="10" s="1"/>
  <c r="AM460" i="10" s="1"/>
  <c r="AM461" i="10" s="1"/>
  <c r="AM462" i="10" s="1"/>
  <c r="AM463" i="10" s="1"/>
  <c r="AM464" i="10" s="1"/>
  <c r="AM465" i="10" s="1"/>
  <c r="AM466" i="10" s="1"/>
  <c r="AM467" i="10" s="1"/>
  <c r="AM468" i="10" s="1"/>
  <c r="AM469" i="10" s="1"/>
  <c r="AM470" i="10" s="1"/>
  <c r="AM471" i="10" s="1"/>
  <c r="AM472" i="10" s="1"/>
  <c r="AM473" i="10" s="1"/>
  <c r="AM474" i="10" s="1"/>
  <c r="AM475" i="10" s="1"/>
  <c r="AM476" i="10" s="1"/>
  <c r="AM477" i="10" s="1"/>
  <c r="AM478" i="10" s="1"/>
  <c r="AM479" i="10" s="1"/>
  <c r="AM480" i="10" s="1"/>
  <c r="AM481" i="10" s="1"/>
  <c r="AM482" i="10" s="1"/>
  <c r="AM483" i="10" s="1"/>
  <c r="AM484" i="10" s="1"/>
  <c r="AM485" i="10" s="1"/>
  <c r="AM486" i="10" s="1"/>
  <c r="AM487" i="10" s="1"/>
  <c r="AM488" i="10" s="1"/>
  <c r="AM489" i="10" s="1"/>
  <c r="AM490" i="10" s="1"/>
  <c r="AM491" i="10" s="1"/>
  <c r="AM492" i="10" s="1"/>
  <c r="AM493" i="10" s="1"/>
  <c r="AM494" i="10" s="1"/>
  <c r="AM495" i="10" s="1"/>
  <c r="BK18" i="10"/>
  <c r="J295" i="21"/>
  <c r="I1" i="21"/>
  <c r="F6" i="2"/>
  <c r="J2" i="21" s="1"/>
  <c r="X17" i="2"/>
  <c r="F12" i="21"/>
  <c r="E13" i="21"/>
  <c r="G360" i="21"/>
  <c r="G361" i="21" s="1"/>
  <c r="G362" i="21" s="1"/>
  <c r="G172" i="21"/>
  <c r="U5" i="5"/>
  <c r="F13" i="5" s="1"/>
  <c r="H13" i="5"/>
  <c r="I201" i="21" s="1"/>
  <c r="G463" i="21"/>
  <c r="G460" i="21"/>
  <c r="G455" i="21"/>
  <c r="G458" i="21"/>
  <c r="G456" i="21"/>
  <c r="G461" i="21"/>
  <c r="G320" i="21"/>
  <c r="G464" i="21"/>
  <c r="G462" i="21"/>
  <c r="G457" i="21"/>
  <c r="G459" i="21"/>
  <c r="G465" i="21"/>
  <c r="I225" i="21"/>
  <c r="I298" i="21"/>
  <c r="H88" i="21"/>
  <c r="J88" i="21"/>
  <c r="AD11" i="19"/>
  <c r="AD10" i="19"/>
  <c r="AD9" i="19"/>
  <c r="H322" i="21"/>
  <c r="I322" i="21"/>
  <c r="H323" i="21"/>
  <c r="I323" i="21"/>
  <c r="I329" i="21"/>
  <c r="H329" i="21"/>
  <c r="H324" i="21"/>
  <c r="I324" i="21"/>
  <c r="H325" i="21"/>
  <c r="I325" i="21"/>
  <c r="I226" i="21"/>
  <c r="Y36" i="12"/>
  <c r="Y11" i="12"/>
  <c r="I315" i="21"/>
  <c r="H335" i="21"/>
  <c r="I335" i="21"/>
  <c r="H228" i="21"/>
  <c r="G228" i="21" s="1"/>
  <c r="I228" i="21"/>
  <c r="H328" i="21"/>
  <c r="I328" i="21"/>
  <c r="D177" i="16"/>
  <c r="D178" i="16"/>
  <c r="I333" i="21"/>
  <c r="H334" i="21"/>
  <c r="I334" i="21"/>
  <c r="H326" i="21"/>
  <c r="I326" i="21"/>
  <c r="Y18" i="12"/>
  <c r="I317" i="21"/>
  <c r="I321" i="21"/>
  <c r="H321" i="21"/>
  <c r="H327" i="21"/>
  <c r="I327" i="21"/>
  <c r="I475" i="21"/>
  <c r="I476" i="21"/>
  <c r="AH33" i="10"/>
  <c r="W40" i="2"/>
  <c r="W39" i="2"/>
  <c r="Y18" i="2"/>
  <c r="W42" i="2"/>
  <c r="X18" i="2"/>
  <c r="I6" i="2"/>
  <c r="J6" i="19"/>
  <c r="H43" i="2"/>
  <c r="I19" i="21" s="1"/>
  <c r="V58" i="2"/>
  <c r="B3" i="4"/>
  <c r="F43" i="13"/>
  <c r="J472" i="21" s="1"/>
  <c r="Y20" i="12"/>
  <c r="Y16" i="12"/>
  <c r="D33" i="16"/>
  <c r="D27" i="16"/>
  <c r="D176" i="16"/>
  <c r="R19" i="11"/>
  <c r="H9" i="3"/>
  <c r="D10" i="11"/>
  <c r="D11" i="11"/>
  <c r="C11" i="11"/>
  <c r="D31" i="16"/>
  <c r="D41" i="1"/>
  <c r="A40" i="1"/>
  <c r="U14" i="13"/>
  <c r="U48" i="4"/>
  <c r="D1" i="21"/>
  <c r="F32" i="5"/>
  <c r="J44" i="21" s="1"/>
  <c r="E32" i="5"/>
  <c r="F45" i="13"/>
  <c r="J473" i="21" s="1"/>
  <c r="U15" i="13"/>
  <c r="F47" i="13"/>
  <c r="J474" i="21" s="1"/>
  <c r="K191" i="16"/>
  <c r="K189" i="16"/>
  <c r="F183" i="16"/>
  <c r="J335" i="21" s="1"/>
  <c r="F182" i="16"/>
  <c r="J334" i="21" s="1"/>
  <c r="F176" i="16"/>
  <c r="J332" i="21" s="1"/>
  <c r="F174" i="16"/>
  <c r="J331" i="21" s="1"/>
  <c r="F170" i="16"/>
  <c r="J325" i="21" s="1"/>
  <c r="F169" i="16"/>
  <c r="J324" i="21" s="1"/>
  <c r="F168" i="16"/>
  <c r="J323" i="21" s="1"/>
  <c r="F167" i="16"/>
  <c r="J322" i="21" s="1"/>
  <c r="F166" i="16"/>
  <c r="J321" i="21" s="1"/>
  <c r="F162" i="16"/>
  <c r="J320" i="21" s="1"/>
  <c r="F159" i="16"/>
  <c r="J318" i="21" s="1"/>
  <c r="F158" i="16"/>
  <c r="J317" i="21" s="1"/>
  <c r="F157" i="16"/>
  <c r="J316" i="21" s="1"/>
  <c r="F156" i="16"/>
  <c r="J315" i="21" s="1"/>
  <c r="E31" i="16"/>
  <c r="E26" i="16"/>
  <c r="D22" i="16"/>
  <c r="K28" i="8"/>
  <c r="AG15" i="19"/>
  <c r="O57" i="10"/>
  <c r="R16" i="11"/>
  <c r="R14" i="11"/>
  <c r="R13" i="11"/>
  <c r="R17" i="11"/>
  <c r="C17" i="11" s="1"/>
  <c r="V2" i="20"/>
  <c r="V123" i="20"/>
  <c r="V96" i="20"/>
  <c r="AH15" i="19"/>
  <c r="A176" i="16"/>
  <c r="W74" i="7"/>
  <c r="V67" i="7"/>
  <c r="U68" i="7"/>
  <c r="W73" i="7"/>
  <c r="V73" i="7"/>
  <c r="V66" i="7"/>
  <c r="U67" i="7"/>
  <c r="U72" i="7"/>
  <c r="U69" i="7"/>
  <c r="W72" i="7"/>
  <c r="V72" i="7"/>
  <c r="U74" i="7"/>
  <c r="U66" i="7"/>
  <c r="V71" i="7"/>
  <c r="W71" i="7"/>
  <c r="V74" i="7"/>
  <c r="U73" i="7"/>
  <c r="W70" i="7"/>
  <c r="V68" i="7"/>
  <c r="W69" i="7"/>
  <c r="V70" i="7"/>
  <c r="U71" i="7"/>
  <c r="W68" i="7"/>
  <c r="D32" i="7" s="1"/>
  <c r="F32" i="7" s="1"/>
  <c r="V69" i="7"/>
  <c r="U70" i="7"/>
  <c r="AV23" i="19"/>
  <c r="AV24" i="19"/>
  <c r="I52" i="7"/>
  <c r="I53" i="7"/>
  <c r="I51" i="7"/>
  <c r="D53" i="7"/>
  <c r="I48" i="7"/>
  <c r="E53" i="7"/>
  <c r="D49" i="7"/>
  <c r="E49" i="7"/>
  <c r="D48" i="7"/>
  <c r="F49" i="7"/>
  <c r="J83" i="21" s="1"/>
  <c r="E50" i="7"/>
  <c r="E48" i="7"/>
  <c r="F52" i="7"/>
  <c r="K190" i="16"/>
  <c r="W10" i="6"/>
  <c r="AM47" i="19"/>
  <c r="AM39" i="19"/>
  <c r="AM30" i="19"/>
  <c r="AM46" i="19"/>
  <c r="AM38" i="19"/>
  <c r="AM29" i="19"/>
  <c r="AM36" i="19"/>
  <c r="AM42" i="19"/>
  <c r="AM34" i="19"/>
  <c r="AM40" i="19"/>
  <c r="AM32" i="19"/>
  <c r="AM45" i="19"/>
  <c r="AM37" i="19"/>
  <c r="AM28" i="19"/>
  <c r="AN31" i="19" s="1"/>
  <c r="AM44" i="19"/>
  <c r="AM31" i="19"/>
  <c r="AM35" i="19"/>
  <c r="AM41" i="19"/>
  <c r="AM33" i="19"/>
  <c r="AM43" i="19"/>
  <c r="AU14" i="19"/>
  <c r="AT14" i="19"/>
  <c r="AS10" i="19"/>
  <c r="V32" i="19"/>
  <c r="AS11" i="19"/>
  <c r="AU15" i="19"/>
  <c r="V41" i="19"/>
  <c r="AU16" i="19"/>
  <c r="V34" i="19"/>
  <c r="AS13" i="19"/>
  <c r="AT7" i="19"/>
  <c r="AV3" i="19"/>
  <c r="AV11" i="19"/>
  <c r="AV19" i="19"/>
  <c r="V31" i="19"/>
  <c r="AT12" i="19"/>
  <c r="AS3" i="19"/>
  <c r="AU7" i="19"/>
  <c r="V33" i="19"/>
  <c r="AS12" i="19"/>
  <c r="AV10" i="19"/>
  <c r="V42" i="19"/>
  <c r="AU9" i="19"/>
  <c r="V35" i="19"/>
  <c r="V43" i="19"/>
  <c r="AS6" i="19"/>
  <c r="AS14" i="19"/>
  <c r="AT8" i="19"/>
  <c r="AT16" i="19"/>
  <c r="AU10" i="19"/>
  <c r="AV4" i="19"/>
  <c r="AV12" i="19"/>
  <c r="AV20" i="19"/>
  <c r="V47" i="19"/>
  <c r="AV16" i="19"/>
  <c r="V40" i="19"/>
  <c r="AT13" i="19"/>
  <c r="AV17" i="19"/>
  <c r="AS4" i="19"/>
  <c r="AU8" i="19"/>
  <c r="AV18" i="19"/>
  <c r="AS5" i="19"/>
  <c r="AT15" i="19"/>
  <c r="V28" i="19"/>
  <c r="V36" i="19"/>
  <c r="V44" i="19"/>
  <c r="AS15" i="19"/>
  <c r="AT9" i="19"/>
  <c r="AU11" i="19"/>
  <c r="AV5" i="19"/>
  <c r="AV13" i="19"/>
  <c r="AV21" i="19"/>
  <c r="V39" i="19"/>
  <c r="AV8" i="19"/>
  <c r="AV9" i="19"/>
  <c r="V29" i="19"/>
  <c r="V37" i="19"/>
  <c r="V45" i="19"/>
  <c r="AS8" i="19"/>
  <c r="AS16" i="19"/>
  <c r="AT10" i="19"/>
  <c r="AU12" i="19"/>
  <c r="AV6" i="19"/>
  <c r="AV14" i="19"/>
  <c r="V30" i="19"/>
  <c r="V38" i="19"/>
  <c r="V46" i="19"/>
  <c r="AS9" i="19"/>
  <c r="AT11" i="19"/>
  <c r="AU13" i="19"/>
  <c r="AV15" i="19"/>
  <c r="A190" i="16"/>
  <c r="A185" i="16"/>
  <c r="F50" i="7"/>
  <c r="J84" i="21" s="1"/>
  <c r="D51" i="7"/>
  <c r="F53" i="7"/>
  <c r="I50" i="7"/>
  <c r="E51" i="7"/>
  <c r="D52" i="7"/>
  <c r="H160" i="16"/>
  <c r="V28" i="11"/>
  <c r="F28" i="11" s="1"/>
  <c r="H511" i="21" s="1"/>
  <c r="D28" i="11"/>
  <c r="H149" i="16"/>
  <c r="I304" i="21" s="1"/>
  <c r="F148" i="16"/>
  <c r="J303" i="21" s="1"/>
  <c r="F147" i="16"/>
  <c r="J302" i="21" s="1"/>
  <c r="F150" i="16"/>
  <c r="J305" i="21" s="1"/>
  <c r="H127" i="16"/>
  <c r="K182" i="16"/>
  <c r="T194" i="16"/>
  <c r="F190" i="16"/>
  <c r="J328" i="21" s="1"/>
  <c r="F191" i="16"/>
  <c r="J329" i="21" s="1"/>
  <c r="F189" i="16"/>
  <c r="J327" i="21" s="1"/>
  <c r="K188" i="16"/>
  <c r="F188" i="16"/>
  <c r="J326" i="21" s="1"/>
  <c r="K183" i="16"/>
  <c r="K177" i="16"/>
  <c r="F177" i="16"/>
  <c r="J333" i="21" s="1"/>
  <c r="K176" i="16"/>
  <c r="A173" i="16"/>
  <c r="A165" i="16"/>
  <c r="T180" i="16"/>
  <c r="M21" i="1" s="1"/>
  <c r="K173" i="16"/>
  <c r="F173" i="16"/>
  <c r="J330" i="21" s="1"/>
  <c r="A168" i="16"/>
  <c r="W3" i="6"/>
  <c r="W5" i="6"/>
  <c r="W6" i="6"/>
  <c r="W4" i="6"/>
  <c r="W7" i="6"/>
  <c r="W8" i="6"/>
  <c r="W9" i="6"/>
  <c r="S3" i="6"/>
  <c r="A4" i="1"/>
  <c r="S5" i="6"/>
  <c r="S6" i="6"/>
  <c r="T5" i="6"/>
  <c r="S8" i="6"/>
  <c r="S4" i="6"/>
  <c r="S9" i="6"/>
  <c r="T8" i="6"/>
  <c r="S7" i="6"/>
  <c r="S10" i="6"/>
  <c r="T4" i="6"/>
  <c r="T3" i="6" s="1"/>
  <c r="A1" i="1"/>
  <c r="K162" i="16"/>
  <c r="K159" i="16"/>
  <c r="K158" i="16"/>
  <c r="K157" i="16"/>
  <c r="K156" i="16"/>
  <c r="H28" i="8"/>
  <c r="D62" i="12"/>
  <c r="H71" i="12"/>
  <c r="I448" i="21" s="1"/>
  <c r="F70" i="12"/>
  <c r="J447" i="21" s="1"/>
  <c r="H69" i="12"/>
  <c r="I446" i="21" s="1"/>
  <c r="H68" i="12"/>
  <c r="I445" i="21" s="1"/>
  <c r="X7" i="2"/>
  <c r="X6" i="2"/>
  <c r="X8" i="2"/>
  <c r="X3" i="2"/>
  <c r="H67" i="12"/>
  <c r="I444" i="21" s="1"/>
  <c r="F66" i="12"/>
  <c r="J443" i="21" s="1"/>
  <c r="H66" i="12"/>
  <c r="I443" i="21" s="1"/>
  <c r="H65" i="12"/>
  <c r="I442" i="21" s="1"/>
  <c r="H64" i="12"/>
  <c r="I441" i="21" s="1"/>
  <c r="F63" i="12"/>
  <c r="J440" i="21" s="1"/>
  <c r="H63" i="12"/>
  <c r="I440" i="21" s="1"/>
  <c r="F62" i="12"/>
  <c r="J439" i="21" s="1"/>
  <c r="Z35" i="3"/>
  <c r="X42" i="7"/>
  <c r="I21" i="7"/>
  <c r="F21" i="7"/>
  <c r="J64" i="21" s="1"/>
  <c r="D21" i="7"/>
  <c r="C21" i="7"/>
  <c r="D25" i="7"/>
  <c r="C25" i="7"/>
  <c r="F44" i="7"/>
  <c r="D44" i="7"/>
  <c r="C44" i="7"/>
  <c r="X97" i="7"/>
  <c r="I44" i="7" s="1"/>
  <c r="S101" i="7"/>
  <c r="S13" i="16" l="1"/>
  <c r="BL11" i="10"/>
  <c r="BL10" i="10"/>
  <c r="BL13" i="10"/>
  <c r="BL9" i="10"/>
  <c r="BL8" i="10"/>
  <c r="BK19" i="10"/>
  <c r="BL18" i="10"/>
  <c r="BL7" i="10"/>
  <c r="BL17" i="10"/>
  <c r="BL6" i="10"/>
  <c r="BL12" i="10"/>
  <c r="BL16" i="10"/>
  <c r="BL4" i="10"/>
  <c r="BL15" i="10"/>
  <c r="BL5" i="10"/>
  <c r="BL14" i="10"/>
  <c r="F5" i="16"/>
  <c r="I295" i="21"/>
  <c r="S10" i="16"/>
  <c r="F13" i="21"/>
  <c r="E14" i="21"/>
  <c r="G173" i="21"/>
  <c r="G328" i="21"/>
  <c r="G323" i="21"/>
  <c r="G326" i="21"/>
  <c r="G325" i="21"/>
  <c r="G322" i="21"/>
  <c r="G327" i="21"/>
  <c r="G334" i="21"/>
  <c r="G321" i="21"/>
  <c r="G335" i="21"/>
  <c r="G324" i="21"/>
  <c r="G329" i="21"/>
  <c r="W62" i="19"/>
  <c r="H319" i="21"/>
  <c r="I319" i="21"/>
  <c r="A89" i="12"/>
  <c r="T93" i="12"/>
  <c r="C41" i="1"/>
  <c r="E41" i="1" s="1"/>
  <c r="F71" i="12"/>
  <c r="J448" i="21" s="1"/>
  <c r="F68" i="12"/>
  <c r="J445" i="21" s="1"/>
  <c r="F67" i="12"/>
  <c r="J444" i="21" s="1"/>
  <c r="F65" i="12"/>
  <c r="J442" i="21" s="1"/>
  <c r="F64" i="12"/>
  <c r="J441" i="21" s="1"/>
  <c r="F160" i="16"/>
  <c r="J319" i="21" s="1"/>
  <c r="S21" i="16"/>
  <c r="F69" i="12"/>
  <c r="J446" i="21" s="1"/>
  <c r="C27" i="11"/>
  <c r="V27" i="11" s="1"/>
  <c r="F27" i="11" s="1"/>
  <c r="H510" i="21" s="1"/>
  <c r="D17" i="11"/>
  <c r="X17" i="11" s="1"/>
  <c r="F25" i="7"/>
  <c r="J68" i="21" s="1"/>
  <c r="S98" i="7"/>
  <c r="I25" i="7"/>
  <c r="X28" i="11"/>
  <c r="Q21" i="1"/>
  <c r="A180" i="16"/>
  <c r="A1" i="13"/>
  <c r="A1" i="7"/>
  <c r="A1" i="12"/>
  <c r="A1" i="10"/>
  <c r="A1" i="11"/>
  <c r="A1" i="5"/>
  <c r="A1" i="16"/>
  <c r="A1" i="15"/>
  <c r="A1" i="3"/>
  <c r="A1" i="6"/>
  <c r="A1" i="4"/>
  <c r="B1" i="19"/>
  <c r="A1" i="2"/>
  <c r="A1" i="8"/>
  <c r="AT102" i="19"/>
  <c r="AT106" i="19"/>
  <c r="AU102" i="19"/>
  <c r="AU101" i="19"/>
  <c r="AT101" i="19"/>
  <c r="AU100" i="19"/>
  <c r="AT100" i="19"/>
  <c r="AU99" i="19"/>
  <c r="AT99" i="19"/>
  <c r="AS106" i="19"/>
  <c r="AQ106" i="19"/>
  <c r="AS102" i="19"/>
  <c r="AQ102" i="19"/>
  <c r="AS101" i="19"/>
  <c r="AQ101" i="19"/>
  <c r="AS100" i="19"/>
  <c r="AQ100" i="19"/>
  <c r="AS99" i="19"/>
  <c r="AQ99" i="19"/>
  <c r="X21" i="11"/>
  <c r="V21" i="11"/>
  <c r="W26" i="11"/>
  <c r="W21" i="11"/>
  <c r="W20" i="11"/>
  <c r="W19" i="11"/>
  <c r="W18" i="11"/>
  <c r="W17" i="11"/>
  <c r="U58" i="2"/>
  <c r="T60" i="2"/>
  <c r="T59" i="2"/>
  <c r="K19" i="2"/>
  <c r="C51" i="2"/>
  <c r="H46" i="2"/>
  <c r="I20" i="21" s="1"/>
  <c r="D50" i="2"/>
  <c r="D49" i="2"/>
  <c r="D51" i="2" s="1"/>
  <c r="T40" i="2"/>
  <c r="T39" i="2"/>
  <c r="T42" i="2"/>
  <c r="AC42" i="2"/>
  <c r="Z17" i="2" s="1"/>
  <c r="D11" i="2" s="1"/>
  <c r="AC40" i="2"/>
  <c r="AC39" i="2"/>
  <c r="AC37" i="2"/>
  <c r="U45" i="2"/>
  <c r="U44" i="2"/>
  <c r="AC45" i="2"/>
  <c r="AC44" i="2"/>
  <c r="AD44" i="2" s="1"/>
  <c r="V2" i="17"/>
  <c r="BL19" i="10" l="1"/>
  <c r="BK20" i="10"/>
  <c r="F14" i="21"/>
  <c r="E15" i="21"/>
  <c r="T77" i="2"/>
  <c r="G174" i="21"/>
  <c r="G175" i="21" s="1"/>
  <c r="G319" i="21"/>
  <c r="Z18" i="2"/>
  <c r="G41" i="2" s="1"/>
  <c r="AB18" i="2" s="1"/>
  <c r="H3" i="16"/>
  <c r="U108" i="12"/>
  <c r="T108" i="12" s="1"/>
  <c r="D42" i="1"/>
  <c r="A41" i="1"/>
  <c r="F43" i="2"/>
  <c r="D27" i="11"/>
  <c r="F46" i="2"/>
  <c r="F32" i="2"/>
  <c r="J17" i="21" s="1"/>
  <c r="V17" i="11"/>
  <c r="F17" i="11" s="1"/>
  <c r="X27" i="11"/>
  <c r="D52" i="2"/>
  <c r="C52" i="2" s="1"/>
  <c r="U36" i="2"/>
  <c r="U28" i="2"/>
  <c r="AC34" i="2"/>
  <c r="AC28" i="2"/>
  <c r="U34" i="2"/>
  <c r="T34" i="2"/>
  <c r="U37" i="2"/>
  <c r="U32" i="2"/>
  <c r="U30" i="2"/>
  <c r="E2" i="6"/>
  <c r="E2" i="5"/>
  <c r="E2" i="4"/>
  <c r="E2" i="3"/>
  <c r="B1" i="3"/>
  <c r="BZ2" i="17"/>
  <c r="F41" i="10"/>
  <c r="J146" i="21" s="1"/>
  <c r="F36" i="10"/>
  <c r="J141" i="21" s="1"/>
  <c r="T26" i="8"/>
  <c r="AX128" i="20" s="1"/>
  <c r="T25" i="8"/>
  <c r="AK2" i="19"/>
  <c r="H27" i="13"/>
  <c r="I463" i="21" s="1"/>
  <c r="H23" i="13"/>
  <c r="I459" i="21" s="1"/>
  <c r="K24" i="13"/>
  <c r="E39" i="15"/>
  <c r="Y36" i="15"/>
  <c r="Y34" i="15"/>
  <c r="Y33" i="15"/>
  <c r="Y31" i="15"/>
  <c r="Y30" i="15"/>
  <c r="Y27" i="15"/>
  <c r="Y24" i="15"/>
  <c r="Y23" i="15"/>
  <c r="Y21" i="15"/>
  <c r="Y20" i="15"/>
  <c r="Y19" i="15"/>
  <c r="AA58" i="15"/>
  <c r="Z47" i="15"/>
  <c r="Z46" i="15"/>
  <c r="Z45" i="15"/>
  <c r="Z44" i="15"/>
  <c r="Z43" i="15"/>
  <c r="B31" i="15"/>
  <c r="B26" i="15"/>
  <c r="B21" i="15"/>
  <c r="B16" i="15"/>
  <c r="B11" i="15"/>
  <c r="H40" i="15"/>
  <c r="F40" i="15"/>
  <c r="J140" i="21" s="1"/>
  <c r="K39" i="15"/>
  <c r="S47" i="15" s="1"/>
  <c r="D39" i="15"/>
  <c r="AB110" i="19"/>
  <c r="AB109" i="19"/>
  <c r="BB120" i="19" s="1"/>
  <c r="AB108" i="19"/>
  <c r="BB119" i="19" s="1"/>
  <c r="T16" i="19" s="1"/>
  <c r="AC15" i="19"/>
  <c r="AB15" i="19"/>
  <c r="AC14" i="19"/>
  <c r="AC13" i="19"/>
  <c r="AC11" i="19"/>
  <c r="AC10" i="19"/>
  <c r="AC9" i="19"/>
  <c r="F12" i="8"/>
  <c r="H12" i="8"/>
  <c r="AX113" i="19"/>
  <c r="AX132" i="19"/>
  <c r="AX131" i="19"/>
  <c r="AX130" i="19"/>
  <c r="AX129" i="19"/>
  <c r="AX128" i="19"/>
  <c r="AX127" i="19"/>
  <c r="AX126" i="19"/>
  <c r="AX125" i="19"/>
  <c r="AX124" i="19"/>
  <c r="AX123" i="19"/>
  <c r="AX122" i="19"/>
  <c r="AX121" i="19"/>
  <c r="AX120" i="19"/>
  <c r="AX119" i="19"/>
  <c r="AX118" i="19"/>
  <c r="AX117" i="19"/>
  <c r="AX116" i="19"/>
  <c r="AX115" i="19"/>
  <c r="AX114" i="19"/>
  <c r="AW132" i="19"/>
  <c r="AY132" i="19" s="1"/>
  <c r="AW131" i="19"/>
  <c r="AY131" i="19" s="1"/>
  <c r="AW130" i="19"/>
  <c r="AY130" i="19" s="1"/>
  <c r="AW129" i="19"/>
  <c r="AY129" i="19" s="1"/>
  <c r="AW128" i="19"/>
  <c r="AW127" i="19"/>
  <c r="AW126" i="19"/>
  <c r="AW125" i="19"/>
  <c r="AY125" i="19" s="1"/>
  <c r="AW124" i="19"/>
  <c r="AY124" i="19" s="1"/>
  <c r="AW123" i="19"/>
  <c r="AY123" i="19" s="1"/>
  <c r="AW122" i="19"/>
  <c r="AY122" i="19" s="1"/>
  <c r="AW121" i="19"/>
  <c r="AY121" i="19" s="1"/>
  <c r="AW120" i="19"/>
  <c r="AW119" i="19"/>
  <c r="AW118" i="19"/>
  <c r="AW117" i="19"/>
  <c r="AW116" i="19"/>
  <c r="AY116" i="19" s="1"/>
  <c r="AW115" i="19"/>
  <c r="AY115" i="19" s="1"/>
  <c r="AW114" i="19"/>
  <c r="AW113" i="19"/>
  <c r="BK20" i="19"/>
  <c r="Z23" i="8"/>
  <c r="Z22" i="8"/>
  <c r="I90" i="21"/>
  <c r="J90" i="21"/>
  <c r="F18" i="8"/>
  <c r="J93" i="21" s="1"/>
  <c r="V11" i="11"/>
  <c r="C20" i="11"/>
  <c r="V20" i="11" s="1"/>
  <c r="D20" i="11"/>
  <c r="X20" i="11" s="1"/>
  <c r="F20" i="11"/>
  <c r="H503" i="21" s="1"/>
  <c r="X11" i="11"/>
  <c r="A7" i="12"/>
  <c r="AP47" i="19"/>
  <c r="AP46" i="19"/>
  <c r="AP45" i="19"/>
  <c r="AP44" i="19"/>
  <c r="AP43" i="19"/>
  <c r="AP42" i="19"/>
  <c r="AP41" i="19"/>
  <c r="AP40" i="19"/>
  <c r="AP39" i="19"/>
  <c r="AP38" i="19"/>
  <c r="AP37" i="19"/>
  <c r="AP36" i="19"/>
  <c r="AP35" i="19"/>
  <c r="AP34" i="19"/>
  <c r="AP33" i="19"/>
  <c r="AP32" i="19"/>
  <c r="AP31" i="19"/>
  <c r="AP30" i="19"/>
  <c r="AP29" i="19"/>
  <c r="AP28" i="19"/>
  <c r="Z15" i="19"/>
  <c r="W16" i="11"/>
  <c r="W15" i="11"/>
  <c r="W14" i="11"/>
  <c r="W13" i="11"/>
  <c r="W12" i="11"/>
  <c r="W11" i="11"/>
  <c r="W10" i="11"/>
  <c r="V10" i="11"/>
  <c r="BU36" i="17"/>
  <c r="AB113" i="19"/>
  <c r="AE125" i="19"/>
  <c r="AS136" i="19"/>
  <c r="AB14" i="19"/>
  <c r="T130" i="19"/>
  <c r="AG121" i="19"/>
  <c r="AS37" i="19"/>
  <c r="AS45" i="19"/>
  <c r="AS36" i="19"/>
  <c r="AE52" i="19"/>
  <c r="AE51" i="19"/>
  <c r="BE28" i="19"/>
  <c r="BD28" i="19"/>
  <c r="AB28" i="19"/>
  <c r="BI81" i="19"/>
  <c r="BI68" i="19"/>
  <c r="BI67" i="19"/>
  <c r="BI66" i="19"/>
  <c r="BI46" i="19"/>
  <c r="BI44" i="19"/>
  <c r="BI43" i="19"/>
  <c r="BI42" i="19"/>
  <c r="BI32" i="19"/>
  <c r="BI28" i="19"/>
  <c r="Z51" i="19"/>
  <c r="U23" i="19" s="1"/>
  <c r="AA15" i="19"/>
  <c r="AJ30" i="19" s="1"/>
  <c r="AA14" i="19"/>
  <c r="AJ29" i="19" s="1"/>
  <c r="AA13" i="19"/>
  <c r="AJ28" i="19" s="1"/>
  <c r="AA9" i="19"/>
  <c r="AA10" i="19"/>
  <c r="AA11" i="19"/>
  <c r="W71" i="19"/>
  <c r="Z14" i="19"/>
  <c r="Z13" i="19"/>
  <c r="Z9" i="19"/>
  <c r="Z11" i="19"/>
  <c r="Z10" i="19"/>
  <c r="AO106" i="19"/>
  <c r="AO102" i="19"/>
  <c r="AO99" i="19"/>
  <c r="AP106" i="19"/>
  <c r="AN106" i="19"/>
  <c r="AM106" i="19"/>
  <c r="AL106" i="19"/>
  <c r="AK106" i="19"/>
  <c r="AJ106" i="19"/>
  <c r="AI106" i="19"/>
  <c r="AH106" i="19"/>
  <c r="AG106" i="19"/>
  <c r="AP102" i="19"/>
  <c r="AP99" i="19"/>
  <c r="AB99" i="19"/>
  <c r="AN102" i="19"/>
  <c r="AN99" i="19"/>
  <c r="O41" i="19"/>
  <c r="BN23" i="19"/>
  <c r="V99" i="19"/>
  <c r="AH102" i="19" s="1"/>
  <c r="V63" i="19"/>
  <c r="AB47" i="19"/>
  <c r="AB46" i="19"/>
  <c r="AB45" i="19"/>
  <c r="AB44" i="19"/>
  <c r="AB43" i="19"/>
  <c r="AB42" i="19"/>
  <c r="AR42" i="19" s="1"/>
  <c r="BH114" i="20" s="1"/>
  <c r="AB41" i="19"/>
  <c r="AB40" i="19"/>
  <c r="AR40" i="19" s="1"/>
  <c r="BH112" i="20" s="1"/>
  <c r="AB39" i="19"/>
  <c r="AB38" i="19"/>
  <c r="AR38" i="19" s="1"/>
  <c r="BH110" i="20" s="1"/>
  <c r="AB37" i="19"/>
  <c r="AR37" i="19" s="1"/>
  <c r="BH109" i="20" s="1"/>
  <c r="AB36" i="19"/>
  <c r="AR36" i="19" s="1"/>
  <c r="BH108" i="20" s="1"/>
  <c r="AB35" i="19"/>
  <c r="AB34" i="19"/>
  <c r="AR34" i="19" s="1"/>
  <c r="BH106" i="20" s="1"/>
  <c r="AB33" i="19"/>
  <c r="AB32" i="19"/>
  <c r="AK32" i="19" s="1"/>
  <c r="AB31" i="19"/>
  <c r="AR31" i="19" s="1"/>
  <c r="AB30" i="19"/>
  <c r="AB29" i="19"/>
  <c r="U30" i="19"/>
  <c r="W52" i="19"/>
  <c r="W50" i="19"/>
  <c r="V53" i="19"/>
  <c r="V52" i="19"/>
  <c r="V51" i="19"/>
  <c r="U8" i="19"/>
  <c r="Z25" i="19" s="1"/>
  <c r="U7" i="19"/>
  <c r="Z24" i="19" s="1"/>
  <c r="AI23" i="19" s="1"/>
  <c r="AA97" i="19"/>
  <c r="AA96" i="19"/>
  <c r="AA95" i="19"/>
  <c r="AA94" i="19"/>
  <c r="AA93" i="19"/>
  <c r="AA92" i="19"/>
  <c r="AA91" i="19"/>
  <c r="AA90" i="19"/>
  <c r="AA89" i="19"/>
  <c r="AA88" i="19"/>
  <c r="AA87" i="19"/>
  <c r="AA86" i="19"/>
  <c r="AA85" i="19"/>
  <c r="AA84" i="19"/>
  <c r="AA83" i="19"/>
  <c r="AA82" i="19"/>
  <c r="AA81" i="19"/>
  <c r="AA80" i="19"/>
  <c r="AA79" i="19"/>
  <c r="AA78" i="19"/>
  <c r="Y96" i="19"/>
  <c r="Y95" i="19"/>
  <c r="Y94" i="19"/>
  <c r="Y92" i="19"/>
  <c r="Y91" i="19"/>
  <c r="Y90" i="19"/>
  <c r="Z90" i="19" s="1"/>
  <c r="Y89" i="19"/>
  <c r="Y88" i="19"/>
  <c r="Z88" i="19" s="1"/>
  <c r="Y87" i="19"/>
  <c r="Y86" i="19"/>
  <c r="Y85" i="19"/>
  <c r="Y84" i="19"/>
  <c r="Y82" i="19"/>
  <c r="Z82" i="19" s="1"/>
  <c r="Y81" i="19"/>
  <c r="Y80" i="19"/>
  <c r="Y79" i="19"/>
  <c r="Z79" i="19" s="1"/>
  <c r="Y78" i="19"/>
  <c r="X78" i="19"/>
  <c r="X97" i="19"/>
  <c r="X96" i="19"/>
  <c r="X95" i="19"/>
  <c r="X94" i="19"/>
  <c r="X93" i="19"/>
  <c r="X92" i="19"/>
  <c r="X91" i="19"/>
  <c r="X90" i="19"/>
  <c r="X89" i="19"/>
  <c r="X88" i="19"/>
  <c r="X87" i="19"/>
  <c r="X86" i="19"/>
  <c r="X85" i="19"/>
  <c r="X84" i="19"/>
  <c r="X83" i="19"/>
  <c r="X82" i="19"/>
  <c r="X81" i="19"/>
  <c r="X80" i="19"/>
  <c r="X79" i="19"/>
  <c r="AM102" i="19"/>
  <c r="AL102" i="19"/>
  <c r="AK102" i="19"/>
  <c r="AM99" i="19"/>
  <c r="AL99" i="19"/>
  <c r="AK99" i="19"/>
  <c r="AJ99" i="19"/>
  <c r="AI99" i="19"/>
  <c r="AH99" i="19"/>
  <c r="AG99" i="19"/>
  <c r="AF99" i="19"/>
  <c r="AE99" i="19"/>
  <c r="AD99" i="19"/>
  <c r="AC99" i="19"/>
  <c r="AA105" i="19"/>
  <c r="AA104" i="19"/>
  <c r="AA103" i="19"/>
  <c r="AA102" i="19"/>
  <c r="AA101" i="19"/>
  <c r="AA100" i="19"/>
  <c r="AA99" i="19"/>
  <c r="AT49" i="19"/>
  <c r="AT48" i="19"/>
  <c r="AT47" i="19"/>
  <c r="BM2" i="19"/>
  <c r="BK21" i="19"/>
  <c r="BK19" i="19"/>
  <c r="BK18" i="19"/>
  <c r="BK17" i="19"/>
  <c r="AI5" i="19"/>
  <c r="AI4" i="19"/>
  <c r="AI3" i="19"/>
  <c r="AI2" i="19"/>
  <c r="O6" i="19"/>
  <c r="K2" i="19"/>
  <c r="C2" i="19"/>
  <c r="C1" i="19"/>
  <c r="U2" i="5"/>
  <c r="B4" i="3"/>
  <c r="W76" i="3"/>
  <c r="AZ42" i="3"/>
  <c r="AU42" i="3"/>
  <c r="AZ41" i="3"/>
  <c r="AU41" i="3"/>
  <c r="AZ40" i="3"/>
  <c r="AU40" i="3"/>
  <c r="AZ39" i="3"/>
  <c r="AU39" i="3"/>
  <c r="AV42" i="3"/>
  <c r="AV41" i="3"/>
  <c r="AV40" i="3"/>
  <c r="AV39" i="3"/>
  <c r="AG34" i="10"/>
  <c r="AJ31" i="10"/>
  <c r="AJ30" i="10"/>
  <c r="F29" i="10"/>
  <c r="J212" i="21" s="1"/>
  <c r="H21" i="8"/>
  <c r="I96" i="21" s="1"/>
  <c r="F31" i="8"/>
  <c r="F30" i="8"/>
  <c r="J105" i="21" s="1"/>
  <c r="F29" i="8"/>
  <c r="F27" i="8"/>
  <c r="F26" i="8"/>
  <c r="F25" i="8"/>
  <c r="F24" i="8"/>
  <c r="F23" i="8"/>
  <c r="F22" i="8"/>
  <c r="F20" i="8"/>
  <c r="J95" i="21" s="1"/>
  <c r="F19" i="8"/>
  <c r="H16" i="8"/>
  <c r="F16" i="8"/>
  <c r="H17" i="8"/>
  <c r="Z21" i="8"/>
  <c r="Y2" i="8"/>
  <c r="AC121" i="3"/>
  <c r="AC120" i="3"/>
  <c r="AC112" i="3"/>
  <c r="AC111" i="3"/>
  <c r="AC100" i="3"/>
  <c r="AC91" i="3"/>
  <c r="AC74" i="3"/>
  <c r="AC73" i="3"/>
  <c r="AC65" i="3"/>
  <c r="AC64" i="3"/>
  <c r="AF109" i="3"/>
  <c r="AF133" i="3"/>
  <c r="AF106" i="3"/>
  <c r="AF132" i="3"/>
  <c r="AF105" i="3"/>
  <c r="AF131" i="3"/>
  <c r="AF104" i="3"/>
  <c r="AF130" i="3"/>
  <c r="AF103" i="3"/>
  <c r="AE133" i="3"/>
  <c r="AE106" i="3"/>
  <c r="AE132" i="3"/>
  <c r="AE105" i="3"/>
  <c r="AE131" i="3"/>
  <c r="AE104" i="3"/>
  <c r="AE130" i="3"/>
  <c r="AE103" i="3"/>
  <c r="AF88" i="3"/>
  <c r="AF86" i="3"/>
  <c r="AF85" i="3"/>
  <c r="AF84" i="3"/>
  <c r="AF83" i="3"/>
  <c r="AE86" i="3"/>
  <c r="AE85" i="3"/>
  <c r="AE84" i="3"/>
  <c r="AE83" i="3"/>
  <c r="AF62" i="3"/>
  <c r="S48" i="3"/>
  <c r="S47" i="3"/>
  <c r="S46" i="3"/>
  <c r="S45" i="3"/>
  <c r="Z19" i="4"/>
  <c r="H11" i="5"/>
  <c r="T31" i="5"/>
  <c r="T34" i="5"/>
  <c r="U34" i="5" s="1"/>
  <c r="F23" i="5"/>
  <c r="J40" i="21" s="1"/>
  <c r="S10" i="5"/>
  <c r="U10" i="5" s="1"/>
  <c r="AI57" i="3"/>
  <c r="AI58" i="3"/>
  <c r="AG57" i="3"/>
  <c r="AG58" i="3"/>
  <c r="AD57" i="3" s="1"/>
  <c r="N28" i="4"/>
  <c r="N29" i="4"/>
  <c r="N27" i="4"/>
  <c r="E56" i="3"/>
  <c r="AB48" i="3"/>
  <c r="AN42" i="3"/>
  <c r="AN41" i="3"/>
  <c r="AB47" i="3"/>
  <c r="AN40" i="3"/>
  <c r="AB46" i="3"/>
  <c r="AN39" i="3"/>
  <c r="AB45" i="3"/>
  <c r="E13" i="10"/>
  <c r="E12" i="10"/>
  <c r="E11" i="10"/>
  <c r="E10" i="10"/>
  <c r="V65" i="3"/>
  <c r="V64" i="3"/>
  <c r="V63" i="3"/>
  <c r="T45" i="4"/>
  <c r="W31" i="4"/>
  <c r="W32" i="4"/>
  <c r="W29" i="4"/>
  <c r="W21" i="4"/>
  <c r="AH48" i="3"/>
  <c r="AH47" i="3"/>
  <c r="AH46" i="3"/>
  <c r="AH45" i="3"/>
  <c r="AG48" i="3"/>
  <c r="AG47" i="3"/>
  <c r="AG46" i="3"/>
  <c r="AG45" i="3"/>
  <c r="V48" i="3"/>
  <c r="V47" i="3"/>
  <c r="V46" i="3"/>
  <c r="V45" i="3"/>
  <c r="W80" i="3"/>
  <c r="W77" i="3"/>
  <c r="AA9" i="3"/>
  <c r="AO16" i="3" s="1"/>
  <c r="W78" i="3"/>
  <c r="W79" i="3"/>
  <c r="E14" i="3"/>
  <c r="R50" i="3"/>
  <c r="AW42" i="3" s="1"/>
  <c r="R43" i="3"/>
  <c r="AA47" i="3" s="1"/>
  <c r="R36" i="3"/>
  <c r="AW40" i="3" s="1"/>
  <c r="AA45" i="3"/>
  <c r="AG38" i="10"/>
  <c r="D18" i="10"/>
  <c r="H18" i="10"/>
  <c r="E18" i="10"/>
  <c r="F57" i="3"/>
  <c r="T33" i="5"/>
  <c r="D26" i="5" s="1"/>
  <c r="T32" i="5"/>
  <c r="T30" i="5"/>
  <c r="S43" i="13"/>
  <c r="T43" i="13"/>
  <c r="S13" i="5"/>
  <c r="U13" i="5" s="1"/>
  <c r="W83" i="3"/>
  <c r="V83" i="3"/>
  <c r="U83" i="3"/>
  <c r="AC4" i="2"/>
  <c r="E46" i="3"/>
  <c r="D76" i="12"/>
  <c r="D77" i="12"/>
  <c r="B4" i="4"/>
  <c r="AC3" i="2"/>
  <c r="B28" i="17"/>
  <c r="C28" i="17" s="1"/>
  <c r="D28" i="17" s="1"/>
  <c r="E28" i="17" s="1"/>
  <c r="F28" i="17" s="1"/>
  <c r="G28" i="17" s="1"/>
  <c r="H28" i="17" s="1"/>
  <c r="I28" i="17" s="1"/>
  <c r="J28" i="17" s="1"/>
  <c r="K28" i="17" s="1"/>
  <c r="L28" i="17" s="1"/>
  <c r="M28" i="17" s="1"/>
  <c r="N28" i="17" s="1"/>
  <c r="O28" i="17" s="1"/>
  <c r="P28" i="17" s="1"/>
  <c r="Q28" i="17" s="1"/>
  <c r="R28" i="17" s="1"/>
  <c r="S28" i="17" s="1"/>
  <c r="T28" i="17" s="1"/>
  <c r="U28" i="17" s="1"/>
  <c r="V28" i="17" s="1"/>
  <c r="W28" i="17" s="1"/>
  <c r="X28" i="17" s="1"/>
  <c r="Y28" i="17" s="1"/>
  <c r="Z28" i="17" s="1"/>
  <c r="AA28" i="17" s="1"/>
  <c r="AB28" i="17" s="1"/>
  <c r="AC28" i="17" s="1"/>
  <c r="AD28" i="17" s="1"/>
  <c r="AE28" i="17" s="1"/>
  <c r="AF28" i="17" s="1"/>
  <c r="AG28" i="17" s="1"/>
  <c r="AH28" i="17" s="1"/>
  <c r="AI28" i="17" s="1"/>
  <c r="AJ28" i="17" s="1"/>
  <c r="AK28" i="17" s="1"/>
  <c r="AL28" i="17" s="1"/>
  <c r="AM28" i="17" s="1"/>
  <c r="AN28" i="17" s="1"/>
  <c r="AO28" i="17" s="1"/>
  <c r="AP28" i="17" s="1"/>
  <c r="AQ28" i="17" s="1"/>
  <c r="AR28" i="17" s="1"/>
  <c r="AS28" i="17" s="1"/>
  <c r="AT28" i="17" s="1"/>
  <c r="AU28" i="17" s="1"/>
  <c r="AV28" i="17" s="1"/>
  <c r="AW28" i="17" s="1"/>
  <c r="AX28" i="17" s="1"/>
  <c r="AY28" i="17" s="1"/>
  <c r="AZ28" i="17" s="1"/>
  <c r="BA28" i="17" s="1"/>
  <c r="BB28" i="17" s="1"/>
  <c r="BC28" i="17" s="1"/>
  <c r="BD28" i="17" s="1"/>
  <c r="BE28" i="17" s="1"/>
  <c r="BF28" i="17" s="1"/>
  <c r="BG28" i="17" s="1"/>
  <c r="BH28" i="17" s="1"/>
  <c r="BI28" i="17" s="1"/>
  <c r="BJ28" i="17" s="1"/>
  <c r="BK28" i="17" s="1"/>
  <c r="BL28" i="17" s="1"/>
  <c r="BM28" i="17" s="1"/>
  <c r="BN28" i="17" s="1"/>
  <c r="BO28" i="17" s="1"/>
  <c r="BP28" i="17" s="1"/>
  <c r="BQ28" i="17" s="1"/>
  <c r="BR28" i="17" s="1"/>
  <c r="BS28" i="17" s="1"/>
  <c r="BT28" i="17" s="1"/>
  <c r="BU28" i="17" s="1"/>
  <c r="BV28" i="17" s="1"/>
  <c r="BW28" i="17" s="1"/>
  <c r="BX28" i="17" s="1"/>
  <c r="BY28" i="17" s="1"/>
  <c r="BZ28" i="17" s="1"/>
  <c r="CA28" i="17" s="1"/>
  <c r="CB28" i="17" s="1"/>
  <c r="CC28" i="17" s="1"/>
  <c r="CD28" i="17" s="1"/>
  <c r="CE28" i="17" s="1"/>
  <c r="CF28" i="17" s="1"/>
  <c r="CG28" i="17" s="1"/>
  <c r="CH28" i="17" s="1"/>
  <c r="CI28" i="17" s="1"/>
  <c r="CJ28" i="17" s="1"/>
  <c r="CK28" i="17" s="1"/>
  <c r="CL28" i="17" s="1"/>
  <c r="CM28" i="17" s="1"/>
  <c r="CN28" i="17" s="1"/>
  <c r="CO28" i="17" s="1"/>
  <c r="CP28" i="17" s="1"/>
  <c r="CQ28" i="17" s="1"/>
  <c r="CR28" i="17" s="1"/>
  <c r="CS28" i="17" s="1"/>
  <c r="CT28" i="17" s="1"/>
  <c r="CU28" i="17" s="1"/>
  <c r="CV28" i="17" s="1"/>
  <c r="CW28" i="17" s="1"/>
  <c r="CX28" i="17" s="1"/>
  <c r="CY28" i="17" s="1"/>
  <c r="CZ28" i="17" s="1"/>
  <c r="DA28" i="17" s="1"/>
  <c r="DB28" i="17" s="1"/>
  <c r="DC28" i="17" s="1"/>
  <c r="DD28" i="17" s="1"/>
  <c r="DE28" i="17" s="1"/>
  <c r="DF28" i="17" s="1"/>
  <c r="DG28" i="17" s="1"/>
  <c r="DH28" i="17" s="1"/>
  <c r="DI28" i="17" s="1"/>
  <c r="DJ28" i="17" s="1"/>
  <c r="DK28" i="17" s="1"/>
  <c r="DL28" i="17" s="1"/>
  <c r="DM28" i="17" s="1"/>
  <c r="DN28" i="17" s="1"/>
  <c r="DO28" i="17" s="1"/>
  <c r="DP28" i="17" s="1"/>
  <c r="B27" i="17"/>
  <c r="C27" i="17" s="1"/>
  <c r="D27" i="17" s="1"/>
  <c r="E27" i="17" s="1"/>
  <c r="F27" i="17" s="1"/>
  <c r="G27" i="17" s="1"/>
  <c r="H27" i="17" s="1"/>
  <c r="I27" i="17" s="1"/>
  <c r="J27" i="17" s="1"/>
  <c r="K27" i="17" s="1"/>
  <c r="L27" i="17" s="1"/>
  <c r="M27" i="17" s="1"/>
  <c r="N27" i="17" s="1"/>
  <c r="O27" i="17" s="1"/>
  <c r="P27" i="17" s="1"/>
  <c r="Q27" i="17" s="1"/>
  <c r="R27" i="17" s="1"/>
  <c r="S27" i="17" s="1"/>
  <c r="T27" i="17" s="1"/>
  <c r="U27" i="17" s="1"/>
  <c r="V27" i="17" s="1"/>
  <c r="W27" i="17" s="1"/>
  <c r="X27" i="17" s="1"/>
  <c r="Y27" i="17" s="1"/>
  <c r="Z27" i="17" s="1"/>
  <c r="AA27" i="17" s="1"/>
  <c r="AB27" i="17" s="1"/>
  <c r="AC27" i="17" s="1"/>
  <c r="AD27" i="17" s="1"/>
  <c r="AE27" i="17" s="1"/>
  <c r="AF27" i="17" s="1"/>
  <c r="AG27" i="17" s="1"/>
  <c r="AH27" i="17" s="1"/>
  <c r="AI27" i="17" s="1"/>
  <c r="AJ27" i="17" s="1"/>
  <c r="AK27" i="17" s="1"/>
  <c r="AL27" i="17" s="1"/>
  <c r="AM27" i="17" s="1"/>
  <c r="AN27" i="17" s="1"/>
  <c r="AO27" i="17" s="1"/>
  <c r="AP27" i="17" s="1"/>
  <c r="AQ27" i="17" s="1"/>
  <c r="AR27" i="17" s="1"/>
  <c r="AS27" i="17" s="1"/>
  <c r="AT27" i="17" s="1"/>
  <c r="AU27" i="17" s="1"/>
  <c r="AV27" i="17" s="1"/>
  <c r="AW27" i="17" s="1"/>
  <c r="AX27" i="17" s="1"/>
  <c r="AY27" i="17" s="1"/>
  <c r="AZ27" i="17" s="1"/>
  <c r="BA27" i="17" s="1"/>
  <c r="BB27" i="17" s="1"/>
  <c r="BC27" i="17" s="1"/>
  <c r="BD27" i="17" s="1"/>
  <c r="BE27" i="17" s="1"/>
  <c r="BF27" i="17" s="1"/>
  <c r="BG27" i="17" s="1"/>
  <c r="BH27" i="17" s="1"/>
  <c r="BI27" i="17" s="1"/>
  <c r="BJ27" i="17" s="1"/>
  <c r="BK27" i="17" s="1"/>
  <c r="BL27" i="17" s="1"/>
  <c r="BM27" i="17" s="1"/>
  <c r="BN27" i="17" s="1"/>
  <c r="BO27" i="17" s="1"/>
  <c r="BP27" i="17" s="1"/>
  <c r="BQ27" i="17" s="1"/>
  <c r="BR27" i="17" s="1"/>
  <c r="BS27" i="17" s="1"/>
  <c r="BT27" i="17" s="1"/>
  <c r="BU27" i="17" s="1"/>
  <c r="BV27" i="17" s="1"/>
  <c r="BW27" i="17" s="1"/>
  <c r="BX27" i="17" s="1"/>
  <c r="BY27" i="17" s="1"/>
  <c r="BZ27" i="17" s="1"/>
  <c r="CA27" i="17" s="1"/>
  <c r="CB27" i="17" s="1"/>
  <c r="CC27" i="17" s="1"/>
  <c r="CD27" i="17" s="1"/>
  <c r="CE27" i="17" s="1"/>
  <c r="CF27" i="17" s="1"/>
  <c r="CG27" i="17" s="1"/>
  <c r="CH27" i="17" s="1"/>
  <c r="CI27" i="17" s="1"/>
  <c r="CJ27" i="17" s="1"/>
  <c r="CK27" i="17" s="1"/>
  <c r="CL27" i="17" s="1"/>
  <c r="CM27" i="17" s="1"/>
  <c r="CN27" i="17" s="1"/>
  <c r="CO27" i="17" s="1"/>
  <c r="CP27" i="17" s="1"/>
  <c r="CQ27" i="17" s="1"/>
  <c r="CR27" i="17" s="1"/>
  <c r="CS27" i="17" s="1"/>
  <c r="CT27" i="17" s="1"/>
  <c r="CU27" i="17" s="1"/>
  <c r="CV27" i="17" s="1"/>
  <c r="CW27" i="17" s="1"/>
  <c r="CX27" i="17" s="1"/>
  <c r="CY27" i="17" s="1"/>
  <c r="CZ27" i="17" s="1"/>
  <c r="DA27" i="17" s="1"/>
  <c r="DB27" i="17" s="1"/>
  <c r="DC27" i="17" s="1"/>
  <c r="DD27" i="17" s="1"/>
  <c r="DE27" i="17" s="1"/>
  <c r="DF27" i="17" s="1"/>
  <c r="DG27" i="17" s="1"/>
  <c r="DH27" i="17" s="1"/>
  <c r="DI27" i="17" s="1"/>
  <c r="DJ27" i="17" s="1"/>
  <c r="DK27" i="17" s="1"/>
  <c r="DL27" i="17" s="1"/>
  <c r="DM27" i="17" s="1"/>
  <c r="DN27" i="17" s="1"/>
  <c r="DO27" i="17" s="1"/>
  <c r="DP27" i="17" s="1"/>
  <c r="B26" i="17"/>
  <c r="C26" i="17" s="1"/>
  <c r="D26" i="17" s="1"/>
  <c r="E26" i="17" s="1"/>
  <c r="F26" i="17" s="1"/>
  <c r="G26" i="17" s="1"/>
  <c r="H26" i="17" s="1"/>
  <c r="I26" i="17" s="1"/>
  <c r="J26" i="17" s="1"/>
  <c r="K26" i="17" s="1"/>
  <c r="L26" i="17" s="1"/>
  <c r="M26" i="17" s="1"/>
  <c r="N26" i="17" s="1"/>
  <c r="O26" i="17" s="1"/>
  <c r="P26" i="17" s="1"/>
  <c r="Q26" i="17" s="1"/>
  <c r="R26" i="17" s="1"/>
  <c r="S26" i="17" s="1"/>
  <c r="T26" i="17" s="1"/>
  <c r="U26" i="17" s="1"/>
  <c r="V26" i="17" s="1"/>
  <c r="W26" i="17" s="1"/>
  <c r="X26" i="17" s="1"/>
  <c r="Y26" i="17" s="1"/>
  <c r="Z26" i="17" s="1"/>
  <c r="AA26" i="17" s="1"/>
  <c r="AB26" i="17" s="1"/>
  <c r="AC26" i="17" s="1"/>
  <c r="AD26" i="17" s="1"/>
  <c r="AE26" i="17" s="1"/>
  <c r="AF26" i="17" s="1"/>
  <c r="AG26" i="17" s="1"/>
  <c r="AH26" i="17" s="1"/>
  <c r="AI26" i="17" s="1"/>
  <c r="AJ26" i="17" s="1"/>
  <c r="AK26" i="17" s="1"/>
  <c r="AL26" i="17" s="1"/>
  <c r="AM26" i="17" s="1"/>
  <c r="AN26" i="17" s="1"/>
  <c r="AO26" i="17" s="1"/>
  <c r="AP26" i="17" s="1"/>
  <c r="AQ26" i="17" s="1"/>
  <c r="AR26" i="17" s="1"/>
  <c r="AS26" i="17" s="1"/>
  <c r="AT26" i="17" s="1"/>
  <c r="AU26" i="17" s="1"/>
  <c r="AV26" i="17" s="1"/>
  <c r="AW26" i="17" s="1"/>
  <c r="AX26" i="17" s="1"/>
  <c r="AY26" i="17" s="1"/>
  <c r="AZ26" i="17" s="1"/>
  <c r="BA26" i="17" s="1"/>
  <c r="BB26" i="17" s="1"/>
  <c r="BC26" i="17" s="1"/>
  <c r="BD26" i="17" s="1"/>
  <c r="BE26" i="17" s="1"/>
  <c r="BF26" i="17" s="1"/>
  <c r="BG26" i="17" s="1"/>
  <c r="BH26" i="17" s="1"/>
  <c r="BI26" i="17" s="1"/>
  <c r="BJ26" i="17" s="1"/>
  <c r="BK26" i="17" s="1"/>
  <c r="BL26" i="17" s="1"/>
  <c r="BM26" i="17" s="1"/>
  <c r="BN26" i="17" s="1"/>
  <c r="BO26" i="17" s="1"/>
  <c r="BP26" i="17" s="1"/>
  <c r="BQ26" i="17" s="1"/>
  <c r="BR26" i="17" s="1"/>
  <c r="BS26" i="17" s="1"/>
  <c r="BT26" i="17" s="1"/>
  <c r="BU26" i="17" s="1"/>
  <c r="BV26" i="17" s="1"/>
  <c r="BW26" i="17" s="1"/>
  <c r="BX26" i="17" s="1"/>
  <c r="BY26" i="17" s="1"/>
  <c r="BZ26" i="17" s="1"/>
  <c r="CA26" i="17" s="1"/>
  <c r="CB26" i="17" s="1"/>
  <c r="CC26" i="17" s="1"/>
  <c r="CD26" i="17" s="1"/>
  <c r="CE26" i="17" s="1"/>
  <c r="CF26" i="17" s="1"/>
  <c r="CG26" i="17" s="1"/>
  <c r="CH26" i="17" s="1"/>
  <c r="CI26" i="17" s="1"/>
  <c r="CJ26" i="17" s="1"/>
  <c r="CK26" i="17" s="1"/>
  <c r="CL26" i="17" s="1"/>
  <c r="CM26" i="17" s="1"/>
  <c r="CN26" i="17" s="1"/>
  <c r="CO26" i="17" s="1"/>
  <c r="CP26" i="17" s="1"/>
  <c r="CQ26" i="17" s="1"/>
  <c r="CR26" i="17" s="1"/>
  <c r="CS26" i="17" s="1"/>
  <c r="CT26" i="17" s="1"/>
  <c r="CU26" i="17" s="1"/>
  <c r="CV26" i="17" s="1"/>
  <c r="CW26" i="17" s="1"/>
  <c r="CX26" i="17" s="1"/>
  <c r="CY26" i="17" s="1"/>
  <c r="CZ26" i="17" s="1"/>
  <c r="DA26" i="17" s="1"/>
  <c r="DB26" i="17" s="1"/>
  <c r="DC26" i="17" s="1"/>
  <c r="DD26" i="17" s="1"/>
  <c r="DE26" i="17" s="1"/>
  <c r="DF26" i="17" s="1"/>
  <c r="DG26" i="17" s="1"/>
  <c r="DH26" i="17" s="1"/>
  <c r="DI26" i="17" s="1"/>
  <c r="DJ26" i="17" s="1"/>
  <c r="DK26" i="17" s="1"/>
  <c r="DL26" i="17" s="1"/>
  <c r="DM26" i="17" s="1"/>
  <c r="DN26" i="17" s="1"/>
  <c r="DO26" i="17" s="1"/>
  <c r="DP26" i="17" s="1"/>
  <c r="B25" i="17"/>
  <c r="C25" i="17" s="1"/>
  <c r="D25" i="17" s="1"/>
  <c r="E25" i="17" s="1"/>
  <c r="F25" i="17" s="1"/>
  <c r="G25" i="17" s="1"/>
  <c r="H25" i="17" s="1"/>
  <c r="I25" i="17" s="1"/>
  <c r="J25" i="17" s="1"/>
  <c r="K25" i="17" s="1"/>
  <c r="L25" i="17" s="1"/>
  <c r="M25" i="17" s="1"/>
  <c r="N25" i="17" s="1"/>
  <c r="O25" i="17" s="1"/>
  <c r="P25" i="17" s="1"/>
  <c r="Q25" i="17" s="1"/>
  <c r="R25" i="17" s="1"/>
  <c r="S25" i="17" s="1"/>
  <c r="T25" i="17" s="1"/>
  <c r="U25" i="17" s="1"/>
  <c r="V25" i="17" s="1"/>
  <c r="W25" i="17" s="1"/>
  <c r="X25" i="17" s="1"/>
  <c r="Y25" i="17" s="1"/>
  <c r="Z25" i="17" s="1"/>
  <c r="AA25" i="17" s="1"/>
  <c r="AB25" i="17" s="1"/>
  <c r="AC25" i="17" s="1"/>
  <c r="AD25" i="17" s="1"/>
  <c r="AE25" i="17" s="1"/>
  <c r="AF25" i="17" s="1"/>
  <c r="AG25" i="17" s="1"/>
  <c r="AH25" i="17" s="1"/>
  <c r="AI25" i="17" s="1"/>
  <c r="AJ25" i="17" s="1"/>
  <c r="AK25" i="17" s="1"/>
  <c r="AL25" i="17" s="1"/>
  <c r="AM25" i="17" s="1"/>
  <c r="AN25" i="17" s="1"/>
  <c r="AO25" i="17" s="1"/>
  <c r="AP25" i="17" s="1"/>
  <c r="AQ25" i="17" s="1"/>
  <c r="AR25" i="17" s="1"/>
  <c r="AS25" i="17" s="1"/>
  <c r="AT25" i="17" s="1"/>
  <c r="AU25" i="17" s="1"/>
  <c r="AV25" i="17" s="1"/>
  <c r="AW25" i="17" s="1"/>
  <c r="AX25" i="17" s="1"/>
  <c r="AY25" i="17" s="1"/>
  <c r="AZ25" i="17" s="1"/>
  <c r="BA25" i="17" s="1"/>
  <c r="BB25" i="17" s="1"/>
  <c r="BC25" i="17" s="1"/>
  <c r="BD25" i="17" s="1"/>
  <c r="BE25" i="17" s="1"/>
  <c r="BF25" i="17" s="1"/>
  <c r="BG25" i="17" s="1"/>
  <c r="BH25" i="17" s="1"/>
  <c r="BI25" i="17" s="1"/>
  <c r="BJ25" i="17" s="1"/>
  <c r="BK25" i="17" s="1"/>
  <c r="BL25" i="17" s="1"/>
  <c r="BM25" i="17" s="1"/>
  <c r="BN25" i="17" s="1"/>
  <c r="BO25" i="17" s="1"/>
  <c r="BP25" i="17" s="1"/>
  <c r="BQ25" i="17" s="1"/>
  <c r="BR25" i="17" s="1"/>
  <c r="BS25" i="17" s="1"/>
  <c r="BT25" i="17" s="1"/>
  <c r="BU25" i="17" s="1"/>
  <c r="BV25" i="17" s="1"/>
  <c r="BW25" i="17" s="1"/>
  <c r="BX25" i="17" s="1"/>
  <c r="BY25" i="17" s="1"/>
  <c r="BZ25" i="17" s="1"/>
  <c r="CA25" i="17" s="1"/>
  <c r="CB25" i="17" s="1"/>
  <c r="CC25" i="17" s="1"/>
  <c r="CD25" i="17" s="1"/>
  <c r="CE25" i="17" s="1"/>
  <c r="CF25" i="17" s="1"/>
  <c r="CG25" i="17" s="1"/>
  <c r="CH25" i="17" s="1"/>
  <c r="CI25" i="17" s="1"/>
  <c r="CJ25" i="17" s="1"/>
  <c r="CK25" i="17" s="1"/>
  <c r="CL25" i="17" s="1"/>
  <c r="CM25" i="17" s="1"/>
  <c r="CN25" i="17" s="1"/>
  <c r="CO25" i="17" s="1"/>
  <c r="CP25" i="17" s="1"/>
  <c r="CQ25" i="17" s="1"/>
  <c r="CR25" i="17" s="1"/>
  <c r="CS25" i="17" s="1"/>
  <c r="CT25" i="17" s="1"/>
  <c r="CU25" i="17" s="1"/>
  <c r="CV25" i="17" s="1"/>
  <c r="CW25" i="17" s="1"/>
  <c r="CX25" i="17" s="1"/>
  <c r="CY25" i="17" s="1"/>
  <c r="CZ25" i="17" s="1"/>
  <c r="DA25" i="17" s="1"/>
  <c r="DB25" i="17" s="1"/>
  <c r="DC25" i="17" s="1"/>
  <c r="DD25" i="17" s="1"/>
  <c r="DE25" i="17" s="1"/>
  <c r="DF25" i="17" s="1"/>
  <c r="DG25" i="17" s="1"/>
  <c r="DH25" i="17" s="1"/>
  <c r="DI25" i="17" s="1"/>
  <c r="DJ25" i="17" s="1"/>
  <c r="DK25" i="17" s="1"/>
  <c r="DL25" i="17" s="1"/>
  <c r="DM25" i="17" s="1"/>
  <c r="DN25" i="17" s="1"/>
  <c r="DO25" i="17" s="1"/>
  <c r="DP25" i="17" s="1"/>
  <c r="B24" i="17"/>
  <c r="C24" i="17" s="1"/>
  <c r="D24" i="17" s="1"/>
  <c r="E24" i="17" s="1"/>
  <c r="F24" i="17" s="1"/>
  <c r="G24" i="17" s="1"/>
  <c r="H24" i="17" s="1"/>
  <c r="I24" i="17" s="1"/>
  <c r="J24" i="17" s="1"/>
  <c r="K24" i="17" s="1"/>
  <c r="L24" i="17" s="1"/>
  <c r="M24" i="17" s="1"/>
  <c r="N24" i="17" s="1"/>
  <c r="O24" i="17" s="1"/>
  <c r="P24" i="17" s="1"/>
  <c r="Q24" i="17" s="1"/>
  <c r="R24" i="17" s="1"/>
  <c r="S24" i="17" s="1"/>
  <c r="T24" i="17" s="1"/>
  <c r="U24" i="17" s="1"/>
  <c r="V24" i="17" s="1"/>
  <c r="W24" i="17" s="1"/>
  <c r="X24" i="17" s="1"/>
  <c r="Y24" i="17" s="1"/>
  <c r="Z24" i="17" s="1"/>
  <c r="AA24" i="17" s="1"/>
  <c r="AB24" i="17" s="1"/>
  <c r="AC24" i="17" s="1"/>
  <c r="AD24" i="17" s="1"/>
  <c r="AE24" i="17" s="1"/>
  <c r="AF24" i="17" s="1"/>
  <c r="AG24" i="17" s="1"/>
  <c r="AH24" i="17" s="1"/>
  <c r="AI24" i="17" s="1"/>
  <c r="AJ24" i="17" s="1"/>
  <c r="AK24" i="17" s="1"/>
  <c r="AL24" i="17" s="1"/>
  <c r="AM24" i="17" s="1"/>
  <c r="AN24" i="17" s="1"/>
  <c r="AO24" i="17" s="1"/>
  <c r="AP24" i="17" s="1"/>
  <c r="AQ24" i="17" s="1"/>
  <c r="AR24" i="17" s="1"/>
  <c r="AS24" i="17" s="1"/>
  <c r="AT24" i="17" s="1"/>
  <c r="AU24" i="17" s="1"/>
  <c r="AV24" i="17" s="1"/>
  <c r="AW24" i="17" s="1"/>
  <c r="AX24" i="17" s="1"/>
  <c r="AY24" i="17" s="1"/>
  <c r="AZ24" i="17" s="1"/>
  <c r="BA24" i="17" s="1"/>
  <c r="BB24" i="17" s="1"/>
  <c r="BC24" i="17" s="1"/>
  <c r="BD24" i="17" s="1"/>
  <c r="BE24" i="17" s="1"/>
  <c r="BF24" i="17" s="1"/>
  <c r="BG24" i="17" s="1"/>
  <c r="BH24" i="17" s="1"/>
  <c r="BI24" i="17" s="1"/>
  <c r="BJ24" i="17" s="1"/>
  <c r="BK24" i="17" s="1"/>
  <c r="BL24" i="17" s="1"/>
  <c r="BM24" i="17" s="1"/>
  <c r="BN24" i="17" s="1"/>
  <c r="BO24" i="17" s="1"/>
  <c r="BP24" i="17" s="1"/>
  <c r="BQ24" i="17" s="1"/>
  <c r="BR24" i="17" s="1"/>
  <c r="BS24" i="17" s="1"/>
  <c r="BT24" i="17" s="1"/>
  <c r="BU24" i="17" s="1"/>
  <c r="BV24" i="17" s="1"/>
  <c r="BW24" i="17" s="1"/>
  <c r="BX24" i="17" s="1"/>
  <c r="BY24" i="17" s="1"/>
  <c r="BZ24" i="17" s="1"/>
  <c r="CA24" i="17" s="1"/>
  <c r="CB24" i="17" s="1"/>
  <c r="CC24" i="17" s="1"/>
  <c r="CD24" i="17" s="1"/>
  <c r="CE24" i="17" s="1"/>
  <c r="CF24" i="17" s="1"/>
  <c r="CG24" i="17" s="1"/>
  <c r="CH24" i="17" s="1"/>
  <c r="CI24" i="17" s="1"/>
  <c r="CJ24" i="17" s="1"/>
  <c r="CK24" i="17" s="1"/>
  <c r="CL24" i="17" s="1"/>
  <c r="CM24" i="17" s="1"/>
  <c r="CN24" i="17" s="1"/>
  <c r="CO24" i="17" s="1"/>
  <c r="CP24" i="17" s="1"/>
  <c r="CQ24" i="17" s="1"/>
  <c r="CR24" i="17" s="1"/>
  <c r="CS24" i="17" s="1"/>
  <c r="CT24" i="17" s="1"/>
  <c r="CU24" i="17" s="1"/>
  <c r="CV24" i="17" s="1"/>
  <c r="CW24" i="17" s="1"/>
  <c r="CX24" i="17" s="1"/>
  <c r="CY24" i="17" s="1"/>
  <c r="CZ24" i="17" s="1"/>
  <c r="DA24" i="17" s="1"/>
  <c r="DB24" i="17" s="1"/>
  <c r="DC24" i="17" s="1"/>
  <c r="DD24" i="17" s="1"/>
  <c r="DE24" i="17" s="1"/>
  <c r="DF24" i="17" s="1"/>
  <c r="DG24" i="17" s="1"/>
  <c r="DH24" i="17" s="1"/>
  <c r="DI24" i="17" s="1"/>
  <c r="DJ24" i="17" s="1"/>
  <c r="DK24" i="17" s="1"/>
  <c r="DL24" i="17" s="1"/>
  <c r="DM24" i="17" s="1"/>
  <c r="DN24" i="17" s="1"/>
  <c r="DO24" i="17" s="1"/>
  <c r="DP24" i="17" s="1"/>
  <c r="B23" i="17"/>
  <c r="C23" i="17" s="1"/>
  <c r="D23" i="17" s="1"/>
  <c r="E23" i="17" s="1"/>
  <c r="F23" i="17" s="1"/>
  <c r="G23" i="17" s="1"/>
  <c r="H23" i="17" s="1"/>
  <c r="I23" i="17" s="1"/>
  <c r="J23" i="17" s="1"/>
  <c r="K23" i="17" s="1"/>
  <c r="L23" i="17" s="1"/>
  <c r="M23" i="17" s="1"/>
  <c r="N23" i="17" s="1"/>
  <c r="O23" i="17" s="1"/>
  <c r="P23" i="17" s="1"/>
  <c r="Q23" i="17" s="1"/>
  <c r="R23" i="17" s="1"/>
  <c r="S23" i="17" s="1"/>
  <c r="T23" i="17" s="1"/>
  <c r="U23" i="17" s="1"/>
  <c r="V23" i="17" s="1"/>
  <c r="W23" i="17" s="1"/>
  <c r="X23" i="17" s="1"/>
  <c r="Y23" i="17" s="1"/>
  <c r="Z23" i="17" s="1"/>
  <c r="AA23" i="17" s="1"/>
  <c r="AB23" i="17" s="1"/>
  <c r="AC23" i="17" s="1"/>
  <c r="AD23" i="17" s="1"/>
  <c r="AE23" i="17" s="1"/>
  <c r="AF23" i="17" s="1"/>
  <c r="AG23" i="17" s="1"/>
  <c r="AH23" i="17" s="1"/>
  <c r="AI23" i="17" s="1"/>
  <c r="AJ23" i="17" s="1"/>
  <c r="AK23" i="17" s="1"/>
  <c r="AL23" i="17" s="1"/>
  <c r="AM23" i="17" s="1"/>
  <c r="AN23" i="17" s="1"/>
  <c r="AO23" i="17" s="1"/>
  <c r="AP23" i="17" s="1"/>
  <c r="AQ23" i="17" s="1"/>
  <c r="AR23" i="17" s="1"/>
  <c r="AS23" i="17" s="1"/>
  <c r="AT23" i="17" s="1"/>
  <c r="AU23" i="17" s="1"/>
  <c r="AV23" i="17" s="1"/>
  <c r="AW23" i="17" s="1"/>
  <c r="AX23" i="17" s="1"/>
  <c r="AY23" i="17" s="1"/>
  <c r="AZ23" i="17" s="1"/>
  <c r="BA23" i="17" s="1"/>
  <c r="BB23" i="17" s="1"/>
  <c r="BC23" i="17" s="1"/>
  <c r="BD23" i="17" s="1"/>
  <c r="BE23" i="17" s="1"/>
  <c r="BF23" i="17" s="1"/>
  <c r="BG23" i="17" s="1"/>
  <c r="BH23" i="17" s="1"/>
  <c r="BI23" i="17" s="1"/>
  <c r="BJ23" i="17" s="1"/>
  <c r="BK23" i="17" s="1"/>
  <c r="BL23" i="17" s="1"/>
  <c r="BM23" i="17" s="1"/>
  <c r="BN23" i="17" s="1"/>
  <c r="BO23" i="17" s="1"/>
  <c r="BP23" i="17" s="1"/>
  <c r="BQ23" i="17" s="1"/>
  <c r="BR23" i="17" s="1"/>
  <c r="BS23" i="17" s="1"/>
  <c r="BT23" i="17" s="1"/>
  <c r="BU23" i="17" s="1"/>
  <c r="BV23" i="17" s="1"/>
  <c r="BW23" i="17" s="1"/>
  <c r="BX23" i="17" s="1"/>
  <c r="BY23" i="17" s="1"/>
  <c r="BZ23" i="17" s="1"/>
  <c r="CA23" i="17" s="1"/>
  <c r="CB23" i="17" s="1"/>
  <c r="CC23" i="17" s="1"/>
  <c r="CD23" i="17" s="1"/>
  <c r="CE23" i="17" s="1"/>
  <c r="CF23" i="17" s="1"/>
  <c r="CG23" i="17" s="1"/>
  <c r="CH23" i="17" s="1"/>
  <c r="CI23" i="17" s="1"/>
  <c r="CJ23" i="17" s="1"/>
  <c r="CK23" i="17" s="1"/>
  <c r="CL23" i="17" s="1"/>
  <c r="CM23" i="17" s="1"/>
  <c r="CN23" i="17" s="1"/>
  <c r="CO23" i="17" s="1"/>
  <c r="CP23" i="17" s="1"/>
  <c r="CQ23" i="17" s="1"/>
  <c r="CR23" i="17" s="1"/>
  <c r="CS23" i="17" s="1"/>
  <c r="CT23" i="17" s="1"/>
  <c r="CU23" i="17" s="1"/>
  <c r="CV23" i="17" s="1"/>
  <c r="CW23" i="17" s="1"/>
  <c r="CX23" i="17" s="1"/>
  <c r="CY23" i="17" s="1"/>
  <c r="CZ23" i="17" s="1"/>
  <c r="DA23" i="17" s="1"/>
  <c r="DB23" i="17" s="1"/>
  <c r="DC23" i="17" s="1"/>
  <c r="DD23" i="17" s="1"/>
  <c r="DE23" i="17" s="1"/>
  <c r="DF23" i="17" s="1"/>
  <c r="DG23" i="17" s="1"/>
  <c r="DH23" i="17" s="1"/>
  <c r="DI23" i="17" s="1"/>
  <c r="DJ23" i="17" s="1"/>
  <c r="DK23" i="17" s="1"/>
  <c r="DL23" i="17" s="1"/>
  <c r="DM23" i="17" s="1"/>
  <c r="DN23" i="17" s="1"/>
  <c r="DO23" i="17" s="1"/>
  <c r="DP23" i="17" s="1"/>
  <c r="B22" i="17"/>
  <c r="C22" i="17" s="1"/>
  <c r="D22" i="17" s="1"/>
  <c r="E22" i="17" s="1"/>
  <c r="F22" i="17" s="1"/>
  <c r="G22" i="17" s="1"/>
  <c r="H22" i="17" s="1"/>
  <c r="I22" i="17" s="1"/>
  <c r="J22" i="17" s="1"/>
  <c r="K22" i="17" s="1"/>
  <c r="L22" i="17" s="1"/>
  <c r="M22" i="17" s="1"/>
  <c r="N22" i="17" s="1"/>
  <c r="O22" i="17" s="1"/>
  <c r="P22" i="17" s="1"/>
  <c r="Q22" i="17" s="1"/>
  <c r="R22" i="17" s="1"/>
  <c r="S22" i="17" s="1"/>
  <c r="T22" i="17" s="1"/>
  <c r="U22" i="17" s="1"/>
  <c r="V22" i="17" s="1"/>
  <c r="W22" i="17" s="1"/>
  <c r="X22" i="17" s="1"/>
  <c r="Y22" i="17" s="1"/>
  <c r="Z22" i="17" s="1"/>
  <c r="AA22" i="17" s="1"/>
  <c r="AB22" i="17" s="1"/>
  <c r="AC22" i="17" s="1"/>
  <c r="AD22" i="17" s="1"/>
  <c r="AE22" i="17" s="1"/>
  <c r="AF22" i="17" s="1"/>
  <c r="AG22" i="17" s="1"/>
  <c r="AH22" i="17" s="1"/>
  <c r="AI22" i="17" s="1"/>
  <c r="AJ22" i="17" s="1"/>
  <c r="AK22" i="17" s="1"/>
  <c r="AL22" i="17" s="1"/>
  <c r="AM22" i="17" s="1"/>
  <c r="AN22" i="17" s="1"/>
  <c r="AO22" i="17" s="1"/>
  <c r="AP22" i="17" s="1"/>
  <c r="AQ22" i="17" s="1"/>
  <c r="AR22" i="17" s="1"/>
  <c r="AS22" i="17" s="1"/>
  <c r="AT22" i="17" s="1"/>
  <c r="AU22" i="17" s="1"/>
  <c r="AV22" i="17" s="1"/>
  <c r="AW22" i="17" s="1"/>
  <c r="AX22" i="17" s="1"/>
  <c r="AY22" i="17" s="1"/>
  <c r="AZ22" i="17" s="1"/>
  <c r="BA22" i="17" s="1"/>
  <c r="BB22" i="17" s="1"/>
  <c r="BC22" i="17" s="1"/>
  <c r="BD22" i="17" s="1"/>
  <c r="BE22" i="17" s="1"/>
  <c r="BF22" i="17" s="1"/>
  <c r="BG22" i="17" s="1"/>
  <c r="BH22" i="17" s="1"/>
  <c r="BI22" i="17" s="1"/>
  <c r="BJ22" i="17" s="1"/>
  <c r="BK22" i="17" s="1"/>
  <c r="BL22" i="17" s="1"/>
  <c r="BM22" i="17" s="1"/>
  <c r="BN22" i="17" s="1"/>
  <c r="BO22" i="17" s="1"/>
  <c r="BP22" i="17" s="1"/>
  <c r="BQ22" i="17" s="1"/>
  <c r="BR22" i="17" s="1"/>
  <c r="BS22" i="17" s="1"/>
  <c r="BT22" i="17" s="1"/>
  <c r="BU22" i="17" s="1"/>
  <c r="BV22" i="17" s="1"/>
  <c r="BW22" i="17" s="1"/>
  <c r="BX22" i="17" s="1"/>
  <c r="BY22" i="17" s="1"/>
  <c r="BZ22" i="17" s="1"/>
  <c r="CA22" i="17" s="1"/>
  <c r="CB22" i="17" s="1"/>
  <c r="CC22" i="17" s="1"/>
  <c r="CD22" i="17" s="1"/>
  <c r="CE22" i="17" s="1"/>
  <c r="CF22" i="17" s="1"/>
  <c r="CG22" i="17" s="1"/>
  <c r="CH22" i="17" s="1"/>
  <c r="CI22" i="17" s="1"/>
  <c r="CJ22" i="17" s="1"/>
  <c r="CK22" i="17" s="1"/>
  <c r="CL22" i="17" s="1"/>
  <c r="CM22" i="17" s="1"/>
  <c r="CN22" i="17" s="1"/>
  <c r="CO22" i="17" s="1"/>
  <c r="CP22" i="17" s="1"/>
  <c r="CQ22" i="17" s="1"/>
  <c r="CR22" i="17" s="1"/>
  <c r="CS22" i="17" s="1"/>
  <c r="CT22" i="17" s="1"/>
  <c r="CU22" i="17" s="1"/>
  <c r="CV22" i="17" s="1"/>
  <c r="CW22" i="17" s="1"/>
  <c r="CX22" i="17" s="1"/>
  <c r="CY22" i="17" s="1"/>
  <c r="CZ22" i="17" s="1"/>
  <c r="DA22" i="17" s="1"/>
  <c r="DB22" i="17" s="1"/>
  <c r="DC22" i="17" s="1"/>
  <c r="DD22" i="17" s="1"/>
  <c r="DE22" i="17" s="1"/>
  <c r="DF22" i="17" s="1"/>
  <c r="DG22" i="17" s="1"/>
  <c r="DH22" i="17" s="1"/>
  <c r="DI22" i="17" s="1"/>
  <c r="DJ22" i="17" s="1"/>
  <c r="DK22" i="17" s="1"/>
  <c r="DL22" i="17" s="1"/>
  <c r="DM22" i="17" s="1"/>
  <c r="DN22" i="17" s="1"/>
  <c r="DO22" i="17" s="1"/>
  <c r="DP22" i="17" s="1"/>
  <c r="B21" i="17"/>
  <c r="C21" i="17" s="1"/>
  <c r="D21" i="17" s="1"/>
  <c r="E21" i="17" s="1"/>
  <c r="F21" i="17" s="1"/>
  <c r="G21" i="17" s="1"/>
  <c r="H21" i="17" s="1"/>
  <c r="I21" i="17" s="1"/>
  <c r="J21" i="17" s="1"/>
  <c r="K21" i="17" s="1"/>
  <c r="L21" i="17" s="1"/>
  <c r="M21" i="17" s="1"/>
  <c r="N21" i="17" s="1"/>
  <c r="O21" i="17" s="1"/>
  <c r="P21" i="17" s="1"/>
  <c r="Q21" i="17" s="1"/>
  <c r="R21" i="17" s="1"/>
  <c r="S21" i="17" s="1"/>
  <c r="T21" i="17" s="1"/>
  <c r="U21" i="17" s="1"/>
  <c r="V21" i="17" s="1"/>
  <c r="W21" i="17" s="1"/>
  <c r="X21" i="17" s="1"/>
  <c r="Y21" i="17" s="1"/>
  <c r="Z21" i="17" s="1"/>
  <c r="AA21" i="17" s="1"/>
  <c r="AB21" i="17" s="1"/>
  <c r="AC21" i="17" s="1"/>
  <c r="AD21" i="17" s="1"/>
  <c r="AE21" i="17" s="1"/>
  <c r="AF21" i="17" s="1"/>
  <c r="AG21" i="17" s="1"/>
  <c r="AH21" i="17" s="1"/>
  <c r="AI21" i="17" s="1"/>
  <c r="AJ21" i="17" s="1"/>
  <c r="AK21" i="17" s="1"/>
  <c r="AL21" i="17" s="1"/>
  <c r="AM21" i="17" s="1"/>
  <c r="AN21" i="17" s="1"/>
  <c r="AO21" i="17" s="1"/>
  <c r="AP21" i="17" s="1"/>
  <c r="AQ21" i="17" s="1"/>
  <c r="AR21" i="17" s="1"/>
  <c r="AS21" i="17" s="1"/>
  <c r="AT21" i="17" s="1"/>
  <c r="AU21" i="17" s="1"/>
  <c r="AV21" i="17" s="1"/>
  <c r="AW21" i="17" s="1"/>
  <c r="AX21" i="17" s="1"/>
  <c r="AY21" i="17" s="1"/>
  <c r="AZ21" i="17" s="1"/>
  <c r="BA21" i="17" s="1"/>
  <c r="BB21" i="17" s="1"/>
  <c r="BC21" i="17" s="1"/>
  <c r="BD21" i="17" s="1"/>
  <c r="BE21" i="17" s="1"/>
  <c r="BF21" i="17" s="1"/>
  <c r="BG21" i="17" s="1"/>
  <c r="BH21" i="17" s="1"/>
  <c r="BI21" i="17" s="1"/>
  <c r="BJ21" i="17" s="1"/>
  <c r="BK21" i="17" s="1"/>
  <c r="BL21" i="17" s="1"/>
  <c r="BM21" i="17" s="1"/>
  <c r="BN21" i="17" s="1"/>
  <c r="BO21" i="17" s="1"/>
  <c r="BP21" i="17" s="1"/>
  <c r="BQ21" i="17" s="1"/>
  <c r="BR21" i="17" s="1"/>
  <c r="BS21" i="17" s="1"/>
  <c r="BT21" i="17" s="1"/>
  <c r="BU21" i="17" s="1"/>
  <c r="BV21" i="17" s="1"/>
  <c r="BW21" i="17" s="1"/>
  <c r="BX21" i="17" s="1"/>
  <c r="BY21" i="17" s="1"/>
  <c r="BZ21" i="17" s="1"/>
  <c r="CA21" i="17" s="1"/>
  <c r="CB21" i="17" s="1"/>
  <c r="CC21" i="17" s="1"/>
  <c r="CD21" i="17" s="1"/>
  <c r="CE21" i="17" s="1"/>
  <c r="CF21" i="17" s="1"/>
  <c r="CG21" i="17" s="1"/>
  <c r="CH21" i="17" s="1"/>
  <c r="CI21" i="17" s="1"/>
  <c r="CJ21" i="17" s="1"/>
  <c r="CK21" i="17" s="1"/>
  <c r="CL21" i="17" s="1"/>
  <c r="CM21" i="17" s="1"/>
  <c r="CN21" i="17" s="1"/>
  <c r="CO21" i="17" s="1"/>
  <c r="CP21" i="17" s="1"/>
  <c r="CQ21" i="17" s="1"/>
  <c r="CR21" i="17" s="1"/>
  <c r="CS21" i="17" s="1"/>
  <c r="CT21" i="17" s="1"/>
  <c r="CU21" i="17" s="1"/>
  <c r="CV21" i="17" s="1"/>
  <c r="CW21" i="17" s="1"/>
  <c r="CX21" i="17" s="1"/>
  <c r="CY21" i="17" s="1"/>
  <c r="CZ21" i="17" s="1"/>
  <c r="DA21" i="17" s="1"/>
  <c r="DB21" i="17" s="1"/>
  <c r="DC21" i="17" s="1"/>
  <c r="DD21" i="17" s="1"/>
  <c r="DE21" i="17" s="1"/>
  <c r="DF21" i="17" s="1"/>
  <c r="DG21" i="17" s="1"/>
  <c r="DH21" i="17" s="1"/>
  <c r="DI21" i="17" s="1"/>
  <c r="DJ21" i="17" s="1"/>
  <c r="DK21" i="17" s="1"/>
  <c r="DL21" i="17" s="1"/>
  <c r="DM21" i="17" s="1"/>
  <c r="DN21" i="17" s="1"/>
  <c r="DO21" i="17" s="1"/>
  <c r="DP21" i="17" s="1"/>
  <c r="B20" i="17"/>
  <c r="C20" i="17" s="1"/>
  <c r="D20" i="17" s="1"/>
  <c r="E20" i="17" s="1"/>
  <c r="F20" i="17" s="1"/>
  <c r="G20" i="17" s="1"/>
  <c r="H20" i="17" s="1"/>
  <c r="I20" i="17" s="1"/>
  <c r="J20" i="17" s="1"/>
  <c r="K20" i="17" s="1"/>
  <c r="L20" i="17" s="1"/>
  <c r="M20" i="17" s="1"/>
  <c r="N20" i="17" s="1"/>
  <c r="O20" i="17" s="1"/>
  <c r="P20" i="17" s="1"/>
  <c r="Q20" i="17" s="1"/>
  <c r="R20" i="17" s="1"/>
  <c r="S20" i="17" s="1"/>
  <c r="T20" i="17" s="1"/>
  <c r="U20" i="17" s="1"/>
  <c r="V20" i="17" s="1"/>
  <c r="W20" i="17" s="1"/>
  <c r="X20" i="17" s="1"/>
  <c r="Y20" i="17" s="1"/>
  <c r="Z20" i="17" s="1"/>
  <c r="AA20" i="17" s="1"/>
  <c r="AB20" i="17" s="1"/>
  <c r="AC20" i="17" s="1"/>
  <c r="AD20" i="17" s="1"/>
  <c r="AE20" i="17" s="1"/>
  <c r="AF20" i="17" s="1"/>
  <c r="AG20" i="17" s="1"/>
  <c r="AH20" i="17" s="1"/>
  <c r="AI20" i="17" s="1"/>
  <c r="AJ20" i="17" s="1"/>
  <c r="AK20" i="17" s="1"/>
  <c r="AL20" i="17" s="1"/>
  <c r="AM20" i="17" s="1"/>
  <c r="AN20" i="17" s="1"/>
  <c r="AO20" i="17" s="1"/>
  <c r="AP20" i="17" s="1"/>
  <c r="AQ20" i="17" s="1"/>
  <c r="AR20" i="17" s="1"/>
  <c r="AS20" i="17" s="1"/>
  <c r="AT20" i="17" s="1"/>
  <c r="AU20" i="17" s="1"/>
  <c r="AV20" i="17" s="1"/>
  <c r="AW20" i="17" s="1"/>
  <c r="AX20" i="17" s="1"/>
  <c r="AY20" i="17" s="1"/>
  <c r="AZ20" i="17" s="1"/>
  <c r="BA20" i="17" s="1"/>
  <c r="BB20" i="17" s="1"/>
  <c r="BC20" i="17" s="1"/>
  <c r="B19" i="17"/>
  <c r="C19" i="17" s="1"/>
  <c r="D19" i="17" s="1"/>
  <c r="E19" i="17" s="1"/>
  <c r="F19" i="17" s="1"/>
  <c r="G19" i="17" s="1"/>
  <c r="H19" i="17" s="1"/>
  <c r="I19" i="17" s="1"/>
  <c r="J19" i="17" s="1"/>
  <c r="K19" i="17" s="1"/>
  <c r="L19" i="17" s="1"/>
  <c r="M19" i="17" s="1"/>
  <c r="N19" i="17" s="1"/>
  <c r="O19" i="17" s="1"/>
  <c r="P19" i="17" s="1"/>
  <c r="Q19" i="17" s="1"/>
  <c r="R19" i="17" s="1"/>
  <c r="S19" i="17" s="1"/>
  <c r="T19" i="17" s="1"/>
  <c r="U19" i="17" s="1"/>
  <c r="V19" i="17" s="1"/>
  <c r="W19" i="17" s="1"/>
  <c r="X19" i="17" s="1"/>
  <c r="Y19" i="17" s="1"/>
  <c r="Z19" i="17" s="1"/>
  <c r="AA19" i="17" s="1"/>
  <c r="AB19" i="17" s="1"/>
  <c r="AC19" i="17" s="1"/>
  <c r="AD19" i="17" s="1"/>
  <c r="AE19" i="17" s="1"/>
  <c r="AF19" i="17" s="1"/>
  <c r="AG19" i="17" s="1"/>
  <c r="AH19" i="17" s="1"/>
  <c r="AI19" i="17" s="1"/>
  <c r="AJ19" i="17" s="1"/>
  <c r="AK19" i="17" s="1"/>
  <c r="AL19" i="17" s="1"/>
  <c r="AM19" i="17" s="1"/>
  <c r="AN19" i="17" s="1"/>
  <c r="AO19" i="17" s="1"/>
  <c r="AP19" i="17" s="1"/>
  <c r="AQ19" i="17" s="1"/>
  <c r="AR19" i="17" s="1"/>
  <c r="AS19" i="17" s="1"/>
  <c r="AT19" i="17" s="1"/>
  <c r="AU19" i="17" s="1"/>
  <c r="AV19" i="17" s="1"/>
  <c r="AW19" i="17" s="1"/>
  <c r="AX19" i="17" s="1"/>
  <c r="AY19" i="17" s="1"/>
  <c r="AZ19" i="17" s="1"/>
  <c r="BA19" i="17" s="1"/>
  <c r="BB19" i="17" s="1"/>
  <c r="BC19" i="17" s="1"/>
  <c r="BD19" i="17" s="1"/>
  <c r="BE19" i="17" s="1"/>
  <c r="BF19" i="17" s="1"/>
  <c r="BG19" i="17" s="1"/>
  <c r="BH19" i="17" s="1"/>
  <c r="BI19" i="17" s="1"/>
  <c r="BJ19" i="17" s="1"/>
  <c r="BK19" i="17" s="1"/>
  <c r="BL19" i="17" s="1"/>
  <c r="BM19" i="17" s="1"/>
  <c r="BN19" i="17" s="1"/>
  <c r="BO19" i="17" s="1"/>
  <c r="BP19" i="17" s="1"/>
  <c r="BQ19" i="17" s="1"/>
  <c r="BR19" i="17" s="1"/>
  <c r="BS19" i="17" s="1"/>
  <c r="BT19" i="17" s="1"/>
  <c r="BU19" i="17" s="1"/>
  <c r="BV19" i="17" s="1"/>
  <c r="BW19" i="17" s="1"/>
  <c r="BX19" i="17" s="1"/>
  <c r="BY19" i="17" s="1"/>
  <c r="BZ19" i="17" s="1"/>
  <c r="CA19" i="17" s="1"/>
  <c r="CB19" i="17" s="1"/>
  <c r="CC19" i="17" s="1"/>
  <c r="CD19" i="17" s="1"/>
  <c r="CE19" i="17" s="1"/>
  <c r="CF19" i="17" s="1"/>
  <c r="CG19" i="17" s="1"/>
  <c r="CH19" i="17" s="1"/>
  <c r="CI19" i="17" s="1"/>
  <c r="CJ19" i="17" s="1"/>
  <c r="CK19" i="17" s="1"/>
  <c r="CL19" i="17" s="1"/>
  <c r="CM19" i="17" s="1"/>
  <c r="CN19" i="17" s="1"/>
  <c r="CO19" i="17" s="1"/>
  <c r="CP19" i="17" s="1"/>
  <c r="CQ19" i="17" s="1"/>
  <c r="CR19" i="17" s="1"/>
  <c r="CS19" i="17" s="1"/>
  <c r="CT19" i="17" s="1"/>
  <c r="CU19" i="17" s="1"/>
  <c r="CV19" i="17" s="1"/>
  <c r="CW19" i="17" s="1"/>
  <c r="CX19" i="17" s="1"/>
  <c r="CY19" i="17" s="1"/>
  <c r="CZ19" i="17" s="1"/>
  <c r="DA19" i="17" s="1"/>
  <c r="DB19" i="17" s="1"/>
  <c r="DC19" i="17" s="1"/>
  <c r="DD19" i="17" s="1"/>
  <c r="DE19" i="17" s="1"/>
  <c r="DF19" i="17" s="1"/>
  <c r="DG19" i="17" s="1"/>
  <c r="DH19" i="17" s="1"/>
  <c r="DI19" i="17" s="1"/>
  <c r="DJ19" i="17" s="1"/>
  <c r="DK19" i="17" s="1"/>
  <c r="DL19" i="17" s="1"/>
  <c r="DM19" i="17" s="1"/>
  <c r="DN19" i="17" s="1"/>
  <c r="DO19" i="17" s="1"/>
  <c r="DP19" i="17" s="1"/>
  <c r="B18" i="17"/>
  <c r="C18" i="17" s="1"/>
  <c r="D18" i="17" s="1"/>
  <c r="E18" i="17" s="1"/>
  <c r="F18" i="17" s="1"/>
  <c r="G18" i="17" s="1"/>
  <c r="H18" i="17" s="1"/>
  <c r="I18" i="17" s="1"/>
  <c r="J18" i="17" s="1"/>
  <c r="K18" i="17" s="1"/>
  <c r="L18" i="17" s="1"/>
  <c r="M18" i="17" s="1"/>
  <c r="N18" i="17" s="1"/>
  <c r="O18" i="17" s="1"/>
  <c r="P18" i="17" s="1"/>
  <c r="Q18" i="17" s="1"/>
  <c r="R18" i="17" s="1"/>
  <c r="S18" i="17" s="1"/>
  <c r="T18" i="17" s="1"/>
  <c r="U18" i="17" s="1"/>
  <c r="V18" i="17" s="1"/>
  <c r="W18" i="17" s="1"/>
  <c r="X18" i="17" s="1"/>
  <c r="Y18" i="17" s="1"/>
  <c r="Z18" i="17" s="1"/>
  <c r="AA18" i="17" s="1"/>
  <c r="AB18" i="17" s="1"/>
  <c r="AC18" i="17" s="1"/>
  <c r="AD18" i="17" s="1"/>
  <c r="AE18" i="17" s="1"/>
  <c r="AF18" i="17" s="1"/>
  <c r="AG18" i="17" s="1"/>
  <c r="AH18" i="17" s="1"/>
  <c r="AI18" i="17" s="1"/>
  <c r="AJ18" i="17" s="1"/>
  <c r="AK18" i="17" s="1"/>
  <c r="AL18" i="17" s="1"/>
  <c r="AM18" i="17" s="1"/>
  <c r="AN18" i="17" s="1"/>
  <c r="AO18" i="17" s="1"/>
  <c r="AP18" i="17" s="1"/>
  <c r="AQ18" i="17" s="1"/>
  <c r="AR18" i="17" s="1"/>
  <c r="AS18" i="17" s="1"/>
  <c r="AT18" i="17" s="1"/>
  <c r="AU18" i="17" s="1"/>
  <c r="AV18" i="17" s="1"/>
  <c r="AW18" i="17" s="1"/>
  <c r="AX18" i="17" s="1"/>
  <c r="AY18" i="17" s="1"/>
  <c r="AZ18" i="17" s="1"/>
  <c r="BA18" i="17" s="1"/>
  <c r="BB18" i="17" s="1"/>
  <c r="BC18" i="17" s="1"/>
  <c r="BD18" i="17" s="1"/>
  <c r="BE18" i="17" s="1"/>
  <c r="BF18" i="17" s="1"/>
  <c r="BG18" i="17" s="1"/>
  <c r="BH18" i="17" s="1"/>
  <c r="BI18" i="17" s="1"/>
  <c r="BJ18" i="17" s="1"/>
  <c r="BK18" i="17" s="1"/>
  <c r="BL18" i="17" s="1"/>
  <c r="BM18" i="17" s="1"/>
  <c r="BN18" i="17" s="1"/>
  <c r="BO18" i="17" s="1"/>
  <c r="BP18" i="17" s="1"/>
  <c r="BQ18" i="17" s="1"/>
  <c r="BR18" i="17" s="1"/>
  <c r="BS18" i="17" s="1"/>
  <c r="BT18" i="17" s="1"/>
  <c r="BU18" i="17" s="1"/>
  <c r="BV18" i="17" s="1"/>
  <c r="BW18" i="17" s="1"/>
  <c r="BX18" i="17" s="1"/>
  <c r="BY18" i="17" s="1"/>
  <c r="BZ18" i="17" s="1"/>
  <c r="CA18" i="17" s="1"/>
  <c r="CB18" i="17" s="1"/>
  <c r="CC18" i="17" s="1"/>
  <c r="CD18" i="17" s="1"/>
  <c r="CE18" i="17" s="1"/>
  <c r="CF18" i="17" s="1"/>
  <c r="CG18" i="17" s="1"/>
  <c r="CH18" i="17" s="1"/>
  <c r="CI18" i="17" s="1"/>
  <c r="CJ18" i="17" s="1"/>
  <c r="CK18" i="17" s="1"/>
  <c r="CL18" i="17" s="1"/>
  <c r="CM18" i="17" s="1"/>
  <c r="CN18" i="17" s="1"/>
  <c r="CO18" i="17" s="1"/>
  <c r="CP18" i="17" s="1"/>
  <c r="CQ18" i="17" s="1"/>
  <c r="CR18" i="17" s="1"/>
  <c r="CS18" i="17" s="1"/>
  <c r="CT18" i="17" s="1"/>
  <c r="CU18" i="17" s="1"/>
  <c r="CV18" i="17" s="1"/>
  <c r="CW18" i="17" s="1"/>
  <c r="CX18" i="17" s="1"/>
  <c r="CY18" i="17" s="1"/>
  <c r="CZ18" i="17" s="1"/>
  <c r="DA18" i="17" s="1"/>
  <c r="DB18" i="17" s="1"/>
  <c r="DC18" i="17" s="1"/>
  <c r="DD18" i="17" s="1"/>
  <c r="DE18" i="17" s="1"/>
  <c r="DF18" i="17" s="1"/>
  <c r="DG18" i="17" s="1"/>
  <c r="DH18" i="17" s="1"/>
  <c r="DI18" i="17" s="1"/>
  <c r="DJ18" i="17" s="1"/>
  <c r="DK18" i="17" s="1"/>
  <c r="DL18" i="17" s="1"/>
  <c r="DM18" i="17" s="1"/>
  <c r="DN18" i="17" s="1"/>
  <c r="DO18" i="17" s="1"/>
  <c r="DP18" i="17" s="1"/>
  <c r="B17" i="17"/>
  <c r="C17" i="17" s="1"/>
  <c r="D17" i="17" s="1"/>
  <c r="E17" i="17" s="1"/>
  <c r="F17" i="17" s="1"/>
  <c r="G17" i="17" s="1"/>
  <c r="H17" i="17" s="1"/>
  <c r="I17" i="17" s="1"/>
  <c r="J17" i="17" s="1"/>
  <c r="K17" i="17" s="1"/>
  <c r="L17" i="17" s="1"/>
  <c r="M17" i="17" s="1"/>
  <c r="N17" i="17" s="1"/>
  <c r="O17" i="17" s="1"/>
  <c r="P17" i="17" s="1"/>
  <c r="Q17" i="17" s="1"/>
  <c r="R17" i="17" s="1"/>
  <c r="S17" i="17" s="1"/>
  <c r="T17" i="17" s="1"/>
  <c r="U17" i="17" s="1"/>
  <c r="V17" i="17" s="1"/>
  <c r="W17" i="17" s="1"/>
  <c r="X17" i="17" s="1"/>
  <c r="Y17" i="17" s="1"/>
  <c r="Z17" i="17" s="1"/>
  <c r="AA17" i="17" s="1"/>
  <c r="AB17" i="17" s="1"/>
  <c r="AC17" i="17" s="1"/>
  <c r="AD17" i="17" s="1"/>
  <c r="AE17" i="17" s="1"/>
  <c r="AF17" i="17" s="1"/>
  <c r="AG17" i="17" s="1"/>
  <c r="AH17" i="17" s="1"/>
  <c r="AI17" i="17" s="1"/>
  <c r="AJ17" i="17" s="1"/>
  <c r="AK17" i="17" s="1"/>
  <c r="AL17" i="17" s="1"/>
  <c r="AM17" i="17" s="1"/>
  <c r="AN17" i="17" s="1"/>
  <c r="AO17" i="17" s="1"/>
  <c r="AP17" i="17" s="1"/>
  <c r="AQ17" i="17" s="1"/>
  <c r="AR17" i="17" s="1"/>
  <c r="AS17" i="17" s="1"/>
  <c r="AT17" i="17" s="1"/>
  <c r="AU17" i="17" s="1"/>
  <c r="AV17" i="17" s="1"/>
  <c r="AW17" i="17" s="1"/>
  <c r="AX17" i="17" s="1"/>
  <c r="AY17" i="17" s="1"/>
  <c r="AZ17" i="17" s="1"/>
  <c r="BA17" i="17" s="1"/>
  <c r="BB17" i="17" s="1"/>
  <c r="BC17" i="17" s="1"/>
  <c r="BD17" i="17" s="1"/>
  <c r="BE17" i="17" s="1"/>
  <c r="BF17" i="17" s="1"/>
  <c r="BG17" i="17" s="1"/>
  <c r="BH17" i="17" s="1"/>
  <c r="BI17" i="17" s="1"/>
  <c r="BJ17" i="17" s="1"/>
  <c r="BK17" i="17" s="1"/>
  <c r="BL17" i="17" s="1"/>
  <c r="BM17" i="17" s="1"/>
  <c r="BN17" i="17" s="1"/>
  <c r="BO17" i="17" s="1"/>
  <c r="BP17" i="17" s="1"/>
  <c r="BQ17" i="17" s="1"/>
  <c r="BR17" i="17" s="1"/>
  <c r="BS17" i="17" s="1"/>
  <c r="BT17" i="17" s="1"/>
  <c r="BU17" i="17" s="1"/>
  <c r="BV17" i="17" s="1"/>
  <c r="BW17" i="17" s="1"/>
  <c r="BX17" i="17" s="1"/>
  <c r="BY17" i="17" s="1"/>
  <c r="BZ17" i="17" s="1"/>
  <c r="CA17" i="17" s="1"/>
  <c r="CB17" i="17" s="1"/>
  <c r="CC17" i="17" s="1"/>
  <c r="CD17" i="17" s="1"/>
  <c r="CE17" i="17" s="1"/>
  <c r="CF17" i="17" s="1"/>
  <c r="CG17" i="17" s="1"/>
  <c r="CH17" i="17" s="1"/>
  <c r="CI17" i="17" s="1"/>
  <c r="CJ17" i="17" s="1"/>
  <c r="CK17" i="17" s="1"/>
  <c r="CL17" i="17" s="1"/>
  <c r="CM17" i="17" s="1"/>
  <c r="CN17" i="17" s="1"/>
  <c r="CO17" i="17" s="1"/>
  <c r="CP17" i="17" s="1"/>
  <c r="CQ17" i="17" s="1"/>
  <c r="CR17" i="17" s="1"/>
  <c r="CS17" i="17" s="1"/>
  <c r="CT17" i="17" s="1"/>
  <c r="CU17" i="17" s="1"/>
  <c r="CV17" i="17" s="1"/>
  <c r="CW17" i="17" s="1"/>
  <c r="CX17" i="17" s="1"/>
  <c r="CY17" i="17" s="1"/>
  <c r="CZ17" i="17" s="1"/>
  <c r="DA17" i="17" s="1"/>
  <c r="DB17" i="17" s="1"/>
  <c r="DC17" i="17" s="1"/>
  <c r="DD17" i="17" s="1"/>
  <c r="DE17" i="17" s="1"/>
  <c r="DF17" i="17" s="1"/>
  <c r="DG17" i="17" s="1"/>
  <c r="DH17" i="17" s="1"/>
  <c r="DI17" i="17" s="1"/>
  <c r="DJ17" i="17" s="1"/>
  <c r="DK17" i="17" s="1"/>
  <c r="DL17" i="17" s="1"/>
  <c r="DM17" i="17" s="1"/>
  <c r="DN17" i="17" s="1"/>
  <c r="DO17" i="17" s="1"/>
  <c r="DP17" i="17" s="1"/>
  <c r="CK42" i="17"/>
  <c r="CS42" i="17"/>
  <c r="CZ42" i="17"/>
  <c r="BU32" i="17"/>
  <c r="BU34" i="17"/>
  <c r="BU35" i="17"/>
  <c r="BU41" i="17"/>
  <c r="BU42" i="17"/>
  <c r="BU43" i="17"/>
  <c r="BU44" i="17"/>
  <c r="CK56" i="17"/>
  <c r="CG54" i="17"/>
  <c r="CG53" i="17"/>
  <c r="CG52" i="17"/>
  <c r="CG51" i="17"/>
  <c r="BS54" i="17"/>
  <c r="BS53" i="17"/>
  <c r="BS52" i="17"/>
  <c r="BS51" i="17"/>
  <c r="T70" i="2"/>
  <c r="X7" i="8"/>
  <c r="X6" i="8"/>
  <c r="X5" i="8"/>
  <c r="X4" i="8"/>
  <c r="X3" i="8"/>
  <c r="T58" i="7"/>
  <c r="T57" i="7"/>
  <c r="T56" i="7"/>
  <c r="T48" i="7"/>
  <c r="T47" i="7"/>
  <c r="T46" i="7"/>
  <c r="T62" i="7"/>
  <c r="T61" i="7"/>
  <c r="T60" i="7"/>
  <c r="T78" i="7"/>
  <c r="T77" i="7"/>
  <c r="T76" i="7"/>
  <c r="BK21" i="10" l="1"/>
  <c r="BL20" i="10"/>
  <c r="Z15" i="8"/>
  <c r="Z160" i="19"/>
  <c r="AM136" i="19" s="1"/>
  <c r="T136" i="19"/>
  <c r="H36" i="19" s="1"/>
  <c r="AD156" i="19" s="1"/>
  <c r="F15" i="21"/>
  <c r="E16" i="21"/>
  <c r="H205" i="21"/>
  <c r="G205" i="21" s="1"/>
  <c r="I205" i="21"/>
  <c r="Y56" i="15"/>
  <c r="Z64" i="15"/>
  <c r="X64" i="15"/>
  <c r="V64" i="15"/>
  <c r="T64" i="15"/>
  <c r="I140" i="21"/>
  <c r="S44" i="15"/>
  <c r="AY114" i="19"/>
  <c r="AY120" i="19"/>
  <c r="Z85" i="19"/>
  <c r="AS85" i="19" s="1"/>
  <c r="AR35" i="19"/>
  <c r="BH107" i="20" s="1"/>
  <c r="AK35" i="19"/>
  <c r="H39" i="21"/>
  <c r="I39" i="21"/>
  <c r="J20" i="21"/>
  <c r="J19" i="21"/>
  <c r="D23" i="5"/>
  <c r="Z74" i="3"/>
  <c r="Z73" i="3"/>
  <c r="Z72" i="3"/>
  <c r="Z63" i="3"/>
  <c r="Z67" i="3" s="1"/>
  <c r="Z65" i="3"/>
  <c r="Z64" i="3"/>
  <c r="Z91" i="3"/>
  <c r="Z90" i="3"/>
  <c r="Z100" i="3"/>
  <c r="Z99" i="3"/>
  <c r="Z98" i="3"/>
  <c r="Z89" i="3"/>
  <c r="Z119" i="3"/>
  <c r="Z110" i="3"/>
  <c r="Z114" i="3" s="1"/>
  <c r="Z112" i="3"/>
  <c r="Z111" i="3"/>
  <c r="Z121" i="3"/>
  <c r="Z120" i="3"/>
  <c r="F15" i="2"/>
  <c r="J7" i="21" s="1"/>
  <c r="A123" i="20"/>
  <c r="A2" i="20"/>
  <c r="A96" i="20"/>
  <c r="A2" i="17"/>
  <c r="Z78" i="19"/>
  <c r="V78" i="19" s="1"/>
  <c r="AD106" i="19"/>
  <c r="AN101" i="19"/>
  <c r="X170" i="19"/>
  <c r="Y170" i="19" s="1"/>
  <c r="T15" i="19"/>
  <c r="AK31" i="19"/>
  <c r="Q15" i="19" s="1"/>
  <c r="BB121" i="19"/>
  <c r="AC30" i="19"/>
  <c r="AD30" i="19" s="1"/>
  <c r="AR29" i="19"/>
  <c r="BH101" i="20" s="1"/>
  <c r="AC29" i="19"/>
  <c r="AC28" i="19"/>
  <c r="AD28" i="19" s="1"/>
  <c r="AE28" i="19" s="1"/>
  <c r="C13" i="8"/>
  <c r="S33" i="8" s="1"/>
  <c r="E29" i="3"/>
  <c r="AR33" i="19"/>
  <c r="BH105" i="20" s="1"/>
  <c r="AK33" i="19"/>
  <c r="F14" i="15"/>
  <c r="J134" i="21" s="1"/>
  <c r="F19" i="15"/>
  <c r="J135" i="21" s="1"/>
  <c r="AR44" i="19"/>
  <c r="BH116" i="20" s="1"/>
  <c r="AK44" i="19"/>
  <c r="Q28" i="19" s="1"/>
  <c r="AR43" i="19"/>
  <c r="BH115" i="20" s="1"/>
  <c r="AK43" i="19"/>
  <c r="AR46" i="19"/>
  <c r="BH118" i="20" s="1"/>
  <c r="AK46" i="19"/>
  <c r="Q30" i="19" s="1"/>
  <c r="AA154" i="19"/>
  <c r="Q36" i="19" s="1"/>
  <c r="AR47" i="19"/>
  <c r="BH119" i="20" s="1"/>
  <c r="AK47" i="19"/>
  <c r="AR45" i="19"/>
  <c r="BH117" i="20" s="1"/>
  <c r="AK45" i="19"/>
  <c r="Q29" i="19" s="1"/>
  <c r="AC88" i="19"/>
  <c r="AS88" i="19"/>
  <c r="AT88" i="19"/>
  <c r="AD88" i="19"/>
  <c r="AZ88" i="19"/>
  <c r="AB88" i="19"/>
  <c r="AY88" i="19"/>
  <c r="AX88" i="19"/>
  <c r="AW88" i="19"/>
  <c r="AV88" i="19"/>
  <c r="AU88" i="19"/>
  <c r="AU90" i="19"/>
  <c r="AV90" i="19"/>
  <c r="AT90" i="19"/>
  <c r="AD90" i="19"/>
  <c r="AC90" i="19"/>
  <c r="AZ90" i="19"/>
  <c r="AB90" i="19"/>
  <c r="AY90" i="19"/>
  <c r="AX90" i="19"/>
  <c r="AW90" i="19"/>
  <c r="AS90" i="19"/>
  <c r="F9" i="15"/>
  <c r="J133" i="21" s="1"/>
  <c r="F24" i="15"/>
  <c r="J136" i="21" s="1"/>
  <c r="A104" i="12"/>
  <c r="AZ82" i="19"/>
  <c r="AY82" i="19"/>
  <c r="AX82" i="19"/>
  <c r="AW82" i="19"/>
  <c r="AV82" i="19"/>
  <c r="AU82" i="19"/>
  <c r="AT82" i="19"/>
  <c r="AC82" i="19"/>
  <c r="AE82" i="19"/>
  <c r="AB82" i="19"/>
  <c r="AD82" i="19"/>
  <c r="AR82" i="19"/>
  <c r="AS82" i="19"/>
  <c r="AQ82" i="19"/>
  <c r="AP82" i="19"/>
  <c r="AY113" i="19"/>
  <c r="BH103" i="20"/>
  <c r="AL79" i="19"/>
  <c r="AD79" i="19"/>
  <c r="AO79" i="19"/>
  <c r="AK79" i="19"/>
  <c r="AC79" i="19"/>
  <c r="AN79" i="19"/>
  <c r="AJ79" i="19"/>
  <c r="AI79" i="19"/>
  <c r="AH79" i="19"/>
  <c r="AE79" i="19"/>
  <c r="AM79" i="19"/>
  <c r="AG79" i="19"/>
  <c r="AF79" i="19"/>
  <c r="AM88" i="19"/>
  <c r="AF88" i="19"/>
  <c r="AG88" i="19"/>
  <c r="AE88" i="19"/>
  <c r="AL88" i="19"/>
  <c r="AK88" i="19"/>
  <c r="AQ88" i="19"/>
  <c r="AJ88" i="19"/>
  <c r="AN88" i="19"/>
  <c r="AP88" i="19"/>
  <c r="AI88" i="19"/>
  <c r="AO88" i="19"/>
  <c r="AH88" i="19"/>
  <c r="AJ90" i="19"/>
  <c r="AI90" i="19"/>
  <c r="AQ90" i="19"/>
  <c r="AH90" i="19"/>
  <c r="AP90" i="19"/>
  <c r="AG90" i="19"/>
  <c r="AO90" i="19"/>
  <c r="AF90" i="19"/>
  <c r="AN90" i="19"/>
  <c r="AE90" i="19"/>
  <c r="AK90" i="19"/>
  <c r="AM90" i="19"/>
  <c r="AL90" i="19"/>
  <c r="Z51" i="15"/>
  <c r="S30" i="19"/>
  <c r="AS44" i="19"/>
  <c r="AS38" i="19"/>
  <c r="AS46" i="19"/>
  <c r="AS39" i="19"/>
  <c r="AS47" i="19"/>
  <c r="Z76" i="3"/>
  <c r="F37" i="10"/>
  <c r="J142" i="21" s="1"/>
  <c r="F38" i="10"/>
  <c r="J143" i="21" s="1"/>
  <c r="F39" i="10"/>
  <c r="J144" i="21" s="1"/>
  <c r="F40" i="10"/>
  <c r="J145" i="21" s="1"/>
  <c r="AS40" i="19"/>
  <c r="AS41" i="19"/>
  <c r="AS42" i="19"/>
  <c r="AS43" i="19"/>
  <c r="AS32" i="19"/>
  <c r="AS33" i="19"/>
  <c r="AS34" i="19"/>
  <c r="C42" i="1"/>
  <c r="E42" i="1" s="1"/>
  <c r="F11" i="11"/>
  <c r="H494" i="21" s="1"/>
  <c r="G20" i="11"/>
  <c r="J503" i="21" s="1"/>
  <c r="AU105" i="19"/>
  <c r="AU104" i="19"/>
  <c r="AV103" i="19"/>
  <c r="K28" i="13"/>
  <c r="H25" i="13"/>
  <c r="I461" i="21" s="1"/>
  <c r="H31" i="8"/>
  <c r="H29" i="8"/>
  <c r="H26" i="8"/>
  <c r="H25" i="8"/>
  <c r="F17" i="8"/>
  <c r="H30" i="8"/>
  <c r="I105" i="21" s="1"/>
  <c r="D3" i="21"/>
  <c r="H29" i="13"/>
  <c r="I465" i="21" s="1"/>
  <c r="F18" i="10"/>
  <c r="J205" i="21" s="1"/>
  <c r="F21" i="8"/>
  <c r="J96" i="21" s="1"/>
  <c r="F46" i="10"/>
  <c r="J150" i="21" s="1"/>
  <c r="F45" i="10"/>
  <c r="J149" i="21" s="1"/>
  <c r="F44" i="10"/>
  <c r="J148" i="21" s="1"/>
  <c r="F47" i="10"/>
  <c r="J151" i="21" s="1"/>
  <c r="F43" i="10"/>
  <c r="J147" i="21" s="1"/>
  <c r="AH39" i="10"/>
  <c r="Y58" i="15"/>
  <c r="CG56" i="17"/>
  <c r="O131" i="20"/>
  <c r="Y59" i="15"/>
  <c r="AA59" i="15"/>
  <c r="CK54" i="17"/>
  <c r="S129" i="20"/>
  <c r="DQ52" i="17"/>
  <c r="DQ53" i="17"/>
  <c r="AX129" i="20"/>
  <c r="DG56" i="17"/>
  <c r="AN132" i="20"/>
  <c r="DG55" i="17"/>
  <c r="AN131" i="20"/>
  <c r="DG52" i="17"/>
  <c r="AN128" i="20"/>
  <c r="DG50" i="17"/>
  <c r="K20" i="13"/>
  <c r="H21" i="13"/>
  <c r="I457" i="21" s="1"/>
  <c r="DQ51" i="17"/>
  <c r="AX127" i="20"/>
  <c r="DG53" i="17"/>
  <c r="AN129" i="20"/>
  <c r="DG54" i="17"/>
  <c r="AN130" i="20"/>
  <c r="DG51" i="17"/>
  <c r="AN127" i="20"/>
  <c r="G17" i="11"/>
  <c r="J500" i="21" s="1"/>
  <c r="AV94" i="20"/>
  <c r="S66" i="2"/>
  <c r="A124" i="20"/>
  <c r="A3" i="20"/>
  <c r="A97" i="20"/>
  <c r="V90" i="19"/>
  <c r="V82" i="19"/>
  <c r="V88" i="19"/>
  <c r="V79" i="19"/>
  <c r="AB79" i="19"/>
  <c r="A56" i="17"/>
  <c r="A121" i="20"/>
  <c r="AN100" i="19"/>
  <c r="AD56" i="17"/>
  <c r="AV121" i="20"/>
  <c r="DR29" i="17"/>
  <c r="AA1" i="3"/>
  <c r="H21" i="19"/>
  <c r="AL30" i="19"/>
  <c r="H22" i="19"/>
  <c r="U31" i="19"/>
  <c r="K31" i="19" s="1"/>
  <c r="H29" i="19"/>
  <c r="H31" i="19"/>
  <c r="U25" i="19"/>
  <c r="K25" i="19" s="1"/>
  <c r="S14" i="19"/>
  <c r="S15" i="19"/>
  <c r="S23" i="19"/>
  <c r="H23" i="19"/>
  <c r="S16" i="19"/>
  <c r="H24" i="19"/>
  <c r="S22" i="19"/>
  <c r="H30" i="19"/>
  <c r="S24" i="19"/>
  <c r="AB107" i="19"/>
  <c r="Y60" i="15"/>
  <c r="AA46" i="3"/>
  <c r="W75" i="3" s="1"/>
  <c r="W74" i="3" s="1"/>
  <c r="H13" i="19"/>
  <c r="AA60" i="15"/>
  <c r="H14" i="19"/>
  <c r="H15" i="19"/>
  <c r="AI31" i="19" s="1"/>
  <c r="AF106" i="19"/>
  <c r="H16" i="19"/>
  <c r="H24" i="8"/>
  <c r="K24" i="8"/>
  <c r="U14" i="19"/>
  <c r="U17" i="19"/>
  <c r="K17" i="19" s="1"/>
  <c r="U22" i="19"/>
  <c r="K22" i="19" s="1"/>
  <c r="U16" i="19"/>
  <c r="K16" i="19" s="1"/>
  <c r="Z38" i="19"/>
  <c r="AA38" i="19" s="1"/>
  <c r="AQ38" i="19" s="1"/>
  <c r="Z29" i="19"/>
  <c r="AA29" i="19" s="1"/>
  <c r="Z30" i="19"/>
  <c r="AA30" i="19" s="1"/>
  <c r="Z28" i="19"/>
  <c r="H23" i="8"/>
  <c r="K23" i="8"/>
  <c r="S12" i="19"/>
  <c r="U15" i="19"/>
  <c r="U24" i="19"/>
  <c r="K24" i="19" s="1"/>
  <c r="AA48" i="3"/>
  <c r="AJ46" i="3"/>
  <c r="Z93" i="3"/>
  <c r="Z8" i="4"/>
  <c r="Z9" i="4" s="1"/>
  <c r="X10" i="11"/>
  <c r="F10" i="11" s="1"/>
  <c r="H493" i="21" s="1"/>
  <c r="G493" i="21" s="1"/>
  <c r="H22" i="8"/>
  <c r="K22" i="8"/>
  <c r="AL39" i="19"/>
  <c r="AR39" i="19"/>
  <c r="Q25" i="19"/>
  <c r="AR41" i="19"/>
  <c r="AL28" i="19"/>
  <c r="AY119" i="19"/>
  <c r="Z96" i="19"/>
  <c r="AY128" i="19"/>
  <c r="Z80" i="19"/>
  <c r="Z89" i="19"/>
  <c r="Z81" i="19"/>
  <c r="Z91" i="19"/>
  <c r="Z84" i="19"/>
  <c r="Z92" i="19"/>
  <c r="AY117" i="19"/>
  <c r="Z94" i="19"/>
  <c r="AY118" i="19"/>
  <c r="AY126" i="19"/>
  <c r="Z86" i="19"/>
  <c r="Z95" i="19"/>
  <c r="N13" i="19"/>
  <c r="I110" i="21" s="1"/>
  <c r="AY127" i="19"/>
  <c r="Z87" i="19"/>
  <c r="AL32" i="19"/>
  <c r="AR32" i="19"/>
  <c r="AA21" i="19"/>
  <c r="Z21" i="19" s="1"/>
  <c r="AI30" i="19" s="1"/>
  <c r="AA20" i="19"/>
  <c r="Z20" i="19" s="1"/>
  <c r="AH24" i="19" s="1"/>
  <c r="AA19" i="19"/>
  <c r="Z19" i="19" s="1"/>
  <c r="AI28" i="19" s="1"/>
  <c r="E7" i="11"/>
  <c r="K18" i="8"/>
  <c r="H20" i="8"/>
  <c r="I95" i="21" s="1"/>
  <c r="K20" i="8"/>
  <c r="H19" i="8"/>
  <c r="K19" i="8"/>
  <c r="H27" i="8"/>
  <c r="K27" i="8"/>
  <c r="A11" i="19"/>
  <c r="AW7" i="19"/>
  <c r="AR30" i="19"/>
  <c r="AR28" i="19"/>
  <c r="AO48" i="17"/>
  <c r="S17" i="19"/>
  <c r="S25" i="19"/>
  <c r="Z31" i="19"/>
  <c r="AA31" i="19" s="1"/>
  <c r="Z40" i="19"/>
  <c r="AA40" i="19" s="1"/>
  <c r="AZ117" i="19"/>
  <c r="AZ127" i="19"/>
  <c r="AJ47" i="3"/>
  <c r="Z23" i="19"/>
  <c r="W51" i="19"/>
  <c r="U18" i="19"/>
  <c r="K18" i="19" s="1"/>
  <c r="U26" i="19"/>
  <c r="K26" i="19" s="1"/>
  <c r="H17" i="19"/>
  <c r="H25" i="19"/>
  <c r="S18" i="19"/>
  <c r="S26" i="19"/>
  <c r="Z32" i="19"/>
  <c r="AA32" i="19" s="1"/>
  <c r="AQ32" i="19" s="1"/>
  <c r="Z41" i="19"/>
  <c r="AA41" i="19" s="1"/>
  <c r="AQ41" i="19" s="1"/>
  <c r="AZ119" i="19"/>
  <c r="AZ128" i="19"/>
  <c r="BA128" i="19" s="1"/>
  <c r="Q26" i="19"/>
  <c r="BD20" i="17"/>
  <c r="BE20" i="17" s="1"/>
  <c r="BF20" i="17" s="1"/>
  <c r="BG20" i="17" s="1"/>
  <c r="BH20" i="17" s="1"/>
  <c r="BI20" i="17" s="1"/>
  <c r="BJ20" i="17" s="1"/>
  <c r="BK20" i="17" s="1"/>
  <c r="BL20" i="17" s="1"/>
  <c r="BM20" i="17" s="1"/>
  <c r="BN20" i="17" s="1"/>
  <c r="BO20" i="17" s="1"/>
  <c r="BP20" i="17" s="1"/>
  <c r="BQ20" i="17" s="1"/>
  <c r="BR20" i="17" s="1"/>
  <c r="BS20" i="17" s="1"/>
  <c r="BT20" i="17" s="1"/>
  <c r="BU20" i="17" s="1"/>
  <c r="BV20" i="17" s="1"/>
  <c r="BW20" i="17" s="1"/>
  <c r="BX20" i="17" s="1"/>
  <c r="BY20" i="17" s="1"/>
  <c r="BZ20" i="17" s="1"/>
  <c r="CA20" i="17" s="1"/>
  <c r="CB20" i="17" s="1"/>
  <c r="CC20" i="17" s="1"/>
  <c r="CD20" i="17" s="1"/>
  <c r="CE20" i="17" s="1"/>
  <c r="CF20" i="17" s="1"/>
  <c r="CG20" i="17" s="1"/>
  <c r="CH20" i="17" s="1"/>
  <c r="CI20" i="17" s="1"/>
  <c r="CJ20" i="17" s="1"/>
  <c r="CK20" i="17" s="1"/>
  <c r="CL20" i="17" s="1"/>
  <c r="CM20" i="17" s="1"/>
  <c r="CN20" i="17" s="1"/>
  <c r="CO20" i="17" s="1"/>
  <c r="CP20" i="17" s="1"/>
  <c r="CQ20" i="17" s="1"/>
  <c r="CR20" i="17" s="1"/>
  <c r="CS20" i="17" s="1"/>
  <c r="CT20" i="17" s="1"/>
  <c r="CU20" i="17" s="1"/>
  <c r="CV20" i="17" s="1"/>
  <c r="CW20" i="17" s="1"/>
  <c r="CX20" i="17" s="1"/>
  <c r="CY20" i="17" s="1"/>
  <c r="CZ20" i="17" s="1"/>
  <c r="DA20" i="17" s="1"/>
  <c r="DB20" i="17" s="1"/>
  <c r="DC20" i="17" s="1"/>
  <c r="DD20" i="17" s="1"/>
  <c r="DE20" i="17" s="1"/>
  <c r="DF20" i="17" s="1"/>
  <c r="DG20" i="17" s="1"/>
  <c r="DH20" i="17" s="1"/>
  <c r="DI20" i="17" s="1"/>
  <c r="DJ20" i="17" s="1"/>
  <c r="DK20" i="17" s="1"/>
  <c r="DL20" i="17" s="1"/>
  <c r="DM20" i="17" s="1"/>
  <c r="DN20" i="17" s="1"/>
  <c r="DO20" i="17" s="1"/>
  <c r="DP20" i="17" s="1"/>
  <c r="AJ48" i="3"/>
  <c r="Z123" i="3"/>
  <c r="AA123" i="3" s="1"/>
  <c r="U19" i="19"/>
  <c r="K19" i="19" s="1"/>
  <c r="U27" i="19"/>
  <c r="K27" i="19" s="1"/>
  <c r="H18" i="19"/>
  <c r="H26" i="19"/>
  <c r="S19" i="19"/>
  <c r="S27" i="19"/>
  <c r="AZ122" i="19"/>
  <c r="BA122" i="19" s="1"/>
  <c r="Z34" i="19"/>
  <c r="AA34" i="19" s="1"/>
  <c r="AQ34" i="19" s="1"/>
  <c r="Z42" i="19"/>
  <c r="AA42" i="19" s="1"/>
  <c r="AQ42" i="19" s="1"/>
  <c r="N16" i="19"/>
  <c r="I113" i="21" s="1"/>
  <c r="N24" i="19"/>
  <c r="I121" i="21" s="1"/>
  <c r="AZ120" i="19"/>
  <c r="AZ129" i="19"/>
  <c r="BA129" i="19" s="1"/>
  <c r="U20" i="19"/>
  <c r="K20" i="19" s="1"/>
  <c r="U28" i="19"/>
  <c r="K28" i="19" s="1"/>
  <c r="H19" i="19"/>
  <c r="AI35" i="19" s="1"/>
  <c r="H27" i="19"/>
  <c r="S20" i="19"/>
  <c r="S28" i="19"/>
  <c r="Z35" i="19"/>
  <c r="AA35" i="19" s="1"/>
  <c r="Z44" i="19"/>
  <c r="AA44" i="19" s="1"/>
  <c r="AQ44" i="19" s="1"/>
  <c r="N25" i="19"/>
  <c r="I122" i="21" s="1"/>
  <c r="AZ121" i="19"/>
  <c r="AZ130" i="19"/>
  <c r="BA130" i="19" s="1"/>
  <c r="AW41" i="3"/>
  <c r="Z39" i="19"/>
  <c r="AA39" i="19" s="1"/>
  <c r="Z102" i="3"/>
  <c r="U13" i="19"/>
  <c r="U21" i="19"/>
  <c r="K21" i="19" s="1"/>
  <c r="U29" i="19"/>
  <c r="AL29" i="19"/>
  <c r="AO43" i="17"/>
  <c r="H12" i="19"/>
  <c r="H20" i="19"/>
  <c r="H28" i="19"/>
  <c r="S13" i="19"/>
  <c r="S21" i="19"/>
  <c r="S29" i="19"/>
  <c r="Z36" i="19"/>
  <c r="AA36" i="19" s="1"/>
  <c r="AQ36" i="19" s="1"/>
  <c r="Z45" i="19"/>
  <c r="AA45" i="19" s="1"/>
  <c r="AQ45" i="19" s="1"/>
  <c r="N18" i="19"/>
  <c r="I115" i="21" s="1"/>
  <c r="N26" i="19"/>
  <c r="I123" i="21" s="1"/>
  <c r="AZ113" i="19"/>
  <c r="AZ123" i="19"/>
  <c r="BA123" i="19" s="1"/>
  <c r="AZ131" i="19"/>
  <c r="BA131" i="19" s="1"/>
  <c r="Z37" i="19"/>
  <c r="AA37" i="19" s="1"/>
  <c r="AQ37" i="19" s="1"/>
  <c r="Z46" i="19"/>
  <c r="AA46" i="19" s="1"/>
  <c r="AQ46" i="19" s="1"/>
  <c r="N19" i="19"/>
  <c r="I116" i="21" s="1"/>
  <c r="AZ114" i="19"/>
  <c r="AZ124" i="19"/>
  <c r="BA124" i="19" s="1"/>
  <c r="AZ132" i="19"/>
  <c r="BA132" i="19" s="1"/>
  <c r="S31" i="19"/>
  <c r="N20" i="19"/>
  <c r="I117" i="21" s="1"/>
  <c r="N28" i="19"/>
  <c r="I125" i="21" s="1"/>
  <c r="AZ115" i="19"/>
  <c r="AZ125" i="19"/>
  <c r="BA125" i="19" s="1"/>
  <c r="N21" i="19"/>
  <c r="I118" i="21" s="1"/>
  <c r="AZ116" i="19"/>
  <c r="BA116" i="19" s="1"/>
  <c r="AZ126" i="19"/>
  <c r="Z52" i="15"/>
  <c r="Z53" i="15"/>
  <c r="W60" i="15"/>
  <c r="W59" i="15"/>
  <c r="W58" i="15"/>
  <c r="U59" i="15"/>
  <c r="U60" i="15"/>
  <c r="U58" i="15"/>
  <c r="Q23" i="19"/>
  <c r="Q22" i="19"/>
  <c r="T54" i="15"/>
  <c r="AZ118" i="19"/>
  <c r="Q18" i="19"/>
  <c r="Q21" i="19"/>
  <c r="Q20" i="19"/>
  <c r="Q16" i="19"/>
  <c r="Q24" i="19"/>
  <c r="AO42" i="17"/>
  <c r="AO40" i="17"/>
  <c r="A3" i="17"/>
  <c r="AO50" i="17"/>
  <c r="AL42" i="19"/>
  <c r="AL40" i="19"/>
  <c r="AL38" i="19"/>
  <c r="AO44" i="17"/>
  <c r="AL37" i="19"/>
  <c r="AL35" i="19"/>
  <c r="AL34" i="19"/>
  <c r="AL33" i="19"/>
  <c r="AL41" i="19"/>
  <c r="AL44" i="19"/>
  <c r="AL45" i="19"/>
  <c r="Z47" i="19"/>
  <c r="AA47" i="19" s="1"/>
  <c r="AQ47" i="19" s="1"/>
  <c r="AL46" i="19"/>
  <c r="AL47" i="19"/>
  <c r="Z33" i="19"/>
  <c r="AA33" i="19" s="1"/>
  <c r="AQ33" i="19" s="1"/>
  <c r="Z43" i="19"/>
  <c r="AL43" i="19"/>
  <c r="AL31" i="19"/>
  <c r="AL36" i="19"/>
  <c r="K30" i="19"/>
  <c r="Y97" i="19"/>
  <c r="Z97" i="19" s="1"/>
  <c r="Y83" i="19"/>
  <c r="Z83" i="19" s="1"/>
  <c r="Y93" i="19"/>
  <c r="Z93" i="19" s="1"/>
  <c r="V50" i="19"/>
  <c r="T12" i="19" s="1"/>
  <c r="W53" i="19"/>
  <c r="K23" i="19"/>
  <c r="X53" i="19"/>
  <c r="X51" i="19"/>
  <c r="X50" i="19"/>
  <c r="X52" i="19"/>
  <c r="AN33" i="19"/>
  <c r="T2" i="19"/>
  <c r="Y28" i="19"/>
  <c r="AW39" i="3"/>
  <c r="H18" i="8"/>
  <c r="I93" i="21" s="1"/>
  <c r="AJ45" i="3"/>
  <c r="U31" i="5"/>
  <c r="U33" i="5"/>
  <c r="D22" i="5"/>
  <c r="V62" i="3"/>
  <c r="AQ47" i="3"/>
  <c r="AI51" i="3"/>
  <c r="AF57" i="3" s="1"/>
  <c r="BA47" i="3"/>
  <c r="AH57" i="3" s="1"/>
  <c r="AG51" i="3"/>
  <c r="AF58" i="3" s="1"/>
  <c r="AM8" i="3"/>
  <c r="AH16" i="3"/>
  <c r="AI16" i="3"/>
  <c r="AJ16" i="3"/>
  <c r="AI8" i="3"/>
  <c r="AK16" i="3"/>
  <c r="AJ8" i="3"/>
  <c r="AK8" i="3"/>
  <c r="AL8" i="3"/>
  <c r="AL16" i="3"/>
  <c r="AN8" i="3"/>
  <c r="AM16" i="3"/>
  <c r="AG8" i="3"/>
  <c r="AO8" i="3"/>
  <c r="AN16" i="3"/>
  <c r="AH8" i="3"/>
  <c r="AG16" i="3"/>
  <c r="H24" i="3"/>
  <c r="D25" i="5"/>
  <c r="X83" i="3"/>
  <c r="T83" i="3" s="1"/>
  <c r="Z8" i="6"/>
  <c r="Y10" i="6"/>
  <c r="AC6" i="6"/>
  <c r="DL2" i="17"/>
  <c r="AC36" i="2"/>
  <c r="AC35" i="2"/>
  <c r="AC32" i="2"/>
  <c r="AC30" i="2"/>
  <c r="AC26" i="2"/>
  <c r="AZ3" i="17"/>
  <c r="X3" i="17"/>
  <c r="B16" i="17"/>
  <c r="C16" i="17" s="1"/>
  <c r="D16" i="17" s="1"/>
  <c r="E16" i="17" s="1"/>
  <c r="F16" i="17" s="1"/>
  <c r="G16" i="17" s="1"/>
  <c r="H16" i="17" s="1"/>
  <c r="I16" i="17" s="1"/>
  <c r="J16" i="17" s="1"/>
  <c r="K16" i="17" s="1"/>
  <c r="L16" i="17" s="1"/>
  <c r="M16" i="17" s="1"/>
  <c r="N16" i="17" s="1"/>
  <c r="O16" i="17" s="1"/>
  <c r="P16" i="17" s="1"/>
  <c r="Q16" i="17" s="1"/>
  <c r="R16" i="17" s="1"/>
  <c r="S16" i="17" s="1"/>
  <c r="T16" i="17" s="1"/>
  <c r="U16" i="17" s="1"/>
  <c r="V16" i="17" s="1"/>
  <c r="W16" i="17" s="1"/>
  <c r="X16" i="17" s="1"/>
  <c r="Y16" i="17" s="1"/>
  <c r="Z16" i="17" s="1"/>
  <c r="AA16" i="17" s="1"/>
  <c r="AB16" i="17" s="1"/>
  <c r="AC16" i="17" s="1"/>
  <c r="AD16" i="17" s="1"/>
  <c r="AE16" i="17" s="1"/>
  <c r="AF16" i="17" s="1"/>
  <c r="AG16" i="17" s="1"/>
  <c r="AH16" i="17" s="1"/>
  <c r="AI16" i="17" s="1"/>
  <c r="AJ16" i="17" s="1"/>
  <c r="AK16" i="17" s="1"/>
  <c r="AL16" i="17" s="1"/>
  <c r="AM16" i="17" s="1"/>
  <c r="AN16" i="17" s="1"/>
  <c r="AO16" i="17" s="1"/>
  <c r="AP16" i="17" s="1"/>
  <c r="AQ16" i="17" s="1"/>
  <c r="AR16" i="17" s="1"/>
  <c r="AS16" i="17" s="1"/>
  <c r="AT16" i="17" s="1"/>
  <c r="AU16" i="17" s="1"/>
  <c r="AV16" i="17" s="1"/>
  <c r="AW16" i="17" s="1"/>
  <c r="AX16" i="17" s="1"/>
  <c r="AY16" i="17" s="1"/>
  <c r="AZ16" i="17" s="1"/>
  <c r="BA16" i="17" s="1"/>
  <c r="BB16" i="17" s="1"/>
  <c r="BC16" i="17" s="1"/>
  <c r="BD16" i="17" s="1"/>
  <c r="BE16" i="17" s="1"/>
  <c r="BF16" i="17" s="1"/>
  <c r="BG16" i="17" s="1"/>
  <c r="BH16" i="17" s="1"/>
  <c r="BI16" i="17" s="1"/>
  <c r="BJ16" i="17" s="1"/>
  <c r="BK16" i="17" s="1"/>
  <c r="BL16" i="17" s="1"/>
  <c r="BM16" i="17" s="1"/>
  <c r="BN16" i="17" s="1"/>
  <c r="BO16" i="17" s="1"/>
  <c r="BP16" i="17" s="1"/>
  <c r="BQ16" i="17" s="1"/>
  <c r="BR16" i="17" s="1"/>
  <c r="BS16" i="17" s="1"/>
  <c r="BT16" i="17" s="1"/>
  <c r="BU16" i="17" s="1"/>
  <c r="BV16" i="17" s="1"/>
  <c r="BW16" i="17" s="1"/>
  <c r="BX16" i="17" s="1"/>
  <c r="BY16" i="17" s="1"/>
  <c r="BZ16" i="17" s="1"/>
  <c r="CA16" i="17" s="1"/>
  <c r="CB16" i="17" s="1"/>
  <c r="CC16" i="17" s="1"/>
  <c r="CD16" i="17" s="1"/>
  <c r="CE16" i="17" s="1"/>
  <c r="CF16" i="17" s="1"/>
  <c r="CG16" i="17" s="1"/>
  <c r="CH16" i="17" s="1"/>
  <c r="CI16" i="17" s="1"/>
  <c r="CJ16" i="17" s="1"/>
  <c r="CK16" i="17" s="1"/>
  <c r="CL16" i="17" s="1"/>
  <c r="CM16" i="17" s="1"/>
  <c r="CN16" i="17" s="1"/>
  <c r="CO16" i="17" s="1"/>
  <c r="CP16" i="17" s="1"/>
  <c r="CQ16" i="17" s="1"/>
  <c r="CR16" i="17" s="1"/>
  <c r="CS16" i="17" s="1"/>
  <c r="CT16" i="17" s="1"/>
  <c r="CU16" i="17" s="1"/>
  <c r="CV16" i="17" s="1"/>
  <c r="CW16" i="17" s="1"/>
  <c r="CX16" i="17" s="1"/>
  <c r="CY16" i="17" s="1"/>
  <c r="CZ16" i="17" s="1"/>
  <c r="DA16" i="17" s="1"/>
  <c r="DB16" i="17" s="1"/>
  <c r="DC16" i="17" s="1"/>
  <c r="DD16" i="17" s="1"/>
  <c r="DE16" i="17" s="1"/>
  <c r="DF16" i="17" s="1"/>
  <c r="DG16" i="17" s="1"/>
  <c r="DH16" i="17" s="1"/>
  <c r="DI16" i="17" s="1"/>
  <c r="DJ16" i="17" s="1"/>
  <c r="DK16" i="17" s="1"/>
  <c r="DL16" i="17" s="1"/>
  <c r="DM16" i="17" s="1"/>
  <c r="DN16" i="17" s="1"/>
  <c r="DO16" i="17" s="1"/>
  <c r="DP16" i="17" s="1"/>
  <c r="B15" i="17"/>
  <c r="C15" i="17" s="1"/>
  <c r="D15" i="17" s="1"/>
  <c r="E15" i="17" s="1"/>
  <c r="F15" i="17" s="1"/>
  <c r="G15" i="17" s="1"/>
  <c r="H15" i="17" s="1"/>
  <c r="I15" i="17" s="1"/>
  <c r="J15" i="17" s="1"/>
  <c r="K15" i="17" s="1"/>
  <c r="L15" i="17" s="1"/>
  <c r="M15" i="17" s="1"/>
  <c r="N15" i="17" s="1"/>
  <c r="O15" i="17" s="1"/>
  <c r="P15" i="17" s="1"/>
  <c r="Q15" i="17" s="1"/>
  <c r="R15" i="17" s="1"/>
  <c r="S15" i="17" s="1"/>
  <c r="T15" i="17" s="1"/>
  <c r="U15" i="17" s="1"/>
  <c r="V15" i="17" s="1"/>
  <c r="W15" i="17" s="1"/>
  <c r="X15" i="17" s="1"/>
  <c r="Y15" i="17" s="1"/>
  <c r="Z15" i="17" s="1"/>
  <c r="AA15" i="17" s="1"/>
  <c r="AB15" i="17" s="1"/>
  <c r="AC15" i="17" s="1"/>
  <c r="AD15" i="17" s="1"/>
  <c r="AE15" i="17" s="1"/>
  <c r="AF15" i="17" s="1"/>
  <c r="AG15" i="17" s="1"/>
  <c r="AH15" i="17" s="1"/>
  <c r="AI15" i="17" s="1"/>
  <c r="AJ15" i="17" s="1"/>
  <c r="AK15" i="17" s="1"/>
  <c r="AL15" i="17" s="1"/>
  <c r="AM15" i="17" s="1"/>
  <c r="AN15" i="17" s="1"/>
  <c r="AO15" i="17" s="1"/>
  <c r="AP15" i="17" s="1"/>
  <c r="AQ15" i="17" s="1"/>
  <c r="AR15" i="17" s="1"/>
  <c r="AS15" i="17" s="1"/>
  <c r="AT15" i="17" s="1"/>
  <c r="AU15" i="17" s="1"/>
  <c r="AV15" i="17" s="1"/>
  <c r="AW15" i="17" s="1"/>
  <c r="AX15" i="17" s="1"/>
  <c r="AY15" i="17" s="1"/>
  <c r="AZ15" i="17" s="1"/>
  <c r="BA15" i="17" s="1"/>
  <c r="BB15" i="17" s="1"/>
  <c r="BC15" i="17" s="1"/>
  <c r="BD15" i="17" s="1"/>
  <c r="BE15" i="17" s="1"/>
  <c r="BF15" i="17" s="1"/>
  <c r="BG15" i="17" s="1"/>
  <c r="BH15" i="17" s="1"/>
  <c r="BI15" i="17" s="1"/>
  <c r="BJ15" i="17" s="1"/>
  <c r="BK15" i="17" s="1"/>
  <c r="BL15" i="17" s="1"/>
  <c r="BM15" i="17" s="1"/>
  <c r="BN15" i="17" s="1"/>
  <c r="BO15" i="17" s="1"/>
  <c r="BP15" i="17" s="1"/>
  <c r="BQ15" i="17" s="1"/>
  <c r="BR15" i="17" s="1"/>
  <c r="BS15" i="17" s="1"/>
  <c r="BT15" i="17" s="1"/>
  <c r="BU15" i="17" s="1"/>
  <c r="BV15" i="17" s="1"/>
  <c r="BW15" i="17" s="1"/>
  <c r="BX15" i="17" s="1"/>
  <c r="BY15" i="17" s="1"/>
  <c r="BZ15" i="17" s="1"/>
  <c r="CA15" i="17" s="1"/>
  <c r="CB15" i="17" s="1"/>
  <c r="CC15" i="17" s="1"/>
  <c r="CD15" i="17" s="1"/>
  <c r="CE15" i="17" s="1"/>
  <c r="CF15" i="17" s="1"/>
  <c r="CG15" i="17" s="1"/>
  <c r="CH15" i="17" s="1"/>
  <c r="CI15" i="17" s="1"/>
  <c r="CJ15" i="17" s="1"/>
  <c r="CK15" i="17" s="1"/>
  <c r="CL15" i="17" s="1"/>
  <c r="CM15" i="17" s="1"/>
  <c r="CN15" i="17" s="1"/>
  <c r="CO15" i="17" s="1"/>
  <c r="CP15" i="17" s="1"/>
  <c r="CQ15" i="17" s="1"/>
  <c r="CR15" i="17" s="1"/>
  <c r="CS15" i="17" s="1"/>
  <c r="CT15" i="17" s="1"/>
  <c r="CU15" i="17" s="1"/>
  <c r="CV15" i="17" s="1"/>
  <c r="CW15" i="17" s="1"/>
  <c r="CX15" i="17" s="1"/>
  <c r="CY15" i="17" s="1"/>
  <c r="CZ15" i="17" s="1"/>
  <c r="DA15" i="17" s="1"/>
  <c r="DB15" i="17" s="1"/>
  <c r="DC15" i="17" s="1"/>
  <c r="DD15" i="17" s="1"/>
  <c r="DE15" i="17" s="1"/>
  <c r="DF15" i="17" s="1"/>
  <c r="DG15" i="17" s="1"/>
  <c r="DH15" i="17" s="1"/>
  <c r="DI15" i="17" s="1"/>
  <c r="DJ15" i="17" s="1"/>
  <c r="DK15" i="17" s="1"/>
  <c r="DL15" i="17" s="1"/>
  <c r="DM15" i="17" s="1"/>
  <c r="DN15" i="17" s="1"/>
  <c r="DO15" i="17" s="1"/>
  <c r="DP15" i="17" s="1"/>
  <c r="B14" i="17"/>
  <c r="C14" i="17" s="1"/>
  <c r="D14" i="17" s="1"/>
  <c r="E14" i="17" s="1"/>
  <c r="F14" i="17" s="1"/>
  <c r="G14" i="17" s="1"/>
  <c r="H14" i="17" s="1"/>
  <c r="I14" i="17" s="1"/>
  <c r="J14" i="17" s="1"/>
  <c r="K14" i="17" s="1"/>
  <c r="L14" i="17" s="1"/>
  <c r="M14" i="17" s="1"/>
  <c r="N14" i="17" s="1"/>
  <c r="O14" i="17" s="1"/>
  <c r="P14" i="17" s="1"/>
  <c r="Q14" i="17" s="1"/>
  <c r="R14" i="17" s="1"/>
  <c r="S14" i="17" s="1"/>
  <c r="T14" i="17" s="1"/>
  <c r="U14" i="17" s="1"/>
  <c r="V14" i="17" s="1"/>
  <c r="W14" i="17" s="1"/>
  <c r="X14" i="17" s="1"/>
  <c r="Y14" i="17" s="1"/>
  <c r="Z14" i="17" s="1"/>
  <c r="AA14" i="17" s="1"/>
  <c r="AB14" i="17" s="1"/>
  <c r="AC14" i="17" s="1"/>
  <c r="AD14" i="17" s="1"/>
  <c r="AE14" i="17" s="1"/>
  <c r="AF14" i="17" s="1"/>
  <c r="AG14" i="17" s="1"/>
  <c r="AH14" i="17" s="1"/>
  <c r="AI14" i="17" s="1"/>
  <c r="AJ14" i="17" s="1"/>
  <c r="AK14" i="17" s="1"/>
  <c r="AL14" i="17" s="1"/>
  <c r="AM14" i="17" s="1"/>
  <c r="AN14" i="17" s="1"/>
  <c r="AO14" i="17" s="1"/>
  <c r="AP14" i="17" s="1"/>
  <c r="AQ14" i="17" s="1"/>
  <c r="AR14" i="17" s="1"/>
  <c r="AS14" i="17" s="1"/>
  <c r="AT14" i="17" s="1"/>
  <c r="AU14" i="17" s="1"/>
  <c r="AV14" i="17" s="1"/>
  <c r="AW14" i="17" s="1"/>
  <c r="AX14" i="17" s="1"/>
  <c r="AY14" i="17" s="1"/>
  <c r="AZ14" i="17" s="1"/>
  <c r="BA14" i="17" s="1"/>
  <c r="BB14" i="17" s="1"/>
  <c r="BC14" i="17" s="1"/>
  <c r="BD14" i="17" s="1"/>
  <c r="BE14" i="17" s="1"/>
  <c r="BF14" i="17" s="1"/>
  <c r="BG14" i="17" s="1"/>
  <c r="BH14" i="17" s="1"/>
  <c r="BI14" i="17" s="1"/>
  <c r="BJ14" i="17" s="1"/>
  <c r="BK14" i="17" s="1"/>
  <c r="BL14" i="17" s="1"/>
  <c r="BM14" i="17" s="1"/>
  <c r="BN14" i="17" s="1"/>
  <c r="BO14" i="17" s="1"/>
  <c r="BP14" i="17" s="1"/>
  <c r="BQ14" i="17" s="1"/>
  <c r="BR14" i="17" s="1"/>
  <c r="BS14" i="17" s="1"/>
  <c r="BT14" i="17" s="1"/>
  <c r="BU14" i="17" s="1"/>
  <c r="BV14" i="17" s="1"/>
  <c r="BW14" i="17" s="1"/>
  <c r="BX14" i="17" s="1"/>
  <c r="BY14" i="17" s="1"/>
  <c r="BZ14" i="17" s="1"/>
  <c r="CA14" i="17" s="1"/>
  <c r="CB14" i="17" s="1"/>
  <c r="CC14" i="17" s="1"/>
  <c r="CD14" i="17" s="1"/>
  <c r="CE14" i="17" s="1"/>
  <c r="CF14" i="17" s="1"/>
  <c r="CG14" i="17" s="1"/>
  <c r="CH14" i="17" s="1"/>
  <c r="CI14" i="17" s="1"/>
  <c r="CJ14" i="17" s="1"/>
  <c r="CK14" i="17" s="1"/>
  <c r="CL14" i="17" s="1"/>
  <c r="CM14" i="17" s="1"/>
  <c r="CN14" i="17" s="1"/>
  <c r="CO14" i="17" s="1"/>
  <c r="CP14" i="17" s="1"/>
  <c r="CQ14" i="17" s="1"/>
  <c r="CR14" i="17" s="1"/>
  <c r="CS14" i="17" s="1"/>
  <c r="CT14" i="17" s="1"/>
  <c r="CU14" i="17" s="1"/>
  <c r="CV14" i="17" s="1"/>
  <c r="CW14" i="17" s="1"/>
  <c r="CX14" i="17" s="1"/>
  <c r="CY14" i="17" s="1"/>
  <c r="CZ14" i="17" s="1"/>
  <c r="DA14" i="17" s="1"/>
  <c r="DB14" i="17" s="1"/>
  <c r="DC14" i="17" s="1"/>
  <c r="DD14" i="17" s="1"/>
  <c r="DE14" i="17" s="1"/>
  <c r="DF14" i="17" s="1"/>
  <c r="DG14" i="17" s="1"/>
  <c r="DH14" i="17" s="1"/>
  <c r="DI14" i="17" s="1"/>
  <c r="DJ14" i="17" s="1"/>
  <c r="DK14" i="17" s="1"/>
  <c r="DL14" i="17" s="1"/>
  <c r="DM14" i="17" s="1"/>
  <c r="DN14" i="17" s="1"/>
  <c r="DO14" i="17" s="1"/>
  <c r="DP14" i="17" s="1"/>
  <c r="B13" i="17"/>
  <c r="C13" i="17" s="1"/>
  <c r="D13" i="17" s="1"/>
  <c r="E13" i="17" s="1"/>
  <c r="F13" i="17" s="1"/>
  <c r="G13" i="17" s="1"/>
  <c r="H13" i="17" s="1"/>
  <c r="I13" i="17" s="1"/>
  <c r="J13" i="17" s="1"/>
  <c r="K13" i="17" s="1"/>
  <c r="L13" i="17" s="1"/>
  <c r="M13" i="17" s="1"/>
  <c r="N13" i="17" s="1"/>
  <c r="O13" i="17" s="1"/>
  <c r="P13" i="17" s="1"/>
  <c r="Q13" i="17" s="1"/>
  <c r="R13" i="17" s="1"/>
  <c r="S13" i="17" s="1"/>
  <c r="T13" i="17" s="1"/>
  <c r="U13" i="17" s="1"/>
  <c r="V13" i="17" s="1"/>
  <c r="W13" i="17" s="1"/>
  <c r="X13" i="17" s="1"/>
  <c r="Y13" i="17" s="1"/>
  <c r="Z13" i="17" s="1"/>
  <c r="AA13" i="17" s="1"/>
  <c r="AB13" i="17" s="1"/>
  <c r="AC13" i="17" s="1"/>
  <c r="AD13" i="17" s="1"/>
  <c r="AE13" i="17" s="1"/>
  <c r="AF13" i="17" s="1"/>
  <c r="AG13" i="17" s="1"/>
  <c r="AH13" i="17" s="1"/>
  <c r="AI13" i="17" s="1"/>
  <c r="AJ13" i="17" s="1"/>
  <c r="AK13" i="17" s="1"/>
  <c r="AL13" i="17" s="1"/>
  <c r="AM13" i="17" s="1"/>
  <c r="AN13" i="17" s="1"/>
  <c r="AO13" i="17" s="1"/>
  <c r="AP13" i="17" s="1"/>
  <c r="AQ13" i="17" s="1"/>
  <c r="AR13" i="17" s="1"/>
  <c r="AS13" i="17" s="1"/>
  <c r="AT13" i="17" s="1"/>
  <c r="AU13" i="17" s="1"/>
  <c r="AV13" i="17" s="1"/>
  <c r="AW13" i="17" s="1"/>
  <c r="AX13" i="17" s="1"/>
  <c r="AY13" i="17" s="1"/>
  <c r="AZ13" i="17" s="1"/>
  <c r="BA13" i="17" s="1"/>
  <c r="BB13" i="17" s="1"/>
  <c r="BC13" i="17" s="1"/>
  <c r="BD13" i="17" s="1"/>
  <c r="BE13" i="17" s="1"/>
  <c r="BF13" i="17" s="1"/>
  <c r="BG13" i="17" s="1"/>
  <c r="BH13" i="17" s="1"/>
  <c r="BI13" i="17" s="1"/>
  <c r="BJ13" i="17" s="1"/>
  <c r="BK13" i="17" s="1"/>
  <c r="BL13" i="17" s="1"/>
  <c r="BM13" i="17" s="1"/>
  <c r="BN13" i="17" s="1"/>
  <c r="BO13" i="17" s="1"/>
  <c r="BP13" i="17" s="1"/>
  <c r="BQ13" i="17" s="1"/>
  <c r="BR13" i="17" s="1"/>
  <c r="BS13" i="17" s="1"/>
  <c r="BT13" i="17" s="1"/>
  <c r="BU13" i="17" s="1"/>
  <c r="BV13" i="17" s="1"/>
  <c r="BW13" i="17" s="1"/>
  <c r="BX13" i="17" s="1"/>
  <c r="BY13" i="17" s="1"/>
  <c r="BZ13" i="17" s="1"/>
  <c r="CA13" i="17" s="1"/>
  <c r="CB13" i="17" s="1"/>
  <c r="CC13" i="17" s="1"/>
  <c r="CD13" i="17" s="1"/>
  <c r="CE13" i="17" s="1"/>
  <c r="CF13" i="17" s="1"/>
  <c r="CG13" i="17" s="1"/>
  <c r="CH13" i="17" s="1"/>
  <c r="CI13" i="17" s="1"/>
  <c r="CJ13" i="17" s="1"/>
  <c r="CK13" i="17" s="1"/>
  <c r="CL13" i="17" s="1"/>
  <c r="CM13" i="17" s="1"/>
  <c r="CN13" i="17" s="1"/>
  <c r="CO13" i="17" s="1"/>
  <c r="CP13" i="17" s="1"/>
  <c r="CQ13" i="17" s="1"/>
  <c r="CR13" i="17" s="1"/>
  <c r="CS13" i="17" s="1"/>
  <c r="CT13" i="17" s="1"/>
  <c r="CU13" i="17" s="1"/>
  <c r="CV13" i="17" s="1"/>
  <c r="CW13" i="17" s="1"/>
  <c r="CX13" i="17" s="1"/>
  <c r="CY13" i="17" s="1"/>
  <c r="CZ13" i="17" s="1"/>
  <c r="DA13" i="17" s="1"/>
  <c r="DB13" i="17" s="1"/>
  <c r="DC13" i="17" s="1"/>
  <c r="DD13" i="17" s="1"/>
  <c r="DE13" i="17" s="1"/>
  <c r="DF13" i="17" s="1"/>
  <c r="DG13" i="17" s="1"/>
  <c r="DH13" i="17" s="1"/>
  <c r="DI13" i="17" s="1"/>
  <c r="DJ13" i="17" s="1"/>
  <c r="DK13" i="17" s="1"/>
  <c r="DL13" i="17" s="1"/>
  <c r="DM13" i="17" s="1"/>
  <c r="DN13" i="17" s="1"/>
  <c r="DO13" i="17" s="1"/>
  <c r="DP13" i="17" s="1"/>
  <c r="B12" i="17"/>
  <c r="C12" i="17" s="1"/>
  <c r="D12" i="17" s="1"/>
  <c r="E12" i="17" s="1"/>
  <c r="F12" i="17" s="1"/>
  <c r="G12" i="17" s="1"/>
  <c r="H12" i="17" s="1"/>
  <c r="I12" i="17" s="1"/>
  <c r="J12" i="17" s="1"/>
  <c r="K12" i="17" s="1"/>
  <c r="L12" i="17" s="1"/>
  <c r="M12" i="17" s="1"/>
  <c r="N12" i="17" s="1"/>
  <c r="O12" i="17" s="1"/>
  <c r="P12" i="17" s="1"/>
  <c r="Q12" i="17" s="1"/>
  <c r="R12" i="17" s="1"/>
  <c r="S12" i="17" s="1"/>
  <c r="T12" i="17" s="1"/>
  <c r="U12" i="17" s="1"/>
  <c r="V12" i="17" s="1"/>
  <c r="W12" i="17" s="1"/>
  <c r="X12" i="17" s="1"/>
  <c r="Y12" i="17" s="1"/>
  <c r="Z12" i="17" s="1"/>
  <c r="AA12" i="17" s="1"/>
  <c r="AB12" i="17" s="1"/>
  <c r="AC12" i="17" s="1"/>
  <c r="AD12" i="17" s="1"/>
  <c r="AE12" i="17" s="1"/>
  <c r="AF12" i="17" s="1"/>
  <c r="AG12" i="17" s="1"/>
  <c r="AH12" i="17" s="1"/>
  <c r="AI12" i="17" s="1"/>
  <c r="AJ12" i="17" s="1"/>
  <c r="AK12" i="17" s="1"/>
  <c r="AL12" i="17" s="1"/>
  <c r="AM12" i="17" s="1"/>
  <c r="AN12" i="17" s="1"/>
  <c r="AO12" i="17" s="1"/>
  <c r="AP12" i="17" s="1"/>
  <c r="AQ12" i="17" s="1"/>
  <c r="AR12" i="17" s="1"/>
  <c r="AS12" i="17" s="1"/>
  <c r="AT12" i="17" s="1"/>
  <c r="AU12" i="17" s="1"/>
  <c r="AV12" i="17" s="1"/>
  <c r="AW12" i="17" s="1"/>
  <c r="AX12" i="17" s="1"/>
  <c r="AY12" i="17" s="1"/>
  <c r="AZ12" i="17" s="1"/>
  <c r="BA12" i="17" s="1"/>
  <c r="BB12" i="17" s="1"/>
  <c r="BC12" i="17" s="1"/>
  <c r="BD12" i="17" s="1"/>
  <c r="BE12" i="17" s="1"/>
  <c r="BF12" i="17" s="1"/>
  <c r="BG12" i="17" s="1"/>
  <c r="BH12" i="17" s="1"/>
  <c r="BI12" i="17" s="1"/>
  <c r="BJ12" i="17" s="1"/>
  <c r="BK12" i="17" s="1"/>
  <c r="BL12" i="17" s="1"/>
  <c r="BM12" i="17" s="1"/>
  <c r="BN12" i="17" s="1"/>
  <c r="BO12" i="17" s="1"/>
  <c r="BP12" i="17" s="1"/>
  <c r="BQ12" i="17" s="1"/>
  <c r="BR12" i="17" s="1"/>
  <c r="BS12" i="17" s="1"/>
  <c r="BT12" i="17" s="1"/>
  <c r="BU12" i="17" s="1"/>
  <c r="BV12" i="17" s="1"/>
  <c r="BW12" i="17" s="1"/>
  <c r="BX12" i="17" s="1"/>
  <c r="BY12" i="17" s="1"/>
  <c r="BZ12" i="17" s="1"/>
  <c r="CA12" i="17" s="1"/>
  <c r="CB12" i="17" s="1"/>
  <c r="CC12" i="17" s="1"/>
  <c r="CD12" i="17" s="1"/>
  <c r="CE12" i="17" s="1"/>
  <c r="CF12" i="17" s="1"/>
  <c r="CG12" i="17" s="1"/>
  <c r="CH12" i="17" s="1"/>
  <c r="CI12" i="17" s="1"/>
  <c r="CJ12" i="17" s="1"/>
  <c r="CK12" i="17" s="1"/>
  <c r="CL12" i="17" s="1"/>
  <c r="CM12" i="17" s="1"/>
  <c r="CN12" i="17" s="1"/>
  <c r="CO12" i="17" s="1"/>
  <c r="CP12" i="17" s="1"/>
  <c r="CQ12" i="17" s="1"/>
  <c r="CR12" i="17" s="1"/>
  <c r="CS12" i="17" s="1"/>
  <c r="CT12" i="17" s="1"/>
  <c r="CU12" i="17" s="1"/>
  <c r="CV12" i="17" s="1"/>
  <c r="CW12" i="17" s="1"/>
  <c r="CX12" i="17" s="1"/>
  <c r="CY12" i="17" s="1"/>
  <c r="CZ12" i="17" s="1"/>
  <c r="DA12" i="17" s="1"/>
  <c r="DB12" i="17" s="1"/>
  <c r="DC12" i="17" s="1"/>
  <c r="DD12" i="17" s="1"/>
  <c r="DE12" i="17" s="1"/>
  <c r="DF12" i="17" s="1"/>
  <c r="DG12" i="17" s="1"/>
  <c r="DH12" i="17" s="1"/>
  <c r="DI12" i="17" s="1"/>
  <c r="DJ12" i="17" s="1"/>
  <c r="DK12" i="17" s="1"/>
  <c r="DL12" i="17" s="1"/>
  <c r="DM12" i="17" s="1"/>
  <c r="DN12" i="17" s="1"/>
  <c r="DO12" i="17" s="1"/>
  <c r="DP12" i="17" s="1"/>
  <c r="B11" i="17"/>
  <c r="C11" i="17" s="1"/>
  <c r="D11" i="17" s="1"/>
  <c r="E11" i="17" s="1"/>
  <c r="F11" i="17" s="1"/>
  <c r="G11" i="17" s="1"/>
  <c r="H11" i="17" s="1"/>
  <c r="I11" i="17" s="1"/>
  <c r="J11" i="17" s="1"/>
  <c r="K11" i="17" s="1"/>
  <c r="L11" i="17" s="1"/>
  <c r="M11" i="17" s="1"/>
  <c r="N11" i="17" s="1"/>
  <c r="O11" i="17" s="1"/>
  <c r="P11" i="17" s="1"/>
  <c r="Q11" i="17" s="1"/>
  <c r="R11" i="17" s="1"/>
  <c r="S11" i="17" s="1"/>
  <c r="T11" i="17" s="1"/>
  <c r="U11" i="17" s="1"/>
  <c r="V11" i="17" s="1"/>
  <c r="W11" i="17" s="1"/>
  <c r="X11" i="17" s="1"/>
  <c r="Y11" i="17" s="1"/>
  <c r="Z11" i="17" s="1"/>
  <c r="AA11" i="17" s="1"/>
  <c r="AB11" i="17" s="1"/>
  <c r="AC11" i="17" s="1"/>
  <c r="AD11" i="17" s="1"/>
  <c r="AE11" i="17" s="1"/>
  <c r="AF11" i="17" s="1"/>
  <c r="AG11" i="17" s="1"/>
  <c r="AH11" i="17" s="1"/>
  <c r="AI11" i="17" s="1"/>
  <c r="AJ11" i="17" s="1"/>
  <c r="AK11" i="17" s="1"/>
  <c r="AL11" i="17" s="1"/>
  <c r="AM11" i="17" s="1"/>
  <c r="AN11" i="17" s="1"/>
  <c r="AO11" i="17" s="1"/>
  <c r="AP11" i="17" s="1"/>
  <c r="AQ11" i="17" s="1"/>
  <c r="AR11" i="17" s="1"/>
  <c r="AS11" i="17" s="1"/>
  <c r="AT11" i="17" s="1"/>
  <c r="AU11" i="17" s="1"/>
  <c r="AV11" i="17" s="1"/>
  <c r="AW11" i="17" s="1"/>
  <c r="AX11" i="17" s="1"/>
  <c r="AY11" i="17" s="1"/>
  <c r="AZ11" i="17" s="1"/>
  <c r="BA11" i="17" s="1"/>
  <c r="BB11" i="17" s="1"/>
  <c r="BC11" i="17" s="1"/>
  <c r="BD11" i="17" s="1"/>
  <c r="BE11" i="17" s="1"/>
  <c r="BF11" i="17" s="1"/>
  <c r="BG11" i="17" s="1"/>
  <c r="BH11" i="17" s="1"/>
  <c r="BI11" i="17" s="1"/>
  <c r="BJ11" i="17" s="1"/>
  <c r="BK11" i="17" s="1"/>
  <c r="BL11" i="17" s="1"/>
  <c r="BM11" i="17" s="1"/>
  <c r="BN11" i="17" s="1"/>
  <c r="BO11" i="17" s="1"/>
  <c r="BP11" i="17" s="1"/>
  <c r="BQ11" i="17" s="1"/>
  <c r="BR11" i="17" s="1"/>
  <c r="BS11" i="17" s="1"/>
  <c r="BT11" i="17" s="1"/>
  <c r="BU11" i="17" s="1"/>
  <c r="BV11" i="17" s="1"/>
  <c r="BW11" i="17" s="1"/>
  <c r="BX11" i="17" s="1"/>
  <c r="BY11" i="17" s="1"/>
  <c r="BZ11" i="17" s="1"/>
  <c r="CA11" i="17" s="1"/>
  <c r="CB11" i="17" s="1"/>
  <c r="CC11" i="17" s="1"/>
  <c r="CD11" i="17" s="1"/>
  <c r="CE11" i="17" s="1"/>
  <c r="CF11" i="17" s="1"/>
  <c r="CG11" i="17" s="1"/>
  <c r="CH11" i="17" s="1"/>
  <c r="CI11" i="17" s="1"/>
  <c r="CJ11" i="17" s="1"/>
  <c r="CK11" i="17" s="1"/>
  <c r="CL11" i="17" s="1"/>
  <c r="CM11" i="17" s="1"/>
  <c r="CN11" i="17" s="1"/>
  <c r="CO11" i="17" s="1"/>
  <c r="CP11" i="17" s="1"/>
  <c r="CQ11" i="17" s="1"/>
  <c r="CR11" i="17" s="1"/>
  <c r="CS11" i="17" s="1"/>
  <c r="CT11" i="17" s="1"/>
  <c r="CU11" i="17" s="1"/>
  <c r="CV11" i="17" s="1"/>
  <c r="CW11" i="17" s="1"/>
  <c r="CX11" i="17" s="1"/>
  <c r="CY11" i="17" s="1"/>
  <c r="CZ11" i="17" s="1"/>
  <c r="DA11" i="17" s="1"/>
  <c r="DB11" i="17" s="1"/>
  <c r="DC11" i="17" s="1"/>
  <c r="DD11" i="17" s="1"/>
  <c r="DE11" i="17" s="1"/>
  <c r="DF11" i="17" s="1"/>
  <c r="DG11" i="17" s="1"/>
  <c r="DH11" i="17" s="1"/>
  <c r="DI11" i="17" s="1"/>
  <c r="DJ11" i="17" s="1"/>
  <c r="DK11" i="17" s="1"/>
  <c r="DL11" i="17" s="1"/>
  <c r="DM11" i="17" s="1"/>
  <c r="DN11" i="17" s="1"/>
  <c r="DO11" i="17" s="1"/>
  <c r="DP11" i="17" s="1"/>
  <c r="B10" i="17"/>
  <c r="C10" i="17" s="1"/>
  <c r="D10" i="17" s="1"/>
  <c r="E10" i="17" s="1"/>
  <c r="F10" i="17" s="1"/>
  <c r="G10" i="17" s="1"/>
  <c r="H10" i="17" s="1"/>
  <c r="I10" i="17" s="1"/>
  <c r="J10" i="17" s="1"/>
  <c r="K10" i="17" s="1"/>
  <c r="L10" i="17" s="1"/>
  <c r="M10" i="17" s="1"/>
  <c r="N10" i="17" s="1"/>
  <c r="O10" i="17" s="1"/>
  <c r="P10" i="17" s="1"/>
  <c r="Q10" i="17" s="1"/>
  <c r="R10" i="17" s="1"/>
  <c r="S10" i="17" s="1"/>
  <c r="T10" i="17" s="1"/>
  <c r="U10" i="17" s="1"/>
  <c r="V10" i="17" s="1"/>
  <c r="W10" i="17" s="1"/>
  <c r="X10" i="17" s="1"/>
  <c r="Y10" i="17" s="1"/>
  <c r="Z10" i="17" s="1"/>
  <c r="AA10" i="17" s="1"/>
  <c r="AB10" i="17" s="1"/>
  <c r="AC10" i="17" s="1"/>
  <c r="AD10" i="17" s="1"/>
  <c r="AE10" i="17" s="1"/>
  <c r="AF10" i="17" s="1"/>
  <c r="AG10" i="17" s="1"/>
  <c r="AH10" i="17" s="1"/>
  <c r="AI10" i="17" s="1"/>
  <c r="AJ10" i="17" s="1"/>
  <c r="AK10" i="17" s="1"/>
  <c r="AL10" i="17" s="1"/>
  <c r="AM10" i="17" s="1"/>
  <c r="AN10" i="17" s="1"/>
  <c r="AO10" i="17" s="1"/>
  <c r="AP10" i="17" s="1"/>
  <c r="AQ10" i="17" s="1"/>
  <c r="AR10" i="17" s="1"/>
  <c r="AS10" i="17" s="1"/>
  <c r="AT10" i="17" s="1"/>
  <c r="AU10" i="17" s="1"/>
  <c r="AV10" i="17" s="1"/>
  <c r="AW10" i="17" s="1"/>
  <c r="AX10" i="17" s="1"/>
  <c r="AY10" i="17" s="1"/>
  <c r="AZ10" i="17" s="1"/>
  <c r="BA10" i="17" s="1"/>
  <c r="BB10" i="17" s="1"/>
  <c r="BC10" i="17" s="1"/>
  <c r="BD10" i="17" s="1"/>
  <c r="BE10" i="17" s="1"/>
  <c r="BF10" i="17" s="1"/>
  <c r="BG10" i="17" s="1"/>
  <c r="BH10" i="17" s="1"/>
  <c r="BI10" i="17" s="1"/>
  <c r="BJ10" i="17" s="1"/>
  <c r="BK10" i="17" s="1"/>
  <c r="BL10" i="17" s="1"/>
  <c r="BM10" i="17" s="1"/>
  <c r="BN10" i="17" s="1"/>
  <c r="BO10" i="17" s="1"/>
  <c r="BP10" i="17" s="1"/>
  <c r="BQ10" i="17" s="1"/>
  <c r="BR10" i="17" s="1"/>
  <c r="BS10" i="17" s="1"/>
  <c r="BT10" i="17" s="1"/>
  <c r="BU10" i="17" s="1"/>
  <c r="BV10" i="17" s="1"/>
  <c r="BW10" i="17" s="1"/>
  <c r="BX10" i="17" s="1"/>
  <c r="BY10" i="17" s="1"/>
  <c r="BZ10" i="17" s="1"/>
  <c r="CA10" i="17" s="1"/>
  <c r="CB10" i="17" s="1"/>
  <c r="CC10" i="17" s="1"/>
  <c r="CD10" i="17" s="1"/>
  <c r="CE10" i="17" s="1"/>
  <c r="CF10" i="17" s="1"/>
  <c r="CG10" i="17" s="1"/>
  <c r="CH10" i="17" s="1"/>
  <c r="CI10" i="17" s="1"/>
  <c r="CJ10" i="17" s="1"/>
  <c r="CK10" i="17" s="1"/>
  <c r="CL10" i="17" s="1"/>
  <c r="CM10" i="17" s="1"/>
  <c r="CN10" i="17" s="1"/>
  <c r="CO10" i="17" s="1"/>
  <c r="CP10" i="17" s="1"/>
  <c r="CQ10" i="17" s="1"/>
  <c r="CR10" i="17" s="1"/>
  <c r="CS10" i="17" s="1"/>
  <c r="CT10" i="17" s="1"/>
  <c r="CU10" i="17" s="1"/>
  <c r="CV10" i="17" s="1"/>
  <c r="CW10" i="17" s="1"/>
  <c r="CX10" i="17" s="1"/>
  <c r="CY10" i="17" s="1"/>
  <c r="CZ10" i="17" s="1"/>
  <c r="DA10" i="17" s="1"/>
  <c r="DB10" i="17" s="1"/>
  <c r="DC10" i="17" s="1"/>
  <c r="DD10" i="17" s="1"/>
  <c r="DE10" i="17" s="1"/>
  <c r="DF10" i="17" s="1"/>
  <c r="DG10" i="17" s="1"/>
  <c r="DH10" i="17" s="1"/>
  <c r="DI10" i="17" s="1"/>
  <c r="DJ10" i="17" s="1"/>
  <c r="DK10" i="17" s="1"/>
  <c r="DL10" i="17" s="1"/>
  <c r="DM10" i="17" s="1"/>
  <c r="DN10" i="17" s="1"/>
  <c r="DO10" i="17" s="1"/>
  <c r="DP10" i="17" s="1"/>
  <c r="B9" i="17"/>
  <c r="C9" i="17" s="1"/>
  <c r="D9" i="17" s="1"/>
  <c r="E9" i="17" s="1"/>
  <c r="F9" i="17" s="1"/>
  <c r="G9" i="17" s="1"/>
  <c r="H9" i="17" s="1"/>
  <c r="I9" i="17" s="1"/>
  <c r="J9" i="17" s="1"/>
  <c r="K9" i="17" s="1"/>
  <c r="L9" i="17" s="1"/>
  <c r="M9" i="17" s="1"/>
  <c r="N9" i="17" s="1"/>
  <c r="O9" i="17" s="1"/>
  <c r="P9" i="17" s="1"/>
  <c r="Q9" i="17" s="1"/>
  <c r="R9" i="17" s="1"/>
  <c r="S9" i="17" s="1"/>
  <c r="T9" i="17" s="1"/>
  <c r="U9" i="17" s="1"/>
  <c r="V9" i="17" s="1"/>
  <c r="W9" i="17" s="1"/>
  <c r="X9" i="17" s="1"/>
  <c r="Y9" i="17" s="1"/>
  <c r="Z9" i="17" s="1"/>
  <c r="AA9" i="17" s="1"/>
  <c r="AB9" i="17" s="1"/>
  <c r="AC9" i="17" s="1"/>
  <c r="AD9" i="17" s="1"/>
  <c r="AE9" i="17" s="1"/>
  <c r="AF9" i="17" s="1"/>
  <c r="AG9" i="17" s="1"/>
  <c r="AH9" i="17" s="1"/>
  <c r="AI9" i="17" s="1"/>
  <c r="AJ9" i="17" s="1"/>
  <c r="AK9" i="17" s="1"/>
  <c r="AL9" i="17" s="1"/>
  <c r="AM9" i="17" s="1"/>
  <c r="AN9" i="17" s="1"/>
  <c r="AO9" i="17" s="1"/>
  <c r="AP9" i="17" s="1"/>
  <c r="AQ9" i="17" s="1"/>
  <c r="AR9" i="17" s="1"/>
  <c r="AS9" i="17" s="1"/>
  <c r="AT9" i="17" s="1"/>
  <c r="AU9" i="17" s="1"/>
  <c r="AV9" i="17" s="1"/>
  <c r="AW9" i="17" s="1"/>
  <c r="AX9" i="17" s="1"/>
  <c r="AY9" i="17" s="1"/>
  <c r="AZ9" i="17" s="1"/>
  <c r="BA9" i="17" s="1"/>
  <c r="BB9" i="17" s="1"/>
  <c r="BC9" i="17" s="1"/>
  <c r="BD9" i="17" s="1"/>
  <c r="BE9" i="17" s="1"/>
  <c r="BF9" i="17" s="1"/>
  <c r="BG9" i="17" s="1"/>
  <c r="BH9" i="17" s="1"/>
  <c r="BI9" i="17" s="1"/>
  <c r="BJ9" i="17" s="1"/>
  <c r="BK9" i="17" s="1"/>
  <c r="BL9" i="17" s="1"/>
  <c r="BM9" i="17" s="1"/>
  <c r="BN9" i="17" s="1"/>
  <c r="BO9" i="17" s="1"/>
  <c r="BP9" i="17" s="1"/>
  <c r="BQ9" i="17" s="1"/>
  <c r="BR9" i="17" s="1"/>
  <c r="BS9" i="17" s="1"/>
  <c r="BT9" i="17" s="1"/>
  <c r="BU9" i="17" s="1"/>
  <c r="BV9" i="17" s="1"/>
  <c r="BW9" i="17" s="1"/>
  <c r="BX9" i="17" s="1"/>
  <c r="BY9" i="17" s="1"/>
  <c r="BZ9" i="17" s="1"/>
  <c r="CA9" i="17" s="1"/>
  <c r="CB9" i="17" s="1"/>
  <c r="CC9" i="17" s="1"/>
  <c r="CD9" i="17" s="1"/>
  <c r="CE9" i="17" s="1"/>
  <c r="CF9" i="17" s="1"/>
  <c r="CG9" i="17" s="1"/>
  <c r="CH9" i="17" s="1"/>
  <c r="CI9" i="17" s="1"/>
  <c r="CJ9" i="17" s="1"/>
  <c r="CK9" i="17" s="1"/>
  <c r="CL9" i="17" s="1"/>
  <c r="CM9" i="17" s="1"/>
  <c r="CN9" i="17" s="1"/>
  <c r="CO9" i="17" s="1"/>
  <c r="CP9" i="17" s="1"/>
  <c r="CQ9" i="17" s="1"/>
  <c r="CR9" i="17" s="1"/>
  <c r="CS9" i="17" s="1"/>
  <c r="CT9" i="17" s="1"/>
  <c r="CU9" i="17" s="1"/>
  <c r="CV9" i="17" s="1"/>
  <c r="CW9" i="17" s="1"/>
  <c r="CX9" i="17" s="1"/>
  <c r="CY9" i="17" s="1"/>
  <c r="CZ9" i="17" s="1"/>
  <c r="DA9" i="17" s="1"/>
  <c r="DB9" i="17" s="1"/>
  <c r="DC9" i="17" s="1"/>
  <c r="DD9" i="17" s="1"/>
  <c r="DE9" i="17" s="1"/>
  <c r="DF9" i="17" s="1"/>
  <c r="DG9" i="17" s="1"/>
  <c r="DH9" i="17" s="1"/>
  <c r="DI9" i="17" s="1"/>
  <c r="DJ9" i="17" s="1"/>
  <c r="DK9" i="17" s="1"/>
  <c r="DL9" i="17" s="1"/>
  <c r="DM9" i="17" s="1"/>
  <c r="DN9" i="17" s="1"/>
  <c r="DO9" i="17" s="1"/>
  <c r="DP9" i="17" s="1"/>
  <c r="B8" i="17"/>
  <c r="C8" i="17" s="1"/>
  <c r="D8" i="17" s="1"/>
  <c r="E8" i="17" s="1"/>
  <c r="F8" i="17" s="1"/>
  <c r="G8" i="17" s="1"/>
  <c r="H8" i="17" s="1"/>
  <c r="I8" i="17" s="1"/>
  <c r="J8" i="17" s="1"/>
  <c r="K8" i="17" s="1"/>
  <c r="L8" i="17" s="1"/>
  <c r="M8" i="17" s="1"/>
  <c r="N8" i="17" s="1"/>
  <c r="O8" i="17" s="1"/>
  <c r="P8" i="17" s="1"/>
  <c r="Q8" i="17" s="1"/>
  <c r="R8" i="17" s="1"/>
  <c r="S8" i="17" s="1"/>
  <c r="T8" i="17" s="1"/>
  <c r="U8" i="17" s="1"/>
  <c r="V8" i="17" s="1"/>
  <c r="W8" i="17" s="1"/>
  <c r="X8" i="17" s="1"/>
  <c r="Y8" i="17" s="1"/>
  <c r="Z8" i="17" s="1"/>
  <c r="AA8" i="17" s="1"/>
  <c r="AB8" i="17" s="1"/>
  <c r="AC8" i="17" s="1"/>
  <c r="AD8" i="17" s="1"/>
  <c r="AE8" i="17" s="1"/>
  <c r="AF8" i="17" s="1"/>
  <c r="AG8" i="17" s="1"/>
  <c r="AH8" i="17" s="1"/>
  <c r="AI8" i="17" s="1"/>
  <c r="AJ8" i="17" s="1"/>
  <c r="AK8" i="17" s="1"/>
  <c r="AL8" i="17" s="1"/>
  <c r="AM8" i="17" s="1"/>
  <c r="AN8" i="17" s="1"/>
  <c r="AO8" i="17" s="1"/>
  <c r="AP8" i="17" s="1"/>
  <c r="AQ8" i="17" s="1"/>
  <c r="AR8" i="17" s="1"/>
  <c r="AS8" i="17" s="1"/>
  <c r="AT8" i="17" s="1"/>
  <c r="AU8" i="17" s="1"/>
  <c r="AV8" i="17" s="1"/>
  <c r="AW8" i="17" s="1"/>
  <c r="AX8" i="17" s="1"/>
  <c r="AY8" i="17" s="1"/>
  <c r="AZ8" i="17" s="1"/>
  <c r="BA8" i="17" s="1"/>
  <c r="BB8" i="17" s="1"/>
  <c r="BC8" i="17" s="1"/>
  <c r="BD8" i="17" s="1"/>
  <c r="BE8" i="17" s="1"/>
  <c r="BF8" i="17" s="1"/>
  <c r="BG8" i="17" s="1"/>
  <c r="BH8" i="17" s="1"/>
  <c r="BI8" i="17" s="1"/>
  <c r="BJ8" i="17" s="1"/>
  <c r="BK8" i="17" s="1"/>
  <c r="BL8" i="17" s="1"/>
  <c r="BM8" i="17" s="1"/>
  <c r="BN8" i="17" s="1"/>
  <c r="BO8" i="17" s="1"/>
  <c r="BP8" i="17" s="1"/>
  <c r="BQ8" i="17" s="1"/>
  <c r="BR8" i="17" s="1"/>
  <c r="BS8" i="17" s="1"/>
  <c r="BT8" i="17" s="1"/>
  <c r="BU8" i="17" s="1"/>
  <c r="BV8" i="17" s="1"/>
  <c r="BW8" i="17" s="1"/>
  <c r="BX8" i="17" s="1"/>
  <c r="BY8" i="17" s="1"/>
  <c r="BZ8" i="17" s="1"/>
  <c r="CA8" i="17" s="1"/>
  <c r="CB8" i="17" s="1"/>
  <c r="CC8" i="17" s="1"/>
  <c r="CD8" i="17" s="1"/>
  <c r="CE8" i="17" s="1"/>
  <c r="CF8" i="17" s="1"/>
  <c r="CG8" i="17" s="1"/>
  <c r="CH8" i="17" s="1"/>
  <c r="CI8" i="17" s="1"/>
  <c r="CJ8" i="17" s="1"/>
  <c r="CK8" i="17" s="1"/>
  <c r="CL8" i="17" s="1"/>
  <c r="CM8" i="17" s="1"/>
  <c r="CN8" i="17" s="1"/>
  <c r="CO8" i="17" s="1"/>
  <c r="CP8" i="17" s="1"/>
  <c r="CQ8" i="17" s="1"/>
  <c r="CR8" i="17" s="1"/>
  <c r="CS8" i="17" s="1"/>
  <c r="CT8" i="17" s="1"/>
  <c r="CU8" i="17" s="1"/>
  <c r="CV8" i="17" s="1"/>
  <c r="CW8" i="17" s="1"/>
  <c r="CX8" i="17" s="1"/>
  <c r="CY8" i="17" s="1"/>
  <c r="CZ8" i="17" s="1"/>
  <c r="DA8" i="17" s="1"/>
  <c r="DB8" i="17" s="1"/>
  <c r="DC8" i="17" s="1"/>
  <c r="DD8" i="17" s="1"/>
  <c r="DE8" i="17" s="1"/>
  <c r="DF8" i="17" s="1"/>
  <c r="DG8" i="17" s="1"/>
  <c r="DH8" i="17" s="1"/>
  <c r="DI8" i="17" s="1"/>
  <c r="DJ8" i="17" s="1"/>
  <c r="DK8" i="17" s="1"/>
  <c r="DL8" i="17" s="1"/>
  <c r="DM8" i="17" s="1"/>
  <c r="DN8" i="17" s="1"/>
  <c r="DO8" i="17" s="1"/>
  <c r="DP8" i="17" s="1"/>
  <c r="B7" i="17"/>
  <c r="C7" i="17" s="1"/>
  <c r="D7" i="17" s="1"/>
  <c r="E7" i="17" s="1"/>
  <c r="F7" i="17" s="1"/>
  <c r="G7" i="17" s="1"/>
  <c r="H7" i="17" s="1"/>
  <c r="I7" i="17" s="1"/>
  <c r="J7" i="17" s="1"/>
  <c r="K7" i="17" s="1"/>
  <c r="L7" i="17" s="1"/>
  <c r="M7" i="17" s="1"/>
  <c r="N7" i="17" s="1"/>
  <c r="O7" i="17" s="1"/>
  <c r="P7" i="17" s="1"/>
  <c r="Q7" i="17" s="1"/>
  <c r="R7" i="17" s="1"/>
  <c r="S7" i="17" s="1"/>
  <c r="T7" i="17" s="1"/>
  <c r="U7" i="17" s="1"/>
  <c r="V7" i="17" s="1"/>
  <c r="W7" i="17" s="1"/>
  <c r="X7" i="17" s="1"/>
  <c r="Y7" i="17" s="1"/>
  <c r="Z7" i="17" s="1"/>
  <c r="AA7" i="17" s="1"/>
  <c r="AB7" i="17" s="1"/>
  <c r="AC7" i="17" s="1"/>
  <c r="AD7" i="17" s="1"/>
  <c r="AE7" i="17" s="1"/>
  <c r="AF7" i="17" s="1"/>
  <c r="AG7" i="17" s="1"/>
  <c r="AH7" i="17" s="1"/>
  <c r="AI7" i="17" s="1"/>
  <c r="AJ7" i="17" s="1"/>
  <c r="AK7" i="17" s="1"/>
  <c r="AL7" i="17" s="1"/>
  <c r="AM7" i="17" s="1"/>
  <c r="AN7" i="17" s="1"/>
  <c r="AO7" i="17" s="1"/>
  <c r="AP7" i="17" s="1"/>
  <c r="AQ7" i="17" s="1"/>
  <c r="AR7" i="17" s="1"/>
  <c r="AS7" i="17" s="1"/>
  <c r="AT7" i="17" s="1"/>
  <c r="AU7" i="17" s="1"/>
  <c r="AV7" i="17" s="1"/>
  <c r="AW7" i="17" s="1"/>
  <c r="AX7" i="17" s="1"/>
  <c r="AY7" i="17" s="1"/>
  <c r="AZ7" i="17" s="1"/>
  <c r="BA7" i="17" s="1"/>
  <c r="BB7" i="17" s="1"/>
  <c r="BC7" i="17" s="1"/>
  <c r="BD7" i="17" s="1"/>
  <c r="BE7" i="17" s="1"/>
  <c r="BF7" i="17" s="1"/>
  <c r="BG7" i="17" s="1"/>
  <c r="BH7" i="17" s="1"/>
  <c r="BI7" i="17" s="1"/>
  <c r="BJ7" i="17" s="1"/>
  <c r="BK7" i="17" s="1"/>
  <c r="BL7" i="17" s="1"/>
  <c r="BM7" i="17" s="1"/>
  <c r="BN7" i="17" s="1"/>
  <c r="BO7" i="17" s="1"/>
  <c r="BP7" i="17" s="1"/>
  <c r="BQ7" i="17" s="1"/>
  <c r="BR7" i="17" s="1"/>
  <c r="BS7" i="17" s="1"/>
  <c r="BT7" i="17" s="1"/>
  <c r="BU7" i="17" s="1"/>
  <c r="BV7" i="17" s="1"/>
  <c r="BW7" i="17" s="1"/>
  <c r="BX7" i="17" s="1"/>
  <c r="BY7" i="17" s="1"/>
  <c r="BZ7" i="17" s="1"/>
  <c r="CA7" i="17" s="1"/>
  <c r="CB7" i="17" s="1"/>
  <c r="CC7" i="17" s="1"/>
  <c r="CD7" i="17" s="1"/>
  <c r="CE7" i="17" s="1"/>
  <c r="CF7" i="17" s="1"/>
  <c r="CG7" i="17" s="1"/>
  <c r="CH7" i="17" s="1"/>
  <c r="CI7" i="17" s="1"/>
  <c r="CJ7" i="17" s="1"/>
  <c r="CK7" i="17" s="1"/>
  <c r="CL7" i="17" s="1"/>
  <c r="CM7" i="17" s="1"/>
  <c r="CN7" i="17" s="1"/>
  <c r="CO7" i="17" s="1"/>
  <c r="CP7" i="17" s="1"/>
  <c r="CQ7" i="17" s="1"/>
  <c r="CR7" i="17" s="1"/>
  <c r="CS7" i="17" s="1"/>
  <c r="CT7" i="17" s="1"/>
  <c r="CU7" i="17" s="1"/>
  <c r="CV7" i="17" s="1"/>
  <c r="CW7" i="17" s="1"/>
  <c r="CX7" i="17" s="1"/>
  <c r="CY7" i="17" s="1"/>
  <c r="CZ7" i="17" s="1"/>
  <c r="DA7" i="17" s="1"/>
  <c r="DB7" i="17" s="1"/>
  <c r="DC7" i="17" s="1"/>
  <c r="DD7" i="17" s="1"/>
  <c r="DE7" i="17" s="1"/>
  <c r="DF7" i="17" s="1"/>
  <c r="DG7" i="17" s="1"/>
  <c r="DH7" i="17" s="1"/>
  <c r="DI7" i="17" s="1"/>
  <c r="DJ7" i="17" s="1"/>
  <c r="DK7" i="17" s="1"/>
  <c r="DL7" i="17" s="1"/>
  <c r="DM7" i="17" s="1"/>
  <c r="DN7" i="17" s="1"/>
  <c r="DO7" i="17" s="1"/>
  <c r="DP7" i="17" s="1"/>
  <c r="B6" i="17"/>
  <c r="C6" i="17" s="1"/>
  <c r="D6" i="17" s="1"/>
  <c r="E6" i="17" s="1"/>
  <c r="F6" i="17" s="1"/>
  <c r="G6" i="17" s="1"/>
  <c r="H6" i="17" s="1"/>
  <c r="I6" i="17" s="1"/>
  <c r="J6" i="17" s="1"/>
  <c r="K6" i="17" s="1"/>
  <c r="L6" i="17" s="1"/>
  <c r="M6" i="17" s="1"/>
  <c r="N6" i="17" s="1"/>
  <c r="O6" i="17" s="1"/>
  <c r="P6" i="17" s="1"/>
  <c r="Q6" i="17" s="1"/>
  <c r="R6" i="17" s="1"/>
  <c r="S6" i="17" s="1"/>
  <c r="T6" i="17" s="1"/>
  <c r="U6" i="17" s="1"/>
  <c r="V6" i="17" s="1"/>
  <c r="W6" i="17" s="1"/>
  <c r="X6" i="17" s="1"/>
  <c r="Y6" i="17" s="1"/>
  <c r="Z6" i="17" s="1"/>
  <c r="AA6" i="17" s="1"/>
  <c r="AB6" i="17" s="1"/>
  <c r="AC6" i="17" s="1"/>
  <c r="AD6" i="17" s="1"/>
  <c r="AE6" i="17" s="1"/>
  <c r="AF6" i="17" s="1"/>
  <c r="AG6" i="17" s="1"/>
  <c r="AH6" i="17" s="1"/>
  <c r="AI6" i="17" s="1"/>
  <c r="AJ6" i="17" s="1"/>
  <c r="AK6" i="17" s="1"/>
  <c r="AL6" i="17" s="1"/>
  <c r="AM6" i="17" s="1"/>
  <c r="AN6" i="17" s="1"/>
  <c r="AO6" i="17" s="1"/>
  <c r="AP6" i="17" s="1"/>
  <c r="AQ6" i="17" s="1"/>
  <c r="AR6" i="17" s="1"/>
  <c r="AS6" i="17" s="1"/>
  <c r="AT6" i="17" s="1"/>
  <c r="AU6" i="17" s="1"/>
  <c r="AV6" i="17" s="1"/>
  <c r="AW6" i="17" s="1"/>
  <c r="AX6" i="17" s="1"/>
  <c r="AY6" i="17" s="1"/>
  <c r="AZ6" i="17" s="1"/>
  <c r="BA6" i="17" s="1"/>
  <c r="BB6" i="17" s="1"/>
  <c r="BC6" i="17" s="1"/>
  <c r="BD6" i="17" s="1"/>
  <c r="BE6" i="17" s="1"/>
  <c r="BF6" i="17" s="1"/>
  <c r="BG6" i="17" s="1"/>
  <c r="BH6" i="17" s="1"/>
  <c r="BI6" i="17" s="1"/>
  <c r="BJ6" i="17" s="1"/>
  <c r="BK6" i="17" s="1"/>
  <c r="BL6" i="17" s="1"/>
  <c r="BM6" i="17" s="1"/>
  <c r="BN6" i="17" s="1"/>
  <c r="BO6" i="17" s="1"/>
  <c r="BP6" i="17" s="1"/>
  <c r="BQ6" i="17" s="1"/>
  <c r="BR6" i="17" s="1"/>
  <c r="BS6" i="17" s="1"/>
  <c r="BT6" i="17" s="1"/>
  <c r="BU6" i="17" s="1"/>
  <c r="BV6" i="17" s="1"/>
  <c r="BW6" i="17" s="1"/>
  <c r="BX6" i="17" s="1"/>
  <c r="BY6" i="17" s="1"/>
  <c r="BZ6" i="17" s="1"/>
  <c r="CA6" i="17" s="1"/>
  <c r="CB6" i="17" s="1"/>
  <c r="CC6" i="17" s="1"/>
  <c r="CD6" i="17" s="1"/>
  <c r="CE6" i="17" s="1"/>
  <c r="CF6" i="17" s="1"/>
  <c r="CG6" i="17" s="1"/>
  <c r="CH6" i="17" s="1"/>
  <c r="CI6" i="17" s="1"/>
  <c r="CJ6" i="17" s="1"/>
  <c r="CK6" i="17" s="1"/>
  <c r="CL6" i="17" s="1"/>
  <c r="CM6" i="17" s="1"/>
  <c r="CN6" i="17" s="1"/>
  <c r="CO6" i="17" s="1"/>
  <c r="CP6" i="17" s="1"/>
  <c r="CQ6" i="17" s="1"/>
  <c r="CR6" i="17" s="1"/>
  <c r="CS6" i="17" s="1"/>
  <c r="CT6" i="17" s="1"/>
  <c r="CU6" i="17" s="1"/>
  <c r="CV6" i="17" s="1"/>
  <c r="CW6" i="17" s="1"/>
  <c r="CX6" i="17" s="1"/>
  <c r="CY6" i="17" s="1"/>
  <c r="CZ6" i="17" s="1"/>
  <c r="DA6" i="17" s="1"/>
  <c r="DB6" i="17" s="1"/>
  <c r="DC6" i="17" s="1"/>
  <c r="DD6" i="17" s="1"/>
  <c r="DE6" i="17" s="1"/>
  <c r="DF6" i="17" s="1"/>
  <c r="DG6" i="17" s="1"/>
  <c r="DH6" i="17" s="1"/>
  <c r="DI6" i="17" s="1"/>
  <c r="DJ6" i="17" s="1"/>
  <c r="DK6" i="17" s="1"/>
  <c r="DL6" i="17" s="1"/>
  <c r="DM6" i="17" s="1"/>
  <c r="DN6" i="17" s="1"/>
  <c r="DO6" i="17" s="1"/>
  <c r="DP6" i="17" s="1"/>
  <c r="B5" i="17"/>
  <c r="C5" i="17" s="1"/>
  <c r="D5" i="17" s="1"/>
  <c r="E5" i="17" s="1"/>
  <c r="F5" i="17" s="1"/>
  <c r="G5" i="17" s="1"/>
  <c r="H5" i="17" s="1"/>
  <c r="I5" i="17" s="1"/>
  <c r="J5" i="17" s="1"/>
  <c r="K5" i="17" s="1"/>
  <c r="L5" i="17" s="1"/>
  <c r="M5" i="17" s="1"/>
  <c r="N5" i="17" s="1"/>
  <c r="O5" i="17" s="1"/>
  <c r="P5" i="17" s="1"/>
  <c r="Q5" i="17" s="1"/>
  <c r="R5" i="17" s="1"/>
  <c r="S5" i="17" s="1"/>
  <c r="T5" i="17" s="1"/>
  <c r="U5" i="17" s="1"/>
  <c r="V5" i="17" s="1"/>
  <c r="W5" i="17" s="1"/>
  <c r="X5" i="17" s="1"/>
  <c r="Y5" i="17" s="1"/>
  <c r="Z5" i="17" s="1"/>
  <c r="AA5" i="17" s="1"/>
  <c r="AB5" i="17" s="1"/>
  <c r="AC5" i="17" s="1"/>
  <c r="AD5" i="17" s="1"/>
  <c r="AE5" i="17" s="1"/>
  <c r="AF5" i="17" s="1"/>
  <c r="AG5" i="17" s="1"/>
  <c r="AH5" i="17" s="1"/>
  <c r="AI5" i="17" s="1"/>
  <c r="AJ5" i="17" s="1"/>
  <c r="AK5" i="17" s="1"/>
  <c r="AL5" i="17" s="1"/>
  <c r="AM5" i="17" s="1"/>
  <c r="AN5" i="17" s="1"/>
  <c r="AO5" i="17" s="1"/>
  <c r="AP5" i="17" s="1"/>
  <c r="AQ5" i="17" s="1"/>
  <c r="AR5" i="17" s="1"/>
  <c r="AS5" i="17" s="1"/>
  <c r="AT5" i="17" s="1"/>
  <c r="AU5" i="17" s="1"/>
  <c r="AV5" i="17" s="1"/>
  <c r="AW5" i="17" s="1"/>
  <c r="AX5" i="17" s="1"/>
  <c r="AY5" i="17" s="1"/>
  <c r="AZ5" i="17" s="1"/>
  <c r="BA5" i="17" s="1"/>
  <c r="BB5" i="17" s="1"/>
  <c r="BC5" i="17" s="1"/>
  <c r="BD5" i="17" s="1"/>
  <c r="BE5" i="17" s="1"/>
  <c r="BF5" i="17" s="1"/>
  <c r="BG5" i="17" s="1"/>
  <c r="BH5" i="17" s="1"/>
  <c r="BI5" i="17" s="1"/>
  <c r="BJ5" i="17" s="1"/>
  <c r="BK5" i="17" s="1"/>
  <c r="BL5" i="17" s="1"/>
  <c r="BM5" i="17" s="1"/>
  <c r="BN5" i="17" s="1"/>
  <c r="BO5" i="17" s="1"/>
  <c r="BP5" i="17" s="1"/>
  <c r="BQ5" i="17" s="1"/>
  <c r="BR5" i="17" s="1"/>
  <c r="BS5" i="17" s="1"/>
  <c r="BT5" i="17" s="1"/>
  <c r="BU5" i="17" s="1"/>
  <c r="BV5" i="17" s="1"/>
  <c r="BW5" i="17" s="1"/>
  <c r="BX5" i="17" s="1"/>
  <c r="BY5" i="17" s="1"/>
  <c r="BZ5" i="17" s="1"/>
  <c r="CA5" i="17" s="1"/>
  <c r="CB5" i="17" s="1"/>
  <c r="CC5" i="17" s="1"/>
  <c r="CD5" i="17" s="1"/>
  <c r="CE5" i="17" s="1"/>
  <c r="CF5" i="17" s="1"/>
  <c r="CG5" i="17" s="1"/>
  <c r="CH5" i="17" s="1"/>
  <c r="CI5" i="17" s="1"/>
  <c r="CJ5" i="17" s="1"/>
  <c r="CK5" i="17" s="1"/>
  <c r="CL5" i="17" s="1"/>
  <c r="CM5" i="17" s="1"/>
  <c r="CN5" i="17" s="1"/>
  <c r="CO5" i="17" s="1"/>
  <c r="CP5" i="17" s="1"/>
  <c r="CQ5" i="17" s="1"/>
  <c r="CR5" i="17" s="1"/>
  <c r="CS5" i="17" s="1"/>
  <c r="CT5" i="17" s="1"/>
  <c r="CU5" i="17" s="1"/>
  <c r="CV5" i="17" s="1"/>
  <c r="CW5" i="17" s="1"/>
  <c r="CX5" i="17" s="1"/>
  <c r="CY5" i="17" s="1"/>
  <c r="CZ5" i="17" s="1"/>
  <c r="DA5" i="17" s="1"/>
  <c r="DB5" i="17" s="1"/>
  <c r="DC5" i="17" s="1"/>
  <c r="DD5" i="17" s="1"/>
  <c r="DE5" i="17" s="1"/>
  <c r="DF5" i="17" s="1"/>
  <c r="DG5" i="17" s="1"/>
  <c r="DH5" i="17" s="1"/>
  <c r="DI5" i="17" s="1"/>
  <c r="DJ5" i="17" s="1"/>
  <c r="DK5" i="17" s="1"/>
  <c r="DL5" i="17" s="1"/>
  <c r="DM5" i="17" s="1"/>
  <c r="DN5" i="17" s="1"/>
  <c r="DO5" i="17" s="1"/>
  <c r="DP5" i="17" s="1"/>
  <c r="B4" i="17"/>
  <c r="C4" i="17" s="1"/>
  <c r="D4" i="17" s="1"/>
  <c r="E4" i="17" s="1"/>
  <c r="F4" i="17" s="1"/>
  <c r="G4" i="17" s="1"/>
  <c r="H4" i="17" s="1"/>
  <c r="I4" i="17" s="1"/>
  <c r="J4" i="17" s="1"/>
  <c r="K4" i="17" s="1"/>
  <c r="L4" i="17" s="1"/>
  <c r="M4" i="17" s="1"/>
  <c r="N4" i="17" s="1"/>
  <c r="O4" i="17" s="1"/>
  <c r="P4" i="17" s="1"/>
  <c r="Q4" i="17" s="1"/>
  <c r="R4" i="17" s="1"/>
  <c r="S4" i="17" s="1"/>
  <c r="T4" i="17" s="1"/>
  <c r="U4" i="17" s="1"/>
  <c r="V4" i="17" s="1"/>
  <c r="W4" i="17" s="1"/>
  <c r="X4" i="17" s="1"/>
  <c r="Y4" i="17" s="1"/>
  <c r="Z4" i="17" s="1"/>
  <c r="AA4" i="17" s="1"/>
  <c r="AB4" i="17" s="1"/>
  <c r="AC4" i="17" s="1"/>
  <c r="AD4" i="17" s="1"/>
  <c r="AE4" i="17" s="1"/>
  <c r="AF4" i="17" s="1"/>
  <c r="AG4" i="17" s="1"/>
  <c r="AH4" i="17" s="1"/>
  <c r="AI4" i="17" s="1"/>
  <c r="AJ4" i="17" s="1"/>
  <c r="AK4" i="17" s="1"/>
  <c r="AL4" i="17" s="1"/>
  <c r="AM4" i="17" s="1"/>
  <c r="AN4" i="17" s="1"/>
  <c r="AO4" i="17" s="1"/>
  <c r="AP4" i="17" s="1"/>
  <c r="AQ4" i="17" s="1"/>
  <c r="AR4" i="17" s="1"/>
  <c r="AS4" i="17" s="1"/>
  <c r="AT4" i="17" s="1"/>
  <c r="AU4" i="17" s="1"/>
  <c r="AV4" i="17" s="1"/>
  <c r="AW4" i="17" s="1"/>
  <c r="AX4" i="17" s="1"/>
  <c r="AY4" i="17" s="1"/>
  <c r="AZ4" i="17" s="1"/>
  <c r="BA4" i="17" s="1"/>
  <c r="BB4" i="17" s="1"/>
  <c r="BC4" i="17" s="1"/>
  <c r="BD4" i="17" s="1"/>
  <c r="BE4" i="17" s="1"/>
  <c r="BF4" i="17" s="1"/>
  <c r="BG4" i="17" s="1"/>
  <c r="BH4" i="17" s="1"/>
  <c r="BI4" i="17" s="1"/>
  <c r="BJ4" i="17" s="1"/>
  <c r="BK4" i="17" s="1"/>
  <c r="BL4" i="17" s="1"/>
  <c r="BM4" i="17" s="1"/>
  <c r="BN4" i="17" s="1"/>
  <c r="BO4" i="17" s="1"/>
  <c r="BP4" i="17" s="1"/>
  <c r="BQ4" i="17" s="1"/>
  <c r="BR4" i="17" s="1"/>
  <c r="BS4" i="17" s="1"/>
  <c r="BT4" i="17" s="1"/>
  <c r="BU4" i="17" s="1"/>
  <c r="BV4" i="17" s="1"/>
  <c r="BW4" i="17" s="1"/>
  <c r="BX4" i="17" s="1"/>
  <c r="K16" i="5"/>
  <c r="S20" i="16"/>
  <c r="AG48" i="10"/>
  <c r="AG46" i="10"/>
  <c r="AG44" i="10"/>
  <c r="AG42" i="10"/>
  <c r="AG40" i="10"/>
  <c r="T27" i="13"/>
  <c r="D54" i="13"/>
  <c r="S42" i="13"/>
  <c r="D53" i="13" s="1"/>
  <c r="F27" i="13"/>
  <c r="J463" i="21" s="1"/>
  <c r="F30" i="13"/>
  <c r="J466" i="21" s="1"/>
  <c r="T13" i="13"/>
  <c r="T12" i="13"/>
  <c r="T11" i="13"/>
  <c r="E13" i="13"/>
  <c r="C13" i="13"/>
  <c r="H13" i="13" s="1"/>
  <c r="C12" i="13"/>
  <c r="H10" i="13"/>
  <c r="E12" i="13"/>
  <c r="F11" i="13"/>
  <c r="H9" i="13"/>
  <c r="B2" i="13"/>
  <c r="B1" i="13"/>
  <c r="E2" i="13"/>
  <c r="H77" i="12"/>
  <c r="I372" i="21" s="1"/>
  <c r="F77" i="12"/>
  <c r="J372" i="21" s="1"/>
  <c r="K31" i="8"/>
  <c r="K30" i="8"/>
  <c r="D17" i="10"/>
  <c r="Y32" i="12"/>
  <c r="H76" i="12"/>
  <c r="I371" i="21" s="1"/>
  <c r="F76" i="12"/>
  <c r="J371" i="21" s="1"/>
  <c r="K20" i="12"/>
  <c r="H20" i="12"/>
  <c r="I351" i="21" s="1"/>
  <c r="F20" i="12"/>
  <c r="J351" i="21" s="1"/>
  <c r="D28" i="12"/>
  <c r="D27" i="12"/>
  <c r="D26" i="12"/>
  <c r="D25" i="12"/>
  <c r="D24" i="12"/>
  <c r="D23" i="12"/>
  <c r="D22" i="12"/>
  <c r="D20" i="12"/>
  <c r="D18" i="12"/>
  <c r="D17" i="12"/>
  <c r="D16" i="12"/>
  <c r="F30" i="16"/>
  <c r="J234" i="21" s="1"/>
  <c r="D26" i="16"/>
  <c r="F25" i="16"/>
  <c r="F24" i="16"/>
  <c r="J229" i="21" s="1"/>
  <c r="F23" i="16"/>
  <c r="J228" i="21" s="1"/>
  <c r="F22" i="16"/>
  <c r="J227" i="21" s="1"/>
  <c r="J225" i="21"/>
  <c r="F13" i="16"/>
  <c r="J221" i="21" s="1"/>
  <c r="D12" i="16"/>
  <c r="D11" i="16"/>
  <c r="H23" i="10"/>
  <c r="E2" i="16"/>
  <c r="B2" i="16"/>
  <c r="B1" i="16"/>
  <c r="B2" i="5"/>
  <c r="B1" i="5"/>
  <c r="H34" i="10"/>
  <c r="I217" i="21" s="1"/>
  <c r="H33" i="10"/>
  <c r="I216" i="21" s="1"/>
  <c r="H32" i="10"/>
  <c r="I215" i="21" s="1"/>
  <c r="H31" i="10"/>
  <c r="I214" i="21" s="1"/>
  <c r="H30" i="10"/>
  <c r="I213" i="21" s="1"/>
  <c r="E34" i="10"/>
  <c r="E33" i="10"/>
  <c r="E32" i="10"/>
  <c r="E31" i="10"/>
  <c r="E30" i="10"/>
  <c r="E29" i="10"/>
  <c r="H21" i="10"/>
  <c r="H20" i="10"/>
  <c r="D21" i="10"/>
  <c r="D20" i="10"/>
  <c r="H17" i="10"/>
  <c r="Y32" i="2"/>
  <c r="H12" i="10"/>
  <c r="H10" i="10"/>
  <c r="H11" i="10"/>
  <c r="B2" i="12"/>
  <c r="B2" i="11"/>
  <c r="B2" i="10"/>
  <c r="B2" i="15"/>
  <c r="B2" i="8"/>
  <c r="B2" i="7"/>
  <c r="B1" i="12"/>
  <c r="B1" i="11"/>
  <c r="B1" i="10"/>
  <c r="B1" i="15"/>
  <c r="B1" i="8"/>
  <c r="B1" i="7"/>
  <c r="U49" i="15"/>
  <c r="O9" i="4"/>
  <c r="I6" i="15"/>
  <c r="D2" i="15"/>
  <c r="E2" i="2"/>
  <c r="AD3" i="2" s="1"/>
  <c r="I6" i="8"/>
  <c r="T26" i="2"/>
  <c r="T56" i="2"/>
  <c r="B33" i="2" s="1"/>
  <c r="C17" i="8"/>
  <c r="E2" i="12"/>
  <c r="T110" i="12" s="1"/>
  <c r="E2" i="11"/>
  <c r="E2" i="10"/>
  <c r="D2" i="8"/>
  <c r="T3" i="8" s="1"/>
  <c r="D8" i="8" s="1"/>
  <c r="C41" i="7"/>
  <c r="C39" i="7"/>
  <c r="J78" i="21"/>
  <c r="F42" i="7"/>
  <c r="F26" i="5"/>
  <c r="H16" i="5"/>
  <c r="CL2" i="17"/>
  <c r="L6" i="4"/>
  <c r="J525" i="21" s="1"/>
  <c r="S12" i="5"/>
  <c r="U12" i="5" s="1"/>
  <c r="E37" i="3"/>
  <c r="F16" i="5"/>
  <c r="B16" i="5"/>
  <c r="J201" i="21"/>
  <c r="S11" i="5"/>
  <c r="T11" i="5" s="1"/>
  <c r="H18" i="4"/>
  <c r="M5" i="1"/>
  <c r="BL21" i="10" l="1"/>
  <c r="BK22" i="10"/>
  <c r="H20" i="4"/>
  <c r="F20" i="4" s="1"/>
  <c r="J35" i="21" s="1"/>
  <c r="T4" i="3"/>
  <c r="AC57" i="3"/>
  <c r="H9" i="5" s="1"/>
  <c r="E17" i="21"/>
  <c r="F16" i="21"/>
  <c r="AD26" i="2"/>
  <c r="AD34" i="2"/>
  <c r="C6" i="12"/>
  <c r="Y35" i="12"/>
  <c r="Y37" i="12" s="1"/>
  <c r="F9" i="12" s="1"/>
  <c r="J230" i="21"/>
  <c r="H500" i="21"/>
  <c r="I206" i="21"/>
  <c r="H206" i="21"/>
  <c r="G206" i="21" s="1"/>
  <c r="D11" i="10"/>
  <c r="H198" i="21"/>
  <c r="G198" i="21" s="1"/>
  <c r="I198" i="21"/>
  <c r="I207" i="21"/>
  <c r="H207" i="21"/>
  <c r="G207" i="21" s="1"/>
  <c r="D10" i="10"/>
  <c r="I197" i="21"/>
  <c r="H197" i="21"/>
  <c r="G197" i="21" s="1"/>
  <c r="D23" i="10"/>
  <c r="H209" i="21" s="1"/>
  <c r="I209" i="21"/>
  <c r="D12" i="10"/>
  <c r="H199" i="21"/>
  <c r="G199" i="21" s="1"/>
  <c r="I199" i="21"/>
  <c r="H204" i="21"/>
  <c r="G204" i="21" s="1"/>
  <c r="I204" i="21"/>
  <c r="AP85" i="19"/>
  <c r="AB85" i="19"/>
  <c r="AV85" i="19"/>
  <c r="AH85" i="19"/>
  <c r="AF85" i="19"/>
  <c r="AY85" i="19"/>
  <c r="AE85" i="19"/>
  <c r="AC85" i="19"/>
  <c r="AI85" i="19"/>
  <c r="AW85" i="19"/>
  <c r="AN85" i="19"/>
  <c r="AZ85" i="19"/>
  <c r="AD85" i="19"/>
  <c r="AG85" i="19"/>
  <c r="AJ85" i="19"/>
  <c r="AT85" i="19"/>
  <c r="AX85" i="19"/>
  <c r="AO85" i="19"/>
  <c r="AK85" i="19"/>
  <c r="AU85" i="19"/>
  <c r="AQ85" i="19"/>
  <c r="V85" i="19"/>
  <c r="AM85" i="19"/>
  <c r="AL85" i="19"/>
  <c r="AI29" i="19"/>
  <c r="L13" i="19" s="1"/>
  <c r="J110" i="21" s="1"/>
  <c r="AO41" i="17"/>
  <c r="L12" i="19"/>
  <c r="J109" i="21" s="1"/>
  <c r="AG24" i="19"/>
  <c r="H23" i="21"/>
  <c r="H453" i="21"/>
  <c r="I453" i="21"/>
  <c r="H450" i="21"/>
  <c r="I450" i="21"/>
  <c r="I449" i="21"/>
  <c r="H449" i="21"/>
  <c r="J451" i="21"/>
  <c r="H451" i="21"/>
  <c r="I34" i="21"/>
  <c r="H34" i="21"/>
  <c r="H512" i="21"/>
  <c r="T17" i="3"/>
  <c r="G494" i="21"/>
  <c r="H14" i="2"/>
  <c r="I6" i="21" s="1"/>
  <c r="S35" i="12"/>
  <c r="C10" i="12"/>
  <c r="C8" i="12"/>
  <c r="AN78" i="19"/>
  <c r="AK28" i="19"/>
  <c r="Q12" i="19" s="1"/>
  <c r="AK30" i="19"/>
  <c r="Q14" i="19" s="1"/>
  <c r="K15" i="19"/>
  <c r="AP101" i="19"/>
  <c r="AO101" i="19"/>
  <c r="AE106" i="19"/>
  <c r="AT170" i="19" a="1"/>
  <c r="AT170" i="19" s="1"/>
  <c r="AG170" i="19" a="1"/>
  <c r="AG170" i="19" s="1"/>
  <c r="AH170" i="19" a="1"/>
  <c r="AH170" i="19" s="1"/>
  <c r="AW170" i="19" a="1"/>
  <c r="AW170" i="19" s="1"/>
  <c r="Z170" i="19" a="1"/>
  <c r="Z170" i="19" s="1"/>
  <c r="AD170" i="19" a="1"/>
  <c r="AD170" i="19" s="1"/>
  <c r="AE170" i="19" a="1"/>
  <c r="AE170" i="19" s="1"/>
  <c r="AM170" i="19" a="1"/>
  <c r="AM170" i="19" s="1"/>
  <c r="AP170" i="19" a="1"/>
  <c r="AP170" i="19" s="1"/>
  <c r="AB170" i="19" a="1"/>
  <c r="AB170" i="19" s="1"/>
  <c r="AR170" i="19" a="1"/>
  <c r="AR170" i="19" s="1"/>
  <c r="AJ170" i="19" a="1"/>
  <c r="AJ170" i="19" s="1"/>
  <c r="AU170" i="19" a="1"/>
  <c r="AU170" i="19" s="1"/>
  <c r="AF170" i="19" a="1"/>
  <c r="AF170" i="19" s="1"/>
  <c r="AV170" i="19" a="1"/>
  <c r="AV170" i="19" s="1"/>
  <c r="AQ170" i="19" a="1"/>
  <c r="AQ170" i="19" s="1"/>
  <c r="AS170" i="19" a="1"/>
  <c r="AS170" i="19" s="1"/>
  <c r="AY170" i="19" a="1"/>
  <c r="AY170" i="19" s="1"/>
  <c r="AI170" i="19" a="1"/>
  <c r="AI170" i="19" s="1"/>
  <c r="AO170" i="19" a="1"/>
  <c r="AO170" i="19" s="1"/>
  <c r="AA170" i="19" a="1"/>
  <c r="AA170" i="19" s="1"/>
  <c r="AK170" i="19" a="1"/>
  <c r="AK170" i="19" s="1"/>
  <c r="AN170" i="19" a="1"/>
  <c r="AN170" i="19" s="1"/>
  <c r="AC170" i="19" a="1"/>
  <c r="AC170" i="19" s="1"/>
  <c r="AX170" i="19" a="1"/>
  <c r="AX170" i="19" s="1"/>
  <c r="AL170" i="19" a="1"/>
  <c r="AL170" i="19" s="1"/>
  <c r="AO32" i="17"/>
  <c r="T13" i="19"/>
  <c r="K13" i="19" s="1"/>
  <c r="AE30" i="19"/>
  <c r="AD29" i="19"/>
  <c r="L14" i="19"/>
  <c r="J111" i="21" s="1"/>
  <c r="AO38" i="17"/>
  <c r="AO55" i="17"/>
  <c r="AO53" i="17"/>
  <c r="AO52" i="17"/>
  <c r="AO51" i="17"/>
  <c r="AI66" i="10"/>
  <c r="H210" i="21" s="1"/>
  <c r="AU124" i="19"/>
  <c r="BS111" i="20" s="1"/>
  <c r="AQ39" i="19"/>
  <c r="AV111" i="20" s="1"/>
  <c r="AO54" i="17"/>
  <c r="AU125" i="19"/>
  <c r="AY48" i="17" s="1"/>
  <c r="AQ40" i="19"/>
  <c r="AV112" i="20" s="1"/>
  <c r="L20" i="19"/>
  <c r="J117" i="21" s="1"/>
  <c r="L21" i="19"/>
  <c r="J118" i="21" s="1"/>
  <c r="L16" i="19"/>
  <c r="J113" i="21" s="1"/>
  <c r="L28" i="19"/>
  <c r="J125" i="21" s="1"/>
  <c r="L26" i="19"/>
  <c r="J123" i="21" s="1"/>
  <c r="L24" i="19"/>
  <c r="J121" i="21" s="1"/>
  <c r="AS29" i="19"/>
  <c r="AQ29" i="19" s="1"/>
  <c r="AD32" i="17" s="1"/>
  <c r="L18" i="19"/>
  <c r="J115" i="21" s="1"/>
  <c r="L19" i="19"/>
  <c r="J116" i="21" s="1"/>
  <c r="L25" i="19"/>
  <c r="J122" i="21" s="1"/>
  <c r="AS28" i="19"/>
  <c r="AU114" i="19"/>
  <c r="BS101" i="20" s="1"/>
  <c r="AZ94" i="19"/>
  <c r="AB94" i="19"/>
  <c r="AY94" i="19"/>
  <c r="AX94" i="19"/>
  <c r="AS94" i="19"/>
  <c r="AW94" i="19"/>
  <c r="AV94" i="19"/>
  <c r="AU94" i="19"/>
  <c r="AD94" i="19"/>
  <c r="AT94" i="19"/>
  <c r="AC94" i="19"/>
  <c r="AW92" i="19"/>
  <c r="AX92" i="19"/>
  <c r="AV92" i="19"/>
  <c r="AU92" i="19"/>
  <c r="AT92" i="19"/>
  <c r="AD92" i="19"/>
  <c r="AC92" i="19"/>
  <c r="AS92" i="19"/>
  <c r="AZ92" i="19"/>
  <c r="AB92" i="19"/>
  <c r="AY92" i="19"/>
  <c r="AT96" i="19"/>
  <c r="AC96" i="19"/>
  <c r="AS96" i="19"/>
  <c r="AB96" i="19"/>
  <c r="AZ96" i="19"/>
  <c r="AY96" i="19"/>
  <c r="AD96" i="19"/>
  <c r="AX96" i="19"/>
  <c r="AU96" i="19"/>
  <c r="AW96" i="19"/>
  <c r="AV96" i="19"/>
  <c r="AZ87" i="19"/>
  <c r="AY87" i="19"/>
  <c r="AS87" i="19"/>
  <c r="AX87" i="19"/>
  <c r="AD87" i="19"/>
  <c r="AW87" i="19"/>
  <c r="AC87" i="19"/>
  <c r="AV87" i="19"/>
  <c r="AB87" i="19"/>
  <c r="AU87" i="19"/>
  <c r="AT87" i="19"/>
  <c r="AW84" i="19"/>
  <c r="AX84" i="19"/>
  <c r="AV84" i="19"/>
  <c r="AU84" i="19"/>
  <c r="AT84" i="19"/>
  <c r="AD84" i="19"/>
  <c r="AS84" i="19"/>
  <c r="AC84" i="19"/>
  <c r="AZ84" i="19"/>
  <c r="AB84" i="19"/>
  <c r="AY84" i="19"/>
  <c r="AX93" i="19"/>
  <c r="AD93" i="19"/>
  <c r="AW93" i="19"/>
  <c r="AC93" i="19"/>
  <c r="AY93" i="19"/>
  <c r="AV93" i="19"/>
  <c r="AB93" i="19"/>
  <c r="AZ93" i="19"/>
  <c r="AU93" i="19"/>
  <c r="AS93" i="19"/>
  <c r="AT93" i="19"/>
  <c r="AT95" i="19"/>
  <c r="AZ95" i="19"/>
  <c r="AS95" i="19"/>
  <c r="AY95" i="19"/>
  <c r="AD95" i="19"/>
  <c r="AX95" i="19"/>
  <c r="AC95" i="19"/>
  <c r="AW95" i="19"/>
  <c r="AB95" i="19"/>
  <c r="AV95" i="19"/>
  <c r="AU95" i="19"/>
  <c r="AV91" i="19"/>
  <c r="AB91" i="19"/>
  <c r="AW91" i="19"/>
  <c r="AU91" i="19"/>
  <c r="AT91" i="19"/>
  <c r="AZ91" i="19"/>
  <c r="AC91" i="19"/>
  <c r="AY91" i="19"/>
  <c r="AS91" i="19"/>
  <c r="AX91" i="19"/>
  <c r="AD91" i="19"/>
  <c r="AY86" i="19"/>
  <c r="AZ86" i="19"/>
  <c r="AB86" i="19"/>
  <c r="AX86" i="19"/>
  <c r="AW86" i="19"/>
  <c r="AV86" i="19"/>
  <c r="AU86" i="19"/>
  <c r="AT86" i="19"/>
  <c r="AD86" i="19"/>
  <c r="AC86" i="19"/>
  <c r="AS86" i="19"/>
  <c r="AU97" i="19"/>
  <c r="AV97" i="19"/>
  <c r="AS97" i="19"/>
  <c r="AT97" i="19"/>
  <c r="AZ97" i="19"/>
  <c r="AY97" i="19"/>
  <c r="AD97" i="19"/>
  <c r="AX97" i="19"/>
  <c r="AC97" i="19"/>
  <c r="AW97" i="19"/>
  <c r="AB97" i="19"/>
  <c r="AT89" i="19"/>
  <c r="AU89" i="19"/>
  <c r="AZ89" i="19"/>
  <c r="AY89" i="19"/>
  <c r="AX89" i="19"/>
  <c r="AD89" i="19"/>
  <c r="AS89" i="19"/>
  <c r="AW89" i="19"/>
  <c r="AC89" i="19"/>
  <c r="AV89" i="19"/>
  <c r="AB89" i="19"/>
  <c r="U11" i="5"/>
  <c r="V9" i="5" s="1"/>
  <c r="AT83" i="19"/>
  <c r="AU83" i="19"/>
  <c r="AZ83" i="19"/>
  <c r="AY83" i="19"/>
  <c r="AX83" i="19"/>
  <c r="AW83" i="19"/>
  <c r="AV83" i="19"/>
  <c r="AZ81" i="19"/>
  <c r="AY81" i="19"/>
  <c r="AX81" i="19"/>
  <c r="AW81" i="19"/>
  <c r="AV81" i="19"/>
  <c r="AU81" i="19"/>
  <c r="AD83" i="19"/>
  <c r="AS83" i="19"/>
  <c r="AC83" i="19"/>
  <c r="AB83" i="19"/>
  <c r="AS30" i="19"/>
  <c r="AO35" i="17"/>
  <c r="AO94" i="19"/>
  <c r="AJ94" i="19"/>
  <c r="AN94" i="19"/>
  <c r="AI94" i="19"/>
  <c r="AP94" i="19"/>
  <c r="AM94" i="19"/>
  <c r="AH94" i="19"/>
  <c r="AG94" i="19"/>
  <c r="AF94" i="19"/>
  <c r="AE94" i="19"/>
  <c r="AK94" i="19"/>
  <c r="AQ94" i="19"/>
  <c r="AL94" i="19"/>
  <c r="AR94" i="19"/>
  <c r="AH87" i="19"/>
  <c r="AQ87" i="19"/>
  <c r="AG87" i="19"/>
  <c r="AP87" i="19"/>
  <c r="AF87" i="19"/>
  <c r="AO87" i="19"/>
  <c r="AE87" i="19"/>
  <c r="AN87" i="19"/>
  <c r="AL87" i="19"/>
  <c r="AM87" i="19"/>
  <c r="AK87" i="19"/>
  <c r="AI87" i="19"/>
  <c r="AJ87" i="19"/>
  <c r="AM96" i="19"/>
  <c r="AF96" i="19"/>
  <c r="AN96" i="19"/>
  <c r="AE96" i="19"/>
  <c r="AL96" i="19"/>
  <c r="AG96" i="19"/>
  <c r="AK96" i="19"/>
  <c r="AQ96" i="19"/>
  <c r="AJ96" i="19"/>
  <c r="AP96" i="19"/>
  <c r="AI96" i="19"/>
  <c r="AO96" i="19"/>
  <c r="AH96" i="19"/>
  <c r="AR96" i="19"/>
  <c r="AV105" i="19"/>
  <c r="AQ84" i="19"/>
  <c r="AF84" i="19"/>
  <c r="AP84" i="19"/>
  <c r="AE84" i="19"/>
  <c r="AO84" i="19"/>
  <c r="AL84" i="19"/>
  <c r="AN84" i="19"/>
  <c r="AK84" i="19"/>
  <c r="AM84" i="19"/>
  <c r="AJ84" i="19"/>
  <c r="AG84" i="19"/>
  <c r="AI84" i="19"/>
  <c r="AH84" i="19"/>
  <c r="AH95" i="19"/>
  <c r="AQ95" i="19"/>
  <c r="AG95" i="19"/>
  <c r="AP95" i="19"/>
  <c r="AF95" i="19"/>
  <c r="AO95" i="19"/>
  <c r="AE95" i="19"/>
  <c r="AN95" i="19"/>
  <c r="AL95" i="19"/>
  <c r="AI95" i="19"/>
  <c r="AM95" i="19"/>
  <c r="AK95" i="19"/>
  <c r="AJ95" i="19"/>
  <c r="AR95" i="19"/>
  <c r="AN91" i="19"/>
  <c r="AH91" i="19"/>
  <c r="AM91" i="19"/>
  <c r="AG91" i="19"/>
  <c r="AO91" i="19"/>
  <c r="AI91" i="19"/>
  <c r="AF91" i="19"/>
  <c r="AE91" i="19"/>
  <c r="AL91" i="19"/>
  <c r="AQ91" i="19"/>
  <c r="AK91" i="19"/>
  <c r="AP91" i="19"/>
  <c r="AJ91" i="19"/>
  <c r="AR91" i="19"/>
  <c r="AP97" i="19"/>
  <c r="AL97" i="19"/>
  <c r="AO97" i="19"/>
  <c r="AK97" i="19"/>
  <c r="AN97" i="19"/>
  <c r="AJ97" i="19"/>
  <c r="AM97" i="19"/>
  <c r="AI97" i="19"/>
  <c r="AH97" i="19"/>
  <c r="AQ97" i="19"/>
  <c r="AG97" i="19"/>
  <c r="AE97" i="19"/>
  <c r="AF97" i="19"/>
  <c r="AR97" i="19"/>
  <c r="AQ92" i="19"/>
  <c r="AF92" i="19"/>
  <c r="AP92" i="19"/>
  <c r="AE92" i="19"/>
  <c r="AO92" i="19"/>
  <c r="AL92" i="19"/>
  <c r="AN92" i="19"/>
  <c r="AK92" i="19"/>
  <c r="AM92" i="19"/>
  <c r="AJ92" i="19"/>
  <c r="AI92" i="19"/>
  <c r="AH92" i="19"/>
  <c r="AG92" i="19"/>
  <c r="AR92" i="19"/>
  <c r="AO86" i="19"/>
  <c r="AJ86" i="19"/>
  <c r="AN86" i="19"/>
  <c r="AI86" i="19"/>
  <c r="AM86" i="19"/>
  <c r="AH86" i="19"/>
  <c r="AG86" i="19"/>
  <c r="AF86" i="19"/>
  <c r="AE86" i="19"/>
  <c r="AP86" i="19"/>
  <c r="AQ86" i="19"/>
  <c r="AL86" i="19"/>
  <c r="AK86" i="19"/>
  <c r="AP89" i="19"/>
  <c r="AL89" i="19"/>
  <c r="AQ89" i="19"/>
  <c r="AO89" i="19"/>
  <c r="AK89" i="19"/>
  <c r="AN89" i="19"/>
  <c r="AJ89" i="19"/>
  <c r="AM89" i="19"/>
  <c r="AI89" i="19"/>
  <c r="AH89" i="19"/>
  <c r="AE89" i="19"/>
  <c r="AG89" i="19"/>
  <c r="AF89" i="19"/>
  <c r="AL93" i="19"/>
  <c r="AK93" i="19"/>
  <c r="AJ93" i="19"/>
  <c r="AQ93" i="19"/>
  <c r="AI93" i="19"/>
  <c r="AE93" i="19"/>
  <c r="AP93" i="19"/>
  <c r="AH93" i="19"/>
  <c r="AM93" i="19"/>
  <c r="AO93" i="19"/>
  <c r="AG93" i="19"/>
  <c r="AN93" i="19"/>
  <c r="AF93" i="19"/>
  <c r="AR93" i="19"/>
  <c r="AN83" i="19"/>
  <c r="AH83" i="19"/>
  <c r="AI83" i="19"/>
  <c r="AM83" i="19"/>
  <c r="AG83" i="19"/>
  <c r="AF83" i="19"/>
  <c r="AO83" i="19"/>
  <c r="AE83" i="19"/>
  <c r="AL83" i="19"/>
  <c r="AQ83" i="19"/>
  <c r="AK83" i="19"/>
  <c r="AP83" i="19"/>
  <c r="AJ83" i="19"/>
  <c r="AO80" i="19"/>
  <c r="AJ80" i="19"/>
  <c r="AI80" i="19"/>
  <c r="AH80" i="19"/>
  <c r="AK80" i="19"/>
  <c r="AN80" i="19"/>
  <c r="AG80" i="19"/>
  <c r="AM80" i="19"/>
  <c r="AF80" i="19"/>
  <c r="AE80" i="19"/>
  <c r="AC80" i="19"/>
  <c r="AL80" i="19"/>
  <c r="AD80" i="19"/>
  <c r="AW105" i="19"/>
  <c r="Z62" i="15"/>
  <c r="W3" i="8"/>
  <c r="V3" i="8"/>
  <c r="K8" i="8" s="1"/>
  <c r="U3" i="8"/>
  <c r="W16" i="8"/>
  <c r="AM122" i="19"/>
  <c r="H118" i="21" s="1"/>
  <c r="G118" i="21" s="1"/>
  <c r="AU122" i="19"/>
  <c r="AD43" i="17"/>
  <c r="AM119" i="19"/>
  <c r="H115" i="21" s="1"/>
  <c r="G115" i="21" s="1"/>
  <c r="AU119" i="19"/>
  <c r="AD40" i="17"/>
  <c r="AU132" i="19"/>
  <c r="AD55" i="17"/>
  <c r="AD44" i="17"/>
  <c r="AU123" i="19"/>
  <c r="AY44" i="17" s="1"/>
  <c r="AD42" i="17"/>
  <c r="AU121" i="19"/>
  <c r="AY42" i="17" s="1"/>
  <c r="AS35" i="19"/>
  <c r="AQ35" i="19" s="1"/>
  <c r="AD41" i="17" s="1"/>
  <c r="W19" i="2"/>
  <c r="W22" i="2"/>
  <c r="W20" i="2"/>
  <c r="W21" i="2"/>
  <c r="AS129" i="19"/>
  <c r="A116" i="20" s="1"/>
  <c r="AU129" i="19"/>
  <c r="AV116" i="20"/>
  <c r="AU116" i="19"/>
  <c r="AY35" i="17" s="1"/>
  <c r="AV105" i="20"/>
  <c r="AU118" i="19"/>
  <c r="AU120" i="19"/>
  <c r="AY41" i="17" s="1"/>
  <c r="AM126" i="19"/>
  <c r="H122" i="21" s="1"/>
  <c r="G122" i="21" s="1"/>
  <c r="AU126" i="19"/>
  <c r="AD49" i="17"/>
  <c r="C18" i="7"/>
  <c r="AM131" i="19"/>
  <c r="H127" i="21" s="1"/>
  <c r="G127" i="21" s="1"/>
  <c r="AV118" i="20"/>
  <c r="AU131" i="19"/>
  <c r="AU130" i="19"/>
  <c r="AY53" i="17" s="1"/>
  <c r="AV117" i="20"/>
  <c r="AU127" i="19"/>
  <c r="AY50" i="17" s="1"/>
  <c r="AD50" i="17"/>
  <c r="AD36" i="17"/>
  <c r="AU117" i="19"/>
  <c r="AY36" i="17" s="1"/>
  <c r="AS31" i="19"/>
  <c r="AU115" i="19"/>
  <c r="AY34" i="17" s="1"/>
  <c r="F50" i="10"/>
  <c r="J153" i="21" s="1"/>
  <c r="F51" i="10"/>
  <c r="J154" i="21" s="1"/>
  <c r="F52" i="10"/>
  <c r="J155" i="21" s="1"/>
  <c r="D43" i="1"/>
  <c r="A42" i="1"/>
  <c r="S65" i="2"/>
  <c r="B3" i="21"/>
  <c r="G11" i="11"/>
  <c r="F21" i="13"/>
  <c r="J457" i="21" s="1"/>
  <c r="F49" i="10"/>
  <c r="J152" i="21" s="1"/>
  <c r="F53" i="10"/>
  <c r="J156" i="21" s="1"/>
  <c r="G10" i="11"/>
  <c r="AA114" i="3"/>
  <c r="F29" i="13"/>
  <c r="J465" i="21" s="1"/>
  <c r="F25" i="13"/>
  <c r="J461" i="21" s="1"/>
  <c r="F13" i="13"/>
  <c r="J453" i="21" s="1"/>
  <c r="Y31" i="12"/>
  <c r="Y9" i="12"/>
  <c r="F34" i="10"/>
  <c r="J217" i="21" s="1"/>
  <c r="F33" i="10"/>
  <c r="J216" i="21" s="1"/>
  <c r="F32" i="10"/>
  <c r="J215" i="21" s="1"/>
  <c r="F31" i="10"/>
  <c r="J214" i="21" s="1"/>
  <c r="F30" i="10"/>
  <c r="J213" i="21" s="1"/>
  <c r="K23" i="10"/>
  <c r="F21" i="10"/>
  <c r="J207" i="21" s="1"/>
  <c r="F20" i="10"/>
  <c r="J206" i="21" s="1"/>
  <c r="X62" i="15"/>
  <c r="K17" i="8"/>
  <c r="F9" i="13"/>
  <c r="J449" i="21" s="1"/>
  <c r="AI3" i="10"/>
  <c r="F10" i="10"/>
  <c r="J197" i="21" s="1"/>
  <c r="F12" i="10"/>
  <c r="J199" i="21" s="1"/>
  <c r="F17" i="10"/>
  <c r="J204" i="21" s="1"/>
  <c r="K62" i="10"/>
  <c r="K57" i="10"/>
  <c r="F58" i="10"/>
  <c r="J160" i="21" s="1"/>
  <c r="K64" i="10"/>
  <c r="K56" i="10"/>
  <c r="F63" i="10"/>
  <c r="J164" i="21" s="1"/>
  <c r="K59" i="10"/>
  <c r="K65" i="10"/>
  <c r="F55" i="10"/>
  <c r="J157" i="21" s="1"/>
  <c r="F61" i="10"/>
  <c r="J162" i="21" s="1"/>
  <c r="BA126" i="19"/>
  <c r="W49" i="15"/>
  <c r="F29" i="15" s="1"/>
  <c r="U106" i="12"/>
  <c r="T106" i="12" s="1"/>
  <c r="CK53" i="17"/>
  <c r="S128" i="20"/>
  <c r="CK55" i="17"/>
  <c r="S130" i="20"/>
  <c r="CK52" i="17"/>
  <c r="S127" i="20"/>
  <c r="AP96" i="20"/>
  <c r="S36" i="19"/>
  <c r="Z77" i="3"/>
  <c r="AA77" i="3" s="1"/>
  <c r="AA8" i="4"/>
  <c r="AA9" i="4" s="1"/>
  <c r="Z103" i="3"/>
  <c r="AA103" i="3" s="1"/>
  <c r="F24" i="3"/>
  <c r="AA93" i="3"/>
  <c r="AP2" i="20"/>
  <c r="AP123" i="20"/>
  <c r="CK51" i="17"/>
  <c r="S126" i="20"/>
  <c r="BY124" i="20"/>
  <c r="BY3" i="20"/>
  <c r="BY97" i="20"/>
  <c r="V93" i="19"/>
  <c r="V92" i="19"/>
  <c r="V94" i="19"/>
  <c r="V97" i="19"/>
  <c r="V95" i="19"/>
  <c r="V91" i="19"/>
  <c r="V81" i="19"/>
  <c r="V96" i="19"/>
  <c r="V89" i="19"/>
  <c r="V87" i="19"/>
  <c r="V86" i="19"/>
  <c r="V84" i="19"/>
  <c r="V83" i="19"/>
  <c r="V80" i="19"/>
  <c r="AB80" i="19"/>
  <c r="AW104" i="19"/>
  <c r="AX103" i="19"/>
  <c r="AP100" i="19"/>
  <c r="AV104" i="19"/>
  <c r="AW103" i="19"/>
  <c r="AO100" i="19"/>
  <c r="AO78" i="19" s="1"/>
  <c r="AO46" i="17"/>
  <c r="BH111" i="20"/>
  <c r="AO36" i="17"/>
  <c r="BH104" i="20"/>
  <c r="AO31" i="17"/>
  <c r="BH100" i="20"/>
  <c r="AO49" i="17"/>
  <c r="BH113" i="20"/>
  <c r="AO34" i="17"/>
  <c r="BH102" i="20"/>
  <c r="Z68" i="3"/>
  <c r="Z69" i="3" s="1"/>
  <c r="AA102" i="3"/>
  <c r="AM123" i="19"/>
  <c r="H119" i="21" s="1"/>
  <c r="G119" i="21" s="1"/>
  <c r="AS123" i="19"/>
  <c r="AC107" i="19"/>
  <c r="Z115" i="3"/>
  <c r="AA115" i="3" s="1"/>
  <c r="AD107" i="19"/>
  <c r="Z94" i="3"/>
  <c r="AA94" i="3" s="1"/>
  <c r="AS131" i="19"/>
  <c r="BA127" i="19"/>
  <c r="AM127" i="19"/>
  <c r="H123" i="21" s="1"/>
  <c r="G123" i="21" s="1"/>
  <c r="AS127" i="19"/>
  <c r="AS125" i="19"/>
  <c r="AS120" i="19"/>
  <c r="AS7" i="19"/>
  <c r="AV7" i="19"/>
  <c r="W57" i="19"/>
  <c r="AM125" i="19"/>
  <c r="H121" i="21" s="1"/>
  <c r="G121" i="21" s="1"/>
  <c r="U28" i="13"/>
  <c r="I8" i="19"/>
  <c r="I6" i="19"/>
  <c r="AH41" i="10"/>
  <c r="K21" i="16"/>
  <c r="W29" i="8"/>
  <c r="W28" i="8"/>
  <c r="T170" i="16"/>
  <c r="AY6" i="19"/>
  <c r="AU6" i="19" s="1"/>
  <c r="AY5" i="19"/>
  <c r="AU5" i="19" s="1"/>
  <c r="AY4" i="19"/>
  <c r="AU4" i="19" s="1"/>
  <c r="AY3" i="19"/>
  <c r="AU3" i="19" s="1"/>
  <c r="AX6" i="19"/>
  <c r="AT6" i="19" s="1"/>
  <c r="AX5" i="19"/>
  <c r="AT5" i="19" s="1"/>
  <c r="AX4" i="19"/>
  <c r="AT4" i="19" s="1"/>
  <c r="AX3" i="19"/>
  <c r="AT3" i="19" s="1"/>
  <c r="Z124" i="3"/>
  <c r="AA124" i="3" s="1"/>
  <c r="B11" i="2"/>
  <c r="AA76" i="3"/>
  <c r="AP2" i="17"/>
  <c r="W3" i="19"/>
  <c r="AA67" i="3"/>
  <c r="T80" i="2"/>
  <c r="AI14" i="19"/>
  <c r="AS130" i="19"/>
  <c r="AM130" i="19"/>
  <c r="H126" i="21" s="1"/>
  <c r="G126" i="21" s="1"/>
  <c r="K29" i="19"/>
  <c r="BA120" i="19"/>
  <c r="AS119" i="19"/>
  <c r="AS117" i="19"/>
  <c r="BA121" i="19"/>
  <c r="BA117" i="19"/>
  <c r="BA114" i="19"/>
  <c r="BA115" i="19"/>
  <c r="AA28" i="19"/>
  <c r="AU113" i="19" s="1"/>
  <c r="AM117" i="19"/>
  <c r="H113" i="21" s="1"/>
  <c r="AM120" i="19"/>
  <c r="H116" i="21" s="1"/>
  <c r="AS124" i="19"/>
  <c r="AM124" i="19"/>
  <c r="H120" i="21" s="1"/>
  <c r="G120" i="21" s="1"/>
  <c r="AM115" i="19"/>
  <c r="H111" i="21" s="1"/>
  <c r="AS121" i="19"/>
  <c r="AS115" i="19"/>
  <c r="AM129" i="19"/>
  <c r="H125" i="21" s="1"/>
  <c r="G125" i="21" s="1"/>
  <c r="AS126" i="19"/>
  <c r="AM121" i="19"/>
  <c r="H117" i="21" s="1"/>
  <c r="G117" i="21" s="1"/>
  <c r="F23" i="13"/>
  <c r="J459" i="21" s="1"/>
  <c r="O21" i="4"/>
  <c r="F10" i="13"/>
  <c r="J450" i="21" s="1"/>
  <c r="AM116" i="19"/>
  <c r="H112" i="21" s="1"/>
  <c r="AS122" i="19"/>
  <c r="AS116" i="19"/>
  <c r="BA119" i="19"/>
  <c r="K12" i="19"/>
  <c r="BA113" i="19"/>
  <c r="Y55" i="15"/>
  <c r="T62" i="15"/>
  <c r="H133" i="21" s="1"/>
  <c r="G133" i="21" s="1"/>
  <c r="V62" i="15"/>
  <c r="BA118" i="19"/>
  <c r="H132" i="21"/>
  <c r="G132" i="21" s="1"/>
  <c r="AU136" i="19"/>
  <c r="Q19" i="19"/>
  <c r="T14" i="19"/>
  <c r="K14" i="19" s="1"/>
  <c r="Q27" i="19"/>
  <c r="AA43" i="19"/>
  <c r="AQ43" i="19" s="1"/>
  <c r="AM118" i="19"/>
  <c r="H114" i="21" s="1"/>
  <c r="G114" i="21" s="1"/>
  <c r="AS118" i="19"/>
  <c r="AS132" i="19"/>
  <c r="AM132" i="19"/>
  <c r="H128" i="21" s="1"/>
  <c r="G128" i="21" s="1"/>
  <c r="U29" i="5"/>
  <c r="Q31" i="19"/>
  <c r="AN43" i="19"/>
  <c r="AO43" i="19" s="1"/>
  <c r="AN47" i="19"/>
  <c r="AO47" i="19" s="1"/>
  <c r="AN46" i="19"/>
  <c r="AO46" i="19" s="1"/>
  <c r="AN37" i="19"/>
  <c r="AO37" i="19" s="1"/>
  <c r="AN28" i="19"/>
  <c r="AO28" i="19" s="1"/>
  <c r="AN45" i="19"/>
  <c r="AO45" i="19" s="1"/>
  <c r="AN36" i="19"/>
  <c r="AO36" i="19" s="1"/>
  <c r="AN44" i="19"/>
  <c r="AO44" i="19" s="1"/>
  <c r="AN35" i="19"/>
  <c r="AO35" i="19" s="1"/>
  <c r="AN42" i="19"/>
  <c r="AO42" i="19" s="1"/>
  <c r="AN34" i="19"/>
  <c r="AO34" i="19" s="1"/>
  <c r="AN41" i="19"/>
  <c r="AO41" i="19" s="1"/>
  <c r="AN32" i="19"/>
  <c r="AO32" i="19" s="1"/>
  <c r="AN40" i="19"/>
  <c r="AO40" i="19" s="1"/>
  <c r="AO31" i="19"/>
  <c r="AN39" i="19"/>
  <c r="AO39" i="19" s="1"/>
  <c r="AN30" i="19"/>
  <c r="AO30" i="19" s="1"/>
  <c r="AN38" i="19"/>
  <c r="AO38" i="19" s="1"/>
  <c r="AN29" i="19"/>
  <c r="AO29" i="19" s="1"/>
  <c r="V68" i="2"/>
  <c r="U68" i="2"/>
  <c r="T68" i="2"/>
  <c r="AA68" i="2"/>
  <c r="S68" i="2"/>
  <c r="Z68" i="2"/>
  <c r="Y68" i="2"/>
  <c r="X68" i="2"/>
  <c r="W68" i="2"/>
  <c r="AO33" i="19"/>
  <c r="N27" i="19"/>
  <c r="I124" i="21" s="1"/>
  <c r="L27" i="19"/>
  <c r="J124" i="21" s="1"/>
  <c r="Q17" i="19"/>
  <c r="N17" i="19"/>
  <c r="I114" i="21" s="1"/>
  <c r="L17" i="19"/>
  <c r="J114" i="21" s="1"/>
  <c r="N14" i="19"/>
  <c r="I111" i="21" s="1"/>
  <c r="L30" i="19"/>
  <c r="J127" i="21" s="1"/>
  <c r="N30" i="19"/>
  <c r="I127" i="21" s="1"/>
  <c r="L22" i="19"/>
  <c r="J119" i="21" s="1"/>
  <c r="N22" i="19"/>
  <c r="I119" i="21" s="1"/>
  <c r="L31" i="19"/>
  <c r="J128" i="21" s="1"/>
  <c r="N31" i="19"/>
  <c r="I128" i="21" s="1"/>
  <c r="L29" i="19"/>
  <c r="J126" i="21" s="1"/>
  <c r="N29" i="19"/>
  <c r="I126" i="21" s="1"/>
  <c r="N23" i="19"/>
  <c r="I120" i="21" s="1"/>
  <c r="L23" i="19"/>
  <c r="J120" i="21" s="1"/>
  <c r="L15" i="19"/>
  <c r="J112" i="21" s="1"/>
  <c r="N15" i="19"/>
  <c r="I112" i="21" s="1"/>
  <c r="A22" i="19"/>
  <c r="Y38" i="19"/>
  <c r="A31" i="19"/>
  <c r="Y47" i="19"/>
  <c r="A20" i="19"/>
  <c r="Y36" i="19"/>
  <c r="A17" i="19"/>
  <c r="Y33" i="19"/>
  <c r="A23" i="19"/>
  <c r="Y39" i="19"/>
  <c r="A28" i="19"/>
  <c r="Y44" i="19"/>
  <c r="A15" i="19"/>
  <c r="Y31" i="19"/>
  <c r="A27" i="19"/>
  <c r="Y43" i="19"/>
  <c r="A29" i="19"/>
  <c r="Y45" i="19"/>
  <c r="A26" i="19"/>
  <c r="Y42" i="19"/>
  <c r="A21" i="19"/>
  <c r="Y37" i="19"/>
  <c r="A18" i="19"/>
  <c r="Y34" i="19"/>
  <c r="A30" i="19"/>
  <c r="Y46" i="19"/>
  <c r="A16" i="19"/>
  <c r="Y32" i="19"/>
  <c r="A24" i="19"/>
  <c r="Y40" i="19"/>
  <c r="A19" i="19"/>
  <c r="Y35" i="19"/>
  <c r="A25" i="19"/>
  <c r="Y41" i="19"/>
  <c r="A14" i="19"/>
  <c r="Y30" i="19"/>
  <c r="A13" i="19"/>
  <c r="Y29" i="19"/>
  <c r="A12" i="19"/>
  <c r="U26" i="2"/>
  <c r="W27" i="8"/>
  <c r="W19" i="8"/>
  <c r="W26" i="8"/>
  <c r="W18" i="8"/>
  <c r="W25" i="8"/>
  <c r="W17" i="8"/>
  <c r="W24" i="8"/>
  <c r="W32" i="8"/>
  <c r="W23" i="8"/>
  <c r="W31" i="8"/>
  <c r="W22" i="8"/>
  <c r="W30" i="8"/>
  <c r="W21" i="8"/>
  <c r="W20" i="8"/>
  <c r="D8" i="5"/>
  <c r="AH58" i="3"/>
  <c r="AC58" i="3" s="1"/>
  <c r="K79" i="12"/>
  <c r="S39" i="12" s="1"/>
  <c r="F79" i="12"/>
  <c r="J376" i="21" s="1"/>
  <c r="F10" i="16"/>
  <c r="J218" i="21" s="1"/>
  <c r="T53" i="15"/>
  <c r="T52" i="15" s="1"/>
  <c r="AJ29" i="10"/>
  <c r="K58" i="10"/>
  <c r="AG60" i="10"/>
  <c r="F56" i="10"/>
  <c r="J158" i="21" s="1"/>
  <c r="F57" i="10"/>
  <c r="J159" i="21" s="1"/>
  <c r="T75" i="2"/>
  <c r="S25" i="6"/>
  <c r="BY3" i="17"/>
  <c r="V23" i="7"/>
  <c r="T28" i="13"/>
  <c r="S22" i="13"/>
  <c r="H12" i="13"/>
  <c r="D15" i="13"/>
  <c r="F33" i="16"/>
  <c r="D30" i="16"/>
  <c r="F31" i="16"/>
  <c r="J235" i="21" s="1"/>
  <c r="K27" i="16"/>
  <c r="F27" i="16"/>
  <c r="J232" i="21" s="1"/>
  <c r="F26" i="16"/>
  <c r="J231" i="21" s="1"/>
  <c r="K23" i="16"/>
  <c r="F21" i="16"/>
  <c r="J226" i="21" s="1"/>
  <c r="D13" i="16"/>
  <c r="F12" i="16"/>
  <c r="J220" i="21" s="1"/>
  <c r="F11" i="16"/>
  <c r="J219" i="21" s="1"/>
  <c r="F23" i="10"/>
  <c r="J209" i="21" s="1"/>
  <c r="K63" i="10"/>
  <c r="F64" i="10"/>
  <c r="J165" i="21" s="1"/>
  <c r="K61" i="10"/>
  <c r="F62" i="10"/>
  <c r="J163" i="21" s="1"/>
  <c r="F65" i="10"/>
  <c r="J166" i="21" s="1"/>
  <c r="F59" i="10"/>
  <c r="J161" i="21" s="1"/>
  <c r="K55" i="10"/>
  <c r="F11" i="10"/>
  <c r="J198" i="21" s="1"/>
  <c r="B4" i="7"/>
  <c r="D2" i="7"/>
  <c r="B4" i="6"/>
  <c r="U10" i="6" s="1"/>
  <c r="B13" i="6"/>
  <c r="B2" i="6"/>
  <c r="B1" i="6"/>
  <c r="T47" i="4"/>
  <c r="B2" i="4"/>
  <c r="B1" i="4"/>
  <c r="BK23" i="10" l="1"/>
  <c r="BL22" i="10"/>
  <c r="F17" i="21"/>
  <c r="E18" i="21"/>
  <c r="F8" i="12"/>
  <c r="G211" i="21"/>
  <c r="G210" i="21"/>
  <c r="T24" i="16"/>
  <c r="G453" i="21"/>
  <c r="G451" i="21"/>
  <c r="G449" i="21"/>
  <c r="G450" i="21"/>
  <c r="AD8" i="7"/>
  <c r="AD11" i="7" s="1"/>
  <c r="D9" i="7" s="1"/>
  <c r="F13" i="7"/>
  <c r="H590" i="21"/>
  <c r="G590" i="21" s="1"/>
  <c r="V10" i="6"/>
  <c r="T10" i="6" s="1"/>
  <c r="T6" i="6" s="1"/>
  <c r="T33" i="6" s="1"/>
  <c r="V7" i="6"/>
  <c r="O19" i="4"/>
  <c r="J493" i="21"/>
  <c r="J494" i="21"/>
  <c r="AQ31" i="19"/>
  <c r="AV103" i="20" s="1"/>
  <c r="J237" i="21"/>
  <c r="T70" i="3"/>
  <c r="T3" i="3"/>
  <c r="H14" i="3" s="1"/>
  <c r="Y13" i="3"/>
  <c r="Z13" i="3" s="1"/>
  <c r="Y16" i="3"/>
  <c r="Y14" i="3"/>
  <c r="Z14" i="3" s="1"/>
  <c r="Y12" i="3"/>
  <c r="Y11" i="3"/>
  <c r="Y15" i="3"/>
  <c r="H37" i="3"/>
  <c r="T15" i="3"/>
  <c r="K46" i="3"/>
  <c r="Z37" i="3"/>
  <c r="Z26" i="3"/>
  <c r="Z46" i="3"/>
  <c r="Z48" i="3"/>
  <c r="Z31" i="3"/>
  <c r="Z47" i="3"/>
  <c r="Z45" i="3"/>
  <c r="Z44" i="3"/>
  <c r="Z42" i="3"/>
  <c r="Z41" i="3"/>
  <c r="T8" i="3"/>
  <c r="U8" i="3" s="1"/>
  <c r="T10" i="3"/>
  <c r="U10" i="3" s="1"/>
  <c r="T7" i="3"/>
  <c r="T6" i="3"/>
  <c r="U6" i="3" s="1"/>
  <c r="T9" i="3"/>
  <c r="U9" i="3" s="1"/>
  <c r="T11" i="3"/>
  <c r="H452" i="21"/>
  <c r="I452" i="21"/>
  <c r="AM37" i="3"/>
  <c r="AM48" i="3"/>
  <c r="AM32" i="3"/>
  <c r="AM47" i="3"/>
  <c r="AM26" i="3"/>
  <c r="AM41" i="3"/>
  <c r="AM46" i="3"/>
  <c r="AM45" i="3"/>
  <c r="AM43" i="3"/>
  <c r="AM42" i="3"/>
  <c r="F8" i="8"/>
  <c r="J89" i="21" s="1"/>
  <c r="H8" i="8"/>
  <c r="S21" i="8" s="1"/>
  <c r="F5" i="15"/>
  <c r="G17" i="1" s="1"/>
  <c r="J137" i="21"/>
  <c r="S73" i="2"/>
  <c r="H35" i="21"/>
  <c r="I35" i="21"/>
  <c r="Y17" i="2"/>
  <c r="H21" i="21" s="1"/>
  <c r="AD4" i="2"/>
  <c r="AD7" i="2" s="1"/>
  <c r="H23" i="3"/>
  <c r="I25" i="21" s="1"/>
  <c r="Z20" i="3"/>
  <c r="BJ26" i="3" s="1"/>
  <c r="H28" i="21" s="1"/>
  <c r="F5" i="12"/>
  <c r="H11" i="4"/>
  <c r="AK29" i="19"/>
  <c r="Q13" i="19" s="1"/>
  <c r="Q9" i="19" s="1"/>
  <c r="BS112" i="20"/>
  <c r="AE29" i="19"/>
  <c r="I12" i="1"/>
  <c r="K3" i="5"/>
  <c r="K56" i="3"/>
  <c r="W45" i="3"/>
  <c r="K14" i="3"/>
  <c r="V64" i="12"/>
  <c r="D37" i="13"/>
  <c r="AQ30" i="19"/>
  <c r="AD34" i="17" s="1"/>
  <c r="Z104" i="3"/>
  <c r="AJ32" i="10"/>
  <c r="AJ28" i="10" s="1"/>
  <c r="AG67" i="10"/>
  <c r="AM113" i="19"/>
  <c r="H109" i="21" s="1"/>
  <c r="G109" i="21" s="1"/>
  <c r="AY32" i="17"/>
  <c r="S57" i="12"/>
  <c r="S58" i="12" s="1"/>
  <c r="A102" i="12"/>
  <c r="H3" i="12"/>
  <c r="I20" i="1"/>
  <c r="K3" i="13"/>
  <c r="O20" i="4"/>
  <c r="K3" i="12"/>
  <c r="A9" i="5"/>
  <c r="H8" i="5"/>
  <c r="AQ28" i="19"/>
  <c r="S17" i="8"/>
  <c r="K3" i="8" s="1"/>
  <c r="AV114" i="20"/>
  <c r="BS110" i="20"/>
  <c r="BS104" i="20"/>
  <c r="A52" i="17"/>
  <c r="BS107" i="20"/>
  <c r="BS117" i="20"/>
  <c r="BS108" i="20"/>
  <c r="AD38" i="17"/>
  <c r="AV107" i="20"/>
  <c r="AV108" i="20"/>
  <c r="AV104" i="20"/>
  <c r="AV109" i="20"/>
  <c r="AD54" i="17"/>
  <c r="AV110" i="20"/>
  <c r="BS103" i="20"/>
  <c r="U9" i="4"/>
  <c r="U6" i="4"/>
  <c r="U8" i="4"/>
  <c r="I42" i="7"/>
  <c r="O15" i="4"/>
  <c r="AD52" i="17"/>
  <c r="BS102" i="20"/>
  <c r="AD53" i="17"/>
  <c r="AV113" i="20"/>
  <c r="AD48" i="17"/>
  <c r="AV106" i="20"/>
  <c r="BS114" i="20"/>
  <c r="AV119" i="20"/>
  <c r="AU128" i="19"/>
  <c r="AV101" i="20"/>
  <c r="AY46" i="17"/>
  <c r="AD46" i="17"/>
  <c r="AS113" i="19"/>
  <c r="A100" i="20" s="1"/>
  <c r="C43" i="1"/>
  <c r="E43" i="1" s="1"/>
  <c r="H13" i="6"/>
  <c r="I53" i="21" s="1"/>
  <c r="F13" i="6"/>
  <c r="J53" i="21" s="1"/>
  <c r="F12" i="13"/>
  <c r="J452" i="21" s="1"/>
  <c r="AG36" i="10"/>
  <c r="F67" i="10"/>
  <c r="J167" i="21" s="1"/>
  <c r="O18" i="4"/>
  <c r="Z78" i="3"/>
  <c r="Z95" i="3"/>
  <c r="BG2" i="17"/>
  <c r="BG96" i="20"/>
  <c r="BG2" i="20"/>
  <c r="BG123" i="20"/>
  <c r="AA68" i="3"/>
  <c r="S91" i="3" s="1"/>
  <c r="S95" i="3" s="1"/>
  <c r="V75" i="19"/>
  <c r="AY54" i="17"/>
  <c r="BS118" i="20"/>
  <c r="A50" i="17"/>
  <c r="A114" i="20"/>
  <c r="A35" i="17"/>
  <c r="A103" i="20"/>
  <c r="A49" i="17"/>
  <c r="A113" i="20"/>
  <c r="A46" i="17"/>
  <c r="A111" i="20"/>
  <c r="A53" i="17"/>
  <c r="A117" i="20"/>
  <c r="AY43" i="17"/>
  <c r="BS109" i="20"/>
  <c r="A54" i="17"/>
  <c r="A118" i="20"/>
  <c r="AY38" i="17"/>
  <c r="BS105" i="20"/>
  <c r="A55" i="17"/>
  <c r="A119" i="20"/>
  <c r="A43" i="17"/>
  <c r="A109" i="20"/>
  <c r="AY55" i="17"/>
  <c r="BS119" i="20"/>
  <c r="A38" i="17"/>
  <c r="A105" i="20"/>
  <c r="AY49" i="17"/>
  <c r="BS113" i="20"/>
  <c r="A36" i="17"/>
  <c r="A104" i="20"/>
  <c r="A44" i="17"/>
  <c r="A110" i="20"/>
  <c r="AY56" i="17"/>
  <c r="BS121" i="20"/>
  <c r="AY52" i="17"/>
  <c r="BS116" i="20"/>
  <c r="A40" i="17"/>
  <c r="A106" i="20"/>
  <c r="A41" i="17"/>
  <c r="A107" i="20"/>
  <c r="AY40" i="17"/>
  <c r="BS106" i="20"/>
  <c r="A42" i="17"/>
  <c r="A108" i="20"/>
  <c r="A48" i="17"/>
  <c r="A112" i="20"/>
  <c r="A34" i="17"/>
  <c r="A102" i="20"/>
  <c r="Z116" i="3"/>
  <c r="S101" i="3" s="1"/>
  <c r="Z125" i="3"/>
  <c r="A157" i="16"/>
  <c r="T173" i="16"/>
  <c r="P21" i="1" s="1"/>
  <c r="K21" i="1" s="1"/>
  <c r="K10" i="1" s="1"/>
  <c r="T23" i="16"/>
  <c r="V36" i="6"/>
  <c r="T36" i="6" s="1"/>
  <c r="T34" i="6" s="1"/>
  <c r="V34" i="6"/>
  <c r="AS25" i="3"/>
  <c r="U4" i="3"/>
  <c r="F23" i="3" s="1"/>
  <c r="U36" i="6"/>
  <c r="S19" i="13"/>
  <c r="U40" i="2"/>
  <c r="U39" i="2"/>
  <c r="U42" i="2"/>
  <c r="AS34" i="3"/>
  <c r="W61" i="19"/>
  <c r="AS128" i="19"/>
  <c r="AM128" i="19"/>
  <c r="H124" i="21" s="1"/>
  <c r="G124" i="21" s="1"/>
  <c r="AS41" i="3"/>
  <c r="AS40" i="3"/>
  <c r="AS36" i="3"/>
  <c r="AS37" i="3"/>
  <c r="AS38" i="3"/>
  <c r="AS31" i="3"/>
  <c r="AS42" i="3"/>
  <c r="AS39" i="3"/>
  <c r="L6" i="6"/>
  <c r="R6" i="19"/>
  <c r="W48" i="3"/>
  <c r="W47" i="3"/>
  <c r="W44" i="3"/>
  <c r="W46" i="3"/>
  <c r="W56" i="19"/>
  <c r="U35" i="6"/>
  <c r="J51" i="21" s="1"/>
  <c r="U9" i="6"/>
  <c r="U7" i="6"/>
  <c r="F34" i="8"/>
  <c r="J108" i="21" s="1"/>
  <c r="T43" i="6"/>
  <c r="T42" i="6"/>
  <c r="T41" i="6"/>
  <c r="W15" i="8"/>
  <c r="Y14" i="8" s="1"/>
  <c r="T44" i="6"/>
  <c r="D6" i="13"/>
  <c r="T46" i="4"/>
  <c r="T44" i="4"/>
  <c r="AG32" i="10"/>
  <c r="L6" i="8"/>
  <c r="L15" i="4"/>
  <c r="M4" i="1" s="1"/>
  <c r="L6" i="15"/>
  <c r="L6" i="3"/>
  <c r="L6" i="5"/>
  <c r="L6" i="2"/>
  <c r="M3" i="1"/>
  <c r="BK24" i="10" l="1"/>
  <c r="BL23" i="10"/>
  <c r="F18" i="21"/>
  <c r="E19" i="21"/>
  <c r="G452" i="21"/>
  <c r="G454" i="21" s="1"/>
  <c r="G467" i="21" s="1"/>
  <c r="F11" i="4"/>
  <c r="U36" i="4" s="1"/>
  <c r="H588" i="21"/>
  <c r="G588" i="21" s="1"/>
  <c r="H533" i="21"/>
  <c r="J533" i="21"/>
  <c r="H591" i="21"/>
  <c r="G591" i="21" s="1"/>
  <c r="T46" i="3"/>
  <c r="T48" i="3"/>
  <c r="T25" i="3"/>
  <c r="T43" i="3"/>
  <c r="U3" i="3"/>
  <c r="F14" i="3" s="1"/>
  <c r="T32" i="3"/>
  <c r="E12" i="22"/>
  <c r="H529" i="21"/>
  <c r="J529" i="21"/>
  <c r="S25" i="13"/>
  <c r="AD35" i="17"/>
  <c r="T22" i="16"/>
  <c r="T40" i="3"/>
  <c r="T45" i="3"/>
  <c r="Y20" i="3"/>
  <c r="BJ25" i="3" s="1"/>
  <c r="H24" i="21" s="1"/>
  <c r="T36" i="3"/>
  <c r="T39" i="3"/>
  <c r="T42" i="3"/>
  <c r="X37" i="3"/>
  <c r="H46" i="3"/>
  <c r="I23" i="21" s="1"/>
  <c r="T47" i="3"/>
  <c r="T44" i="3"/>
  <c r="T41" i="3"/>
  <c r="U70" i="3"/>
  <c r="AK43" i="3"/>
  <c r="AK45" i="3"/>
  <c r="AK42" i="3"/>
  <c r="AK33" i="3"/>
  <c r="AK41" i="3"/>
  <c r="AK48" i="3"/>
  <c r="AK40" i="3"/>
  <c r="AK36" i="3"/>
  <c r="AK25" i="3"/>
  <c r="AK47" i="3"/>
  <c r="AK39" i="3"/>
  <c r="AK46" i="3"/>
  <c r="AK44" i="3"/>
  <c r="H56" i="3"/>
  <c r="AE33" i="3"/>
  <c r="H32" i="3" s="1"/>
  <c r="AE46" i="3"/>
  <c r="AE36" i="3"/>
  <c r="AE47" i="3"/>
  <c r="AE45" i="3"/>
  <c r="AE25" i="3"/>
  <c r="AE44" i="3"/>
  <c r="AE43" i="3"/>
  <c r="AE42" i="3"/>
  <c r="AE41" i="3"/>
  <c r="AE48" i="3"/>
  <c r="AE40" i="3"/>
  <c r="AE39" i="3"/>
  <c r="H29" i="21"/>
  <c r="G29" i="21" s="1"/>
  <c r="G30" i="21" s="1"/>
  <c r="U11" i="3"/>
  <c r="AB16" i="3"/>
  <c r="U7" i="3"/>
  <c r="F29" i="3" s="1"/>
  <c r="AA20" i="3"/>
  <c r="BJ27" i="3" s="1"/>
  <c r="H29" i="3"/>
  <c r="BK14" i="3" s="1"/>
  <c r="I89" i="21"/>
  <c r="T25" i="4"/>
  <c r="H12" i="4" s="1"/>
  <c r="X4" i="4" s="1"/>
  <c r="H534" i="21"/>
  <c r="J534" i="21"/>
  <c r="H532" i="21"/>
  <c r="J532" i="21"/>
  <c r="H10" i="2"/>
  <c r="I21" i="21" s="1"/>
  <c r="AB17" i="2"/>
  <c r="F10" i="2" s="1"/>
  <c r="J21" i="21" s="1"/>
  <c r="G21" i="21" s="1"/>
  <c r="C12" i="2"/>
  <c r="K3" i="10"/>
  <c r="AS114" i="19"/>
  <c r="AM114" i="19"/>
  <c r="H110" i="21" s="1"/>
  <c r="G110" i="21" s="1"/>
  <c r="K3" i="16"/>
  <c r="F5" i="13"/>
  <c r="G20" i="1" s="1"/>
  <c r="G19" i="1"/>
  <c r="AV102" i="20"/>
  <c r="I19" i="1"/>
  <c r="K3" i="15"/>
  <c r="H20" i="1"/>
  <c r="H3" i="13"/>
  <c r="H19" i="1"/>
  <c r="H17" i="1"/>
  <c r="H3" i="15"/>
  <c r="AD51" i="17"/>
  <c r="AV115" i="20"/>
  <c r="A31" i="17"/>
  <c r="AV100" i="20"/>
  <c r="AD31" i="17"/>
  <c r="D44" i="1"/>
  <c r="A43" i="1"/>
  <c r="Z16" i="6"/>
  <c r="J52" i="21" s="1"/>
  <c r="AZ3" i="3"/>
  <c r="P14" i="3" s="1"/>
  <c r="BS12" i="3"/>
  <c r="BC12" i="3"/>
  <c r="BE12" i="3"/>
  <c r="CG12" i="3"/>
  <c r="BQ12" i="3"/>
  <c r="CE12" i="3"/>
  <c r="BO12" i="3"/>
  <c r="BG12" i="3"/>
  <c r="BU12" i="3"/>
  <c r="CC12" i="3"/>
  <c r="BM12" i="3"/>
  <c r="CA12" i="3"/>
  <c r="BK12" i="3"/>
  <c r="BY12" i="3"/>
  <c r="BW12" i="3"/>
  <c r="BI12" i="3"/>
  <c r="A51" i="17"/>
  <c r="A115" i="20"/>
  <c r="AY51" i="17"/>
  <c r="BS115" i="20"/>
  <c r="AY31" i="17"/>
  <c r="BS100" i="20"/>
  <c r="S103" i="3"/>
  <c r="S105" i="3" s="1"/>
  <c r="T7" i="6"/>
  <c r="K13" i="1"/>
  <c r="K12" i="1"/>
  <c r="K11" i="1"/>
  <c r="K14" i="1"/>
  <c r="T28" i="4"/>
  <c r="U33" i="6"/>
  <c r="U6" i="6" s="1"/>
  <c r="U34" i="6"/>
  <c r="O17" i="4"/>
  <c r="I15" i="1"/>
  <c r="I18" i="1"/>
  <c r="I16" i="1"/>
  <c r="AT39" i="3"/>
  <c r="AT41" i="3"/>
  <c r="AT42" i="3"/>
  <c r="AT40" i="3"/>
  <c r="H33" i="8"/>
  <c r="I107" i="21" s="1"/>
  <c r="O16" i="4"/>
  <c r="T32" i="4"/>
  <c r="T20" i="4"/>
  <c r="T30" i="4"/>
  <c r="T31" i="4"/>
  <c r="V35" i="6"/>
  <c r="T35" i="6" s="1"/>
  <c r="I51" i="21" s="1"/>
  <c r="L6" i="12"/>
  <c r="L6" i="13"/>
  <c r="L6" i="16"/>
  <c r="P6" i="11"/>
  <c r="L6" i="10"/>
  <c r="V9" i="6"/>
  <c r="T9" i="6" s="1"/>
  <c r="BL24" i="10" l="1"/>
  <c r="BK25" i="10"/>
  <c r="H19" i="3"/>
  <c r="F19" i="21"/>
  <c r="E20" i="21"/>
  <c r="G468" i="21"/>
  <c r="G469" i="21"/>
  <c r="X9" i="4"/>
  <c r="X6" i="4"/>
  <c r="X8" i="4"/>
  <c r="H592" i="21"/>
  <c r="G111" i="21"/>
  <c r="G112" i="21" s="1"/>
  <c r="I32" i="21"/>
  <c r="T48" i="4"/>
  <c r="T43" i="4" s="1"/>
  <c r="H584" i="21" s="1"/>
  <c r="H22" i="21"/>
  <c r="BO20" i="3"/>
  <c r="BM20" i="3"/>
  <c r="BG20" i="3"/>
  <c r="BC20" i="3"/>
  <c r="BE20" i="3"/>
  <c r="BK20" i="3"/>
  <c r="BI20" i="3"/>
  <c r="BQ20" i="3"/>
  <c r="BS20" i="3"/>
  <c r="BA4" i="3"/>
  <c r="BC14" i="3"/>
  <c r="BG14" i="3"/>
  <c r="BS14" i="3"/>
  <c r="AZ4" i="3"/>
  <c r="AZ10" i="3" s="1"/>
  <c r="BM14" i="3"/>
  <c r="BO14" i="3"/>
  <c r="BE14" i="3"/>
  <c r="BQ14" i="3"/>
  <c r="BI14" i="3"/>
  <c r="AP21" i="3"/>
  <c r="BK27" i="3" s="1"/>
  <c r="H31" i="21" s="1"/>
  <c r="H530" i="21"/>
  <c r="J530" i="21"/>
  <c r="H531" i="21"/>
  <c r="J531" i="21"/>
  <c r="U45" i="3"/>
  <c r="H25" i="21"/>
  <c r="S93" i="3"/>
  <c r="S98" i="3" s="1"/>
  <c r="A32" i="17"/>
  <c r="A101" i="20"/>
  <c r="I17" i="1"/>
  <c r="X2" i="4"/>
  <c r="C44" i="1"/>
  <c r="E44" i="1" s="1"/>
  <c r="S14" i="8"/>
  <c r="U104" i="12" s="1"/>
  <c r="T104" i="12" s="1"/>
  <c r="H15" i="4"/>
  <c r="H16" i="4"/>
  <c r="S22" i="8"/>
  <c r="F33" i="8" s="1"/>
  <c r="J107" i="21" s="1"/>
  <c r="BK26" i="10" l="1"/>
  <c r="BL25" i="10"/>
  <c r="F20" i="21"/>
  <c r="E21" i="21"/>
  <c r="G25" i="21"/>
  <c r="G22" i="21"/>
  <c r="G23" i="21" s="1"/>
  <c r="G116" i="21"/>
  <c r="G113" i="21"/>
  <c r="G592" i="21"/>
  <c r="H10" i="5"/>
  <c r="H38" i="21" s="1"/>
  <c r="BA10" i="3"/>
  <c r="BA9" i="3"/>
  <c r="BA8" i="3"/>
  <c r="AZ9" i="3"/>
  <c r="AZ8" i="3"/>
  <c r="H33" i="21"/>
  <c r="I33" i="21"/>
  <c r="H37" i="21"/>
  <c r="I37" i="21"/>
  <c r="S63" i="2"/>
  <c r="H3" i="2" s="1"/>
  <c r="A100" i="12"/>
  <c r="H15" i="1"/>
  <c r="H3" i="8"/>
  <c r="D45" i="1"/>
  <c r="A44" i="1"/>
  <c r="F5" i="8"/>
  <c r="G15" i="1" s="1"/>
  <c r="Y16" i="6"/>
  <c r="J54" i="21" s="1"/>
  <c r="AE67" i="7"/>
  <c r="W67" i="7" s="1"/>
  <c r="AE66" i="7"/>
  <c r="W66" i="7" s="1"/>
  <c r="F16" i="4"/>
  <c r="J37" i="21" s="1"/>
  <c r="S41" i="4"/>
  <c r="D12" i="4"/>
  <c r="G584" i="21"/>
  <c r="U20" i="4"/>
  <c r="B2" i="3"/>
  <c r="B2" i="2"/>
  <c r="BL26" i="10" l="1"/>
  <c r="BK27" i="10"/>
  <c r="E22" i="21"/>
  <c r="F21" i="21"/>
  <c r="T36" i="5"/>
  <c r="G38" i="21"/>
  <c r="I38" i="21"/>
  <c r="S24" i="5"/>
  <c r="H11" i="1"/>
  <c r="H3" i="4"/>
  <c r="C45" i="1"/>
  <c r="E45" i="1" s="1"/>
  <c r="S42" i="5"/>
  <c r="T35" i="5"/>
  <c r="D16" i="5"/>
  <c r="U32" i="4"/>
  <c r="U21" i="4"/>
  <c r="U31" i="4"/>
  <c r="U24" i="5"/>
  <c r="H40" i="5" s="1"/>
  <c r="T87" i="3"/>
  <c r="BB2" i="3"/>
  <c r="BB3" i="3"/>
  <c r="BB4" i="3"/>
  <c r="P22" i="3" s="1"/>
  <c r="U22" i="4"/>
  <c r="U28" i="4"/>
  <c r="U29" i="4"/>
  <c r="U23" i="4"/>
  <c r="F12" i="4" s="1"/>
  <c r="J32" i="21" s="1"/>
  <c r="U24" i="4"/>
  <c r="U30" i="4"/>
  <c r="T75" i="3"/>
  <c r="T80" i="3"/>
  <c r="T79" i="3"/>
  <c r="T76" i="3"/>
  <c r="T77" i="3"/>
  <c r="T78" i="3"/>
  <c r="T85" i="3"/>
  <c r="T84" i="3"/>
  <c r="I6" i="4"/>
  <c r="I6" i="5"/>
  <c r="J3" i="1"/>
  <c r="I6" i="6"/>
  <c r="I6" i="3"/>
  <c r="BL27" i="10" l="1"/>
  <c r="BK28" i="10"/>
  <c r="E23" i="21"/>
  <c r="F22" i="21"/>
  <c r="T29" i="5"/>
  <c r="H585" i="21" s="1"/>
  <c r="G585" i="21" s="1"/>
  <c r="G39" i="21"/>
  <c r="D39" i="5"/>
  <c r="D46" i="1"/>
  <c r="A45" i="1"/>
  <c r="F40" i="5"/>
  <c r="F15" i="4"/>
  <c r="J33" i="21" s="1"/>
  <c r="I6" i="13"/>
  <c r="J6" i="11"/>
  <c r="I6" i="12"/>
  <c r="I6" i="16"/>
  <c r="I6" i="10"/>
  <c r="H13" i="10" s="1"/>
  <c r="S8" i="5"/>
  <c r="BK29" i="10" l="1"/>
  <c r="BL28" i="10"/>
  <c r="F23" i="21"/>
  <c r="E24" i="21"/>
  <c r="I200" i="21"/>
  <c r="H200" i="21"/>
  <c r="G200" i="21" s="1"/>
  <c r="G40" i="21"/>
  <c r="G41" i="21" s="1"/>
  <c r="G42" i="21" s="1"/>
  <c r="J74" i="21"/>
  <c r="C46" i="1"/>
  <c r="E46" i="1"/>
  <c r="H22" i="10"/>
  <c r="F5" i="4"/>
  <c r="G11" i="1" s="1"/>
  <c r="C19" i="11"/>
  <c r="D14" i="11"/>
  <c r="X14" i="11" s="1"/>
  <c r="D19" i="11"/>
  <c r="X19" i="11" s="1"/>
  <c r="C14" i="11"/>
  <c r="V14" i="11" s="1"/>
  <c r="F14" i="11" s="1"/>
  <c r="H497" i="21" s="1"/>
  <c r="F12" i="5"/>
  <c r="F5" i="5" s="1"/>
  <c r="AX40" i="3"/>
  <c r="AX39" i="3"/>
  <c r="AX42" i="3"/>
  <c r="AX41" i="3"/>
  <c r="U17" i="3"/>
  <c r="X45" i="3"/>
  <c r="X32" i="3"/>
  <c r="X44" i="3"/>
  <c r="X25" i="3"/>
  <c r="X43" i="3"/>
  <c r="X42" i="3"/>
  <c r="X41" i="3"/>
  <c r="X48" i="3"/>
  <c r="X40" i="3"/>
  <c r="X47" i="3"/>
  <c r="X39" i="3"/>
  <c r="X46" i="3"/>
  <c r="X36" i="3"/>
  <c r="AX25" i="3"/>
  <c r="AX38" i="3"/>
  <c r="AX37" i="3"/>
  <c r="AX36" i="3"/>
  <c r="AX34" i="3"/>
  <c r="AX31" i="3"/>
  <c r="U15" i="3" s="1"/>
  <c r="F37" i="3" s="1"/>
  <c r="AY47" i="3" s="1"/>
  <c r="W11" i="3"/>
  <c r="W41" i="3"/>
  <c r="W42" i="3"/>
  <c r="W37" i="3"/>
  <c r="W31" i="3"/>
  <c r="W26" i="3"/>
  <c r="T76" i="2"/>
  <c r="BK30" i="10" l="1"/>
  <c r="BL29" i="10"/>
  <c r="F24" i="21"/>
  <c r="E25" i="21"/>
  <c r="G201" i="21"/>
  <c r="I208" i="21"/>
  <c r="H208" i="21"/>
  <c r="G208" i="21" s="1"/>
  <c r="G12" i="1"/>
  <c r="J47" i="21"/>
  <c r="K19" i="3"/>
  <c r="O11" i="4" s="1"/>
  <c r="H12" i="1"/>
  <c r="H3" i="5"/>
  <c r="D47" i="1"/>
  <c r="A46" i="1"/>
  <c r="AG29" i="10"/>
  <c r="U107" i="12" s="1"/>
  <c r="T107" i="12" s="1"/>
  <c r="F13" i="10"/>
  <c r="J200" i="21" s="1"/>
  <c r="F22" i="10"/>
  <c r="J208" i="21" s="1"/>
  <c r="CG16" i="3"/>
  <c r="BQ16" i="3"/>
  <c r="CE16" i="3"/>
  <c r="BO16" i="3"/>
  <c r="CC16" i="3"/>
  <c r="BM16" i="3"/>
  <c r="BE16" i="3"/>
  <c r="BS16" i="3"/>
  <c r="CA16" i="3"/>
  <c r="BK16" i="3"/>
  <c r="BU16" i="3"/>
  <c r="BY16" i="3"/>
  <c r="BI16" i="3"/>
  <c r="BW16" i="3"/>
  <c r="BG16" i="3"/>
  <c r="BC16" i="3"/>
  <c r="X35" i="3"/>
  <c r="BI18" i="3"/>
  <c r="BW18" i="3"/>
  <c r="BG18" i="3"/>
  <c r="BU18" i="3"/>
  <c r="BE18" i="3"/>
  <c r="BS18" i="3"/>
  <c r="BC18" i="3"/>
  <c r="BM18" i="3"/>
  <c r="BQ18" i="3"/>
  <c r="BO18" i="3"/>
  <c r="BK18" i="3"/>
  <c r="AY42" i="3"/>
  <c r="BW10" i="3"/>
  <c r="BG10" i="3"/>
  <c r="BU10" i="3"/>
  <c r="BC10" i="3"/>
  <c r="BS10" i="3"/>
  <c r="BE10" i="3"/>
  <c r="BK10" i="3"/>
  <c r="BQ10" i="3"/>
  <c r="BO10" i="3"/>
  <c r="BM10" i="3"/>
  <c r="BI10" i="3"/>
  <c r="K17" i="3"/>
  <c r="O22" i="4" s="1"/>
  <c r="G14" i="11"/>
  <c r="J497" i="21" s="1"/>
  <c r="T35" i="3"/>
  <c r="BA2" i="3"/>
  <c r="P20" i="3" s="1"/>
  <c r="V19" i="11"/>
  <c r="AZ2" i="3"/>
  <c r="P12" i="3" s="1"/>
  <c r="BA3" i="3"/>
  <c r="P18" i="3" s="1"/>
  <c r="AY40" i="3"/>
  <c r="AY41" i="3"/>
  <c r="AY39" i="3"/>
  <c r="Z11" i="3"/>
  <c r="AB11" i="3"/>
  <c r="Z16" i="3"/>
  <c r="Z15" i="3"/>
  <c r="Z12" i="3"/>
  <c r="F56" i="3" s="1"/>
  <c r="AL51" i="3" s="1"/>
  <c r="W6" i="3"/>
  <c r="F48" i="3"/>
  <c r="H58" i="3"/>
  <c r="I30" i="21" s="1"/>
  <c r="AZ12" i="3"/>
  <c r="AZ11" i="3"/>
  <c r="AZ7" i="3"/>
  <c r="P16" i="3" s="1"/>
  <c r="AY28" i="3"/>
  <c r="AY38" i="3"/>
  <c r="AY26" i="3"/>
  <c r="AY37" i="3"/>
  <c r="AY25" i="3"/>
  <c r="AY36" i="3"/>
  <c r="AY35" i="3"/>
  <c r="AY34" i="3"/>
  <c r="AY29" i="3"/>
  <c r="AY27" i="3"/>
  <c r="D12" i="11"/>
  <c r="C12" i="11"/>
  <c r="BK31" i="10" l="1"/>
  <c r="BL30" i="10"/>
  <c r="E26" i="21"/>
  <c r="F25" i="21"/>
  <c r="G209" i="21"/>
  <c r="G212" i="21" s="1"/>
  <c r="K29" i="3"/>
  <c r="AI47" i="3"/>
  <c r="AI41" i="3"/>
  <c r="AI37" i="3"/>
  <c r="AI46" i="3"/>
  <c r="AI48" i="3"/>
  <c r="AI45" i="3"/>
  <c r="AI32" i="3"/>
  <c r="AI43" i="3"/>
  <c r="AI42" i="3"/>
  <c r="AI26" i="3"/>
  <c r="J535" i="21"/>
  <c r="H535" i="21"/>
  <c r="A103" i="12"/>
  <c r="H18" i="1"/>
  <c r="H3" i="10"/>
  <c r="C47" i="1"/>
  <c r="E47" i="1" s="1"/>
  <c r="F19" i="11"/>
  <c r="H502" i="21" s="1"/>
  <c r="F5" i="10"/>
  <c r="G18" i="1" s="1"/>
  <c r="F58" i="3"/>
  <c r="C13" i="11"/>
  <c r="H16" i="3"/>
  <c r="I22" i="21" s="1"/>
  <c r="AR125" i="20"/>
  <c r="DK49" i="17"/>
  <c r="D13" i="11"/>
  <c r="V12" i="11"/>
  <c r="F12" i="11" s="1"/>
  <c r="H495" i="21" s="1"/>
  <c r="G495" i="21" s="1"/>
  <c r="X12" i="11"/>
  <c r="F39" i="3"/>
  <c r="BA7" i="3"/>
  <c r="BA11" i="3"/>
  <c r="BA12" i="3"/>
  <c r="X3" i="15"/>
  <c r="D42" i="15" s="1"/>
  <c r="H31" i="3"/>
  <c r="I29" i="21" s="1"/>
  <c r="AT26" i="3"/>
  <c r="AT34" i="3"/>
  <c r="AT38" i="3"/>
  <c r="AT29" i="3"/>
  <c r="AT27" i="3"/>
  <c r="AT37" i="3"/>
  <c r="AT28" i="3"/>
  <c r="AT36" i="3"/>
  <c r="AT25" i="3"/>
  <c r="AT48" i="3" s="1"/>
  <c r="AT47" i="3" s="1"/>
  <c r="AT35" i="3"/>
  <c r="BL31" i="10" l="1"/>
  <c r="BK32" i="10"/>
  <c r="K32" i="3"/>
  <c r="F26" i="21"/>
  <c r="E27" i="21"/>
  <c r="T22" i="6"/>
  <c r="D48" i="1"/>
  <c r="A47" i="1"/>
  <c r="G19" i="11"/>
  <c r="J502" i="21" s="1"/>
  <c r="T100" i="3"/>
  <c r="F16" i="3"/>
  <c r="V13" i="11"/>
  <c r="F13" i="11" s="1"/>
  <c r="H496" i="21" s="1"/>
  <c r="G496" i="21" s="1"/>
  <c r="H9" i="1"/>
  <c r="AF48" i="3"/>
  <c r="X13" i="11"/>
  <c r="U48" i="3"/>
  <c r="O13" i="4"/>
  <c r="F31" i="3"/>
  <c r="U47" i="3"/>
  <c r="U46" i="3"/>
  <c r="U25" i="3"/>
  <c r="U44" i="3"/>
  <c r="AL48" i="3"/>
  <c r="O14" i="4"/>
  <c r="S66" i="3"/>
  <c r="H38" i="3"/>
  <c r="I26" i="21" s="1"/>
  <c r="U43" i="3"/>
  <c r="U42" i="3"/>
  <c r="U41" i="3"/>
  <c r="U40" i="3"/>
  <c r="U37" i="3"/>
  <c r="U50" i="3" s="1"/>
  <c r="U49" i="3" s="1"/>
  <c r="U38" i="3"/>
  <c r="U39" i="3"/>
  <c r="U36" i="3"/>
  <c r="U30" i="3"/>
  <c r="BK33" i="10" l="1"/>
  <c r="BL32" i="10"/>
  <c r="E28" i="21"/>
  <c r="F27" i="21"/>
  <c r="G497" i="21"/>
  <c r="H528" i="21"/>
  <c r="J528" i="21"/>
  <c r="K3" i="3"/>
  <c r="A6" i="6"/>
  <c r="W2" i="6"/>
  <c r="S2" i="6"/>
  <c r="C48" i="1"/>
  <c r="E48" i="1" s="1"/>
  <c r="G12" i="11"/>
  <c r="G13" i="11"/>
  <c r="J496" i="21" s="1"/>
  <c r="O26" i="4"/>
  <c r="F25" i="3"/>
  <c r="J25" i="21" s="1"/>
  <c r="I10" i="1"/>
  <c r="F38" i="3"/>
  <c r="J26" i="21" s="1"/>
  <c r="O12" i="4"/>
  <c r="AL46" i="3"/>
  <c r="AL47" i="3"/>
  <c r="AL45" i="3"/>
  <c r="AL44" i="3"/>
  <c r="AF46" i="3"/>
  <c r="AF47" i="3"/>
  <c r="AF40" i="3"/>
  <c r="AF45" i="3"/>
  <c r="AF44" i="3"/>
  <c r="AF42" i="3"/>
  <c r="AF41" i="3"/>
  <c r="AF25" i="3"/>
  <c r="AF43" i="3"/>
  <c r="AF27" i="3"/>
  <c r="AF26" i="3"/>
  <c r="AF36" i="3"/>
  <c r="AF28" i="3"/>
  <c r="AF37" i="3"/>
  <c r="AE52" i="3" s="1"/>
  <c r="AE51" i="3" s="1"/>
  <c r="AF29" i="3"/>
  <c r="AF38" i="3"/>
  <c r="AF39" i="3"/>
  <c r="AL40" i="3"/>
  <c r="AL26" i="3"/>
  <c r="AL39" i="3"/>
  <c r="AL25" i="3"/>
  <c r="F59" i="3" s="1"/>
  <c r="J30" i="21" s="1"/>
  <c r="AL38" i="3"/>
  <c r="AL37" i="3"/>
  <c r="AL36" i="3"/>
  <c r="AL43" i="3"/>
  <c r="AL29" i="3"/>
  <c r="AL42" i="3"/>
  <c r="AL28" i="3"/>
  <c r="AL41" i="3"/>
  <c r="AL27" i="3"/>
  <c r="U27" i="3"/>
  <c r="U26" i="3"/>
  <c r="U28" i="3"/>
  <c r="U29" i="3"/>
  <c r="BL33" i="10" l="1"/>
  <c r="BK34" i="10"/>
  <c r="H9" i="6"/>
  <c r="F9" i="6"/>
  <c r="J49" i="21" s="1"/>
  <c r="S14" i="6"/>
  <c r="T47" i="6" s="1"/>
  <c r="B9" i="6"/>
  <c r="F28" i="21"/>
  <c r="E29" i="21"/>
  <c r="J495" i="21"/>
  <c r="H527" i="21"/>
  <c r="J527" i="21"/>
  <c r="D49" i="1"/>
  <c r="A48" i="1"/>
  <c r="F32" i="3"/>
  <c r="F19" i="3"/>
  <c r="F17" i="3" s="1"/>
  <c r="F15" i="3" s="1"/>
  <c r="J22" i="21" s="1"/>
  <c r="BY4" i="17"/>
  <c r="BZ4" i="17" s="1"/>
  <c r="CA4" i="17" s="1"/>
  <c r="CB4" i="17" s="1"/>
  <c r="CC4" i="17" s="1"/>
  <c r="CD4" i="17" s="1"/>
  <c r="CE4" i="17" s="1"/>
  <c r="CF4" i="17" s="1"/>
  <c r="CG4" i="17" s="1"/>
  <c r="CH4" i="17" s="1"/>
  <c r="CI4" i="17" s="1"/>
  <c r="CJ4" i="17" s="1"/>
  <c r="CK4" i="17" s="1"/>
  <c r="CL4" i="17" s="1"/>
  <c r="CM4" i="17" s="1"/>
  <c r="CN4" i="17" s="1"/>
  <c r="CO4" i="17" s="1"/>
  <c r="CP4" i="17" s="1"/>
  <c r="CQ4" i="17" s="1"/>
  <c r="CR4" i="17" s="1"/>
  <c r="CS4" i="17" s="1"/>
  <c r="CT4" i="17" s="1"/>
  <c r="CU4" i="17" s="1"/>
  <c r="CV4" i="17" s="1"/>
  <c r="CW4" i="17" s="1"/>
  <c r="CX4" i="17" s="1"/>
  <c r="CY4" i="17" s="1"/>
  <c r="CZ4" i="17" s="1"/>
  <c r="DA4" i="17" s="1"/>
  <c r="DB4" i="17" s="1"/>
  <c r="DC4" i="17" s="1"/>
  <c r="DD4" i="17" s="1"/>
  <c r="DE4" i="17" s="1"/>
  <c r="DF4" i="17" s="1"/>
  <c r="DG4" i="17" s="1"/>
  <c r="DH4" i="17" s="1"/>
  <c r="DI4" i="17" s="1"/>
  <c r="DJ4" i="17" s="1"/>
  <c r="DK4" i="17" s="1"/>
  <c r="DL4" i="17" s="1"/>
  <c r="DM4" i="17" s="1"/>
  <c r="DN4" i="17" s="1"/>
  <c r="DO4" i="17" s="1"/>
  <c r="DP4" i="17" s="1"/>
  <c r="BK35" i="10" l="1"/>
  <c r="BL34" i="10"/>
  <c r="F29" i="21"/>
  <c r="E30" i="21"/>
  <c r="H22" i="6"/>
  <c r="I57" i="21" s="1"/>
  <c r="I49" i="21"/>
  <c r="U16" i="6"/>
  <c r="T45" i="6"/>
  <c r="C49" i="1"/>
  <c r="E49" i="1" s="1"/>
  <c r="F30" i="3"/>
  <c r="J29" i="21" s="1"/>
  <c r="BK36" i="10" l="1"/>
  <c r="BL35" i="10"/>
  <c r="F30" i="21"/>
  <c r="E31" i="21"/>
  <c r="F10" i="6"/>
  <c r="J50" i="21" s="1"/>
  <c r="F22" i="6"/>
  <c r="J57" i="21" s="1"/>
  <c r="S20" i="6"/>
  <c r="H13" i="1" s="1"/>
  <c r="D50" i="1"/>
  <c r="A49" i="1"/>
  <c r="U100" i="3"/>
  <c r="F7" i="12"/>
  <c r="BL36" i="10" l="1"/>
  <c r="BK37" i="10"/>
  <c r="F31" i="21"/>
  <c r="F5" i="6"/>
  <c r="T46" i="6"/>
  <c r="T40" i="6" s="1"/>
  <c r="U103" i="12"/>
  <c r="T103" i="12" s="1"/>
  <c r="H3" i="6"/>
  <c r="C50" i="1"/>
  <c r="E50" i="1"/>
  <c r="B26" i="1"/>
  <c r="O27" i="4"/>
  <c r="O29" i="4"/>
  <c r="O28" i="4"/>
  <c r="BK38" i="10" l="1"/>
  <c r="BL37" i="10"/>
  <c r="H586" i="21"/>
  <c r="G586" i="21" s="1"/>
  <c r="G13" i="1"/>
  <c r="J487" i="21"/>
  <c r="B5" i="22"/>
  <c r="A99" i="12"/>
  <c r="D51" i="1"/>
  <c r="A50" i="1"/>
  <c r="T90" i="3"/>
  <c r="F46" i="3"/>
  <c r="Y49" i="3" s="1"/>
  <c r="S63" i="3"/>
  <c r="BL38" i="10" l="1"/>
  <c r="BK39" i="10"/>
  <c r="U102" i="12"/>
  <c r="T73" i="3"/>
  <c r="T82" i="3" s="1"/>
  <c r="H3" i="3"/>
  <c r="Y26" i="3"/>
  <c r="C51" i="1"/>
  <c r="E51" i="1"/>
  <c r="H10" i="1"/>
  <c r="Y45" i="3"/>
  <c r="F52" i="3"/>
  <c r="J23" i="21" s="1"/>
  <c r="Y46" i="3"/>
  <c r="Y48" i="3"/>
  <c r="Y47" i="3"/>
  <c r="BK40" i="10" l="1"/>
  <c r="BL39" i="10"/>
  <c r="A98" i="12"/>
  <c r="T102" i="12"/>
  <c r="T74" i="3"/>
  <c r="T72" i="3" s="1"/>
  <c r="Y44" i="3"/>
  <c r="Y43" i="3"/>
  <c r="Y42" i="3"/>
  <c r="Y41" i="3"/>
  <c r="Y40" i="3"/>
  <c r="Y39" i="3"/>
  <c r="Y25" i="3"/>
  <c r="Y38" i="3"/>
  <c r="Y37" i="3"/>
  <c r="Y36" i="3"/>
  <c r="Y30" i="3"/>
  <c r="Y29" i="3"/>
  <c r="Y28" i="3"/>
  <c r="Y27" i="3"/>
  <c r="D52" i="1"/>
  <c r="A51" i="1"/>
  <c r="U90" i="3"/>
  <c r="F5" i="3"/>
  <c r="BL40" i="10" l="1"/>
  <c r="BK41" i="10"/>
  <c r="H583" i="21"/>
  <c r="G583" i="21" s="1"/>
  <c r="C52" i="1"/>
  <c r="E52" i="1"/>
  <c r="G10" i="1"/>
  <c r="BK42" i="10" l="1"/>
  <c r="BL41" i="10"/>
  <c r="D53" i="1"/>
  <c r="A52" i="1"/>
  <c r="BL42" i="10" l="1"/>
  <c r="BK43" i="10"/>
  <c r="C53" i="1"/>
  <c r="E53" i="1"/>
  <c r="G27" i="11"/>
  <c r="J510" i="21" s="1"/>
  <c r="G28" i="11"/>
  <c r="J511" i="21" s="1"/>
  <c r="BK44" i="10" l="1"/>
  <c r="BL43" i="10"/>
  <c r="D54" i="1"/>
  <c r="A53" i="1"/>
  <c r="BK45" i="10" l="1"/>
  <c r="BL44" i="10"/>
  <c r="C54" i="1"/>
  <c r="E54" i="1"/>
  <c r="BL45" i="10" l="1"/>
  <c r="BK46" i="10"/>
  <c r="D55" i="1"/>
  <c r="A54" i="1"/>
  <c r="BK47" i="10" l="1"/>
  <c r="BL46" i="10"/>
  <c r="C55" i="1"/>
  <c r="E55" i="1"/>
  <c r="BL47" i="10" l="1"/>
  <c r="BK48" i="10"/>
  <c r="D56" i="1"/>
  <c r="A55" i="1"/>
  <c r="BK49" i="10" l="1"/>
  <c r="BL48" i="10"/>
  <c r="C56" i="1"/>
  <c r="E56" i="1"/>
  <c r="BL49" i="10" l="1"/>
  <c r="BK50" i="10"/>
  <c r="D57" i="1"/>
  <c r="A56" i="1"/>
  <c r="BL50" i="10" l="1"/>
  <c r="BK51" i="10"/>
  <c r="C57" i="1"/>
  <c r="A57" i="1" s="1"/>
  <c r="E57" i="1"/>
  <c r="BK52" i="10" l="1"/>
  <c r="BL51" i="10"/>
  <c r="BP29" i="19"/>
  <c r="BM29" i="19"/>
  <c r="BQ29" i="19"/>
  <c r="BN29" i="19"/>
  <c r="BR29" i="19"/>
  <c r="BO29" i="19"/>
  <c r="BS29" i="19"/>
  <c r="BL52" i="10" l="1"/>
  <c r="BK53" i="10"/>
  <c r="BS30" i="19"/>
  <c r="BS31" i="19" s="1"/>
  <c r="BR30" i="19"/>
  <c r="BR31" i="19" s="1"/>
  <c r="BR32" i="19" s="1"/>
  <c r="AB105" i="19"/>
  <c r="BP30" i="19"/>
  <c r="BP31" i="19" s="1"/>
  <c r="BP32" i="19" s="1"/>
  <c r="BQ30" i="19"/>
  <c r="BQ31" i="19" s="1"/>
  <c r="BQ32" i="19" s="1"/>
  <c r="BQ33" i="19" s="1"/>
  <c r="BQ34" i="19" s="1"/>
  <c r="BQ35" i="19" s="1"/>
  <c r="BQ36" i="19" s="1"/>
  <c r="BQ37" i="19" s="1"/>
  <c r="BQ38" i="19" s="1"/>
  <c r="BQ39" i="19" s="1"/>
  <c r="BQ40" i="19" s="1"/>
  <c r="BQ41" i="19" s="1"/>
  <c r="BQ42" i="19" s="1"/>
  <c r="BQ43" i="19" s="1"/>
  <c r="BQ44" i="19" s="1"/>
  <c r="BQ45" i="19" s="1"/>
  <c r="BQ46" i="19" s="1"/>
  <c r="BQ47" i="19" s="1"/>
  <c r="BQ48" i="19" s="1"/>
  <c r="BQ49" i="19" s="1"/>
  <c r="BQ50" i="19" s="1"/>
  <c r="BQ51" i="19" s="1"/>
  <c r="BQ52" i="19" s="1"/>
  <c r="BQ53" i="19" s="1"/>
  <c r="BQ54" i="19" s="1"/>
  <c r="BQ55" i="19" s="1"/>
  <c r="BQ56" i="19" s="1"/>
  <c r="BQ57" i="19" s="1"/>
  <c r="BQ58" i="19" s="1"/>
  <c r="BQ59" i="19" s="1"/>
  <c r="BQ60" i="19" s="1"/>
  <c r="BQ61" i="19" s="1"/>
  <c r="BQ62" i="19" s="1"/>
  <c r="BQ63" i="19" s="1"/>
  <c r="BQ64" i="19" s="1"/>
  <c r="BQ65" i="19" s="1"/>
  <c r="BQ66" i="19" s="1"/>
  <c r="BQ67" i="19" s="1"/>
  <c r="BQ68" i="19" s="1"/>
  <c r="BQ69" i="19" s="1"/>
  <c r="BQ70" i="19" s="1"/>
  <c r="BQ71" i="19" s="1"/>
  <c r="BQ72" i="19" s="1"/>
  <c r="BQ73" i="19" s="1"/>
  <c r="BQ74" i="19" s="1"/>
  <c r="BQ75" i="19" s="1"/>
  <c r="BQ76" i="19" s="1"/>
  <c r="BQ77" i="19" s="1"/>
  <c r="BQ78" i="19" s="1"/>
  <c r="BQ79" i="19" s="1"/>
  <c r="BQ80" i="19" s="1"/>
  <c r="BQ81" i="19" s="1"/>
  <c r="BQ82" i="19" s="1"/>
  <c r="BQ83" i="19" s="1"/>
  <c r="BQ84" i="19" s="1"/>
  <c r="BQ85" i="19" s="1"/>
  <c r="BQ86" i="19" s="1"/>
  <c r="BQ87" i="19" s="1"/>
  <c r="BQ88" i="19" s="1"/>
  <c r="BQ89" i="19" s="1"/>
  <c r="BQ90" i="19" s="1"/>
  <c r="BQ91" i="19" s="1"/>
  <c r="BQ92" i="19" s="1"/>
  <c r="BQ93" i="19" s="1"/>
  <c r="BQ94" i="19" s="1"/>
  <c r="BQ95" i="19" s="1"/>
  <c r="BQ96" i="19" s="1"/>
  <c r="BQ97" i="19" s="1"/>
  <c r="BQ98" i="19" s="1"/>
  <c r="BQ99" i="19" s="1"/>
  <c r="BQ100" i="19" s="1"/>
  <c r="BQ101" i="19" s="1"/>
  <c r="BQ102" i="19" s="1"/>
  <c r="BQ103" i="19" s="1"/>
  <c r="BQ104" i="19" s="1"/>
  <c r="BQ105" i="19" s="1"/>
  <c r="BQ106" i="19" s="1"/>
  <c r="BQ107" i="19" s="1"/>
  <c r="BQ108" i="19" s="1"/>
  <c r="BQ109" i="19" s="1"/>
  <c r="BQ110" i="19" s="1"/>
  <c r="BQ111" i="19" s="1"/>
  <c r="BQ112" i="19" s="1"/>
  <c r="BQ113" i="19" s="1"/>
  <c r="BQ114" i="19" s="1"/>
  <c r="BQ115" i="19" s="1"/>
  <c r="BQ116" i="19" s="1"/>
  <c r="BQ117" i="19" s="1"/>
  <c r="BQ118" i="19" s="1"/>
  <c r="BQ119" i="19" s="1"/>
  <c r="BQ120" i="19" s="1"/>
  <c r="BQ121" i="19" s="1"/>
  <c r="AB104" i="19"/>
  <c r="BM30" i="19"/>
  <c r="BM31" i="19" s="1"/>
  <c r="BO30" i="19"/>
  <c r="BO31" i="19" s="1"/>
  <c r="BO32" i="19" s="1"/>
  <c r="BO33" i="19" s="1"/>
  <c r="BO34" i="19" s="1"/>
  <c r="BO35" i="19" s="1"/>
  <c r="BO36" i="19" s="1"/>
  <c r="BO37" i="19" s="1"/>
  <c r="BO38" i="19" s="1"/>
  <c r="BO39" i="19" s="1"/>
  <c r="BO40" i="19" s="1"/>
  <c r="BO41" i="19" s="1"/>
  <c r="BO42" i="19" s="1"/>
  <c r="BO43" i="19" s="1"/>
  <c r="BO44" i="19" s="1"/>
  <c r="BO45" i="19" s="1"/>
  <c r="BO46" i="19" s="1"/>
  <c r="BO47" i="19" s="1"/>
  <c r="BO48" i="19" s="1"/>
  <c r="BO49" i="19" s="1"/>
  <c r="BO50" i="19" s="1"/>
  <c r="BO51" i="19" s="1"/>
  <c r="BO52" i="19" s="1"/>
  <c r="BO53" i="19" s="1"/>
  <c r="BO54" i="19" s="1"/>
  <c r="BO55" i="19" s="1"/>
  <c r="BO56" i="19" s="1"/>
  <c r="BO57" i="19" s="1"/>
  <c r="BO58" i="19" s="1"/>
  <c r="BO59" i="19" s="1"/>
  <c r="BO60" i="19" s="1"/>
  <c r="BO61" i="19" s="1"/>
  <c r="BO62" i="19" s="1"/>
  <c r="BO63" i="19" s="1"/>
  <c r="BO64" i="19" s="1"/>
  <c r="BO65" i="19" s="1"/>
  <c r="BO66" i="19" s="1"/>
  <c r="BO67" i="19" s="1"/>
  <c r="BO68" i="19" s="1"/>
  <c r="BO69" i="19" s="1"/>
  <c r="BO70" i="19" s="1"/>
  <c r="BO71" i="19" s="1"/>
  <c r="BO72" i="19" s="1"/>
  <c r="BO73" i="19" s="1"/>
  <c r="BO74" i="19" s="1"/>
  <c r="BO75" i="19" s="1"/>
  <c r="BO76" i="19" s="1"/>
  <c r="BO77" i="19" s="1"/>
  <c r="BO78" i="19" s="1"/>
  <c r="BO79" i="19" s="1"/>
  <c r="BO80" i="19" s="1"/>
  <c r="BO81" i="19" s="1"/>
  <c r="BO82" i="19" s="1"/>
  <c r="BO83" i="19" s="1"/>
  <c r="BO84" i="19" s="1"/>
  <c r="BO85" i="19" s="1"/>
  <c r="BO86" i="19" s="1"/>
  <c r="BO87" i="19" s="1"/>
  <c r="BO88" i="19" s="1"/>
  <c r="BO89" i="19" s="1"/>
  <c r="BO90" i="19" s="1"/>
  <c r="BO91" i="19" s="1"/>
  <c r="BO92" i="19" s="1"/>
  <c r="BO93" i="19" s="1"/>
  <c r="BO94" i="19" s="1"/>
  <c r="BO95" i="19" s="1"/>
  <c r="BO96" i="19" s="1"/>
  <c r="BO97" i="19" s="1"/>
  <c r="BO98" i="19" s="1"/>
  <c r="BO99" i="19" s="1"/>
  <c r="BO100" i="19" s="1"/>
  <c r="BO101" i="19" s="1"/>
  <c r="BO102" i="19" s="1"/>
  <c r="BO103" i="19" s="1"/>
  <c r="BO104" i="19" s="1"/>
  <c r="BO105" i="19" s="1"/>
  <c r="BO106" i="19" s="1"/>
  <c r="BO107" i="19" s="1"/>
  <c r="BO108" i="19" s="1"/>
  <c r="BO109" i="19" s="1"/>
  <c r="BO110" i="19" s="1"/>
  <c r="BO111" i="19" s="1"/>
  <c r="BO112" i="19" s="1"/>
  <c r="BO113" i="19" s="1"/>
  <c r="BO114" i="19" s="1"/>
  <c r="BO115" i="19" s="1"/>
  <c r="BO116" i="19" s="1"/>
  <c r="BO117" i="19" s="1"/>
  <c r="BO118" i="19" s="1"/>
  <c r="BO119" i="19" s="1"/>
  <c r="BO120" i="19" s="1"/>
  <c r="BO121" i="19" s="1"/>
  <c r="BN30" i="19"/>
  <c r="BN31" i="19" s="1"/>
  <c r="BN32" i="19"/>
  <c r="BN33" i="19" s="1"/>
  <c r="BN34" i="19" s="1"/>
  <c r="BN35" i="19" s="1"/>
  <c r="BN36" i="19" s="1"/>
  <c r="BN37" i="19" s="1"/>
  <c r="BN38" i="19" s="1"/>
  <c r="BN39" i="19" s="1"/>
  <c r="BN40" i="19" s="1"/>
  <c r="BN41" i="19" s="1"/>
  <c r="BN42" i="19" s="1"/>
  <c r="BN43" i="19" s="1"/>
  <c r="BN44" i="19" s="1"/>
  <c r="BN45" i="19" s="1"/>
  <c r="BN46" i="19" s="1"/>
  <c r="BN47" i="19" s="1"/>
  <c r="BN48" i="19" s="1"/>
  <c r="BN49" i="19" s="1"/>
  <c r="BN50" i="19" s="1"/>
  <c r="BN51" i="19" s="1"/>
  <c r="BN52" i="19" s="1"/>
  <c r="BN53" i="19" s="1"/>
  <c r="BN54" i="19" s="1"/>
  <c r="BN55" i="19" s="1"/>
  <c r="BN56" i="19" s="1"/>
  <c r="BN57" i="19" s="1"/>
  <c r="BN58" i="19" s="1"/>
  <c r="BN59" i="19" s="1"/>
  <c r="BN60" i="19" s="1"/>
  <c r="BN61" i="19" s="1"/>
  <c r="BN62" i="19" s="1"/>
  <c r="BN63" i="19" s="1"/>
  <c r="BN64" i="19" s="1"/>
  <c r="BN65" i="19" s="1"/>
  <c r="BN66" i="19" s="1"/>
  <c r="BN67" i="19" s="1"/>
  <c r="BN68" i="19" s="1"/>
  <c r="BN69" i="19" s="1"/>
  <c r="BN70" i="19" s="1"/>
  <c r="BN71" i="19" s="1"/>
  <c r="BN72" i="19" s="1"/>
  <c r="BN73" i="19" s="1"/>
  <c r="BN74" i="19" s="1"/>
  <c r="BN75" i="19" s="1"/>
  <c r="BN76" i="19" s="1"/>
  <c r="BN77" i="19" s="1"/>
  <c r="BN78" i="19" s="1"/>
  <c r="BN79" i="19" s="1"/>
  <c r="BN80" i="19" s="1"/>
  <c r="BN81" i="19" s="1"/>
  <c r="BN82" i="19" s="1"/>
  <c r="BN83" i="19" s="1"/>
  <c r="BN84" i="19" s="1"/>
  <c r="BN85" i="19" s="1"/>
  <c r="BN86" i="19" s="1"/>
  <c r="BN87" i="19" s="1"/>
  <c r="BN88" i="19" s="1"/>
  <c r="BN89" i="19" s="1"/>
  <c r="BN90" i="19" s="1"/>
  <c r="BN91" i="19" s="1"/>
  <c r="BN92" i="19" s="1"/>
  <c r="BN93" i="19" s="1"/>
  <c r="BN94" i="19" s="1"/>
  <c r="BN95" i="19" s="1"/>
  <c r="BN96" i="19" s="1"/>
  <c r="BN97" i="19" s="1"/>
  <c r="BN98" i="19" s="1"/>
  <c r="BN99" i="19" s="1"/>
  <c r="BN100" i="19" s="1"/>
  <c r="BN101" i="19" s="1"/>
  <c r="BN102" i="19" s="1"/>
  <c r="BN103" i="19" s="1"/>
  <c r="BN104" i="19" s="1"/>
  <c r="BN105" i="19" s="1"/>
  <c r="BN106" i="19" s="1"/>
  <c r="BN107" i="19" s="1"/>
  <c r="BN108" i="19" s="1"/>
  <c r="BN109" i="19" s="1"/>
  <c r="BN110" i="19" s="1"/>
  <c r="BN111" i="19" s="1"/>
  <c r="BN112" i="19" s="1"/>
  <c r="BN113" i="19" s="1"/>
  <c r="BN114" i="19" s="1"/>
  <c r="BN115" i="19" s="1"/>
  <c r="BN116" i="19" s="1"/>
  <c r="BN117" i="19" s="1"/>
  <c r="BN118" i="19" s="1"/>
  <c r="BN119" i="19" s="1"/>
  <c r="BN120" i="19" s="1"/>
  <c r="BN121" i="19" s="1"/>
  <c r="BS32" i="19"/>
  <c r="BS33" i="19" s="1"/>
  <c r="BS34" i="19" s="1"/>
  <c r="BS35" i="19" s="1"/>
  <c r="BS36" i="19" s="1"/>
  <c r="BS37" i="19" s="1"/>
  <c r="BS38" i="19" s="1"/>
  <c r="BS39" i="19" s="1"/>
  <c r="BS40" i="19" s="1"/>
  <c r="BS41" i="19" s="1"/>
  <c r="BS42" i="19" s="1"/>
  <c r="BS43" i="19" s="1"/>
  <c r="BS44" i="19" s="1"/>
  <c r="BS45" i="19" s="1"/>
  <c r="BS46" i="19" s="1"/>
  <c r="BS47" i="19" s="1"/>
  <c r="BS48" i="19" s="1"/>
  <c r="BS49" i="19" s="1"/>
  <c r="BS50" i="19" s="1"/>
  <c r="BS51" i="19" s="1"/>
  <c r="BS52" i="19" s="1"/>
  <c r="BS53" i="19" s="1"/>
  <c r="BS54" i="19" s="1"/>
  <c r="BS55" i="19" s="1"/>
  <c r="BS56" i="19" s="1"/>
  <c r="BS57" i="19" s="1"/>
  <c r="BS58" i="19" s="1"/>
  <c r="BS59" i="19" s="1"/>
  <c r="BS60" i="19" s="1"/>
  <c r="BS61" i="19" s="1"/>
  <c r="BS62" i="19" s="1"/>
  <c r="BS63" i="19" s="1"/>
  <c r="BS64" i="19" s="1"/>
  <c r="BS65" i="19" s="1"/>
  <c r="BS66" i="19" s="1"/>
  <c r="BS67" i="19" s="1"/>
  <c r="BS68" i="19" s="1"/>
  <c r="BS69" i="19" s="1"/>
  <c r="BS70" i="19" s="1"/>
  <c r="BS71" i="19" s="1"/>
  <c r="BS72" i="19" s="1"/>
  <c r="BS73" i="19" s="1"/>
  <c r="BS74" i="19" s="1"/>
  <c r="BS75" i="19" s="1"/>
  <c r="BS76" i="19" s="1"/>
  <c r="BS77" i="19" s="1"/>
  <c r="BS78" i="19" s="1"/>
  <c r="BS79" i="19" s="1"/>
  <c r="BS80" i="19" s="1"/>
  <c r="BS81" i="19" s="1"/>
  <c r="BS82" i="19" s="1"/>
  <c r="BS83" i="19" s="1"/>
  <c r="BS84" i="19" s="1"/>
  <c r="BS85" i="19" s="1"/>
  <c r="BS86" i="19" s="1"/>
  <c r="BS87" i="19" s="1"/>
  <c r="BS88" i="19" s="1"/>
  <c r="BS89" i="19" s="1"/>
  <c r="BS90" i="19" s="1"/>
  <c r="BS91" i="19" s="1"/>
  <c r="BS92" i="19" s="1"/>
  <c r="BS93" i="19" s="1"/>
  <c r="BS94" i="19" s="1"/>
  <c r="BS95" i="19" s="1"/>
  <c r="BS96" i="19" s="1"/>
  <c r="BS97" i="19" s="1"/>
  <c r="BS98" i="19" s="1"/>
  <c r="BS99" i="19" s="1"/>
  <c r="BS100" i="19" s="1"/>
  <c r="BS101" i="19" s="1"/>
  <c r="BS102" i="19" s="1"/>
  <c r="BS103" i="19" s="1"/>
  <c r="BS104" i="19" s="1"/>
  <c r="BS105" i="19" s="1"/>
  <c r="BS106" i="19" s="1"/>
  <c r="BS107" i="19" s="1"/>
  <c r="BS108" i="19" s="1"/>
  <c r="BS109" i="19" s="1"/>
  <c r="BS110" i="19" s="1"/>
  <c r="BS111" i="19" s="1"/>
  <c r="BS112" i="19" s="1"/>
  <c r="BS113" i="19" s="1"/>
  <c r="BS114" i="19" s="1"/>
  <c r="BS115" i="19" s="1"/>
  <c r="BS116" i="19" s="1"/>
  <c r="BS117" i="19" s="1"/>
  <c r="BS118" i="19" s="1"/>
  <c r="BS119" i="19" s="1"/>
  <c r="BS120" i="19" s="1"/>
  <c r="BS121" i="19" s="1"/>
  <c r="BM32" i="19"/>
  <c r="BM33" i="19" s="1"/>
  <c r="BK54" i="10" l="1"/>
  <c r="BL53" i="10"/>
  <c r="AT104" i="19"/>
  <c r="AS104" i="19"/>
  <c r="AB100" i="19"/>
  <c r="AB78" i="19" s="1"/>
  <c r="AC104" i="19"/>
  <c r="BP33" i="19"/>
  <c r="BP34" i="19" s="1"/>
  <c r="BP35" i="19" s="1"/>
  <c r="BP36" i="19" s="1"/>
  <c r="BP37" i="19" s="1"/>
  <c r="BP38" i="19" s="1"/>
  <c r="BP39" i="19" s="1"/>
  <c r="BP40" i="19" s="1"/>
  <c r="BP41" i="19" s="1"/>
  <c r="BP42" i="19" s="1"/>
  <c r="BP43" i="19" s="1"/>
  <c r="BP44" i="19" s="1"/>
  <c r="BP45" i="19" s="1"/>
  <c r="BP46" i="19" s="1"/>
  <c r="BP47" i="19" s="1"/>
  <c r="BP48" i="19" s="1"/>
  <c r="BP49" i="19" s="1"/>
  <c r="BP50" i="19" s="1"/>
  <c r="BP51" i="19" s="1"/>
  <c r="BP52" i="19" s="1"/>
  <c r="BP53" i="19" s="1"/>
  <c r="BP54" i="19" s="1"/>
  <c r="BP55" i="19" s="1"/>
  <c r="BP56" i="19" s="1"/>
  <c r="BP57" i="19" s="1"/>
  <c r="BP58" i="19" s="1"/>
  <c r="BP59" i="19" s="1"/>
  <c r="BP60" i="19" s="1"/>
  <c r="BP61" i="19" s="1"/>
  <c r="BP62" i="19" s="1"/>
  <c r="BP63" i="19" s="1"/>
  <c r="BP64" i="19" s="1"/>
  <c r="BP65" i="19" s="1"/>
  <c r="BP66" i="19" s="1"/>
  <c r="BP67" i="19" s="1"/>
  <c r="BP68" i="19" s="1"/>
  <c r="BP69" i="19" s="1"/>
  <c r="BP70" i="19" s="1"/>
  <c r="BP71" i="19" s="1"/>
  <c r="BP72" i="19" s="1"/>
  <c r="BP73" i="19" s="1"/>
  <c r="BP74" i="19" s="1"/>
  <c r="BP75" i="19" s="1"/>
  <c r="BP76" i="19" s="1"/>
  <c r="BP77" i="19" s="1"/>
  <c r="BP78" i="19" s="1"/>
  <c r="BP79" i="19" s="1"/>
  <c r="BP80" i="19" s="1"/>
  <c r="BP81" i="19" s="1"/>
  <c r="BP82" i="19" s="1"/>
  <c r="BP83" i="19" s="1"/>
  <c r="BP84" i="19" s="1"/>
  <c r="BP85" i="19" s="1"/>
  <c r="BP86" i="19" s="1"/>
  <c r="BP87" i="19" s="1"/>
  <c r="BP88" i="19" s="1"/>
  <c r="BP89" i="19" s="1"/>
  <c r="BP90" i="19" s="1"/>
  <c r="BP91" i="19" s="1"/>
  <c r="BP92" i="19" s="1"/>
  <c r="BP93" i="19" s="1"/>
  <c r="BP94" i="19" s="1"/>
  <c r="BP95" i="19" s="1"/>
  <c r="BP96" i="19" s="1"/>
  <c r="BP97" i="19" s="1"/>
  <c r="BP98" i="19" s="1"/>
  <c r="BP99" i="19" s="1"/>
  <c r="BP100" i="19" s="1"/>
  <c r="BP101" i="19" s="1"/>
  <c r="BP102" i="19" s="1"/>
  <c r="BP103" i="19" s="1"/>
  <c r="BP104" i="19" s="1"/>
  <c r="BP105" i="19" s="1"/>
  <c r="BP106" i="19" s="1"/>
  <c r="BP107" i="19" s="1"/>
  <c r="BP108" i="19" s="1"/>
  <c r="BP109" i="19" s="1"/>
  <c r="BP110" i="19" s="1"/>
  <c r="BP111" i="19" s="1"/>
  <c r="BP112" i="19" s="1"/>
  <c r="BP113" i="19" s="1"/>
  <c r="BP114" i="19" s="1"/>
  <c r="BP115" i="19" s="1"/>
  <c r="BP116" i="19" s="1"/>
  <c r="BP117" i="19" s="1"/>
  <c r="BP118" i="19" s="1"/>
  <c r="BP119" i="19" s="1"/>
  <c r="BP120" i="19" s="1"/>
  <c r="BP121" i="19" s="1"/>
  <c r="AD103" i="19"/>
  <c r="BR33" i="19"/>
  <c r="AB101" i="19"/>
  <c r="AB81" i="19" s="1"/>
  <c r="AD104" i="19"/>
  <c r="AC106" i="19"/>
  <c r="AB103" i="19"/>
  <c r="AB106" i="19"/>
  <c r="AE103" i="19"/>
  <c r="AC103" i="19"/>
  <c r="AC101" i="19"/>
  <c r="BM34" i="19"/>
  <c r="BL54" i="10" l="1"/>
  <c r="BK55" i="10"/>
  <c r="AT103" i="19"/>
  <c r="AU103" i="19"/>
  <c r="BR34" i="19"/>
  <c r="BM35" i="19"/>
  <c r="BM36" i="19" s="1"/>
  <c r="BM37" i="19" s="1"/>
  <c r="BM38" i="19" s="1"/>
  <c r="BM39" i="19" s="1"/>
  <c r="BM40" i="19" s="1"/>
  <c r="BM41" i="19" s="1"/>
  <c r="BM42" i="19" s="1"/>
  <c r="BM43" i="19" s="1"/>
  <c r="BM44" i="19" s="1"/>
  <c r="BM45" i="19" s="1"/>
  <c r="BM46" i="19" s="1"/>
  <c r="BM47" i="19" s="1"/>
  <c r="BM48" i="19" s="1"/>
  <c r="BM49" i="19" s="1"/>
  <c r="BM50" i="19" s="1"/>
  <c r="BM51" i="19" s="1"/>
  <c r="BM52" i="19" s="1"/>
  <c r="BM53" i="19" s="1"/>
  <c r="BM54" i="19" s="1"/>
  <c r="BM55" i="19" s="1"/>
  <c r="BM56" i="19" s="1"/>
  <c r="BM57" i="19" s="1"/>
  <c r="BM58" i="19" s="1"/>
  <c r="BM59" i="19" s="1"/>
  <c r="BM60" i="19" s="1"/>
  <c r="BM61" i="19" s="1"/>
  <c r="BM62" i="19" s="1"/>
  <c r="BM63" i="19" s="1"/>
  <c r="BM64" i="19" s="1"/>
  <c r="BM65" i="19" s="1"/>
  <c r="BM66" i="19" s="1"/>
  <c r="BM67" i="19" s="1"/>
  <c r="BM68" i="19" s="1"/>
  <c r="BM69" i="19" s="1"/>
  <c r="BM70" i="19" s="1"/>
  <c r="BM71" i="19" s="1"/>
  <c r="BM72" i="19" s="1"/>
  <c r="BM73" i="19" s="1"/>
  <c r="BM74" i="19" s="1"/>
  <c r="BM75" i="19" s="1"/>
  <c r="BM76" i="19" s="1"/>
  <c r="BM77" i="19" s="1"/>
  <c r="BM78" i="19" s="1"/>
  <c r="BM79" i="19" s="1"/>
  <c r="BM80" i="19" s="1"/>
  <c r="BM81" i="19" s="1"/>
  <c r="BM82" i="19" s="1"/>
  <c r="BM83" i="19" s="1"/>
  <c r="BM84" i="19" s="1"/>
  <c r="BM85" i="19" s="1"/>
  <c r="BM86" i="19" s="1"/>
  <c r="BM87" i="19" s="1"/>
  <c r="BM88" i="19" s="1"/>
  <c r="BM89" i="19" s="1"/>
  <c r="BM90" i="19" s="1"/>
  <c r="BM91" i="19" s="1"/>
  <c r="BM92" i="19" s="1"/>
  <c r="BM93" i="19" s="1"/>
  <c r="BM94" i="19" s="1"/>
  <c r="BM95" i="19" s="1"/>
  <c r="BM96" i="19" s="1"/>
  <c r="BM97" i="19" s="1"/>
  <c r="BM98" i="19" s="1"/>
  <c r="BM99" i="19" s="1"/>
  <c r="BM100" i="19" s="1"/>
  <c r="BM101" i="19" s="1"/>
  <c r="BM102" i="19" s="1"/>
  <c r="BM103" i="19" s="1"/>
  <c r="BM104" i="19" s="1"/>
  <c r="BM105" i="19" s="1"/>
  <c r="BM106" i="19" s="1"/>
  <c r="BM107" i="19" s="1"/>
  <c r="BM108" i="19" s="1"/>
  <c r="BM109" i="19" s="1"/>
  <c r="BM110" i="19" s="1"/>
  <c r="BM111" i="19" s="1"/>
  <c r="BM112" i="19" s="1"/>
  <c r="BM113" i="19" s="1"/>
  <c r="BM114" i="19" s="1"/>
  <c r="BM115" i="19" s="1"/>
  <c r="BM116" i="19" s="1"/>
  <c r="BM117" i="19" s="1"/>
  <c r="BM118" i="19" s="1"/>
  <c r="BM119" i="19" s="1"/>
  <c r="BM120" i="19" s="1"/>
  <c r="BM121" i="19" s="1"/>
  <c r="AC100" i="19"/>
  <c r="AC78" i="19" s="1"/>
  <c r="BL55" i="10" l="1"/>
  <c r="BK56" i="10"/>
  <c r="BR35" i="19"/>
  <c r="AC105" i="19"/>
  <c r="AC81" i="19" s="1"/>
  <c r="AD100" i="19"/>
  <c r="AD78" i="19" s="1"/>
  <c r="BK57" i="10" l="1"/>
  <c r="BL56" i="10"/>
  <c r="BR36" i="19"/>
  <c r="BR37" i="19" s="1"/>
  <c r="BR38" i="19" s="1"/>
  <c r="BR39" i="19" s="1"/>
  <c r="BR40" i="19" s="1"/>
  <c r="BR41" i="19" s="1"/>
  <c r="BR42" i="19" s="1"/>
  <c r="BR43" i="19" s="1"/>
  <c r="BR44" i="19" s="1"/>
  <c r="BR45" i="19" s="1"/>
  <c r="BR46" i="19" s="1"/>
  <c r="BR47" i="19" s="1"/>
  <c r="BR48" i="19" s="1"/>
  <c r="BR49" i="19" s="1"/>
  <c r="BR50" i="19" s="1"/>
  <c r="BR51" i="19" s="1"/>
  <c r="BR52" i="19" s="1"/>
  <c r="BR53" i="19" s="1"/>
  <c r="BR54" i="19" s="1"/>
  <c r="BR55" i="19" s="1"/>
  <c r="BR56" i="19" s="1"/>
  <c r="BR57" i="19" s="1"/>
  <c r="BR58" i="19" s="1"/>
  <c r="BR59" i="19" s="1"/>
  <c r="BR60" i="19" s="1"/>
  <c r="BR61" i="19" s="1"/>
  <c r="BR62" i="19" s="1"/>
  <c r="BR63" i="19" s="1"/>
  <c r="BR64" i="19" s="1"/>
  <c r="BR65" i="19" s="1"/>
  <c r="BR66" i="19" s="1"/>
  <c r="BR67" i="19" s="1"/>
  <c r="BR68" i="19" s="1"/>
  <c r="BR69" i="19" s="1"/>
  <c r="BR70" i="19" s="1"/>
  <c r="BR71" i="19" s="1"/>
  <c r="BR72" i="19" s="1"/>
  <c r="BR73" i="19" s="1"/>
  <c r="BR74" i="19" s="1"/>
  <c r="BR75" i="19" s="1"/>
  <c r="BR76" i="19" s="1"/>
  <c r="BR77" i="19" s="1"/>
  <c r="BR78" i="19" s="1"/>
  <c r="BR79" i="19" s="1"/>
  <c r="BR80" i="19" s="1"/>
  <c r="BR81" i="19" s="1"/>
  <c r="BR82" i="19" s="1"/>
  <c r="BR83" i="19" s="1"/>
  <c r="BR84" i="19" s="1"/>
  <c r="BR85" i="19" s="1"/>
  <c r="BR86" i="19" s="1"/>
  <c r="BR87" i="19" s="1"/>
  <c r="BR88" i="19" s="1"/>
  <c r="BR89" i="19" s="1"/>
  <c r="BR90" i="19" s="1"/>
  <c r="BR91" i="19" s="1"/>
  <c r="BR92" i="19" s="1"/>
  <c r="BR93" i="19" s="1"/>
  <c r="BR94" i="19" s="1"/>
  <c r="BR95" i="19" s="1"/>
  <c r="BR96" i="19" s="1"/>
  <c r="BR97" i="19" s="1"/>
  <c r="BR98" i="19" s="1"/>
  <c r="BR99" i="19" s="1"/>
  <c r="BR100" i="19" s="1"/>
  <c r="BR101" i="19" s="1"/>
  <c r="BR102" i="19" s="1"/>
  <c r="BR103" i="19" s="1"/>
  <c r="BR104" i="19" s="1"/>
  <c r="BR105" i="19" s="1"/>
  <c r="BR106" i="19" s="1"/>
  <c r="BR107" i="19" s="1"/>
  <c r="BR108" i="19" s="1"/>
  <c r="BR109" i="19" s="1"/>
  <c r="BR110" i="19" s="1"/>
  <c r="BR111" i="19" s="1"/>
  <c r="BR112" i="19" s="1"/>
  <c r="BR113" i="19" s="1"/>
  <c r="BR114" i="19" s="1"/>
  <c r="BR115" i="19" s="1"/>
  <c r="BR116" i="19" s="1"/>
  <c r="BR117" i="19" s="1"/>
  <c r="BR118" i="19" s="1"/>
  <c r="BR119" i="19" s="1"/>
  <c r="BR120" i="19" s="1"/>
  <c r="BR121" i="19" s="1"/>
  <c r="AD105" i="19"/>
  <c r="AM100" i="19"/>
  <c r="AM78" i="19" s="1"/>
  <c r="BL57" i="10" l="1"/>
  <c r="BK58" i="10"/>
  <c r="AT105" i="19"/>
  <c r="AT81" i="19" s="1"/>
  <c r="AS105" i="19"/>
  <c r="AS81" i="19" s="1"/>
  <c r="AE104" i="19"/>
  <c r="AF104" i="19"/>
  <c r="AG104" i="19"/>
  <c r="AH104" i="19"/>
  <c r="AJ104" i="19"/>
  <c r="AL104" i="19"/>
  <c r="AP104" i="19"/>
  <c r="AR104" i="19"/>
  <c r="AQ104" i="19"/>
  <c r="AI104" i="19"/>
  <c r="AM104" i="19"/>
  <c r="AO104" i="19"/>
  <c r="AK104" i="19"/>
  <c r="AN104" i="19"/>
  <c r="AE101" i="19"/>
  <c r="AK101" i="19"/>
  <c r="AF101" i="19"/>
  <c r="N12" i="19" s="1"/>
  <c r="I109" i="21" s="1"/>
  <c r="AH100" i="19"/>
  <c r="AH78" i="19" s="1"/>
  <c r="AE100" i="19"/>
  <c r="AE78" i="19" s="1"/>
  <c r="AI100" i="19"/>
  <c r="AI78" i="19" s="1"/>
  <c r="AG100" i="19"/>
  <c r="AG78" i="19" s="1"/>
  <c r="AK100" i="19"/>
  <c r="AK78" i="19" s="1"/>
  <c r="AL100" i="19"/>
  <c r="AL78" i="19" s="1"/>
  <c r="AF100" i="19"/>
  <c r="AF78" i="19" s="1"/>
  <c r="AJ100" i="19"/>
  <c r="AJ78" i="19" s="1"/>
  <c r="AH105" i="19"/>
  <c r="AF105" i="19"/>
  <c r="AR105" i="19"/>
  <c r="AI105" i="19"/>
  <c r="AO105" i="19"/>
  <c r="AN105" i="19"/>
  <c r="AP105" i="19"/>
  <c r="AM105" i="19"/>
  <c r="AQ105" i="19"/>
  <c r="AL105" i="19"/>
  <c r="AE105" i="19"/>
  <c r="AO103" i="19"/>
  <c r="AN103" i="19"/>
  <c r="AG103" i="19"/>
  <c r="AK103" i="19"/>
  <c r="AQ103" i="19"/>
  <c r="AH103" i="19"/>
  <c r="AP103" i="19"/>
  <c r="AI103" i="19"/>
  <c r="AR103" i="19"/>
  <c r="AL103" i="19"/>
  <c r="AS103" i="19"/>
  <c r="BK59" i="10" l="1"/>
  <c r="BL58" i="10"/>
  <c r="AE81" i="19"/>
  <c r="AK82" i="19"/>
  <c r="AH101" i="19"/>
  <c r="AH81" i="19" s="1"/>
  <c r="AG82" i="19"/>
  <c r="AM101" i="19"/>
  <c r="AL82" i="19"/>
  <c r="AN82" i="19"/>
  <c r="AN81" i="19"/>
  <c r="AG101" i="19"/>
  <c r="AG81" i="19" s="1"/>
  <c r="AP81" i="19"/>
  <c r="AF103" i="19"/>
  <c r="AM103" i="19"/>
  <c r="AG105" i="19"/>
  <c r="AK105" i="19"/>
  <c r="AK81" i="19" s="1"/>
  <c r="AL101" i="19"/>
  <c r="AL81" i="19" s="1"/>
  <c r="AQ81" i="19"/>
  <c r="AO82" i="19"/>
  <c r="AO81" i="19"/>
  <c r="AJ101" i="19"/>
  <c r="AH82" i="19"/>
  <c r="AI82" i="19"/>
  <c r="AJ103" i="19"/>
  <c r="AJ105" i="19"/>
  <c r="AD101" i="19"/>
  <c r="AD81" i="19" s="1"/>
  <c r="AI101" i="19"/>
  <c r="AI81" i="19" s="1"/>
  <c r="BL59" i="10" l="1"/>
  <c r="BK60" i="10"/>
  <c r="AC102" i="19"/>
  <c r="AG102" i="19"/>
  <c r="AJ82" i="19"/>
  <c r="AJ81" i="19"/>
  <c r="AF82" i="19"/>
  <c r="AF81" i="19"/>
  <c r="AF102" i="19"/>
  <c r="AB102" i="19"/>
  <c r="AM82" i="19"/>
  <c r="AM81" i="19"/>
  <c r="AE102" i="19"/>
  <c r="AD102" i="19"/>
  <c r="AR81" i="19"/>
  <c r="AR89" i="19"/>
  <c r="AR85" i="19"/>
  <c r="AR87" i="19"/>
  <c r="AR83" i="19"/>
  <c r="AR90" i="19"/>
  <c r="AR84" i="19"/>
  <c r="AR86" i="19"/>
  <c r="AR88" i="19"/>
  <c r="BK61" i="10" l="1"/>
  <c r="BL60" i="10"/>
  <c r="H470" i="21"/>
  <c r="BK62" i="10" l="1"/>
  <c r="BL61" i="10"/>
  <c r="G470" i="21"/>
  <c r="F20" i="2"/>
  <c r="J12" i="21" s="1"/>
  <c r="F21" i="2"/>
  <c r="J13" i="21" s="1"/>
  <c r="BL62" i="10" l="1"/>
  <c r="BK63" i="10"/>
  <c r="Z10" i="4"/>
  <c r="Z12" i="4" s="1"/>
  <c r="H32" i="21" s="1"/>
  <c r="E32" i="21" s="1"/>
  <c r="BK64" i="10" l="1"/>
  <c r="BL63" i="10"/>
  <c r="E33" i="21"/>
  <c r="F32" i="21"/>
  <c r="G32" i="21"/>
  <c r="G34" i="21" s="1"/>
  <c r="G35" i="21" s="1"/>
  <c r="G36" i="21" s="1"/>
  <c r="S34" i="4"/>
  <c r="BL64" i="10" l="1"/>
  <c r="BK65" i="10"/>
  <c r="E34" i="21"/>
  <c r="F33" i="21"/>
  <c r="BK66" i="10" l="1"/>
  <c r="BL65" i="10"/>
  <c r="F34" i="21"/>
  <c r="E35" i="21"/>
  <c r="BL66" i="10" l="1"/>
  <c r="BK67" i="10"/>
  <c r="F35" i="21"/>
  <c r="E36" i="21"/>
  <c r="BK68" i="10" l="1"/>
  <c r="BL67" i="10"/>
  <c r="F36" i="21"/>
  <c r="E37" i="21"/>
  <c r="D18" i="11"/>
  <c r="C18" i="11"/>
  <c r="BK69" i="10" l="1"/>
  <c r="BL68" i="10"/>
  <c r="F37" i="21"/>
  <c r="E38" i="21"/>
  <c r="V18" i="11"/>
  <c r="F18" i="11" s="1"/>
  <c r="O18" i="11" s="1"/>
  <c r="X18" i="11"/>
  <c r="BL69" i="10" l="1"/>
  <c r="BK70" i="10"/>
  <c r="F38" i="21"/>
  <c r="E39" i="21"/>
  <c r="W45" i="11"/>
  <c r="W44" i="11" s="1"/>
  <c r="H501" i="21"/>
  <c r="G18" i="11"/>
  <c r="J501" i="21" s="1"/>
  <c r="BK71" i="10" l="1"/>
  <c r="BL70" i="10"/>
  <c r="F39" i="21"/>
  <c r="E40" i="21"/>
  <c r="H593" i="21"/>
  <c r="G593" i="21" s="1"/>
  <c r="BL71" i="10" l="1"/>
  <c r="BK72" i="10"/>
  <c r="E41" i="21"/>
  <c r="F40" i="21"/>
  <c r="BK73" i="10" l="1"/>
  <c r="BL72" i="10"/>
  <c r="F41" i="21"/>
  <c r="E42" i="21"/>
  <c r="G501" i="21"/>
  <c r="G511" i="21"/>
  <c r="BL73" i="10" l="1"/>
  <c r="BK74" i="10"/>
  <c r="F42" i="21"/>
  <c r="E43" i="21"/>
  <c r="G510" i="21"/>
  <c r="BK75" i="10" l="1"/>
  <c r="BL74" i="10"/>
  <c r="F43" i="21"/>
  <c r="E44" i="21"/>
  <c r="BL75" i="10" l="1"/>
  <c r="BK76" i="10"/>
  <c r="F44" i="21"/>
  <c r="E45" i="21"/>
  <c r="BK77" i="10" l="1"/>
  <c r="BL76" i="10"/>
  <c r="F45" i="21"/>
  <c r="E46" i="21"/>
  <c r="BL77" i="10" l="1"/>
  <c r="BK78" i="10"/>
  <c r="F46" i="21"/>
  <c r="E47" i="21"/>
  <c r="BL78" i="10" l="1"/>
  <c r="BK79" i="10"/>
  <c r="E48" i="21"/>
  <c r="F47" i="21"/>
  <c r="BK80" i="10" l="1"/>
  <c r="BL79" i="10"/>
  <c r="E49" i="21"/>
  <c r="F48" i="21"/>
  <c r="BL80" i="10" l="1"/>
  <c r="BK81" i="10"/>
  <c r="F49" i="21"/>
  <c r="E50" i="21"/>
  <c r="BK82" i="10" l="1"/>
  <c r="BL81" i="10"/>
  <c r="F50" i="21"/>
  <c r="E51" i="21"/>
  <c r="BL82" i="10" l="1"/>
  <c r="BK83" i="10"/>
  <c r="F51" i="21"/>
  <c r="E52" i="21"/>
  <c r="BK84" i="10" l="1"/>
  <c r="BL83" i="10"/>
  <c r="F52" i="21"/>
  <c r="E53" i="21"/>
  <c r="BL84" i="10" l="1"/>
  <c r="BK85" i="10"/>
  <c r="F53" i="21"/>
  <c r="E54" i="21"/>
  <c r="BL85" i="10" l="1"/>
  <c r="BK86" i="10"/>
  <c r="F54" i="21"/>
  <c r="E55" i="21"/>
  <c r="BK87" i="10" l="1"/>
  <c r="BL86" i="10"/>
  <c r="F55" i="21"/>
  <c r="E56" i="21"/>
  <c r="BL87" i="10" l="1"/>
  <c r="BK88" i="10"/>
  <c r="F56" i="21"/>
  <c r="E57" i="21"/>
  <c r="BK89" i="10" l="1"/>
  <c r="BL88" i="10"/>
  <c r="E58" i="21"/>
  <c r="F57" i="21"/>
  <c r="BL89" i="10" l="1"/>
  <c r="BK90" i="10"/>
  <c r="E59" i="21"/>
  <c r="F58" i="21"/>
  <c r="BK91" i="10" l="1"/>
  <c r="BL90" i="10"/>
  <c r="E60" i="21"/>
  <c r="F59" i="21"/>
  <c r="BK92" i="10" l="1"/>
  <c r="BL91" i="10"/>
  <c r="E61" i="21"/>
  <c r="F60" i="21"/>
  <c r="BK93" i="10" l="1"/>
  <c r="BL92" i="10"/>
  <c r="E62" i="21"/>
  <c r="F61" i="21"/>
  <c r="BK94" i="10" l="1"/>
  <c r="BL93" i="10"/>
  <c r="E63" i="21"/>
  <c r="F62" i="21"/>
  <c r="BL94" i="10" l="1"/>
  <c r="BK95" i="10"/>
  <c r="F63" i="21"/>
  <c r="E64" i="21"/>
  <c r="BK96" i="10" l="1"/>
  <c r="BL95" i="10"/>
  <c r="F64" i="21"/>
  <c r="E65" i="21"/>
  <c r="BL96" i="10" l="1"/>
  <c r="BK97" i="10"/>
  <c r="E66" i="21"/>
  <c r="F65" i="21"/>
  <c r="BK98" i="10" l="1"/>
  <c r="BL97" i="10"/>
  <c r="F66" i="21"/>
  <c r="E67" i="21"/>
  <c r="BK99" i="10" l="1"/>
  <c r="BL98" i="10"/>
  <c r="E68" i="21"/>
  <c r="F67" i="21"/>
  <c r="BL99" i="10" l="1"/>
  <c r="BK100" i="10"/>
  <c r="F68" i="21"/>
  <c r="E69" i="21"/>
  <c r="BK101" i="10" l="1"/>
  <c r="BL100" i="10"/>
  <c r="F69" i="21"/>
  <c r="E70" i="21"/>
  <c r="BL101" i="10" l="1"/>
  <c r="BK102" i="10"/>
  <c r="E71" i="21"/>
  <c r="F70" i="21"/>
  <c r="BK103" i="10" l="1"/>
  <c r="BL102" i="10"/>
  <c r="E72" i="21"/>
  <c r="F71" i="21"/>
  <c r="BL103" i="10" l="1"/>
  <c r="BK104" i="10"/>
  <c r="F72" i="21"/>
  <c r="E73" i="21"/>
  <c r="BK105" i="10" l="1"/>
  <c r="BL104" i="10"/>
  <c r="F73" i="21"/>
  <c r="E74" i="21"/>
  <c r="BL105" i="10" l="1"/>
  <c r="BK106" i="10"/>
  <c r="F74" i="21"/>
  <c r="E75" i="21"/>
  <c r="BL106" i="10" l="1"/>
  <c r="BK107" i="10"/>
  <c r="F75" i="21"/>
  <c r="E76" i="21"/>
  <c r="BK108" i="10" l="1"/>
  <c r="BL107" i="10"/>
  <c r="F76" i="21"/>
  <c r="E77" i="21"/>
  <c r="BL108" i="10" l="1"/>
  <c r="BK109" i="10"/>
  <c r="F77" i="21"/>
  <c r="E78" i="21"/>
  <c r="BK110" i="10" l="1"/>
  <c r="BL109" i="10"/>
  <c r="E79" i="21"/>
  <c r="F78" i="21"/>
  <c r="BL110" i="10" l="1"/>
  <c r="BK111" i="10"/>
  <c r="F79" i="21"/>
  <c r="E80" i="21"/>
  <c r="BK112" i="10" l="1"/>
  <c r="BL111" i="10"/>
  <c r="F80" i="21"/>
  <c r="E81" i="21"/>
  <c r="BL112" i="10" l="1"/>
  <c r="BK113" i="10"/>
  <c r="F81" i="21"/>
  <c r="E82" i="21"/>
  <c r="BL113" i="10" l="1"/>
  <c r="BK114" i="10"/>
  <c r="E83" i="21"/>
  <c r="F82" i="21"/>
  <c r="BK115" i="10" l="1"/>
  <c r="BL114" i="10"/>
  <c r="E84" i="21"/>
  <c r="F83" i="21"/>
  <c r="BL115" i="10" l="1"/>
  <c r="BK116" i="10"/>
  <c r="E85" i="21"/>
  <c r="F84" i="21"/>
  <c r="BK117" i="10" l="1"/>
  <c r="BL116" i="10"/>
  <c r="E86" i="21"/>
  <c r="F85" i="21"/>
  <c r="BL117" i="10" l="1"/>
  <c r="BK118" i="10"/>
  <c r="F86" i="21"/>
  <c r="E87" i="21"/>
  <c r="BK119" i="10" l="1"/>
  <c r="BL118" i="10"/>
  <c r="F87" i="21"/>
  <c r="E88" i="21"/>
  <c r="BL119" i="10" l="1"/>
  <c r="BK120" i="10"/>
  <c r="F88" i="21"/>
  <c r="E89" i="21"/>
  <c r="BK121" i="10" l="1"/>
  <c r="BL120" i="10"/>
  <c r="E90" i="21"/>
  <c r="F89" i="21"/>
  <c r="BL121" i="10" l="1"/>
  <c r="BK122" i="10"/>
  <c r="E91" i="21"/>
  <c r="F90" i="21"/>
  <c r="BK123" i="10" l="1"/>
  <c r="BL122" i="10"/>
  <c r="E92" i="21"/>
  <c r="F91" i="21"/>
  <c r="BL123" i="10" l="1"/>
  <c r="BK124" i="10"/>
  <c r="E93" i="21"/>
  <c r="F92" i="21"/>
  <c r="BK125" i="10" l="1"/>
  <c r="BL124" i="10"/>
  <c r="F93" i="21"/>
  <c r="E94" i="21"/>
  <c r="BL125" i="10" l="1"/>
  <c r="BK126" i="10"/>
  <c r="F94" i="21"/>
  <c r="E95" i="21"/>
  <c r="BK127" i="10" l="1"/>
  <c r="BL126" i="10"/>
  <c r="F95" i="21"/>
  <c r="E96" i="21"/>
  <c r="BL127" i="10" l="1"/>
  <c r="BK128" i="10"/>
  <c r="E97" i="21"/>
  <c r="F96" i="21"/>
  <c r="BK129" i="10" l="1"/>
  <c r="BL128" i="10"/>
  <c r="F97" i="21"/>
  <c r="E98" i="21"/>
  <c r="BL129" i="10" l="1"/>
  <c r="BK130" i="10"/>
  <c r="F98" i="21"/>
  <c r="E99" i="21"/>
  <c r="BK131" i="10" l="1"/>
  <c r="BL130" i="10"/>
  <c r="E100" i="21"/>
  <c r="F99" i="21"/>
  <c r="BL131" i="10" l="1"/>
  <c r="BK132" i="10"/>
  <c r="F100" i="21"/>
  <c r="E101" i="21"/>
  <c r="BL132" i="10" l="1"/>
  <c r="BK133" i="10"/>
  <c r="F101" i="21"/>
  <c r="E102" i="21"/>
  <c r="BK134" i="10" l="1"/>
  <c r="BL133" i="10"/>
  <c r="F102" i="21"/>
  <c r="E103" i="21"/>
  <c r="BL134" i="10" l="1"/>
  <c r="BK135" i="10"/>
  <c r="E104" i="21"/>
  <c r="F103" i="21"/>
  <c r="BK136" i="10" l="1"/>
  <c r="BL135" i="10"/>
  <c r="E105" i="21"/>
  <c r="F104" i="21"/>
  <c r="BL136" i="10" l="1"/>
  <c r="BK137" i="10"/>
  <c r="F105" i="21"/>
  <c r="E106" i="21"/>
  <c r="BK138" i="10" l="1"/>
  <c r="BL137" i="10"/>
  <c r="F106" i="21"/>
  <c r="E107" i="21"/>
  <c r="BL138" i="10" l="1"/>
  <c r="BK139" i="10"/>
  <c r="F107" i="21"/>
  <c r="E108" i="21"/>
  <c r="BK140" i="10" l="1"/>
  <c r="BL139" i="10"/>
  <c r="F108" i="21"/>
  <c r="E109" i="21"/>
  <c r="BL140" i="10" l="1"/>
  <c r="BK141" i="10"/>
  <c r="E110" i="21"/>
  <c r="F109" i="21"/>
  <c r="BK142" i="10" l="1"/>
  <c r="BL141" i="10"/>
  <c r="F110" i="21"/>
  <c r="E111" i="21"/>
  <c r="BL142" i="10" l="1"/>
  <c r="BK143" i="10"/>
  <c r="F111" i="21"/>
  <c r="E112" i="21"/>
  <c r="BL143" i="10" l="1"/>
  <c r="BK144" i="10"/>
  <c r="F112" i="21"/>
  <c r="E113" i="21"/>
  <c r="BK145" i="10" l="1"/>
  <c r="BL144" i="10"/>
  <c r="E114" i="21"/>
  <c r="F113" i="21"/>
  <c r="BL145" i="10" l="1"/>
  <c r="BK146" i="10"/>
  <c r="E115" i="21"/>
  <c r="F114" i="21"/>
  <c r="BK147" i="10" l="1"/>
  <c r="BL146" i="10"/>
  <c r="E116" i="21"/>
  <c r="F115" i="21"/>
  <c r="BL147" i="10" l="1"/>
  <c r="BK148" i="10"/>
  <c r="E117" i="21"/>
  <c r="F116" i="21"/>
  <c r="BK149" i="10" l="1"/>
  <c r="BL148" i="10"/>
  <c r="F117" i="21"/>
  <c r="E118" i="21"/>
  <c r="BL149" i="10" l="1"/>
  <c r="BK150" i="10"/>
  <c r="E119" i="21"/>
  <c r="F118" i="21"/>
  <c r="BK151" i="10" l="1"/>
  <c r="BL150" i="10"/>
  <c r="E120" i="21"/>
  <c r="F119" i="21"/>
  <c r="BK152" i="10" l="1"/>
  <c r="BL151" i="10"/>
  <c r="F120" i="21"/>
  <c r="E121" i="21"/>
  <c r="BL152" i="10" l="1"/>
  <c r="BK153" i="10"/>
  <c r="E122" i="21"/>
  <c r="F121" i="21"/>
  <c r="BK154" i="10" l="1"/>
  <c r="BL153" i="10"/>
  <c r="F122" i="21"/>
  <c r="E123" i="21"/>
  <c r="BL154" i="10" l="1"/>
  <c r="BK155" i="10"/>
  <c r="E124" i="21"/>
  <c r="F123" i="21"/>
  <c r="BK156" i="10" l="1"/>
  <c r="BL155" i="10"/>
  <c r="F124" i="21"/>
  <c r="E125" i="21"/>
  <c r="BL156" i="10" l="1"/>
  <c r="BK157" i="10"/>
  <c r="F125" i="21"/>
  <c r="E126" i="21"/>
  <c r="BK158" i="10" l="1"/>
  <c r="BL157" i="10"/>
  <c r="E127" i="21"/>
  <c r="F126" i="21"/>
  <c r="BL158" i="10" l="1"/>
  <c r="BK159" i="10"/>
  <c r="F127" i="21"/>
  <c r="E128" i="21"/>
  <c r="BL159" i="10" l="1"/>
  <c r="BK160" i="10"/>
  <c r="E129" i="21"/>
  <c r="F128" i="21"/>
  <c r="BK161" i="10" l="1"/>
  <c r="BL160" i="10"/>
  <c r="F129" i="21"/>
  <c r="E130" i="21"/>
  <c r="BL161" i="10" l="1"/>
  <c r="BK162" i="10"/>
  <c r="F130" i="21"/>
  <c r="E131" i="21"/>
  <c r="BK163" i="10" l="1"/>
  <c r="BL162" i="10"/>
  <c r="E132" i="21"/>
  <c r="F131" i="21"/>
  <c r="BL163" i="10" l="1"/>
  <c r="BK164" i="10"/>
  <c r="E133" i="21"/>
  <c r="F132" i="21"/>
  <c r="BK165" i="10" l="1"/>
  <c r="BL164" i="10"/>
  <c r="F133" i="21"/>
  <c r="E134" i="21"/>
  <c r="BL165" i="10" l="1"/>
  <c r="BK166" i="10"/>
  <c r="E135" i="21"/>
  <c r="F134" i="21"/>
  <c r="BK167" i="10" l="1"/>
  <c r="BL166" i="10"/>
  <c r="E136" i="21"/>
  <c r="F135" i="21"/>
  <c r="BL167" i="10" l="1"/>
  <c r="BK168" i="10"/>
  <c r="F136" i="21"/>
  <c r="E137" i="21"/>
  <c r="BL168" i="10" l="1"/>
  <c r="BK169" i="10"/>
  <c r="F137" i="21"/>
  <c r="E138" i="21"/>
  <c r="BK170" i="10" l="1"/>
  <c r="BL169" i="10"/>
  <c r="E139" i="21"/>
  <c r="F138" i="21"/>
  <c r="BL170" i="10" l="1"/>
  <c r="BK171" i="10"/>
  <c r="F139" i="21"/>
  <c r="E140" i="21"/>
  <c r="BK172" i="10" l="1"/>
  <c r="BL171" i="10"/>
  <c r="E141" i="21"/>
  <c r="F140" i="21"/>
  <c r="BL172" i="10" l="1"/>
  <c r="BK173" i="10"/>
  <c r="F141" i="21"/>
  <c r="E142" i="21"/>
  <c r="BK174" i="10" l="1"/>
  <c r="BL173" i="10"/>
  <c r="F142" i="21"/>
  <c r="E143" i="21"/>
  <c r="BK175" i="10" l="1"/>
  <c r="BL174" i="10"/>
  <c r="F143" i="21"/>
  <c r="E144" i="21"/>
  <c r="BL175" i="10" l="1"/>
  <c r="BK176" i="10"/>
  <c r="F144" i="21"/>
  <c r="E145" i="21"/>
  <c r="BK177" i="10" l="1"/>
  <c r="BL176" i="10"/>
  <c r="E146" i="21"/>
  <c r="F145" i="21"/>
  <c r="BL177" i="10" l="1"/>
  <c r="BK178" i="10"/>
  <c r="F146" i="21"/>
  <c r="E147" i="21"/>
  <c r="BK179" i="10" l="1"/>
  <c r="BL178" i="10"/>
  <c r="E148" i="21"/>
  <c r="F147" i="21"/>
  <c r="BL179" i="10" l="1"/>
  <c r="BK180" i="10"/>
  <c r="F148" i="21"/>
  <c r="E149" i="21"/>
  <c r="BK181" i="10" l="1"/>
  <c r="BL180" i="10"/>
  <c r="E150" i="21"/>
  <c r="F149" i="21"/>
  <c r="BK182" i="10" l="1"/>
  <c r="BL181" i="10"/>
  <c r="F150" i="21"/>
  <c r="E151" i="21"/>
  <c r="BL182" i="10" l="1"/>
  <c r="BK183" i="10"/>
  <c r="E152" i="21"/>
  <c r="F151" i="21"/>
  <c r="BK184" i="10" l="1"/>
  <c r="BL183" i="10"/>
  <c r="E153" i="21"/>
  <c r="F152" i="21"/>
  <c r="BL184" i="10" l="1"/>
  <c r="BK185" i="10"/>
  <c r="F153" i="21"/>
  <c r="E154" i="21"/>
  <c r="BK186" i="10" l="1"/>
  <c r="BL185" i="10"/>
  <c r="F154" i="21"/>
  <c r="E155" i="21"/>
  <c r="BL186" i="10" l="1"/>
  <c r="BK187" i="10"/>
  <c r="F155" i="21"/>
  <c r="E156" i="21"/>
  <c r="BK188" i="10" l="1"/>
  <c r="BL187" i="10"/>
  <c r="E157" i="21"/>
  <c r="F156" i="21"/>
  <c r="BK189" i="10" l="1"/>
  <c r="BL188" i="10"/>
  <c r="E158" i="21"/>
  <c r="F157" i="21"/>
  <c r="BL189" i="10" l="1"/>
  <c r="BK190" i="10"/>
  <c r="F158" i="21"/>
  <c r="E159" i="21"/>
  <c r="BK191" i="10" l="1"/>
  <c r="BL190" i="10"/>
  <c r="F159" i="21"/>
  <c r="E160" i="21"/>
  <c r="BK192" i="10" l="1"/>
  <c r="BL191" i="10"/>
  <c r="F160" i="21"/>
  <c r="E161" i="21"/>
  <c r="BK193" i="10" l="1"/>
  <c r="BL192" i="10"/>
  <c r="E162" i="21"/>
  <c r="F161" i="21"/>
  <c r="BL193" i="10" l="1"/>
  <c r="BK194" i="10"/>
  <c r="F162" i="21"/>
  <c r="E163" i="21"/>
  <c r="BK195" i="10" l="1"/>
  <c r="BL194" i="10"/>
  <c r="E164" i="21"/>
  <c r="F163" i="21"/>
  <c r="BL195" i="10" l="1"/>
  <c r="BK196" i="10"/>
  <c r="F164" i="21"/>
  <c r="E165" i="21"/>
  <c r="BK197" i="10" l="1"/>
  <c r="BL196" i="10"/>
  <c r="E166" i="21"/>
  <c r="F165" i="21"/>
  <c r="BL197" i="10" l="1"/>
  <c r="BK198" i="10"/>
  <c r="F166" i="21"/>
  <c r="E167" i="21"/>
  <c r="BL198" i="10" l="1"/>
  <c r="BK199" i="10"/>
  <c r="E168" i="21"/>
  <c r="F167" i="21"/>
  <c r="BK200" i="10" l="1"/>
  <c r="BL199" i="10"/>
  <c r="F168" i="21"/>
  <c r="E169" i="21"/>
  <c r="BL200" i="10" l="1"/>
  <c r="BK201" i="10"/>
  <c r="F169" i="21"/>
  <c r="E170" i="21"/>
  <c r="BK202" i="10" l="1"/>
  <c r="BL201" i="10"/>
  <c r="F170" i="21"/>
  <c r="E171" i="21"/>
  <c r="BL202" i="10" l="1"/>
  <c r="BK203" i="10"/>
  <c r="F171" i="21"/>
  <c r="E172" i="21"/>
  <c r="BL203" i="10" l="1"/>
  <c r="BK204" i="10"/>
  <c r="E173" i="21"/>
  <c r="F172" i="21"/>
  <c r="BK205" i="10" l="1"/>
  <c r="BL204" i="10"/>
  <c r="F173" i="21"/>
  <c r="E174" i="21"/>
  <c r="BK206" i="10" l="1"/>
  <c r="BL205" i="10"/>
  <c r="F174" i="21"/>
  <c r="E175" i="21"/>
  <c r="BL206" i="10" l="1"/>
  <c r="BK207" i="10"/>
  <c r="E176" i="21"/>
  <c r="F175" i="21"/>
  <c r="BK208" i="10" l="1"/>
  <c r="BL207" i="10"/>
  <c r="F176" i="21"/>
  <c r="E177" i="21"/>
  <c r="BL208" i="10" l="1"/>
  <c r="BK209" i="10"/>
  <c r="F177" i="21"/>
  <c r="E178" i="21"/>
  <c r="BK210" i="10" l="1"/>
  <c r="BL209" i="10"/>
  <c r="E179" i="21"/>
  <c r="F178" i="21"/>
  <c r="BK211" i="10" l="1"/>
  <c r="BL210" i="10"/>
  <c r="F179" i="21"/>
  <c r="E180" i="21"/>
  <c r="BL211" i="10" l="1"/>
  <c r="BK212" i="10"/>
  <c r="E181" i="21"/>
  <c r="F180" i="21"/>
  <c r="BL212" i="10" l="1"/>
  <c r="BK213" i="10"/>
  <c r="E182" i="21"/>
  <c r="F181" i="21"/>
  <c r="BK214" i="10" l="1"/>
  <c r="BL213" i="10"/>
  <c r="F182" i="21"/>
  <c r="E183" i="21"/>
  <c r="BK215" i="10" l="1"/>
  <c r="BL214" i="10"/>
  <c r="E184" i="21"/>
  <c r="F183" i="21"/>
  <c r="BK216" i="10" l="1"/>
  <c r="BL215" i="10"/>
  <c r="E185" i="21"/>
  <c r="F184" i="21"/>
  <c r="BK217" i="10" l="1"/>
  <c r="BL216" i="10"/>
  <c r="F185" i="21"/>
  <c r="E186" i="21"/>
  <c r="BK218" i="10" l="1"/>
  <c r="BL217" i="10"/>
  <c r="F186" i="21"/>
  <c r="E187" i="21"/>
  <c r="BK219" i="10" l="1"/>
  <c r="BL218" i="10"/>
  <c r="F187" i="21"/>
  <c r="E188" i="21"/>
  <c r="BL219" i="10" l="1"/>
  <c r="BK220" i="10"/>
  <c r="E189" i="21"/>
  <c r="F188" i="21"/>
  <c r="BK221" i="10" l="1"/>
  <c r="BL220" i="10"/>
  <c r="F189" i="21"/>
  <c r="E190" i="21"/>
  <c r="BL221" i="10" l="1"/>
  <c r="BK222" i="10"/>
  <c r="F190" i="21"/>
  <c r="E191" i="21"/>
  <c r="BK223" i="10" l="1"/>
  <c r="BL222" i="10"/>
  <c r="F191" i="21"/>
  <c r="E192" i="21"/>
  <c r="BL223" i="10" l="1"/>
  <c r="BK224" i="10"/>
  <c r="F192" i="21"/>
  <c r="E193" i="21"/>
  <c r="BL224" i="10" l="1"/>
  <c r="BK225" i="10"/>
  <c r="E194" i="21"/>
  <c r="F193" i="21"/>
  <c r="BL225" i="10" l="1"/>
  <c r="BK226" i="10"/>
  <c r="F194" i="21"/>
  <c r="E195" i="21"/>
  <c r="BL226" i="10" l="1"/>
  <c r="BK227" i="10"/>
  <c r="F195" i="21"/>
  <c r="E196" i="21"/>
  <c r="BK228" i="10" l="1"/>
  <c r="BL227" i="10"/>
  <c r="E197" i="21"/>
  <c r="F196" i="21"/>
  <c r="BK229" i="10" l="1"/>
  <c r="BL228" i="10"/>
  <c r="F197" i="21"/>
  <c r="E198" i="21"/>
  <c r="BK230" i="10" l="1"/>
  <c r="BL229" i="10"/>
  <c r="E199" i="21"/>
  <c r="F198" i="21"/>
  <c r="BL230" i="10" l="1"/>
  <c r="BK231" i="10"/>
  <c r="F199" i="21"/>
  <c r="E200" i="21"/>
  <c r="BL231" i="10" l="1"/>
  <c r="BK232" i="10"/>
  <c r="F200" i="21"/>
  <c r="E201" i="21"/>
  <c r="BK233" i="10" l="1"/>
  <c r="BL232" i="10"/>
  <c r="F201" i="21"/>
  <c r="E202" i="21"/>
  <c r="BL233" i="10" l="1"/>
  <c r="BK234" i="10"/>
  <c r="E203" i="21"/>
  <c r="F202" i="21"/>
  <c r="BL234" i="10" l="1"/>
  <c r="BK235" i="10"/>
  <c r="F203" i="21"/>
  <c r="E204" i="21"/>
  <c r="BL235" i="10" l="1"/>
  <c r="BK236" i="10"/>
  <c r="F204" i="21"/>
  <c r="E205" i="21"/>
  <c r="BK237" i="10" l="1"/>
  <c r="BL236" i="10"/>
  <c r="E206" i="21"/>
  <c r="F205" i="21"/>
  <c r="BK238" i="10" l="1"/>
  <c r="BL237" i="10"/>
  <c r="F206" i="21"/>
  <c r="E207" i="21"/>
  <c r="BL238" i="10" l="1"/>
  <c r="BK239" i="10"/>
  <c r="E208" i="21"/>
  <c r="F207" i="21"/>
  <c r="BK240" i="10" l="1"/>
  <c r="BL239" i="10"/>
  <c r="F208" i="21"/>
  <c r="E209" i="21"/>
  <c r="BK241" i="10" l="1"/>
  <c r="BL240" i="10"/>
  <c r="E210" i="21"/>
  <c r="F209" i="21"/>
  <c r="BL241" i="10" l="1"/>
  <c r="BK242" i="10"/>
  <c r="F210" i="21"/>
  <c r="E211" i="21"/>
  <c r="BK243" i="10" l="1"/>
  <c r="BL242" i="10"/>
  <c r="E212" i="21"/>
  <c r="F211" i="21"/>
  <c r="BL243" i="10" l="1"/>
  <c r="BK244" i="10"/>
  <c r="E213" i="21"/>
  <c r="F212" i="21"/>
  <c r="BL244" i="10" l="1"/>
  <c r="BK245" i="10"/>
  <c r="F213" i="21"/>
  <c r="E214" i="21"/>
  <c r="BK246" i="10" l="1"/>
  <c r="BL245" i="10"/>
  <c r="E215" i="21"/>
  <c r="F214" i="21"/>
  <c r="BL246" i="10" l="1"/>
  <c r="BK247" i="10"/>
  <c r="E216" i="21"/>
  <c r="F215" i="21"/>
  <c r="BK248" i="10" l="1"/>
  <c r="BL247" i="10"/>
  <c r="F216" i="21"/>
  <c r="E217" i="21"/>
  <c r="BL248" i="10" l="1"/>
  <c r="BK249" i="10"/>
  <c r="E218" i="21"/>
  <c r="F217" i="21"/>
  <c r="BK250" i="10" l="1"/>
  <c r="BL249" i="10"/>
  <c r="F218" i="21"/>
  <c r="E219" i="21"/>
  <c r="BK251" i="10" l="1"/>
  <c r="BL250" i="10"/>
  <c r="F219" i="21"/>
  <c r="E220" i="21"/>
  <c r="BK252" i="10" l="1"/>
  <c r="BL251" i="10"/>
  <c r="E221" i="21"/>
  <c r="F220" i="21"/>
  <c r="BK253" i="10" l="1"/>
  <c r="BL252" i="10"/>
  <c r="F221" i="21"/>
  <c r="E222" i="21"/>
  <c r="BL253" i="10" l="1"/>
  <c r="BK254" i="10"/>
  <c r="E223" i="21"/>
  <c r="F222" i="21"/>
  <c r="BK255" i="10" l="1"/>
  <c r="BL254" i="10"/>
  <c r="E224" i="21"/>
  <c r="F223" i="21"/>
  <c r="BL255" i="10" l="1"/>
  <c r="BK256" i="10"/>
  <c r="F224" i="21"/>
  <c r="E225" i="21"/>
  <c r="BK257" i="10" l="1"/>
  <c r="BL256" i="10"/>
  <c r="E226" i="21"/>
  <c r="F225" i="21"/>
  <c r="BL257" i="10" l="1"/>
  <c r="BK258" i="10"/>
  <c r="E227" i="21"/>
  <c r="F226" i="21"/>
  <c r="BK259" i="10" l="1"/>
  <c r="BL258" i="10"/>
  <c r="F227" i="21"/>
  <c r="E228" i="21"/>
  <c r="BL259" i="10" l="1"/>
  <c r="BK260" i="10"/>
  <c r="F228" i="21"/>
  <c r="E229" i="21"/>
  <c r="BK261" i="10" l="1"/>
  <c r="BL260" i="10"/>
  <c r="F229" i="21"/>
  <c r="E230" i="21"/>
  <c r="BL261" i="10" l="1"/>
  <c r="BK262" i="10"/>
  <c r="F230" i="21"/>
  <c r="E231" i="21"/>
  <c r="BL262" i="10" l="1"/>
  <c r="BK263" i="10"/>
  <c r="E232" i="21"/>
  <c r="F231" i="21"/>
  <c r="BK264" i="10" l="1"/>
  <c r="BL263" i="10"/>
  <c r="E233" i="21"/>
  <c r="F232" i="21"/>
  <c r="BL264" i="10" l="1"/>
  <c r="BK265" i="10"/>
  <c r="E234" i="21"/>
  <c r="F233" i="21"/>
  <c r="BK266" i="10" l="1"/>
  <c r="BL265" i="10"/>
  <c r="F234" i="21"/>
  <c r="E235" i="21"/>
  <c r="BL266" i="10" l="1"/>
  <c r="BK267" i="10"/>
  <c r="F235" i="21"/>
  <c r="E236" i="21"/>
  <c r="BK268" i="10" l="1"/>
  <c r="BL267" i="10"/>
  <c r="E237" i="21"/>
  <c r="F236" i="21"/>
  <c r="BK269" i="10" l="1"/>
  <c r="BL268" i="10"/>
  <c r="E238" i="21"/>
  <c r="F237" i="21"/>
  <c r="BL269" i="10" l="1"/>
  <c r="BK270" i="10"/>
  <c r="F238" i="21"/>
  <c r="E239" i="21"/>
  <c r="BK271" i="10" l="1"/>
  <c r="BL270" i="10"/>
  <c r="F239" i="21"/>
  <c r="E240" i="21"/>
  <c r="BL271" i="10" l="1"/>
  <c r="BK272" i="10"/>
  <c r="E241" i="21"/>
  <c r="F240" i="21"/>
  <c r="BK273" i="10" l="1"/>
  <c r="BL272" i="10"/>
  <c r="F241" i="21"/>
  <c r="E242" i="21"/>
  <c r="BL273" i="10" l="1"/>
  <c r="BK274" i="10"/>
  <c r="E243" i="21"/>
  <c r="F242" i="21"/>
  <c r="BL274" i="10" l="1"/>
  <c r="BK275" i="10"/>
  <c r="F243" i="21"/>
  <c r="E244" i="21"/>
  <c r="BK276" i="10" l="1"/>
  <c r="BL275" i="10"/>
  <c r="F244" i="21"/>
  <c r="E245" i="21"/>
  <c r="BL276" i="10" l="1"/>
  <c r="BK277" i="10"/>
  <c r="E246" i="21"/>
  <c r="F245" i="21"/>
  <c r="BK278" i="10" l="1"/>
  <c r="BL277" i="10"/>
  <c r="E247" i="21"/>
  <c r="F246" i="21"/>
  <c r="BL278" i="10" l="1"/>
  <c r="BK279" i="10"/>
  <c r="F247" i="21"/>
  <c r="E248" i="21"/>
  <c r="BK280" i="10" l="1"/>
  <c r="BL279" i="10"/>
  <c r="E249" i="21"/>
  <c r="F248" i="21"/>
  <c r="BK281" i="10" l="1"/>
  <c r="BL280" i="10"/>
  <c r="E250" i="21"/>
  <c r="F249" i="21"/>
  <c r="BL281" i="10" l="1"/>
  <c r="BK282" i="10"/>
  <c r="E251" i="21"/>
  <c r="F250" i="21"/>
  <c r="BK283" i="10" l="1"/>
  <c r="BL282" i="10"/>
  <c r="E252" i="21"/>
  <c r="F251" i="21"/>
  <c r="BL283" i="10" l="1"/>
  <c r="BK284" i="10"/>
  <c r="E253" i="21"/>
  <c r="F252" i="21"/>
  <c r="BK285" i="10" l="1"/>
  <c r="BL284" i="10"/>
  <c r="E254" i="21"/>
  <c r="F253" i="21"/>
  <c r="BL285" i="10" l="1"/>
  <c r="BK286" i="10"/>
  <c r="E255" i="21"/>
  <c r="F254" i="21"/>
  <c r="BL286" i="10" l="1"/>
  <c r="BK287" i="10"/>
  <c r="F255" i="21"/>
  <c r="E256" i="21"/>
  <c r="BK288" i="10" l="1"/>
  <c r="BL287" i="10"/>
  <c r="E257" i="21"/>
  <c r="F256" i="21"/>
  <c r="BL288" i="10" l="1"/>
  <c r="BK289" i="10"/>
  <c r="E258" i="21"/>
  <c r="F257" i="21"/>
  <c r="BK290" i="10" l="1"/>
  <c r="BL289" i="10"/>
  <c r="E259" i="21"/>
  <c r="F258" i="21"/>
  <c r="BL290" i="10" l="1"/>
  <c r="BK291" i="10"/>
  <c r="F259" i="21"/>
  <c r="E260" i="21"/>
  <c r="BK292" i="10" l="1"/>
  <c r="BL291" i="10"/>
  <c r="F260" i="21"/>
  <c r="E261" i="21"/>
  <c r="BL292" i="10" l="1"/>
  <c r="BK293" i="10"/>
  <c r="E262" i="21"/>
  <c r="F261" i="21"/>
  <c r="BL293" i="10" l="1"/>
  <c r="BK294" i="10"/>
  <c r="E263" i="21"/>
  <c r="F262" i="21"/>
  <c r="BK295" i="10" l="1"/>
  <c r="BL294" i="10"/>
  <c r="F263" i="21"/>
  <c r="E264" i="21"/>
  <c r="BL295" i="10" l="1"/>
  <c r="BK296" i="10"/>
  <c r="E265" i="21"/>
  <c r="F264" i="21"/>
  <c r="BK297" i="10" l="1"/>
  <c r="BL296" i="10"/>
  <c r="E266" i="21"/>
  <c r="F265" i="21"/>
  <c r="BL297" i="10" l="1"/>
  <c r="BK298" i="10"/>
  <c r="F266" i="21"/>
  <c r="E267" i="21"/>
  <c r="BK299" i="10" l="1"/>
  <c r="BL298" i="10"/>
  <c r="E268" i="21"/>
  <c r="F267" i="21"/>
  <c r="BL299" i="10" l="1"/>
  <c r="BK300" i="10"/>
  <c r="E269" i="21"/>
  <c r="F268" i="21"/>
  <c r="BK301" i="10" l="1"/>
  <c r="BL300" i="10"/>
  <c r="E270" i="21"/>
  <c r="F269" i="21"/>
  <c r="BK302" i="10" l="1"/>
  <c r="BL301" i="10"/>
  <c r="F270" i="21"/>
  <c r="E271" i="21"/>
  <c r="BL302" i="10" l="1"/>
  <c r="BK303" i="10"/>
  <c r="F271" i="21"/>
  <c r="E272" i="21"/>
  <c r="BK304" i="10" l="1"/>
  <c r="BL303" i="10"/>
  <c r="F272" i="21"/>
  <c r="E273" i="21"/>
  <c r="BL304" i="10" l="1"/>
  <c r="BK305" i="10"/>
  <c r="E274" i="21"/>
  <c r="F273" i="21"/>
  <c r="BK306" i="10" l="1"/>
  <c r="BL305" i="10"/>
  <c r="F274" i="21"/>
  <c r="E275" i="21"/>
  <c r="BL306" i="10" l="1"/>
  <c r="BK307" i="10"/>
  <c r="F275" i="21"/>
  <c r="E276" i="21"/>
  <c r="BK308" i="10" l="1"/>
  <c r="BL307" i="10"/>
  <c r="F276" i="21"/>
  <c r="E277" i="21"/>
  <c r="BL308" i="10" l="1"/>
  <c r="BK309" i="10"/>
  <c r="F277" i="21"/>
  <c r="E278" i="21"/>
  <c r="BK310" i="10" l="1"/>
  <c r="BL309" i="10"/>
  <c r="F278" i="21"/>
  <c r="E279" i="21"/>
  <c r="BL310" i="10" l="1"/>
  <c r="BK311" i="10"/>
  <c r="E280" i="21"/>
  <c r="F279" i="21"/>
  <c r="BK312" i="10" l="1"/>
  <c r="BL311" i="10"/>
  <c r="E281" i="21"/>
  <c r="F280" i="21"/>
  <c r="BK313" i="10" l="1"/>
  <c r="BL312" i="10"/>
  <c r="F281" i="21"/>
  <c r="E282" i="21"/>
  <c r="BL313" i="10" l="1"/>
  <c r="BK314" i="10"/>
  <c r="F282" i="21"/>
  <c r="E283" i="21"/>
  <c r="BK315" i="10" l="1"/>
  <c r="BL314" i="10"/>
  <c r="F283" i="21"/>
  <c r="E284" i="21"/>
  <c r="BL315" i="10" l="1"/>
  <c r="BK316" i="10"/>
  <c r="F284" i="21"/>
  <c r="E285" i="21"/>
  <c r="BK317" i="10" l="1"/>
  <c r="BL316" i="10"/>
  <c r="F285" i="21"/>
  <c r="E286" i="21"/>
  <c r="BL317" i="10" l="1"/>
  <c r="BK318" i="10"/>
  <c r="F286" i="21"/>
  <c r="E287" i="21"/>
  <c r="BK319" i="10" l="1"/>
  <c r="BL318" i="10"/>
  <c r="F287" i="21"/>
  <c r="E288" i="21"/>
  <c r="BL319" i="10" l="1"/>
  <c r="BK320" i="10"/>
  <c r="F288" i="21"/>
  <c r="E289" i="21"/>
  <c r="BK321" i="10" l="1"/>
  <c r="BL320" i="10"/>
  <c r="E290" i="21"/>
  <c r="F289" i="21"/>
  <c r="BK322" i="10" l="1"/>
  <c r="BL321" i="10"/>
  <c r="E291" i="21"/>
  <c r="F290" i="21"/>
  <c r="BL322" i="10" l="1"/>
  <c r="BK323" i="10"/>
  <c r="F291" i="21"/>
  <c r="E292" i="21"/>
  <c r="BK324" i="10" l="1"/>
  <c r="BL323" i="10"/>
  <c r="F292" i="21"/>
  <c r="E293" i="21"/>
  <c r="BL324" i="10" l="1"/>
  <c r="BK325" i="10"/>
  <c r="E294" i="21"/>
  <c r="F293" i="21"/>
  <c r="BK326" i="10" l="1"/>
  <c r="BL325" i="10"/>
  <c r="F294" i="21"/>
  <c r="E295" i="21"/>
  <c r="BL326" i="10" l="1"/>
  <c r="BK327" i="10"/>
  <c r="F295" i="21"/>
  <c r="E296" i="21"/>
  <c r="BK328" i="10" l="1"/>
  <c r="BL327" i="10"/>
  <c r="F296" i="21"/>
  <c r="E297" i="21"/>
  <c r="BL328" i="10" l="1"/>
  <c r="BK329" i="10"/>
  <c r="E298" i="21"/>
  <c r="F297" i="21"/>
  <c r="BK330" i="10" l="1"/>
  <c r="BL329" i="10"/>
  <c r="F298" i="21"/>
  <c r="E299" i="21"/>
  <c r="BK331" i="10" l="1"/>
  <c r="BL330" i="10"/>
  <c r="E300" i="21"/>
  <c r="F299" i="21"/>
  <c r="BL331" i="10" l="1"/>
  <c r="BK332" i="10"/>
  <c r="F300" i="21"/>
  <c r="E301" i="21"/>
  <c r="BK333" i="10" l="1"/>
  <c r="BL332" i="10"/>
  <c r="E302" i="21"/>
  <c r="F301" i="21"/>
  <c r="BL333" i="10" l="1"/>
  <c r="BK334" i="10"/>
  <c r="F302" i="21"/>
  <c r="E303" i="21"/>
  <c r="BK335" i="10" l="1"/>
  <c r="BL334" i="10"/>
  <c r="E304" i="21"/>
  <c r="F303" i="21"/>
  <c r="BL335" i="10" l="1"/>
  <c r="BK336" i="10"/>
  <c r="E305" i="21"/>
  <c r="F304" i="21"/>
  <c r="BK337" i="10" l="1"/>
  <c r="BL336" i="10"/>
  <c r="F305" i="21"/>
  <c r="E306" i="21"/>
  <c r="BL337" i="10" l="1"/>
  <c r="BK338" i="10"/>
  <c r="E307" i="21"/>
  <c r="F306" i="21"/>
  <c r="BK339" i="10" l="1"/>
  <c r="BL338" i="10"/>
  <c r="E308" i="21"/>
  <c r="F307" i="21"/>
  <c r="BL339" i="10" l="1"/>
  <c r="BK340" i="10"/>
  <c r="F308" i="21"/>
  <c r="E309" i="21"/>
  <c r="BK341" i="10" l="1"/>
  <c r="BL340" i="10"/>
  <c r="F309" i="21"/>
  <c r="E310" i="21"/>
  <c r="BL341" i="10" l="1"/>
  <c r="BK342" i="10"/>
  <c r="F310" i="21"/>
  <c r="E311" i="21"/>
  <c r="BK343" i="10" l="1"/>
  <c r="BL342" i="10"/>
  <c r="E312" i="21"/>
  <c r="F311" i="21"/>
  <c r="BK344" i="10" l="1"/>
  <c r="BL343" i="10"/>
  <c r="E313" i="21"/>
  <c r="F312" i="21"/>
  <c r="BL344" i="10" l="1"/>
  <c r="BK345" i="10"/>
  <c r="F313" i="21"/>
  <c r="E314" i="21"/>
  <c r="BK346" i="10" l="1"/>
  <c r="BL345" i="10"/>
  <c r="E315" i="21"/>
  <c r="F314" i="21"/>
  <c r="BL346" i="10" l="1"/>
  <c r="BK347" i="10"/>
  <c r="E316" i="21"/>
  <c r="F315" i="21"/>
  <c r="BK348" i="10" l="1"/>
  <c r="BL347" i="10"/>
  <c r="F316" i="21"/>
  <c r="E317" i="21"/>
  <c r="BL348" i="10" l="1"/>
  <c r="BK349" i="10"/>
  <c r="E318" i="21"/>
  <c r="F317" i="21"/>
  <c r="BK350" i="10" l="1"/>
  <c r="BL349" i="10"/>
  <c r="E319" i="21"/>
  <c r="F318" i="21"/>
  <c r="BL350" i="10" l="1"/>
  <c r="BK351" i="10"/>
  <c r="F319" i="21"/>
  <c r="E320" i="21"/>
  <c r="BK352" i="10" l="1"/>
  <c r="BL351" i="10"/>
  <c r="F320" i="21"/>
  <c r="E321" i="21"/>
  <c r="BL352" i="10" l="1"/>
  <c r="BK353" i="10"/>
  <c r="F321" i="21"/>
  <c r="E322" i="21"/>
  <c r="BK354" i="10" l="1"/>
  <c r="BL353" i="10"/>
  <c r="F322" i="21"/>
  <c r="E323" i="21"/>
  <c r="BL354" i="10" l="1"/>
  <c r="BK355" i="10"/>
  <c r="F323" i="21"/>
  <c r="E324" i="21"/>
  <c r="BK356" i="10" l="1"/>
  <c r="BL355" i="10"/>
  <c r="F324" i="21"/>
  <c r="E325" i="21"/>
  <c r="BK357" i="10" l="1"/>
  <c r="BL356" i="10"/>
  <c r="F325" i="21"/>
  <c r="E326" i="21"/>
  <c r="BL357" i="10" l="1"/>
  <c r="BK358" i="10"/>
  <c r="F326" i="21"/>
  <c r="E327" i="21"/>
  <c r="BK359" i="10" l="1"/>
  <c r="BL358" i="10"/>
  <c r="E328" i="21"/>
  <c r="F327" i="21"/>
  <c r="BL359" i="10" l="1"/>
  <c r="BK360" i="10"/>
  <c r="F328" i="21"/>
  <c r="E329" i="21"/>
  <c r="BK361" i="10" l="1"/>
  <c r="BL360" i="10"/>
  <c r="F329" i="21"/>
  <c r="E330" i="21"/>
  <c r="BL361" i="10" l="1"/>
  <c r="BK362" i="10"/>
  <c r="F330" i="21"/>
  <c r="E331" i="21"/>
  <c r="BL362" i="10" l="1"/>
  <c r="BK363" i="10"/>
  <c r="F331" i="21"/>
  <c r="E332" i="21"/>
  <c r="BK364" i="10" l="1"/>
  <c r="BL363" i="10"/>
  <c r="E333" i="21"/>
  <c r="F332" i="21"/>
  <c r="BL364" i="10" l="1"/>
  <c r="BK365" i="10"/>
  <c r="E334" i="21"/>
  <c r="F333" i="21"/>
  <c r="BK366" i="10" l="1"/>
  <c r="BL365" i="10"/>
  <c r="E335" i="21"/>
  <c r="F334" i="21"/>
  <c r="BL366" i="10" l="1"/>
  <c r="BK367" i="10"/>
  <c r="F335" i="21"/>
  <c r="E336" i="21"/>
  <c r="BK368" i="10" l="1"/>
  <c r="BL367" i="10"/>
  <c r="E337" i="21"/>
  <c r="F336" i="21"/>
  <c r="BK369" i="10" l="1"/>
  <c r="BL368" i="10"/>
  <c r="E338" i="21"/>
  <c r="F337" i="21"/>
  <c r="BK370" i="10" l="1"/>
  <c r="BL369" i="10"/>
  <c r="E339" i="21"/>
  <c r="F338" i="21"/>
  <c r="BK371" i="10" l="1"/>
  <c r="BL370" i="10"/>
  <c r="E340" i="21"/>
  <c r="F339" i="21"/>
  <c r="BL371" i="10" l="1"/>
  <c r="BK372" i="10"/>
  <c r="E341" i="21"/>
  <c r="F340" i="21"/>
  <c r="BK373" i="10" l="1"/>
  <c r="BL372" i="10"/>
  <c r="F341" i="21"/>
  <c r="E342" i="21"/>
  <c r="BL373" i="10" l="1"/>
  <c r="BK374" i="10"/>
  <c r="F342" i="21"/>
  <c r="E343" i="21"/>
  <c r="BK375" i="10" l="1"/>
  <c r="BL374" i="10"/>
  <c r="F343" i="21"/>
  <c r="E344" i="21"/>
  <c r="BL375" i="10" l="1"/>
  <c r="BK376" i="10"/>
  <c r="F344" i="21"/>
  <c r="E345" i="21"/>
  <c r="BK377" i="10" l="1"/>
  <c r="BL376" i="10"/>
  <c r="F345" i="21"/>
  <c r="E346" i="21"/>
  <c r="BL377" i="10" l="1"/>
  <c r="BK378" i="10"/>
  <c r="F346" i="21"/>
  <c r="E347" i="21"/>
  <c r="BK379" i="10" l="1"/>
  <c r="BL378" i="10"/>
  <c r="F347" i="21"/>
  <c r="E348" i="21"/>
  <c r="BK380" i="10" l="1"/>
  <c r="BL379" i="10"/>
  <c r="E349" i="21"/>
  <c r="F348" i="21"/>
  <c r="BL380" i="10" l="1"/>
  <c r="BK381" i="10"/>
  <c r="F349" i="21"/>
  <c r="E350" i="21"/>
  <c r="BK382" i="10" l="1"/>
  <c r="BL381" i="10"/>
  <c r="E351" i="21"/>
  <c r="F350" i="21"/>
  <c r="BL382" i="10" l="1"/>
  <c r="BK383" i="10"/>
  <c r="F351" i="21"/>
  <c r="E352" i="21"/>
  <c r="BK384" i="10" l="1"/>
  <c r="BL383" i="10"/>
  <c r="F352" i="21"/>
  <c r="E353" i="21"/>
  <c r="BL384" i="10" l="1"/>
  <c r="BK385" i="10"/>
  <c r="F353" i="21"/>
  <c r="E354" i="21"/>
  <c r="BL385" i="10" l="1"/>
  <c r="BK386" i="10"/>
  <c r="F354" i="21"/>
  <c r="E355" i="21"/>
  <c r="BK387" i="10" l="1"/>
  <c r="BL386" i="10"/>
  <c r="F355" i="21"/>
  <c r="E356" i="21"/>
  <c r="BL387" i="10" l="1"/>
  <c r="BK388" i="10"/>
  <c r="E357" i="21"/>
  <c r="F356" i="21"/>
  <c r="BK389" i="10" l="1"/>
  <c r="BL388" i="10"/>
  <c r="E358" i="21"/>
  <c r="F357" i="21"/>
  <c r="BL389" i="10" l="1"/>
  <c r="BK390" i="10"/>
  <c r="F358" i="21"/>
  <c r="E359" i="21"/>
  <c r="BK391" i="10" l="1"/>
  <c r="BL390" i="10"/>
  <c r="F359" i="21"/>
  <c r="E360" i="21"/>
  <c r="BL391" i="10" l="1"/>
  <c r="BK392" i="10"/>
  <c r="F360" i="21"/>
  <c r="E361" i="21"/>
  <c r="BK393" i="10" l="1"/>
  <c r="BL392" i="10"/>
  <c r="E362" i="21"/>
  <c r="F361" i="21"/>
  <c r="BK394" i="10" l="1"/>
  <c r="BL393" i="10"/>
  <c r="F362" i="21"/>
  <c r="E363" i="21"/>
  <c r="BL394" i="10" l="1"/>
  <c r="BK395" i="10"/>
  <c r="E364" i="21"/>
  <c r="F363" i="21"/>
  <c r="BK396" i="10" l="1"/>
  <c r="BL395" i="10"/>
  <c r="F364" i="21"/>
  <c r="E365" i="21"/>
  <c r="BL396" i="10" l="1"/>
  <c r="BK397" i="10"/>
  <c r="F365" i="21"/>
  <c r="E366" i="21"/>
  <c r="BK398" i="10" l="1"/>
  <c r="BL397" i="10"/>
  <c r="F366" i="21"/>
  <c r="E367" i="21"/>
  <c r="BL398" i="10" l="1"/>
  <c r="BK399" i="10"/>
  <c r="E368" i="21"/>
  <c r="F367" i="21"/>
  <c r="BL399" i="10" l="1"/>
  <c r="BK400" i="10"/>
  <c r="F368" i="21"/>
  <c r="E369" i="21"/>
  <c r="BK401" i="10" l="1"/>
  <c r="BL400" i="10"/>
  <c r="F369" i="21"/>
  <c r="E370" i="21"/>
  <c r="BL401" i="10" l="1"/>
  <c r="BK402" i="10"/>
  <c r="F370" i="21"/>
  <c r="E371" i="21"/>
  <c r="BK403" i="10" l="1"/>
  <c r="BL402" i="10"/>
  <c r="F371" i="21"/>
  <c r="E372" i="21"/>
  <c r="BL403" i="10" l="1"/>
  <c r="BK404" i="10"/>
  <c r="F372" i="21"/>
  <c r="E373" i="21"/>
  <c r="BK405" i="10" l="1"/>
  <c r="BL404" i="10"/>
  <c r="E374" i="21"/>
  <c r="F373" i="21"/>
  <c r="BK406" i="10" l="1"/>
  <c r="BL405" i="10"/>
  <c r="E375" i="21"/>
  <c r="F374" i="21"/>
  <c r="BL406" i="10" l="1"/>
  <c r="BK407" i="10"/>
  <c r="E376" i="21"/>
  <c r="F375" i="21"/>
  <c r="BK408" i="10" l="1"/>
  <c r="BL407" i="10"/>
  <c r="E377" i="21"/>
  <c r="F376" i="21"/>
  <c r="BL408" i="10" l="1"/>
  <c r="BK409" i="10"/>
  <c r="F377" i="21"/>
  <c r="E378" i="21"/>
  <c r="BL409" i="10" l="1"/>
  <c r="BK410" i="10"/>
  <c r="E379" i="21"/>
  <c r="F378" i="21"/>
  <c r="BK411" i="10" l="1"/>
  <c r="BL410" i="10"/>
  <c r="F379" i="21"/>
  <c r="E380" i="21"/>
  <c r="BK412" i="10" l="1"/>
  <c r="BL411" i="10"/>
  <c r="E381" i="21"/>
  <c r="F380" i="21"/>
  <c r="BK413" i="10" l="1"/>
  <c r="BL412" i="10"/>
  <c r="F381" i="21"/>
  <c r="E382" i="21"/>
  <c r="BL413" i="10" l="1"/>
  <c r="BK414" i="10"/>
  <c r="E383" i="21"/>
  <c r="F382" i="21"/>
  <c r="BK415" i="10" l="1"/>
  <c r="BL414" i="10"/>
  <c r="E384" i="21"/>
  <c r="F383" i="21"/>
  <c r="BL415" i="10" l="1"/>
  <c r="BK416" i="10"/>
  <c r="F384" i="21"/>
  <c r="E385" i="21"/>
  <c r="BL416" i="10" l="1"/>
  <c r="BK417" i="10"/>
  <c r="E386" i="21"/>
  <c r="F385" i="21"/>
  <c r="BK418" i="10" l="1"/>
  <c r="BL417" i="10"/>
  <c r="F386" i="21"/>
  <c r="E387" i="21"/>
  <c r="BL418" i="10" l="1"/>
  <c r="BK419" i="10"/>
  <c r="E388" i="21"/>
  <c r="F387" i="21"/>
  <c r="BK420" i="10" l="1"/>
  <c r="BL419" i="10"/>
  <c r="F388" i="21"/>
  <c r="E389" i="21"/>
  <c r="BK421" i="10" l="1"/>
  <c r="BL420" i="10"/>
  <c r="E390" i="21"/>
  <c r="F389" i="21"/>
  <c r="BL421" i="10" l="1"/>
  <c r="BK422" i="10"/>
  <c r="E391" i="21"/>
  <c r="F390" i="21"/>
  <c r="BK423" i="10" l="1"/>
  <c r="BL422" i="10"/>
  <c r="F391" i="21"/>
  <c r="E392" i="21"/>
  <c r="BK424" i="10" l="1"/>
  <c r="BL423" i="10"/>
  <c r="F392" i="21"/>
  <c r="E393" i="21"/>
  <c r="BK425" i="10" l="1"/>
  <c r="BL424" i="10"/>
  <c r="F393" i="21"/>
  <c r="E394" i="21"/>
  <c r="BK426" i="10" l="1"/>
  <c r="BL425" i="10"/>
  <c r="E395" i="21"/>
  <c r="F394" i="21"/>
  <c r="BL426" i="10" l="1"/>
  <c r="BK427" i="10"/>
  <c r="F395" i="21"/>
  <c r="E396" i="21"/>
  <c r="BK428" i="10" l="1"/>
  <c r="BL427" i="10"/>
  <c r="F396" i="21"/>
  <c r="E397" i="21"/>
  <c r="BL428" i="10" l="1"/>
  <c r="BK429" i="10"/>
  <c r="E398" i="21"/>
  <c r="F397" i="21"/>
  <c r="BK430" i="10" l="1"/>
  <c r="BL429" i="10"/>
  <c r="F398" i="21"/>
  <c r="E399" i="21"/>
  <c r="BL430" i="10" l="1"/>
  <c r="BK431" i="10"/>
  <c r="E400" i="21"/>
  <c r="F399" i="21"/>
  <c r="BK432" i="10" l="1"/>
  <c r="BL431" i="10"/>
  <c r="F400" i="21"/>
  <c r="E401" i="21"/>
  <c r="BL432" i="10" l="1"/>
  <c r="BK433" i="10"/>
  <c r="F401" i="21"/>
  <c r="E402" i="21"/>
  <c r="BL433" i="10" l="1"/>
  <c r="BK434" i="10"/>
  <c r="F402" i="21"/>
  <c r="E403" i="21"/>
  <c r="BK435" i="10" l="1"/>
  <c r="BL434" i="10"/>
  <c r="E404" i="21"/>
  <c r="F403" i="21"/>
  <c r="BL435" i="10" l="1"/>
  <c r="BK436" i="10"/>
  <c r="F404" i="21"/>
  <c r="E405" i="21"/>
  <c r="BK437" i="10" l="1"/>
  <c r="BL436" i="10"/>
  <c r="E406" i="21"/>
  <c r="F405" i="21"/>
  <c r="BL437" i="10" l="1"/>
  <c r="BK438" i="10"/>
  <c r="E407" i="21"/>
  <c r="F406" i="21"/>
  <c r="BK439" i="10" l="1"/>
  <c r="BL438" i="10"/>
  <c r="F407" i="21"/>
  <c r="E408" i="21"/>
  <c r="BL439" i="10" l="1"/>
  <c r="BK440" i="10"/>
  <c r="F408" i="21"/>
  <c r="E409" i="21"/>
  <c r="BK441" i="10" l="1"/>
  <c r="BL440" i="10"/>
  <c r="F409" i="21"/>
  <c r="E410" i="21"/>
  <c r="BK442" i="10" l="1"/>
  <c r="BL441" i="10"/>
  <c r="E411" i="21"/>
  <c r="F410" i="21"/>
  <c r="BL442" i="10" l="1"/>
  <c r="BK443" i="10"/>
  <c r="F411" i="21"/>
  <c r="E412" i="21"/>
  <c r="BK444" i="10" l="1"/>
  <c r="BL443" i="10"/>
  <c r="F412" i="21"/>
  <c r="E413" i="21"/>
  <c r="BL444" i="10" l="1"/>
  <c r="BK445" i="10"/>
  <c r="E414" i="21"/>
  <c r="F413" i="21"/>
  <c r="BK446" i="10" l="1"/>
  <c r="BL445" i="10"/>
  <c r="E415" i="21"/>
  <c r="F414" i="21"/>
  <c r="BL446" i="10" l="1"/>
  <c r="BK447" i="10"/>
  <c r="F415" i="21"/>
  <c r="E416" i="21"/>
  <c r="BK448" i="10" l="1"/>
  <c r="BL447" i="10"/>
  <c r="F416" i="21"/>
  <c r="E417" i="21"/>
  <c r="BL448" i="10" l="1"/>
  <c r="BK449" i="10"/>
  <c r="E418" i="21"/>
  <c r="F417" i="21"/>
  <c r="BL449" i="10" l="1"/>
  <c r="BK450" i="10"/>
  <c r="F418" i="21"/>
  <c r="E419" i="21"/>
  <c r="BK451" i="10" l="1"/>
  <c r="BL450" i="10"/>
  <c r="F419" i="21"/>
  <c r="E420" i="21"/>
  <c r="BL451" i="10" l="1"/>
  <c r="BK452" i="10"/>
  <c r="F420" i="21"/>
  <c r="E421" i="21"/>
  <c r="BK453" i="10" l="1"/>
  <c r="BL452" i="10"/>
  <c r="F421" i="21"/>
  <c r="E422" i="21"/>
  <c r="BL453" i="10" l="1"/>
  <c r="BK454" i="10"/>
  <c r="E423" i="21"/>
  <c r="F422" i="21"/>
  <c r="BL454" i="10" l="1"/>
  <c r="BK455" i="10"/>
  <c r="E424" i="21"/>
  <c r="F423" i="21"/>
  <c r="BK456" i="10" l="1"/>
  <c r="BL455" i="10"/>
  <c r="F424" i="21"/>
  <c r="E425" i="21"/>
  <c r="BL456" i="10" l="1"/>
  <c r="BK457" i="10"/>
  <c r="F425" i="21"/>
  <c r="E426" i="21"/>
  <c r="BK458" i="10" l="1"/>
  <c r="BL457" i="10"/>
  <c r="E427" i="21"/>
  <c r="F426" i="21"/>
  <c r="BL458" i="10" l="1"/>
  <c r="BK459" i="10"/>
  <c r="E428" i="21"/>
  <c r="F427" i="21"/>
  <c r="BL459" i="10" l="1"/>
  <c r="BK460" i="10"/>
  <c r="F428" i="21"/>
  <c r="E429" i="21"/>
  <c r="BK461" i="10" l="1"/>
  <c r="BL460" i="10"/>
  <c r="E430" i="21"/>
  <c r="F429" i="21"/>
  <c r="BL461" i="10" l="1"/>
  <c r="BK462" i="10"/>
  <c r="F430" i="21"/>
  <c r="E431" i="21"/>
  <c r="BK463" i="10" l="1"/>
  <c r="BL462" i="10"/>
  <c r="F431" i="21"/>
  <c r="E432" i="21"/>
  <c r="BL463" i="10" l="1"/>
  <c r="BK464" i="10"/>
  <c r="F432" i="21"/>
  <c r="E433" i="21"/>
  <c r="BK465" i="10" l="1"/>
  <c r="BL464" i="10"/>
  <c r="F433" i="21"/>
  <c r="E434" i="21"/>
  <c r="BK466" i="10" l="1"/>
  <c r="BL465" i="10"/>
  <c r="E435" i="21"/>
  <c r="F434" i="21"/>
  <c r="BL466" i="10" l="1"/>
  <c r="BK467" i="10"/>
  <c r="F435" i="21"/>
  <c r="E436" i="21"/>
  <c r="BK468" i="10" l="1"/>
  <c r="BL467" i="10"/>
  <c r="F436" i="21"/>
  <c r="E437" i="21"/>
  <c r="BL468" i="10" l="1"/>
  <c r="BK469" i="10"/>
  <c r="F437" i="21"/>
  <c r="E438" i="21"/>
  <c r="BK470" i="10" l="1"/>
  <c r="BL469" i="10"/>
  <c r="F438" i="21"/>
  <c r="E439" i="21"/>
  <c r="BL470" i="10" l="1"/>
  <c r="BK471" i="10"/>
  <c r="E440" i="21"/>
  <c r="F439" i="21"/>
  <c r="BL471" i="10" l="1"/>
  <c r="BK472" i="10"/>
  <c r="E441" i="21"/>
  <c r="F440" i="21"/>
  <c r="BK473" i="10" l="1"/>
  <c r="BL472" i="10"/>
  <c r="F441" i="21"/>
  <c r="E442" i="21"/>
  <c r="BL473" i="10" l="1"/>
  <c r="BK474" i="10"/>
  <c r="F442" i="21"/>
  <c r="E443" i="21"/>
  <c r="BK475" i="10" l="1"/>
  <c r="BL474" i="10"/>
  <c r="E444" i="21"/>
  <c r="F443" i="21"/>
  <c r="BK476" i="10" l="1"/>
  <c r="BL475" i="10"/>
  <c r="E445" i="21"/>
  <c r="F444" i="21"/>
  <c r="BL476" i="10" l="1"/>
  <c r="BK477" i="10"/>
  <c r="F445" i="21"/>
  <c r="E446" i="21"/>
  <c r="BK478" i="10" l="1"/>
  <c r="BL477" i="10"/>
  <c r="E447" i="21"/>
  <c r="F446" i="21"/>
  <c r="BL478" i="10" l="1"/>
  <c r="BK479" i="10"/>
  <c r="E448" i="21"/>
  <c r="F447" i="21"/>
  <c r="BK480" i="10" l="1"/>
  <c r="BL479" i="10"/>
  <c r="F448" i="21"/>
  <c r="E449" i="21"/>
  <c r="BL480" i="10" l="1"/>
  <c r="BK481" i="10"/>
  <c r="F449" i="21"/>
  <c r="E450" i="21"/>
  <c r="BL481" i="10" l="1"/>
  <c r="BK482" i="10"/>
  <c r="E451" i="21"/>
  <c r="F450" i="21"/>
  <c r="BK483" i="10" l="1"/>
  <c r="BL482" i="10"/>
  <c r="E452" i="21"/>
  <c r="F451" i="21"/>
  <c r="BL483" i="10" l="1"/>
  <c r="BK484" i="10"/>
  <c r="F452" i="21"/>
  <c r="E453" i="21"/>
  <c r="BK485" i="10" l="1"/>
  <c r="BL484" i="10"/>
  <c r="F453" i="21"/>
  <c r="E454" i="21"/>
  <c r="BL485" i="10" l="1"/>
  <c r="BK486" i="10"/>
  <c r="F454" i="21"/>
  <c r="E455" i="21"/>
  <c r="BL486" i="10" l="1"/>
  <c r="BK487" i="10"/>
  <c r="F455" i="21"/>
  <c r="E456" i="21"/>
  <c r="BK488" i="10" l="1"/>
  <c r="BL487" i="10"/>
  <c r="E457" i="21"/>
  <c r="F456" i="21"/>
  <c r="BL488" i="10" l="1"/>
  <c r="BK489" i="10"/>
  <c r="F457" i="21"/>
  <c r="E458" i="21"/>
  <c r="BK490" i="10" l="1"/>
  <c r="BL489" i="10"/>
  <c r="E459" i="21"/>
  <c r="F458" i="21"/>
  <c r="BL490" i="10" l="1"/>
  <c r="BK491" i="10"/>
  <c r="E460" i="21"/>
  <c r="F459" i="21"/>
  <c r="BK492" i="10" l="1"/>
  <c r="BL491" i="10"/>
  <c r="E461" i="21"/>
  <c r="F460" i="21"/>
  <c r="BK493" i="10" l="1"/>
  <c r="BL492" i="10"/>
  <c r="F461" i="21"/>
  <c r="E462" i="21"/>
  <c r="BL493" i="10" l="1"/>
  <c r="BK494" i="10"/>
  <c r="F462" i="21"/>
  <c r="E463" i="21"/>
  <c r="BK495" i="10" l="1"/>
  <c r="BL494" i="10"/>
  <c r="F463" i="21"/>
  <c r="E464" i="21"/>
  <c r="BL495" i="10" l="1"/>
  <c r="BK496" i="10"/>
  <c r="E465" i="21"/>
  <c r="F464" i="21"/>
  <c r="BK497" i="10" l="1"/>
  <c r="BL496" i="10"/>
  <c r="F465" i="21"/>
  <c r="E466" i="21"/>
  <c r="W26" i="2"/>
  <c r="F14" i="2"/>
  <c r="O10" i="4"/>
  <c r="T63" i="2"/>
  <c r="K3" i="2" s="1"/>
  <c r="BK498" i="10" l="1"/>
  <c r="BL497" i="10"/>
  <c r="F466" i="21"/>
  <c r="E467" i="21"/>
  <c r="O23" i="4"/>
  <c r="J536" i="21" s="1"/>
  <c r="J526" i="21"/>
  <c r="J6" i="21"/>
  <c r="L3" i="1"/>
  <c r="K6" i="8" s="1"/>
  <c r="F4" i="2"/>
  <c r="I9" i="1"/>
  <c r="BL498" i="10" l="1"/>
  <c r="BK499" i="10"/>
  <c r="E468" i="21"/>
  <c r="F467" i="21"/>
  <c r="O6" i="11"/>
  <c r="K6" i="3"/>
  <c r="K6" i="4"/>
  <c r="K6" i="10"/>
  <c r="K6" i="15"/>
  <c r="K6" i="16"/>
  <c r="K6" i="2"/>
  <c r="Q6" i="19"/>
  <c r="K6" i="13"/>
  <c r="K6" i="5"/>
  <c r="K6" i="6"/>
  <c r="K6" i="12"/>
  <c r="G9" i="1"/>
  <c r="AC8" i="7"/>
  <c r="AC11" i="7" s="1"/>
  <c r="BK500" i="10" l="1"/>
  <c r="BL499" i="10"/>
  <c r="F468" i="21"/>
  <c r="E469" i="21"/>
  <c r="F14" i="7"/>
  <c r="F9" i="7"/>
  <c r="F11" i="7" s="1"/>
  <c r="BK501" i="10" l="1"/>
  <c r="BL500" i="10"/>
  <c r="E470" i="21"/>
  <c r="F469" i="21"/>
  <c r="F15" i="7"/>
  <c r="J60" i="21" s="1"/>
  <c r="F10" i="7"/>
  <c r="J59" i="21" s="1"/>
  <c r="BL501" i="10" l="1"/>
  <c r="BK502" i="10"/>
  <c r="F470" i="21"/>
  <c r="E471" i="21"/>
  <c r="D35" i="7"/>
  <c r="D34" i="7"/>
  <c r="F5" i="7"/>
  <c r="G14" i="1" s="1"/>
  <c r="BK503" i="10" l="1"/>
  <c r="BL502" i="10"/>
  <c r="Y21" i="7"/>
  <c r="F471" i="21"/>
  <c r="E472" i="21"/>
  <c r="BK504" i="10" l="1"/>
  <c r="BL503" i="10"/>
  <c r="F472" i="21"/>
  <c r="E473" i="21"/>
  <c r="BK505" i="10" l="1"/>
  <c r="BL504" i="10"/>
  <c r="F473" i="21"/>
  <c r="E474" i="21"/>
  <c r="BK506" i="10" l="1"/>
  <c r="BL505" i="10"/>
  <c r="F474" i="21"/>
  <c r="E475" i="21"/>
  <c r="BK507" i="10" l="1"/>
  <c r="BL506" i="10"/>
  <c r="F475" i="21"/>
  <c r="E476" i="21"/>
  <c r="BK508" i="10" l="1"/>
  <c r="BL507" i="10"/>
  <c r="F476" i="21"/>
  <c r="E477" i="21"/>
  <c r="BL508" i="10" l="1"/>
  <c r="BK509" i="10"/>
  <c r="E478" i="21"/>
  <c r="F477" i="21"/>
  <c r="BK510" i="10" l="1"/>
  <c r="BL509" i="10"/>
  <c r="F478" i="21"/>
  <c r="E479" i="21"/>
  <c r="BK511" i="10" l="1"/>
  <c r="BL510" i="10"/>
  <c r="E480" i="21"/>
  <c r="F479" i="21"/>
  <c r="BL511" i="10" l="1"/>
  <c r="BK512" i="10"/>
  <c r="E481" i="21"/>
  <c r="F480" i="21"/>
  <c r="BK513" i="10" l="1"/>
  <c r="BL512" i="10"/>
  <c r="F481" i="21"/>
  <c r="E482" i="21"/>
  <c r="BK514" i="10" l="1"/>
  <c r="BL513" i="10"/>
  <c r="F482" i="21"/>
  <c r="G513" i="21"/>
  <c r="G502" i="21"/>
  <c r="G503" i="21"/>
  <c r="G512" i="21"/>
  <c r="T127" i="19"/>
  <c r="Z156" i="19" s="1"/>
  <c r="L36" i="19" s="1"/>
  <c r="T124" i="19"/>
  <c r="Z154" i="19" s="1"/>
  <c r="T133" i="19"/>
  <c r="K36" i="19" s="1"/>
  <c r="W59" i="19" s="1"/>
  <c r="BL514" i="10" l="1"/>
  <c r="BK515" i="10"/>
  <c r="D37" i="19"/>
  <c r="N36" i="19"/>
  <c r="J132" i="21"/>
  <c r="H483" i="21" s="1"/>
  <c r="E483" i="21" s="1"/>
  <c r="L5" i="19"/>
  <c r="J8" i="19"/>
  <c r="W58" i="19" s="1"/>
  <c r="AI122" i="19"/>
  <c r="X7" i="11"/>
  <c r="BK516" i="10" l="1"/>
  <c r="BL515" i="10"/>
  <c r="N9" i="19"/>
  <c r="I132" i="21"/>
  <c r="W60" i="19"/>
  <c r="W55" i="19" s="1"/>
  <c r="H589" i="21" s="1"/>
  <c r="X8" i="11"/>
  <c r="Y23" i="7"/>
  <c r="Y20" i="7" s="1"/>
  <c r="H587" i="21" s="1"/>
  <c r="I41" i="7"/>
  <c r="G2" i="1"/>
  <c r="G16" i="1"/>
  <c r="G4" i="1"/>
  <c r="F483" i="21"/>
  <c r="E484" i="21"/>
  <c r="BK517" i="10" l="1"/>
  <c r="BL516" i="10"/>
  <c r="G589" i="21"/>
  <c r="B24" i="1"/>
  <c r="F2" i="3"/>
  <c r="F2" i="15"/>
  <c r="F2" i="4"/>
  <c r="J484" i="21"/>
  <c r="F2" i="2"/>
  <c r="F2" i="10"/>
  <c r="F2" i="12"/>
  <c r="F2" i="8"/>
  <c r="F2" i="7"/>
  <c r="F2" i="16"/>
  <c r="F2" i="13"/>
  <c r="Q23" i="1"/>
  <c r="F2" i="6"/>
  <c r="B25" i="1"/>
  <c r="G2" i="11"/>
  <c r="L2" i="19"/>
  <c r="F2" i="5"/>
  <c r="G587" i="21"/>
  <c r="F484" i="21"/>
  <c r="E485" i="21"/>
  <c r="C16" i="11"/>
  <c r="D16" i="11"/>
  <c r="I3" i="1"/>
  <c r="H16" i="1"/>
  <c r="U105" i="12"/>
  <c r="BK518" i="10" l="1"/>
  <c r="BL517" i="10"/>
  <c r="F485" i="21"/>
  <c r="E486" i="21"/>
  <c r="A101" i="12"/>
  <c r="T105" i="12"/>
  <c r="X16" i="11"/>
  <c r="D26" i="11"/>
  <c r="X26" i="11" s="1"/>
  <c r="C26" i="11"/>
  <c r="V26" i="11" s="1"/>
  <c r="F26" i="11" s="1"/>
  <c r="V16" i="11"/>
  <c r="F16" i="11" s="1"/>
  <c r="H6" i="3"/>
  <c r="H6" i="6"/>
  <c r="H6" i="4"/>
  <c r="H6" i="12"/>
  <c r="H6" i="5"/>
  <c r="H6" i="13"/>
  <c r="B34" i="13" s="1"/>
  <c r="H6" i="10"/>
  <c r="H6" i="15"/>
  <c r="I6" i="11"/>
  <c r="H6" i="2"/>
  <c r="H6" i="16"/>
  <c r="N6" i="19"/>
  <c r="H6" i="8"/>
  <c r="J485" i="21"/>
  <c r="B3" i="22"/>
  <c r="J486" i="21"/>
  <c r="B4" i="22"/>
  <c r="BK519" i="10" l="1"/>
  <c r="BL518" i="10"/>
  <c r="D15" i="11"/>
  <c r="X15" i="11" s="1"/>
  <c r="C15" i="11"/>
  <c r="V15" i="11" s="1"/>
  <c r="F15" i="11" s="1"/>
  <c r="G15" i="11" s="1"/>
  <c r="J582" i="21"/>
  <c r="T74" i="2"/>
  <c r="T81" i="2" s="1"/>
  <c r="H582" i="21" s="1"/>
  <c r="I582" i="21"/>
  <c r="H499" i="21"/>
  <c r="G16" i="11"/>
  <c r="J499" i="21" s="1"/>
  <c r="H509" i="21"/>
  <c r="G26" i="11"/>
  <c r="J509" i="21" s="1"/>
  <c r="E487" i="21"/>
  <c r="F486" i="21"/>
  <c r="BK520" i="10" l="1"/>
  <c r="BL519" i="10"/>
  <c r="V31" i="11"/>
  <c r="E5" i="11"/>
  <c r="DI97" i="20" s="1"/>
  <c r="H498" i="21"/>
  <c r="G498" i="21" s="1"/>
  <c r="G32" i="11"/>
  <c r="J498" i="21"/>
  <c r="E488" i="21"/>
  <c r="F487" i="21"/>
  <c r="B6" i="12"/>
  <c r="DI3" i="17"/>
  <c r="DI124" i="20"/>
  <c r="G499" i="21"/>
  <c r="G509" i="21"/>
  <c r="G582" i="21"/>
  <c r="H524" i="21" l="1"/>
  <c r="T75" i="12"/>
  <c r="T76" i="12" s="1"/>
  <c r="DI3" i="20"/>
  <c r="BK521" i="10"/>
  <c r="BL520" i="10"/>
  <c r="U64" i="12"/>
  <c r="T64" i="12" s="1"/>
  <c r="T89" i="12"/>
  <c r="T88" i="12" s="1"/>
  <c r="H594" i="21" s="1"/>
  <c r="G500" i="21"/>
  <c r="E489" i="21"/>
  <c r="F488" i="21"/>
  <c r="B27" i="1"/>
  <c r="B6" i="22"/>
  <c r="B8" i="22" s="1"/>
  <c r="L7" i="22" s="1"/>
  <c r="L8" i="22" s="1"/>
  <c r="K8" i="22" s="1"/>
  <c r="BL521" i="10" l="1"/>
  <c r="BK522" i="10"/>
  <c r="G594" i="21"/>
  <c r="J488" i="21"/>
  <c r="B29" i="1"/>
  <c r="H7" i="22" s="1"/>
  <c r="E490" i="21"/>
  <c r="F489" i="21"/>
  <c r="BK523" i="10" l="1"/>
  <c r="BL522" i="10"/>
  <c r="F490" i="21"/>
  <c r="E491" i="21"/>
  <c r="F491" i="21" s="1"/>
  <c r="E4" i="22"/>
  <c r="J490" i="21"/>
  <c r="BK524" i="10" l="1"/>
  <c r="BL523" i="10"/>
  <c r="J492" i="21"/>
  <c r="E3" i="22"/>
  <c r="H492" i="21" s="1"/>
  <c r="E492" i="21" s="1"/>
  <c r="BL524" i="10" l="1"/>
  <c r="BK525" i="10"/>
  <c r="E493" i="21"/>
  <c r="F492" i="21"/>
  <c r="BK526" i="10" l="1"/>
  <c r="BL525" i="10"/>
  <c r="E494" i="21"/>
  <c r="F493" i="21"/>
  <c r="BK527" i="10" l="1"/>
  <c r="BL526" i="10"/>
  <c r="E495" i="21"/>
  <c r="F494" i="21"/>
  <c r="BK528" i="10" l="1"/>
  <c r="BL527" i="10"/>
  <c r="E496" i="21"/>
  <c r="F495" i="21"/>
  <c r="BK529" i="10" l="1"/>
  <c r="BL528" i="10"/>
  <c r="E497" i="21"/>
  <c r="F496" i="21"/>
  <c r="BK530" i="10" l="1"/>
  <c r="BL529" i="10"/>
  <c r="F497" i="21"/>
  <c r="E498" i="21"/>
  <c r="BK531" i="10" l="1"/>
  <c r="BL530" i="10"/>
  <c r="F498" i="21"/>
  <c r="E499" i="21"/>
  <c r="BK532" i="10" l="1"/>
  <c r="BL531" i="10"/>
  <c r="E500" i="21"/>
  <c r="F499" i="21"/>
  <c r="BK533" i="10" l="1"/>
  <c r="BL532" i="10"/>
  <c r="E501" i="21"/>
  <c r="F500" i="21"/>
  <c r="BK534" i="10" l="1"/>
  <c r="BL533" i="10"/>
  <c r="E502" i="21"/>
  <c r="F501" i="21"/>
  <c r="BK535" i="10" l="1"/>
  <c r="BL534" i="10"/>
  <c r="E503" i="21"/>
  <c r="F502" i="21"/>
  <c r="BK536" i="10" l="1"/>
  <c r="BL535" i="10"/>
  <c r="F503" i="21"/>
  <c r="E504" i="21"/>
  <c r="BK537" i="10" l="1"/>
  <c r="BL536" i="10"/>
  <c r="E505" i="21"/>
  <c r="F504" i="21"/>
  <c r="BK538" i="10" l="1"/>
  <c r="BL537" i="10"/>
  <c r="E506" i="21"/>
  <c r="F505" i="21"/>
  <c r="BK539" i="10" l="1"/>
  <c r="BL538" i="10"/>
  <c r="E507" i="21"/>
  <c r="F506" i="21"/>
  <c r="BK540" i="10" l="1"/>
  <c r="BL539" i="10"/>
  <c r="E508" i="21"/>
  <c r="F507" i="21"/>
  <c r="BK541" i="10" l="1"/>
  <c r="BL540" i="10"/>
  <c r="F508" i="21"/>
  <c r="E509" i="21"/>
  <c r="BK542" i="10" l="1"/>
  <c r="BL541" i="10"/>
  <c r="E510" i="21"/>
  <c r="F509" i="21"/>
  <c r="BL542" i="10" l="1"/>
  <c r="BK543" i="10"/>
  <c r="E511" i="21"/>
  <c r="F510" i="21"/>
  <c r="BK544" i="10" l="1"/>
  <c r="BL543" i="10"/>
  <c r="E512" i="21"/>
  <c r="F511" i="21"/>
  <c r="BK545" i="10" l="1"/>
  <c r="BL544" i="10"/>
  <c r="E513" i="21"/>
  <c r="F512" i="21"/>
  <c r="BK546" i="10" l="1"/>
  <c r="BL545" i="10"/>
  <c r="E514" i="21"/>
  <c r="F513" i="21"/>
  <c r="BK547" i="10" l="1"/>
  <c r="BL546" i="10"/>
  <c r="F514" i="21"/>
  <c r="E515" i="21"/>
  <c r="BK548" i="10" l="1"/>
  <c r="BL547" i="10"/>
  <c r="E516" i="21"/>
  <c r="F515" i="21"/>
  <c r="BK549" i="10" l="1"/>
  <c r="BL548" i="10"/>
  <c r="E517" i="21"/>
  <c r="F516" i="21"/>
  <c r="BL549" i="10" l="1"/>
  <c r="BK550" i="10"/>
  <c r="E518" i="21"/>
  <c r="F517" i="21"/>
  <c r="BK551" i="10" l="1"/>
  <c r="BL550" i="10"/>
  <c r="E519" i="21"/>
  <c r="F518" i="21"/>
  <c r="BK552" i="10" l="1"/>
  <c r="BL551" i="10"/>
  <c r="F519" i="21"/>
  <c r="E520" i="21"/>
  <c r="BL552" i="10" l="1"/>
  <c r="BK553" i="10"/>
  <c r="E521" i="21"/>
  <c r="F520" i="21"/>
  <c r="BK554" i="10" l="1"/>
  <c r="BL553" i="10"/>
  <c r="E522" i="21"/>
  <c r="F521" i="21"/>
  <c r="BL554" i="10" l="1"/>
  <c r="BK555" i="10"/>
  <c r="E523" i="21"/>
  <c r="F522" i="21"/>
  <c r="BL555" i="10" l="1"/>
  <c r="BK556" i="10"/>
  <c r="F523" i="21"/>
  <c r="E524" i="21"/>
  <c r="BK557" i="10" l="1"/>
  <c r="BL556" i="10"/>
  <c r="F524" i="21"/>
  <c r="E525" i="21"/>
  <c r="BL557" i="10" l="1"/>
  <c r="BK558" i="10"/>
  <c r="F525" i="21"/>
  <c r="E526" i="21"/>
  <c r="BL558" i="10" l="1"/>
  <c r="BK559" i="10"/>
  <c r="F526" i="21"/>
  <c r="E527" i="21"/>
  <c r="BK560" i="10" l="1"/>
  <c r="BL559" i="10"/>
  <c r="E528" i="21"/>
  <c r="F527" i="21"/>
  <c r="BK561" i="10" l="1"/>
  <c r="BL560" i="10"/>
  <c r="E529" i="21"/>
  <c r="F528" i="21"/>
  <c r="BL561" i="10" l="1"/>
  <c r="BK562" i="10"/>
  <c r="F529" i="21"/>
  <c r="E530" i="21"/>
  <c r="BK563" i="10" l="1"/>
  <c r="BL562" i="10"/>
  <c r="F530" i="21"/>
  <c r="E531" i="21"/>
  <c r="BK564" i="10" l="1"/>
  <c r="BL563" i="10"/>
  <c r="E532" i="21"/>
  <c r="F531" i="21"/>
  <c r="BL564" i="10" l="1"/>
  <c r="BK565" i="10"/>
  <c r="E533" i="21"/>
  <c r="F532" i="21"/>
  <c r="BK566" i="10" l="1"/>
  <c r="BL565" i="10"/>
  <c r="F533" i="21"/>
  <c r="E534" i="21"/>
  <c r="BK567" i="10" l="1"/>
  <c r="BL566" i="10"/>
  <c r="F534" i="21"/>
  <c r="E535" i="21"/>
  <c r="BL567" i="10" l="1"/>
  <c r="BK568" i="10"/>
  <c r="F535" i="21"/>
  <c r="E536" i="21"/>
  <c r="BK569" i="10" l="1"/>
  <c r="BL568" i="10"/>
  <c r="E537" i="21"/>
  <c r="F536" i="21"/>
  <c r="BK570" i="10" l="1"/>
  <c r="BL569" i="10"/>
  <c r="F537" i="21"/>
  <c r="E538" i="21"/>
  <c r="BL570" i="10" l="1"/>
  <c r="BK571" i="10"/>
  <c r="F538" i="21"/>
  <c r="E539" i="21"/>
  <c r="BK572" i="10" l="1"/>
  <c r="BL571" i="10"/>
  <c r="F539" i="21"/>
  <c r="E540" i="21"/>
  <c r="BK573" i="10" l="1"/>
  <c r="BL572" i="10"/>
  <c r="F540" i="21"/>
  <c r="E541" i="21"/>
  <c r="BL573" i="10" l="1"/>
  <c r="BK574" i="10"/>
  <c r="F541" i="21"/>
  <c r="E542" i="21"/>
  <c r="BK575" i="10" l="1"/>
  <c r="BL574" i="10"/>
  <c r="F542" i="21"/>
  <c r="E543" i="21"/>
  <c r="BK576" i="10" l="1"/>
  <c r="BL575" i="10"/>
  <c r="E544" i="21"/>
  <c r="F543" i="21"/>
  <c r="BL576" i="10" l="1"/>
  <c r="BK577" i="10"/>
  <c r="E545" i="21"/>
  <c r="F544" i="21"/>
  <c r="BK578" i="10" l="1"/>
  <c r="BL577" i="10"/>
  <c r="F545" i="21"/>
  <c r="E546" i="21"/>
  <c r="BK579" i="10" l="1"/>
  <c r="BL578" i="10"/>
  <c r="F546" i="21"/>
  <c r="E547" i="21"/>
  <c r="BL579" i="10" l="1"/>
  <c r="BK580" i="10"/>
  <c r="E548" i="21"/>
  <c r="F547" i="21"/>
  <c r="BK581" i="10" l="1"/>
  <c r="BL580" i="10"/>
  <c r="E549" i="21"/>
  <c r="F548" i="21"/>
  <c r="BK582" i="10" l="1"/>
  <c r="BL581" i="10"/>
  <c r="F549" i="21"/>
  <c r="E550" i="21"/>
  <c r="BL582" i="10" l="1"/>
  <c r="BK583" i="10"/>
  <c r="F550" i="21"/>
  <c r="E551" i="21"/>
  <c r="BK584" i="10" l="1"/>
  <c r="BL583" i="10"/>
  <c r="F551" i="21"/>
  <c r="E552" i="21"/>
  <c r="BK585" i="10" l="1"/>
  <c r="BL584" i="10"/>
  <c r="E553" i="21"/>
  <c r="F552" i="21"/>
  <c r="BL585" i="10" l="1"/>
  <c r="BK586" i="10"/>
  <c r="F553" i="21"/>
  <c r="E554" i="21"/>
  <c r="BK587" i="10" l="1"/>
  <c r="BL586" i="10"/>
  <c r="F554" i="21"/>
  <c r="E555" i="21"/>
  <c r="BK588" i="10" l="1"/>
  <c r="BL587" i="10"/>
  <c r="F555" i="21"/>
  <c r="E556" i="21"/>
  <c r="BL588" i="10" l="1"/>
  <c r="BK589" i="10"/>
  <c r="F556" i="21"/>
  <c r="E557" i="21"/>
  <c r="BK590" i="10" l="1"/>
  <c r="BL589" i="10"/>
  <c r="F557" i="21"/>
  <c r="E558" i="21"/>
  <c r="BK591" i="10" l="1"/>
  <c r="BL590" i="10"/>
  <c r="F558" i="21"/>
  <c r="E559" i="21"/>
  <c r="BL591" i="10" l="1"/>
  <c r="BK592" i="10"/>
  <c r="E560" i="21"/>
  <c r="F559" i="21"/>
  <c r="BK593" i="10" l="1"/>
  <c r="BL592" i="10"/>
  <c r="E561" i="21"/>
  <c r="F560" i="21"/>
  <c r="BK594" i="10" l="1"/>
  <c r="BL593" i="10"/>
  <c r="F561" i="21"/>
  <c r="E562" i="21"/>
  <c r="BL594" i="10" l="1"/>
  <c r="BK595" i="10"/>
  <c r="F562" i="21"/>
  <c r="E563" i="21"/>
  <c r="BK596" i="10" l="1"/>
  <c r="BL595" i="10"/>
  <c r="E564" i="21"/>
  <c r="F563" i="21"/>
  <c r="BK597" i="10" l="1"/>
  <c r="BL596" i="10"/>
  <c r="E565" i="21"/>
  <c r="F564" i="21"/>
  <c r="BL597" i="10" l="1"/>
  <c r="BK598" i="10"/>
  <c r="F565" i="21"/>
  <c r="E566" i="21"/>
  <c r="BK599" i="10" l="1"/>
  <c r="BL598" i="10"/>
  <c r="F566" i="21"/>
  <c r="E567" i="21"/>
  <c r="BK600" i="10" l="1"/>
  <c r="BL599" i="10"/>
  <c r="F567" i="21"/>
  <c r="E568" i="21"/>
  <c r="BL600" i="10" l="1"/>
  <c r="BK601" i="10"/>
  <c r="E569" i="21"/>
  <c r="F568" i="21"/>
  <c r="BK602" i="10" l="1"/>
  <c r="BL601" i="10"/>
  <c r="F569" i="21"/>
  <c r="E570" i="21"/>
  <c r="BK603" i="10" l="1"/>
  <c r="BL602" i="10"/>
  <c r="F570" i="21"/>
  <c r="E571" i="21"/>
  <c r="BL603" i="10" l="1"/>
  <c r="BK604" i="10"/>
  <c r="F571" i="21"/>
  <c r="E572" i="21"/>
  <c r="BK605" i="10" l="1"/>
  <c r="BL604" i="10"/>
  <c r="F572" i="21"/>
  <c r="E573" i="21"/>
  <c r="BK606" i="10" l="1"/>
  <c r="BL605" i="10"/>
  <c r="F573" i="21"/>
  <c r="E574" i="21"/>
  <c r="BL606" i="10" l="1"/>
  <c r="BK607" i="10"/>
  <c r="F574" i="21"/>
  <c r="E575" i="21"/>
  <c r="BK608" i="10" l="1"/>
  <c r="BL607" i="10"/>
  <c r="E576" i="21"/>
  <c r="F575" i="21"/>
  <c r="BK609" i="10" l="1"/>
  <c r="BL608" i="10"/>
  <c r="E577" i="21"/>
  <c r="F576" i="21"/>
  <c r="BL609" i="10" l="1"/>
  <c r="BK610" i="10"/>
  <c r="F577" i="21"/>
  <c r="E578" i="21"/>
  <c r="BK611" i="10" l="1"/>
  <c r="BL610" i="10"/>
  <c r="F578" i="21"/>
  <c r="E579" i="21"/>
  <c r="BK612" i="10" l="1"/>
  <c r="BL611" i="10"/>
  <c r="E580" i="21"/>
  <c r="F579" i="21"/>
  <c r="BL612" i="10" l="1"/>
  <c r="BK613" i="10"/>
  <c r="E581" i="21"/>
  <c r="F580" i="21"/>
  <c r="BK614" i="10" l="1"/>
  <c r="BL613" i="10"/>
  <c r="F581" i="21"/>
  <c r="E582" i="21"/>
  <c r="BK615" i="10" l="1"/>
  <c r="BL614" i="10"/>
  <c r="F582" i="21"/>
  <c r="E583" i="21"/>
  <c r="BL615" i="10" l="1"/>
  <c r="BK616" i="10"/>
  <c r="F583" i="21"/>
  <c r="E584" i="21"/>
  <c r="BK617" i="10" l="1"/>
  <c r="BL616" i="10"/>
  <c r="E585" i="21"/>
  <c r="F584" i="21"/>
  <c r="BK618" i="10" l="1"/>
  <c r="BL617" i="10"/>
  <c r="E586" i="21"/>
  <c r="F585" i="21"/>
  <c r="BL618" i="10" l="1"/>
  <c r="BK619" i="10"/>
  <c r="F586" i="21"/>
  <c r="E587" i="21"/>
  <c r="BK620" i="10" l="1"/>
  <c r="BL619" i="10"/>
  <c r="E588" i="21"/>
  <c r="F587" i="21"/>
  <c r="BK621" i="10" l="1"/>
  <c r="BL620" i="10"/>
  <c r="F588" i="21"/>
  <c r="E589" i="21"/>
  <c r="BL621" i="10" l="1"/>
  <c r="BK622" i="10"/>
  <c r="F589" i="21"/>
  <c r="E590" i="21"/>
  <c r="BK623" i="10" l="1"/>
  <c r="BL622" i="10"/>
  <c r="F590" i="21"/>
  <c r="E591" i="21"/>
  <c r="BK624" i="10" l="1"/>
  <c r="BL623" i="10"/>
  <c r="E592" i="21"/>
  <c r="F591" i="21"/>
  <c r="BL624" i="10" l="1"/>
  <c r="BK625" i="10"/>
  <c r="E593" i="21"/>
  <c r="F592" i="21"/>
  <c r="BK626" i="10" l="1"/>
  <c r="BL625" i="10"/>
  <c r="F593" i="21"/>
  <c r="E594" i="21"/>
  <c r="BK627" i="10" l="1"/>
  <c r="BL626" i="10"/>
  <c r="F594" i="21"/>
  <c r="E595" i="21"/>
  <c r="BL627" i="10" l="1"/>
  <c r="BK628" i="10"/>
  <c r="F595" i="21"/>
  <c r="E596" i="21"/>
  <c r="F596" i="21" s="1"/>
  <c r="BK629" i="10" l="1"/>
  <c r="BL628" i="10"/>
  <c r="A4" i="21"/>
  <c r="B4" i="21"/>
  <c r="C4" i="21"/>
  <c r="D4" i="21"/>
  <c r="D5" i="21"/>
  <c r="C5" i="21"/>
  <c r="A5" i="21"/>
  <c r="B5" i="21"/>
  <c r="B157" i="21"/>
  <c r="K157" i="21" s="1"/>
  <c r="A211" i="21"/>
  <c r="B199" i="21"/>
  <c r="K199" i="21" s="1"/>
  <c r="D108" i="21"/>
  <c r="B173" i="21"/>
  <c r="K173" i="21" s="1"/>
  <c r="B330" i="21"/>
  <c r="K330" i="21" s="1"/>
  <c r="C274" i="21"/>
  <c r="A8" i="21"/>
  <c r="D77" i="21"/>
  <c r="C135" i="21"/>
  <c r="C119" i="21"/>
  <c r="A52" i="21"/>
  <c r="C275" i="21"/>
  <c r="A104" i="21"/>
  <c r="D264" i="21"/>
  <c r="D115" i="21"/>
  <c r="C95" i="21"/>
  <c r="A262" i="21"/>
  <c r="A84" i="21"/>
  <c r="A257" i="21"/>
  <c r="B327" i="21"/>
  <c r="K327" i="21" s="1"/>
  <c r="A29" i="21"/>
  <c r="D84" i="21"/>
  <c r="C317" i="21"/>
  <c r="D118" i="21"/>
  <c r="D291" i="21"/>
  <c r="D61" i="21"/>
  <c r="D163" i="21"/>
  <c r="C63" i="21"/>
  <c r="C72" i="21"/>
  <c r="B63" i="21"/>
  <c r="K63" i="21" s="1"/>
  <c r="D49" i="21"/>
  <c r="D24" i="21"/>
  <c r="B227" i="21"/>
  <c r="K227" i="21" s="1"/>
  <c r="D138" i="21"/>
  <c r="A200" i="21"/>
  <c r="C183" i="21"/>
  <c r="D219" i="21"/>
  <c r="A306" i="21"/>
  <c r="B149" i="21"/>
  <c r="K149" i="21" s="1"/>
  <c r="B195" i="21"/>
  <c r="K195" i="21" s="1"/>
  <c r="B130" i="21"/>
  <c r="K130" i="21" s="1"/>
  <c r="B263" i="21"/>
  <c r="K263" i="21" s="1"/>
  <c r="C120" i="21"/>
  <c r="A72" i="21"/>
  <c r="C305" i="21"/>
  <c r="C222" i="21"/>
  <c r="B205" i="21"/>
  <c r="K205" i="21" s="1"/>
  <c r="A290" i="21"/>
  <c r="D134" i="21"/>
  <c r="D165" i="21"/>
  <c r="A49" i="21"/>
  <c r="B235" i="21"/>
  <c r="K235" i="21" s="1"/>
  <c r="D281" i="21"/>
  <c r="C153" i="21"/>
  <c r="D8" i="21"/>
  <c r="B142" i="21"/>
  <c r="K142" i="21" s="1"/>
  <c r="D139" i="21"/>
  <c r="D149" i="21"/>
  <c r="D98" i="21"/>
  <c r="B328" i="21"/>
  <c r="K328" i="21" s="1"/>
  <c r="C51" i="21"/>
  <c r="D325" i="21"/>
  <c r="A233" i="21"/>
  <c r="B21" i="21"/>
  <c r="A305" i="21"/>
  <c r="D86" i="21"/>
  <c r="D123" i="21"/>
  <c r="A30" i="21"/>
  <c r="D44" i="21"/>
  <c r="C169" i="21"/>
  <c r="D197" i="21"/>
  <c r="C12" i="21"/>
  <c r="B92" i="21"/>
  <c r="K92" i="21" s="1"/>
  <c r="B9" i="21"/>
  <c r="A75" i="21"/>
  <c r="A143" i="21"/>
  <c r="C202" i="21"/>
  <c r="B202" i="21"/>
  <c r="K202" i="21" s="1"/>
  <c r="C146" i="21"/>
  <c r="B191" i="21"/>
  <c r="K191" i="21" s="1"/>
  <c r="C38" i="21"/>
  <c r="A249" i="21"/>
  <c r="D194" i="21"/>
  <c r="C271" i="21"/>
  <c r="A267" i="21"/>
  <c r="D193" i="21"/>
  <c r="A18" i="21"/>
  <c r="B139" i="21"/>
  <c r="K139" i="21" s="1"/>
  <c r="B176" i="21"/>
  <c r="K176" i="21" s="1"/>
  <c r="A80" i="21"/>
  <c r="A100" i="21"/>
  <c r="A114" i="21"/>
  <c r="D15" i="21"/>
  <c r="D212" i="21"/>
  <c r="A295" i="21"/>
  <c r="D321" i="21"/>
  <c r="B209" i="21"/>
  <c r="K209" i="21" s="1"/>
  <c r="D88" i="21"/>
  <c r="D335" i="21"/>
  <c r="D278" i="21"/>
  <c r="B305" i="21"/>
  <c r="K305" i="21" s="1"/>
  <c r="B52" i="21"/>
  <c r="K52" i="21" s="1"/>
  <c r="D119" i="21"/>
  <c r="D304" i="21"/>
  <c r="A279" i="21"/>
  <c r="C297" i="21"/>
  <c r="C79" i="21"/>
  <c r="B106" i="21"/>
  <c r="K106" i="21" s="1"/>
  <c r="B177" i="21"/>
  <c r="K177" i="21" s="1"/>
  <c r="C40" i="21"/>
  <c r="C324" i="21"/>
  <c r="A250" i="21"/>
  <c r="C26" i="21"/>
  <c r="D16" i="21"/>
  <c r="B97" i="21"/>
  <c r="K97" i="21" s="1"/>
  <c r="B194" i="21"/>
  <c r="K194" i="21" s="1"/>
  <c r="C149" i="21"/>
  <c r="B295" i="21"/>
  <c r="K295" i="21" s="1"/>
  <c r="B273" i="21"/>
  <c r="K273" i="21" s="1"/>
  <c r="A54" i="21"/>
  <c r="A99" i="21"/>
  <c r="D25" i="21"/>
  <c r="C205" i="21"/>
  <c r="B249" i="21"/>
  <c r="K249" i="21" s="1"/>
  <c r="C230" i="21"/>
  <c r="D199" i="21"/>
  <c r="B80" i="21"/>
  <c r="K80" i="21" s="1"/>
  <c r="D269" i="21"/>
  <c r="B232" i="21"/>
  <c r="K232" i="21" s="1"/>
  <c r="A115" i="21"/>
  <c r="B113" i="21"/>
  <c r="K113" i="21" s="1"/>
  <c r="B99" i="21"/>
  <c r="K99" i="21" s="1"/>
  <c r="C88" i="21"/>
  <c r="B30" i="21"/>
  <c r="A77" i="21"/>
  <c r="C301" i="21"/>
  <c r="A269" i="21"/>
  <c r="B246" i="21"/>
  <c r="K246" i="21" s="1"/>
  <c r="C231" i="21"/>
  <c r="D225" i="21"/>
  <c r="C50" i="21"/>
  <c r="D9" i="21"/>
  <c r="D303" i="21"/>
  <c r="D284" i="21"/>
  <c r="B147" i="21"/>
  <c r="K147" i="21" s="1"/>
  <c r="C52" i="21"/>
  <c r="C332" i="21"/>
  <c r="B268" i="21"/>
  <c r="K268" i="21" s="1"/>
  <c r="D237" i="21"/>
  <c r="B124" i="21"/>
  <c r="K124" i="21" s="1"/>
  <c r="B150" i="21"/>
  <c r="K150" i="21" s="1"/>
  <c r="D29" i="21"/>
  <c r="C291" i="21"/>
  <c r="A333" i="21"/>
  <c r="D231" i="21"/>
  <c r="C302" i="21"/>
  <c r="C154" i="21"/>
  <c r="D203" i="21"/>
  <c r="A204" i="21"/>
  <c r="B41" i="21"/>
  <c r="K41" i="21" s="1"/>
  <c r="C103" i="21"/>
  <c r="B287" i="21"/>
  <c r="K287" i="21" s="1"/>
  <c r="A287" i="21"/>
  <c r="A43" i="21"/>
  <c r="D302" i="21"/>
  <c r="B73" i="21"/>
  <c r="K73" i="21" s="1"/>
  <c r="B83" i="21"/>
  <c r="K83" i="21" s="1"/>
  <c r="B288" i="21"/>
  <c r="K288" i="21" s="1"/>
  <c r="D339" i="21"/>
  <c r="A223" i="21"/>
  <c r="B78" i="21"/>
  <c r="K78" i="21" s="1"/>
  <c r="D323" i="21"/>
  <c r="D260" i="21"/>
  <c r="A272" i="21"/>
  <c r="A184" i="21"/>
  <c r="D75" i="21"/>
  <c r="A157" i="21"/>
  <c r="A69" i="21"/>
  <c r="D299" i="21"/>
  <c r="B277" i="21"/>
  <c r="K277" i="21" s="1"/>
  <c r="D143" i="21"/>
  <c r="C6" i="21"/>
  <c r="D70" i="21"/>
  <c r="C207" i="21"/>
  <c r="D301" i="21"/>
  <c r="A41" i="21"/>
  <c r="D338" i="21"/>
  <c r="A21" i="21"/>
  <c r="D14" i="21"/>
  <c r="A116" i="21"/>
  <c r="A206" i="21"/>
  <c r="C143" i="21"/>
  <c r="B329" i="21"/>
  <c r="K329" i="21" s="1"/>
  <c r="B100" i="21"/>
  <c r="K100" i="21" s="1"/>
  <c r="C299" i="21"/>
  <c r="D255" i="21"/>
  <c r="C152" i="21"/>
  <c r="C43" i="21"/>
  <c r="D90" i="21"/>
  <c r="B11" i="21"/>
  <c r="A12" i="21"/>
  <c r="B315" i="21"/>
  <c r="K315" i="21" s="1"/>
  <c r="C15" i="21"/>
  <c r="C127" i="21"/>
  <c r="D154" i="21"/>
  <c r="D142" i="21"/>
  <c r="A86" i="21"/>
  <c r="D162" i="21"/>
  <c r="D233" i="21"/>
  <c r="C162" i="21"/>
  <c r="A192" i="21"/>
  <c r="C336" i="21"/>
  <c r="D97" i="21"/>
  <c r="A125" i="21"/>
  <c r="C335" i="21"/>
  <c r="B70" i="21"/>
  <c r="K70" i="21" s="1"/>
  <c r="B111" i="21"/>
  <c r="K111" i="21" s="1"/>
  <c r="B47" i="21"/>
  <c r="K47" i="21" s="1"/>
  <c r="B38" i="21"/>
  <c r="K38" i="21" s="1"/>
  <c r="A303" i="21"/>
  <c r="D271" i="21"/>
  <c r="D96" i="21"/>
  <c r="C314" i="21"/>
  <c r="D83" i="21"/>
  <c r="D105" i="21"/>
  <c r="C109" i="21"/>
  <c r="A248" i="21"/>
  <c r="A273" i="21"/>
  <c r="B302" i="21"/>
  <c r="K302" i="21" s="1"/>
  <c r="C279" i="21"/>
  <c r="D236" i="21"/>
  <c r="D113" i="21"/>
  <c r="A159" i="21"/>
  <c r="B204" i="21"/>
  <c r="K204" i="21" s="1"/>
  <c r="D46" i="21"/>
  <c r="C98" i="21"/>
  <c r="C289" i="21"/>
  <c r="A76" i="21"/>
  <c r="A238" i="21"/>
  <c r="C339" i="21"/>
  <c r="C25" i="21"/>
  <c r="A259" i="21"/>
  <c r="A61" i="21"/>
  <c r="A164" i="21"/>
  <c r="B190" i="21"/>
  <c r="K190" i="21" s="1"/>
  <c r="C175" i="21"/>
  <c r="C16" i="21"/>
  <c r="B267" i="21"/>
  <c r="K267" i="21" s="1"/>
  <c r="A276" i="21"/>
  <c r="A108" i="21"/>
  <c r="A243" i="21"/>
  <c r="A102" i="21"/>
  <c r="C223" i="21"/>
  <c r="A214" i="21"/>
  <c r="B107" i="21"/>
  <c r="K107" i="21" s="1"/>
  <c r="A205" i="21"/>
  <c r="B125" i="21"/>
  <c r="K125" i="21" s="1"/>
  <c r="C196" i="21"/>
  <c r="C53" i="21"/>
  <c r="A51" i="21"/>
  <c r="A237" i="21"/>
  <c r="B143" i="21"/>
  <c r="K143" i="21" s="1"/>
  <c r="C20" i="21"/>
  <c r="C155" i="21"/>
  <c r="D211" i="21"/>
  <c r="A271" i="21"/>
  <c r="D37" i="21"/>
  <c r="C49" i="21"/>
  <c r="C269" i="21"/>
  <c r="A58" i="21"/>
  <c r="B148" i="21"/>
  <c r="K148" i="21" s="1"/>
  <c r="C71" i="21"/>
  <c r="B279" i="21"/>
  <c r="K279" i="21" s="1"/>
  <c r="C192" i="21"/>
  <c r="C164" i="21"/>
  <c r="A275" i="21"/>
  <c r="D116" i="21"/>
  <c r="B114" i="21"/>
  <c r="K114" i="21" s="1"/>
  <c r="C308" i="21"/>
  <c r="B65" i="21"/>
  <c r="K65" i="21" s="1"/>
  <c r="D172" i="21"/>
  <c r="A74" i="21"/>
  <c r="D330" i="21"/>
  <c r="C163" i="21"/>
  <c r="C178" i="21"/>
  <c r="A120" i="21"/>
  <c r="D129" i="21"/>
  <c r="D111" i="21"/>
  <c r="B131" i="21"/>
  <c r="K131" i="21" s="1"/>
  <c r="C144" i="21"/>
  <c r="D209" i="21"/>
  <c r="C232" i="21"/>
  <c r="B262" i="21"/>
  <c r="K262" i="21" s="1"/>
  <c r="C322" i="21"/>
  <c r="A97" i="21"/>
  <c r="A229" i="21"/>
  <c r="B35" i="21"/>
  <c r="D122" i="21"/>
  <c r="C328" i="21"/>
  <c r="D127" i="21"/>
  <c r="A17" i="21"/>
  <c r="B135" i="21"/>
  <c r="K135" i="21" s="1"/>
  <c r="D320" i="21"/>
  <c r="D150" i="21"/>
  <c r="D65" i="21"/>
  <c r="B233" i="21"/>
  <c r="K233" i="21" s="1"/>
  <c r="C9" i="21"/>
  <c r="C234" i="21"/>
  <c r="B198" i="21"/>
  <c r="K198" i="21" s="1"/>
  <c r="A122" i="21"/>
  <c r="A183" i="21"/>
  <c r="D305" i="21"/>
  <c r="D23" i="21"/>
  <c r="B167" i="21"/>
  <c r="K167" i="21" s="1"/>
  <c r="A162" i="21"/>
  <c r="C10" i="21"/>
  <c r="C89" i="21"/>
  <c r="D45" i="21"/>
  <c r="C139" i="21"/>
  <c r="C118" i="21"/>
  <c r="B182" i="21"/>
  <c r="K182" i="21" s="1"/>
  <c r="D239" i="21"/>
  <c r="A308" i="21"/>
  <c r="D288" i="21"/>
  <c r="D327" i="21"/>
  <c r="D248" i="21"/>
  <c r="B278" i="21"/>
  <c r="K278" i="21" s="1"/>
  <c r="D112" i="21"/>
  <c r="C107" i="21"/>
  <c r="B95" i="21"/>
  <c r="K95" i="21" s="1"/>
  <c r="B168" i="21"/>
  <c r="K168" i="21" s="1"/>
  <c r="A78" i="21"/>
  <c r="B300" i="21"/>
  <c r="K300" i="21" s="1"/>
  <c r="B140" i="21"/>
  <c r="K140" i="21" s="1"/>
  <c r="D92" i="21"/>
  <c r="B146" i="21"/>
  <c r="K146" i="21" s="1"/>
  <c r="B88" i="21"/>
  <c r="K88" i="21" s="1"/>
  <c r="A103" i="21"/>
  <c r="D262" i="21"/>
  <c r="D152" i="21"/>
  <c r="A316" i="21"/>
  <c r="A195" i="21"/>
  <c r="C261" i="21"/>
  <c r="D334" i="21"/>
  <c r="B184" i="21"/>
  <c r="K184" i="21" s="1"/>
  <c r="B188" i="21"/>
  <c r="K188" i="21" s="1"/>
  <c r="C273" i="21"/>
  <c r="C150" i="21"/>
  <c r="A330" i="21"/>
  <c r="A246" i="21"/>
  <c r="D218" i="21"/>
  <c r="A187" i="21"/>
  <c r="B282" i="21"/>
  <c r="K282" i="21" s="1"/>
  <c r="B19" i="21"/>
  <c r="A20" i="21"/>
  <c r="B258" i="21"/>
  <c r="K258" i="21" s="1"/>
  <c r="D164" i="21"/>
  <c r="B212" i="21"/>
  <c r="K212" i="21" s="1"/>
  <c r="C31" i="21"/>
  <c r="B311" i="21"/>
  <c r="K311" i="21" s="1"/>
  <c r="D253" i="21"/>
  <c r="C321" i="21"/>
  <c r="D195" i="21"/>
  <c r="B66" i="21"/>
  <c r="K66" i="21" s="1"/>
  <c r="B324" i="21"/>
  <c r="K324" i="21" s="1"/>
  <c r="C87" i="21"/>
  <c r="B285" i="21"/>
  <c r="K285" i="21" s="1"/>
  <c r="A245" i="21"/>
  <c r="A260" i="21"/>
  <c r="D22" i="21"/>
  <c r="A24" i="21"/>
  <c r="D227" i="21"/>
  <c r="D26" i="21"/>
  <c r="B215" i="21"/>
  <c r="K215" i="21" s="1"/>
  <c r="C18" i="21"/>
  <c r="A47" i="21"/>
  <c r="D171" i="21"/>
  <c r="A60" i="21"/>
  <c r="C288" i="21"/>
  <c r="B134" i="21"/>
  <c r="K134" i="21" s="1"/>
  <c r="C311" i="21"/>
  <c r="C197" i="21"/>
  <c r="B331" i="21"/>
  <c r="K331" i="21" s="1"/>
  <c r="A188" i="21"/>
  <c r="C213" i="21"/>
  <c r="A57" i="21"/>
  <c r="C69" i="21"/>
  <c r="D242" i="21"/>
  <c r="A152" i="21"/>
  <c r="B6" i="21"/>
  <c r="C285" i="21"/>
  <c r="A228" i="21"/>
  <c r="C265" i="21"/>
  <c r="A155" i="21"/>
  <c r="D215" i="21"/>
  <c r="B96" i="21"/>
  <c r="K96" i="21" s="1"/>
  <c r="D20" i="21"/>
  <c r="D186" i="21"/>
  <c r="D213" i="21"/>
  <c r="A161" i="21"/>
  <c r="B53" i="21"/>
  <c r="K53" i="21" s="1"/>
  <c r="A133" i="21"/>
  <c r="C157" i="21"/>
  <c r="A158" i="21"/>
  <c r="B108" i="21"/>
  <c r="K108" i="21" s="1"/>
  <c r="C168" i="21"/>
  <c r="C179" i="21"/>
  <c r="C229" i="21"/>
  <c r="D76" i="21"/>
  <c r="C253" i="21"/>
  <c r="A87" i="21"/>
  <c r="A203" i="21"/>
  <c r="C201" i="21"/>
  <c r="B201" i="21"/>
  <c r="K201" i="21" s="1"/>
  <c r="D185" i="21"/>
  <c r="C105" i="21"/>
  <c r="D308" i="21"/>
  <c r="D259" i="21"/>
  <c r="D279" i="21"/>
  <c r="D245" i="21"/>
  <c r="A67" i="21"/>
  <c r="A297" i="21"/>
  <c r="B55" i="21"/>
  <c r="K55" i="21" s="1"/>
  <c r="D247" i="21"/>
  <c r="B259" i="21"/>
  <c r="K259" i="21" s="1"/>
  <c r="C267" i="21"/>
  <c r="B216" i="21"/>
  <c r="K216" i="21" s="1"/>
  <c r="C320" i="21"/>
  <c r="C58" i="21"/>
  <c r="D39" i="21"/>
  <c r="B213" i="21"/>
  <c r="K213" i="21" s="1"/>
  <c r="C64" i="21"/>
  <c r="B256" i="21"/>
  <c r="K256" i="21" s="1"/>
  <c r="C177" i="21"/>
  <c r="A150" i="21"/>
  <c r="B200" i="21"/>
  <c r="K200" i="21" s="1"/>
  <c r="D42" i="21"/>
  <c r="D28" i="21"/>
  <c r="D294" i="21"/>
  <c r="A90" i="21"/>
  <c r="D298" i="21"/>
  <c r="A45" i="21"/>
  <c r="B166" i="21"/>
  <c r="K166" i="21" s="1"/>
  <c r="C190" i="21"/>
  <c r="A255" i="21"/>
  <c r="D198" i="21"/>
  <c r="B264" i="21"/>
  <c r="K264" i="21" s="1"/>
  <c r="B137" i="21"/>
  <c r="K137" i="21" s="1"/>
  <c r="D169" i="21"/>
  <c r="C123" i="21"/>
  <c r="C212" i="21"/>
  <c r="D41" i="21"/>
  <c r="B151" i="21"/>
  <c r="K151" i="21" s="1"/>
  <c r="B250" i="21"/>
  <c r="K250" i="21" s="1"/>
  <c r="A27" i="21"/>
  <c r="B120" i="21"/>
  <c r="K120" i="21" s="1"/>
  <c r="D316" i="21"/>
  <c r="D337" i="21"/>
  <c r="C39" i="21"/>
  <c r="D178" i="21"/>
  <c r="C110" i="21"/>
  <c r="C220" i="21"/>
  <c r="A113" i="21"/>
  <c r="D300" i="21"/>
  <c r="C115" i="21"/>
  <c r="A264" i="21"/>
  <c r="B123" i="21"/>
  <c r="K123" i="21" s="1"/>
  <c r="A151" i="21"/>
  <c r="A46" i="21"/>
  <c r="C75" i="21"/>
  <c r="C96" i="21"/>
  <c r="A112" i="21"/>
  <c r="B79" i="21"/>
  <c r="K79" i="21" s="1"/>
  <c r="B298" i="21"/>
  <c r="K298" i="21" s="1"/>
  <c r="D274" i="21"/>
  <c r="A56" i="21"/>
  <c r="D68" i="21"/>
  <c r="A136" i="21"/>
  <c r="A134" i="21"/>
  <c r="D313" i="21"/>
  <c r="B296" i="21"/>
  <c r="K296" i="21" s="1"/>
  <c r="D221" i="21"/>
  <c r="D161" i="21"/>
  <c r="C259" i="21"/>
  <c r="B91" i="21"/>
  <c r="K91" i="21" s="1"/>
  <c r="B72" i="21"/>
  <c r="K72" i="21" s="1"/>
  <c r="A302" i="21"/>
  <c r="B301" i="21"/>
  <c r="K301" i="21" s="1"/>
  <c r="D18" i="21"/>
  <c r="C24" i="21"/>
  <c r="D60" i="21"/>
  <c r="B132" i="21"/>
  <c r="K132" i="21" s="1"/>
  <c r="A89" i="21"/>
  <c r="D190" i="21"/>
  <c r="A310" i="21"/>
  <c r="D311" i="21"/>
  <c r="C228" i="21"/>
  <c r="C33" i="21"/>
  <c r="D47" i="21"/>
  <c r="A98" i="21"/>
  <c r="B110" i="21"/>
  <c r="K110" i="21" s="1"/>
  <c r="D266" i="21"/>
  <c r="B105" i="21"/>
  <c r="K105" i="21" s="1"/>
  <c r="A83" i="21"/>
  <c r="D89" i="21"/>
  <c r="C74" i="21"/>
  <c r="B56" i="21"/>
  <c r="K56" i="21" s="1"/>
  <c r="D208" i="21"/>
  <c r="C249" i="21"/>
  <c r="B206" i="21"/>
  <c r="K206" i="21" s="1"/>
  <c r="A25" i="21"/>
  <c r="C85" i="21"/>
  <c r="C68" i="21"/>
  <c r="B306" i="21"/>
  <c r="K306" i="21" s="1"/>
  <c r="B32" i="21"/>
  <c r="A215" i="21"/>
  <c r="C245" i="21"/>
  <c r="B175" i="21"/>
  <c r="K175" i="21" s="1"/>
  <c r="B129" i="21"/>
  <c r="K129" i="21" s="1"/>
  <c r="B192" i="21"/>
  <c r="K192" i="21" s="1"/>
  <c r="D133" i="21"/>
  <c r="C278" i="21"/>
  <c r="D275" i="21"/>
  <c r="C237" i="21"/>
  <c r="A106" i="21"/>
  <c r="A40" i="21"/>
  <c r="D99" i="21"/>
  <c r="D158" i="21"/>
  <c r="B16" i="21"/>
  <c r="D38" i="21"/>
  <c r="A336" i="21"/>
  <c r="A319" i="21"/>
  <c r="C277" i="21"/>
  <c r="C126" i="21"/>
  <c r="B75" i="21"/>
  <c r="K75" i="21" s="1"/>
  <c r="B179" i="21"/>
  <c r="K179" i="21" s="1"/>
  <c r="C315" i="21"/>
  <c r="D160" i="21"/>
  <c r="D85" i="21"/>
  <c r="B104" i="21"/>
  <c r="K104" i="21" s="1"/>
  <c r="B275" i="21"/>
  <c r="K275" i="21" s="1"/>
  <c r="A181" i="21"/>
  <c r="B68" i="21"/>
  <c r="K68" i="21" s="1"/>
  <c r="A201" i="21"/>
  <c r="C181" i="21"/>
  <c r="B112" i="21"/>
  <c r="K112" i="21" s="1"/>
  <c r="C34" i="21"/>
  <c r="B241" i="21"/>
  <c r="K241" i="21" s="1"/>
  <c r="A293" i="21"/>
  <c r="D145" i="21"/>
  <c r="B269" i="21"/>
  <c r="K269" i="21" s="1"/>
  <c r="C193" i="21"/>
  <c r="B17" i="21"/>
  <c r="C128" i="21"/>
  <c r="D285" i="21"/>
  <c r="A208" i="21"/>
  <c r="C310" i="21"/>
  <c r="C243" i="21"/>
  <c r="C284" i="21"/>
  <c r="B141" i="21"/>
  <c r="K141" i="21" s="1"/>
  <c r="B160" i="21"/>
  <c r="K160" i="21" s="1"/>
  <c r="A193" i="21"/>
  <c r="C204" i="21"/>
  <c r="D56" i="21"/>
  <c r="B187" i="21"/>
  <c r="K187" i="21" s="1"/>
  <c r="D117" i="21"/>
  <c r="B272" i="21"/>
  <c r="K272" i="21" s="1"/>
  <c r="D137" i="21"/>
  <c r="B165" i="21"/>
  <c r="K165" i="21" s="1"/>
  <c r="B145" i="21"/>
  <c r="K145" i="21" s="1"/>
  <c r="D205" i="21"/>
  <c r="C41" i="21"/>
  <c r="A129" i="21"/>
  <c r="A10" i="21"/>
  <c r="D168" i="21"/>
  <c r="C165" i="21"/>
  <c r="A314" i="21"/>
  <c r="A34" i="21"/>
  <c r="A242" i="21"/>
  <c r="D188" i="21"/>
  <c r="A172" i="21"/>
  <c r="D69" i="21"/>
  <c r="B82" i="21"/>
  <c r="K82" i="21" s="1"/>
  <c r="B45" i="21"/>
  <c r="K45" i="21" s="1"/>
  <c r="B77" i="21"/>
  <c r="K77" i="21" s="1"/>
  <c r="A331" i="21"/>
  <c r="B223" i="21"/>
  <c r="K223" i="21" s="1"/>
  <c r="D187" i="21"/>
  <c r="C141" i="21"/>
  <c r="D120" i="21"/>
  <c r="C294" i="21"/>
  <c r="D326" i="21"/>
  <c r="C176" i="21"/>
  <c r="D100" i="21"/>
  <c r="C27" i="21"/>
  <c r="A280" i="21"/>
  <c r="C104" i="21"/>
  <c r="B219" i="21"/>
  <c r="K219" i="21" s="1"/>
  <c r="A207" i="21"/>
  <c r="D12" i="21"/>
  <c r="C56" i="21"/>
  <c r="A146" i="21"/>
  <c r="A166" i="21"/>
  <c r="B46" i="21"/>
  <c r="K46" i="21" s="1"/>
  <c r="A296" i="21"/>
  <c r="A190" i="21"/>
  <c r="B248" i="21"/>
  <c r="K248" i="21" s="1"/>
  <c r="C251" i="21"/>
  <c r="D283" i="21"/>
  <c r="C86" i="21"/>
  <c r="A53" i="21"/>
  <c r="A277" i="21"/>
  <c r="B102" i="21"/>
  <c r="K102" i="21" s="1"/>
  <c r="A42" i="21"/>
  <c r="A317" i="21"/>
  <c r="A82" i="21"/>
  <c r="C292" i="21"/>
  <c r="A111" i="21"/>
  <c r="B181" i="21"/>
  <c r="K181" i="21" s="1"/>
  <c r="D54" i="21"/>
  <c r="B144" i="21"/>
  <c r="K144" i="21" s="1"/>
  <c r="C145" i="21"/>
  <c r="A320" i="21"/>
  <c r="D232" i="21"/>
  <c r="C171" i="21"/>
  <c r="C225" i="21"/>
  <c r="D144" i="21"/>
  <c r="A145" i="21"/>
  <c r="A101" i="21"/>
  <c r="B314" i="21"/>
  <c r="K314" i="21" s="1"/>
  <c r="B152" i="21"/>
  <c r="K152" i="21" s="1"/>
  <c r="B243" i="21"/>
  <c r="K243" i="21" s="1"/>
  <c r="D67" i="21"/>
  <c r="D114" i="21"/>
  <c r="D252" i="21"/>
  <c r="A217" i="21"/>
  <c r="A119" i="21"/>
  <c r="B54" i="21"/>
  <c r="K54" i="21" s="1"/>
  <c r="A110" i="21"/>
  <c r="A298" i="21"/>
  <c r="B290" i="21"/>
  <c r="K290" i="21" s="1"/>
  <c r="D58" i="21"/>
  <c r="C161" i="21"/>
  <c r="C309" i="21"/>
  <c r="B57" i="21"/>
  <c r="K57" i="21" s="1"/>
  <c r="B316" i="21"/>
  <c r="K316" i="21" s="1"/>
  <c r="B14" i="21"/>
  <c r="B109" i="21"/>
  <c r="K109" i="21" s="1"/>
  <c r="A109" i="21"/>
  <c r="B174" i="21"/>
  <c r="K174" i="21" s="1"/>
  <c r="D124" i="21"/>
  <c r="B294" i="21"/>
  <c r="K294" i="21" s="1"/>
  <c r="B309" i="21"/>
  <c r="K309" i="21" s="1"/>
  <c r="C102" i="21"/>
  <c r="B319" i="21"/>
  <c r="K319" i="21" s="1"/>
  <c r="D32" i="21"/>
  <c r="A16" i="21"/>
  <c r="D126" i="21"/>
  <c r="A227" i="21"/>
  <c r="D93" i="21"/>
  <c r="B67" i="21"/>
  <c r="K67" i="21" s="1"/>
  <c r="D270" i="21"/>
  <c r="A322" i="21"/>
  <c r="A171" i="21"/>
  <c r="A326" i="21"/>
  <c r="D33" i="21"/>
  <c r="D153" i="21"/>
  <c r="C280" i="21"/>
  <c r="D229" i="21"/>
  <c r="A170" i="21"/>
  <c r="C62" i="21"/>
  <c r="D107" i="21"/>
  <c r="C254" i="21"/>
  <c r="B334" i="21"/>
  <c r="K334" i="21" s="1"/>
  <c r="A19" i="21"/>
  <c r="C296" i="21"/>
  <c r="A153" i="21"/>
  <c r="C66" i="21"/>
  <c r="C116" i="21"/>
  <c r="A244" i="21"/>
  <c r="C338" i="21"/>
  <c r="D174" i="21"/>
  <c r="C293" i="21"/>
  <c r="B84" i="21"/>
  <c r="K84" i="21" s="1"/>
  <c r="A294" i="21"/>
  <c r="D146" i="21"/>
  <c r="A144" i="21"/>
  <c r="B297" i="21"/>
  <c r="K297" i="21" s="1"/>
  <c r="C111" i="21"/>
  <c r="B60" i="21"/>
  <c r="K60" i="21" s="1"/>
  <c r="B280" i="21"/>
  <c r="K280" i="21" s="1"/>
  <c r="D132" i="21"/>
  <c r="B220" i="21"/>
  <c r="K220" i="21" s="1"/>
  <c r="A180" i="21"/>
  <c r="C14" i="21"/>
  <c r="B22" i="21"/>
  <c r="B154" i="21"/>
  <c r="K154" i="21" s="1"/>
  <c r="C147" i="21"/>
  <c r="B42" i="21"/>
  <c r="K42" i="21" s="1"/>
  <c r="C94" i="21"/>
  <c r="D296" i="21"/>
  <c r="D297" i="21"/>
  <c r="D336" i="21"/>
  <c r="B320" i="21"/>
  <c r="K320" i="21" s="1"/>
  <c r="A163" i="21"/>
  <c r="D71" i="21"/>
  <c r="A301" i="21"/>
  <c r="C21" i="21"/>
  <c r="A117" i="21"/>
  <c r="D216" i="21"/>
  <c r="C180" i="21"/>
  <c r="C83" i="21"/>
  <c r="B196" i="21"/>
  <c r="K196" i="21" s="1"/>
  <c r="C134" i="21"/>
  <c r="C282" i="21"/>
  <c r="B162" i="21"/>
  <c r="K162" i="21" s="1"/>
  <c r="D34" i="21"/>
  <c r="D176" i="21"/>
  <c r="D13" i="21"/>
  <c r="D315" i="21"/>
  <c r="B34" i="21"/>
  <c r="D263" i="21"/>
  <c r="B317" i="21"/>
  <c r="K317" i="21" s="1"/>
  <c r="A65" i="21"/>
  <c r="C70" i="21"/>
  <c r="B333" i="21"/>
  <c r="K333" i="21" s="1"/>
  <c r="A218" i="21"/>
  <c r="B214" i="21"/>
  <c r="K214" i="21" s="1"/>
  <c r="C203" i="21"/>
  <c r="B242" i="21"/>
  <c r="K242" i="21" s="1"/>
  <c r="D319" i="21"/>
  <c r="A256" i="21"/>
  <c r="A182" i="21"/>
  <c r="C258" i="21"/>
  <c r="B255" i="21"/>
  <c r="K255" i="21" s="1"/>
  <c r="C189" i="21"/>
  <c r="D293" i="21"/>
  <c r="A179" i="21"/>
  <c r="A199" i="21"/>
  <c r="D135" i="21"/>
  <c r="C260" i="21"/>
  <c r="C242" i="21"/>
  <c r="A70" i="21"/>
  <c r="D244" i="21"/>
  <c r="D103" i="21"/>
  <c r="C227" i="21"/>
  <c r="D91" i="21"/>
  <c r="C221" i="21"/>
  <c r="D140" i="21"/>
  <c r="A339" i="21"/>
  <c r="C319" i="21"/>
  <c r="D156" i="21"/>
  <c r="D30" i="21"/>
  <c r="A210" i="21"/>
  <c r="C195" i="21"/>
  <c r="C264" i="21"/>
  <c r="A325" i="21"/>
  <c r="A189" i="21"/>
  <c r="A149" i="21"/>
  <c r="C156" i="21"/>
  <c r="A22" i="21"/>
  <c r="B169" i="21"/>
  <c r="K169" i="21" s="1"/>
  <c r="A304" i="21"/>
  <c r="C191" i="21"/>
  <c r="A95" i="21"/>
  <c r="C124" i="21"/>
  <c r="A126" i="21"/>
  <c r="B7" i="21"/>
  <c r="C84" i="21"/>
  <c r="B103" i="21"/>
  <c r="K103" i="21" s="1"/>
  <c r="D191" i="21"/>
  <c r="C236" i="21"/>
  <c r="C90" i="21"/>
  <c r="B225" i="21"/>
  <c r="K225" i="21" s="1"/>
  <c r="C166" i="21"/>
  <c r="B62" i="21"/>
  <c r="K62" i="21" s="1"/>
  <c r="C93" i="21"/>
  <c r="D200" i="21"/>
  <c r="A235" i="21"/>
  <c r="A258" i="21"/>
  <c r="D55" i="21"/>
  <c r="D189" i="21"/>
  <c r="C211" i="21"/>
  <c r="D147" i="21"/>
  <c r="A173" i="21"/>
  <c r="B253" i="21"/>
  <c r="K253" i="21" s="1"/>
  <c r="B116" i="21"/>
  <c r="K116" i="21" s="1"/>
  <c r="B289" i="21"/>
  <c r="K289" i="21" s="1"/>
  <c r="B10" i="21"/>
  <c r="C132" i="21"/>
  <c r="A93" i="21"/>
  <c r="C44" i="21"/>
  <c r="D64" i="21"/>
  <c r="D63" i="21"/>
  <c r="A168" i="21"/>
  <c r="B26" i="21"/>
  <c r="B43" i="21"/>
  <c r="K43" i="21" s="1"/>
  <c r="D314" i="21"/>
  <c r="B230" i="21"/>
  <c r="K230" i="21" s="1"/>
  <c r="C77" i="21"/>
  <c r="C112" i="21"/>
  <c r="C218" i="21"/>
  <c r="C133" i="21"/>
  <c r="D276" i="21"/>
  <c r="B44" i="21"/>
  <c r="K44" i="21" s="1"/>
  <c r="A321" i="21"/>
  <c r="D66" i="21"/>
  <c r="A288" i="21"/>
  <c r="C256" i="21"/>
  <c r="D307" i="21"/>
  <c r="C287" i="21"/>
  <c r="B39" i="21"/>
  <c r="K39" i="21" s="1"/>
  <c r="D167" i="21"/>
  <c r="A241" i="21"/>
  <c r="B49" i="21"/>
  <c r="K49" i="21" s="1"/>
  <c r="A14" i="21"/>
  <c r="A50" i="21"/>
  <c r="D102" i="21"/>
  <c r="B332" i="21"/>
  <c r="K332" i="21" s="1"/>
  <c r="D324" i="21"/>
  <c r="A219" i="21"/>
  <c r="A62" i="21"/>
  <c r="C59" i="21"/>
  <c r="A194" i="21"/>
  <c r="A130" i="21"/>
  <c r="B158" i="21"/>
  <c r="K158" i="21" s="1"/>
  <c r="A254" i="21"/>
  <c r="B310" i="21"/>
  <c r="K310" i="21" s="1"/>
  <c r="D214" i="21"/>
  <c r="C159" i="21"/>
  <c r="B127" i="21"/>
  <c r="K127" i="21" s="1"/>
  <c r="B265" i="21"/>
  <c r="K265" i="21" s="1"/>
  <c r="A234" i="21"/>
  <c r="D10" i="21"/>
  <c r="C100" i="21"/>
  <c r="C45" i="21"/>
  <c r="D226" i="21"/>
  <c r="B247" i="21"/>
  <c r="K247" i="21" s="1"/>
  <c r="A263" i="21"/>
  <c r="D333" i="21"/>
  <c r="B40" i="21"/>
  <c r="K40" i="21" s="1"/>
  <c r="B24" i="21"/>
  <c r="D261" i="21"/>
  <c r="D7" i="21"/>
  <c r="D72" i="21"/>
  <c r="B251" i="21"/>
  <c r="K251" i="21" s="1"/>
  <c r="C318" i="21"/>
  <c r="D222" i="21"/>
  <c r="B183" i="21"/>
  <c r="K183" i="21" s="1"/>
  <c r="C241" i="21"/>
  <c r="D201" i="21"/>
  <c r="B218" i="21"/>
  <c r="K218" i="21" s="1"/>
  <c r="B299" i="21"/>
  <c r="K299" i="21" s="1"/>
  <c r="A281" i="21"/>
  <c r="B155" i="21"/>
  <c r="K155" i="21" s="1"/>
  <c r="A335" i="21"/>
  <c r="C28" i="21"/>
  <c r="D81" i="21"/>
  <c r="A11" i="21"/>
  <c r="B37" i="21"/>
  <c r="K37" i="21" s="1"/>
  <c r="D95" i="21"/>
  <c r="C316" i="21"/>
  <c r="B28" i="21"/>
  <c r="D309" i="21"/>
  <c r="C333" i="21"/>
  <c r="C215" i="21"/>
  <c r="A278" i="21"/>
  <c r="C217" i="21"/>
  <c r="A92" i="21"/>
  <c r="D131" i="21"/>
  <c r="C247" i="21"/>
  <c r="B337" i="21"/>
  <c r="K337" i="21" s="1"/>
  <c r="D257" i="21"/>
  <c r="C185" i="21"/>
  <c r="A300" i="21"/>
  <c r="C198" i="21"/>
  <c r="B18" i="21"/>
  <c r="B237" i="21"/>
  <c r="K237" i="21" s="1"/>
  <c r="A226" i="21"/>
  <c r="C19" i="21"/>
  <c r="D17" i="21"/>
  <c r="B156" i="21"/>
  <c r="K156" i="21" s="1"/>
  <c r="B283" i="21"/>
  <c r="K283" i="21" s="1"/>
  <c r="D48" i="21"/>
  <c r="C55" i="21"/>
  <c r="C206" i="21"/>
  <c r="D204" i="21"/>
  <c r="D74" i="21"/>
  <c r="A274" i="21"/>
  <c r="D101" i="21"/>
  <c r="D128" i="21"/>
  <c r="C325" i="21"/>
  <c r="B36" i="21"/>
  <c r="K36" i="21" s="1"/>
  <c r="A268" i="21"/>
  <c r="A48" i="21"/>
  <c r="D94" i="21"/>
  <c r="C184" i="21"/>
  <c r="D238" i="21"/>
  <c r="D73" i="21"/>
  <c r="C80" i="21"/>
  <c r="A307" i="21"/>
  <c r="A31" i="21"/>
  <c r="B51" i="21"/>
  <c r="K51" i="21" s="1"/>
  <c r="D282" i="21"/>
  <c r="A282" i="21"/>
  <c r="D329" i="21"/>
  <c r="A55" i="21"/>
  <c r="C226" i="21"/>
  <c r="C142" i="21"/>
  <c r="B271" i="21"/>
  <c r="K271" i="21" s="1"/>
  <c r="D280" i="21"/>
  <c r="D36" i="21"/>
  <c r="B164" i="21"/>
  <c r="K164" i="21" s="1"/>
  <c r="D249" i="21"/>
  <c r="B94" i="21"/>
  <c r="K94" i="21" s="1"/>
  <c r="A191" i="21"/>
  <c r="D151" i="21"/>
  <c r="A222" i="21"/>
  <c r="A285" i="21"/>
  <c r="B217" i="21"/>
  <c r="K217" i="21" s="1"/>
  <c r="D27" i="21"/>
  <c r="C233" i="21"/>
  <c r="D106" i="21"/>
  <c r="A251" i="21"/>
  <c r="D79" i="21"/>
  <c r="A299" i="21"/>
  <c r="D258" i="21"/>
  <c r="A225" i="21"/>
  <c r="B12" i="21"/>
  <c r="A253" i="21"/>
  <c r="B115" i="21"/>
  <c r="K115" i="21" s="1"/>
  <c r="B185" i="21"/>
  <c r="K185" i="21" s="1"/>
  <c r="B71" i="21"/>
  <c r="K71" i="21" s="1"/>
  <c r="B180" i="21"/>
  <c r="K180" i="21" s="1"/>
  <c r="D246" i="21"/>
  <c r="B172" i="21"/>
  <c r="K172" i="21" s="1"/>
  <c r="A329" i="21"/>
  <c r="B163" i="21"/>
  <c r="K163" i="21" s="1"/>
  <c r="A94" i="21"/>
  <c r="D159" i="21"/>
  <c r="A107" i="21"/>
  <c r="B118" i="21"/>
  <c r="K118" i="21" s="1"/>
  <c r="D121" i="21"/>
  <c r="A63" i="21"/>
  <c r="D170" i="21"/>
  <c r="A141" i="21"/>
  <c r="B58" i="21"/>
  <c r="K58" i="21" s="1"/>
  <c r="C286" i="21"/>
  <c r="C252" i="21"/>
  <c r="B321" i="21"/>
  <c r="K321" i="21" s="1"/>
  <c r="B304" i="21"/>
  <c r="K304" i="21" s="1"/>
  <c r="A85" i="21"/>
  <c r="A35" i="21"/>
  <c r="A178" i="21"/>
  <c r="A315" i="21"/>
  <c r="A186" i="21"/>
  <c r="D310" i="21"/>
  <c r="A265" i="21"/>
  <c r="B229" i="21"/>
  <c r="K229" i="21" s="1"/>
  <c r="A209" i="21"/>
  <c r="A124" i="21"/>
  <c r="B170" i="21"/>
  <c r="K170" i="21" s="1"/>
  <c r="D220" i="21"/>
  <c r="D295" i="21"/>
  <c r="C114" i="21"/>
  <c r="B234" i="21"/>
  <c r="K234" i="21" s="1"/>
  <c r="B33" i="21"/>
  <c r="B89" i="21"/>
  <c r="K89" i="21" s="1"/>
  <c r="B153" i="21"/>
  <c r="K153" i="21" s="1"/>
  <c r="B208" i="21"/>
  <c r="K208" i="21" s="1"/>
  <c r="B189" i="21"/>
  <c r="K189" i="21" s="1"/>
  <c r="C268" i="21"/>
  <c r="B238" i="21"/>
  <c r="K238" i="21" s="1"/>
  <c r="A140" i="21"/>
  <c r="C47" i="21"/>
  <c r="C266" i="21"/>
  <c r="D62" i="21"/>
  <c r="A323" i="21"/>
  <c r="A266" i="21"/>
  <c r="B261" i="21"/>
  <c r="K261" i="21" s="1"/>
  <c r="D254" i="21"/>
  <c r="C304" i="21"/>
  <c r="B211" i="21"/>
  <c r="K211" i="21" s="1"/>
  <c r="A9" i="21"/>
  <c r="D317" i="21"/>
  <c r="A337" i="21"/>
  <c r="D21" i="21"/>
  <c r="B90" i="21"/>
  <c r="K90" i="21" s="1"/>
  <c r="C219" i="21"/>
  <c r="D51" i="21"/>
  <c r="C137" i="21"/>
  <c r="A148" i="21"/>
  <c r="B338" i="21"/>
  <c r="K338" i="21" s="1"/>
  <c r="A13" i="21"/>
  <c r="B64" i="21"/>
  <c r="K64" i="21" s="1"/>
  <c r="A131" i="21"/>
  <c r="D183" i="21"/>
  <c r="A39" i="21"/>
  <c r="C306" i="21"/>
  <c r="D328" i="21"/>
  <c r="B193" i="21"/>
  <c r="K193" i="21" s="1"/>
  <c r="C30" i="21"/>
  <c r="D228" i="21"/>
  <c r="D230" i="21"/>
  <c r="B245" i="21"/>
  <c r="K245" i="21" s="1"/>
  <c r="D59" i="21"/>
  <c r="C283" i="21"/>
  <c r="C48" i="21"/>
  <c r="D292" i="21"/>
  <c r="A154" i="21"/>
  <c r="B284" i="21"/>
  <c r="K284" i="21" s="1"/>
  <c r="A332" i="21"/>
  <c r="D50" i="21"/>
  <c r="A174" i="21"/>
  <c r="C65" i="21"/>
  <c r="D210" i="21"/>
  <c r="B336" i="21"/>
  <c r="K336" i="21" s="1"/>
  <c r="A79" i="21"/>
  <c r="A139" i="21"/>
  <c r="D240" i="21"/>
  <c r="B59" i="21"/>
  <c r="K59" i="21" s="1"/>
  <c r="C129" i="21"/>
  <c r="A232" i="21"/>
  <c r="A289" i="21"/>
  <c r="B292" i="21"/>
  <c r="K292" i="21" s="1"/>
  <c r="B8" i="21"/>
  <c r="A224" i="21"/>
  <c r="D52" i="21"/>
  <c r="C23" i="21"/>
  <c r="B203" i="21"/>
  <c r="K203" i="21" s="1"/>
  <c r="D268" i="21"/>
  <c r="B291" i="21"/>
  <c r="K291" i="21" s="1"/>
  <c r="A88" i="21"/>
  <c r="D6" i="21"/>
  <c r="C108" i="21"/>
  <c r="C121" i="21"/>
  <c r="D206" i="21"/>
  <c r="B133" i="21"/>
  <c r="K133" i="21" s="1"/>
  <c r="D234" i="21"/>
  <c r="B93" i="21"/>
  <c r="K93" i="21" s="1"/>
  <c r="C158" i="21"/>
  <c r="A334" i="21"/>
  <c r="A128" i="21"/>
  <c r="B136" i="21"/>
  <c r="K136" i="21" s="1"/>
  <c r="A66" i="21"/>
  <c r="A185" i="21"/>
  <c r="B313" i="21"/>
  <c r="K313" i="21" s="1"/>
  <c r="C182" i="21"/>
  <c r="C36" i="21"/>
  <c r="D110" i="21"/>
  <c r="B240" i="21"/>
  <c r="K240" i="21" s="1"/>
  <c r="C125" i="21"/>
  <c r="A91" i="21"/>
  <c r="A71" i="21"/>
  <c r="C262" i="21"/>
  <c r="C92" i="21"/>
  <c r="B293" i="21"/>
  <c r="K293" i="21" s="1"/>
  <c r="D306" i="21"/>
  <c r="A37" i="21"/>
  <c r="A165" i="21"/>
  <c r="D331" i="21"/>
  <c r="C148" i="21"/>
  <c r="B121" i="21"/>
  <c r="K121" i="21" s="1"/>
  <c r="A311" i="21"/>
  <c r="B86" i="21"/>
  <c r="K86" i="21" s="1"/>
  <c r="C60" i="21"/>
  <c r="C57" i="21"/>
  <c r="D80" i="21"/>
  <c r="C187" i="21"/>
  <c r="D136" i="21"/>
  <c r="A216" i="21"/>
  <c r="B312" i="21"/>
  <c r="K312" i="21" s="1"/>
  <c r="A284" i="21"/>
  <c r="D184" i="21"/>
  <c r="C97" i="21"/>
  <c r="C7" i="21"/>
  <c r="C209" i="21"/>
  <c r="C174" i="21"/>
  <c r="B61" i="21"/>
  <c r="K61" i="21" s="1"/>
  <c r="B210" i="21"/>
  <c r="K210" i="21" s="1"/>
  <c r="B207" i="21"/>
  <c r="K207" i="21" s="1"/>
  <c r="C167" i="21"/>
  <c r="C67" i="21"/>
  <c r="C238" i="21"/>
  <c r="D173" i="21"/>
  <c r="B122" i="21"/>
  <c r="K122" i="21" s="1"/>
  <c r="D141" i="21"/>
  <c r="D241" i="21"/>
  <c r="C281" i="21"/>
  <c r="B126" i="21"/>
  <c r="K126" i="21" s="1"/>
  <c r="C130" i="21"/>
  <c r="B231" i="21"/>
  <c r="K231" i="21" s="1"/>
  <c r="B76" i="21"/>
  <c r="K76" i="21" s="1"/>
  <c r="D11" i="21"/>
  <c r="B171" i="21"/>
  <c r="K171" i="21" s="1"/>
  <c r="D148" i="21"/>
  <c r="C172" i="21"/>
  <c r="C246" i="21"/>
  <c r="B48" i="21"/>
  <c r="K48" i="21" s="1"/>
  <c r="C337" i="21"/>
  <c r="B222" i="21"/>
  <c r="K222" i="21" s="1"/>
  <c r="C42" i="21"/>
  <c r="B254" i="21"/>
  <c r="K254" i="21" s="1"/>
  <c r="A197" i="21"/>
  <c r="A196" i="21"/>
  <c r="A327" i="21"/>
  <c r="B260" i="21"/>
  <c r="K260" i="21" s="1"/>
  <c r="D43" i="21"/>
  <c r="A147" i="21"/>
  <c r="C82" i="21"/>
  <c r="B87" i="21"/>
  <c r="K87" i="21" s="1"/>
  <c r="C186" i="21"/>
  <c r="A212" i="21"/>
  <c r="A135" i="21"/>
  <c r="C117" i="21"/>
  <c r="A36" i="21"/>
  <c r="C312" i="21"/>
  <c r="C329" i="21"/>
  <c r="C37" i="21"/>
  <c r="A121" i="21"/>
  <c r="C170" i="21"/>
  <c r="D251" i="21"/>
  <c r="B159" i="21"/>
  <c r="K159" i="21" s="1"/>
  <c r="A138" i="21"/>
  <c r="B325" i="21"/>
  <c r="K325" i="21" s="1"/>
  <c r="C257" i="21"/>
  <c r="C173" i="21"/>
  <c r="C160" i="21"/>
  <c r="D318" i="21"/>
  <c r="C323" i="21"/>
  <c r="A6" i="21"/>
  <c r="A328" i="21"/>
  <c r="C290" i="21"/>
  <c r="B31" i="21"/>
  <c r="C300" i="21"/>
  <c r="C136" i="21"/>
  <c r="B74" i="21"/>
  <c r="K74" i="21" s="1"/>
  <c r="C61" i="21"/>
  <c r="D78" i="21"/>
  <c r="C78" i="21"/>
  <c r="C73" i="21"/>
  <c r="B25" i="21"/>
  <c r="D272" i="21"/>
  <c r="A318" i="21"/>
  <c r="A176" i="21"/>
  <c r="D202" i="21"/>
  <c r="D192" i="21"/>
  <c r="B252" i="21"/>
  <c r="K252" i="21" s="1"/>
  <c r="D35" i="21"/>
  <c r="D224" i="21"/>
  <c r="C313" i="21"/>
  <c r="B274" i="21"/>
  <c r="K274" i="21" s="1"/>
  <c r="A26" i="21"/>
  <c r="A118" i="21"/>
  <c r="D287" i="21"/>
  <c r="C255" i="21"/>
  <c r="B281" i="21"/>
  <c r="K281" i="21" s="1"/>
  <c r="D87" i="21"/>
  <c r="B339" i="21"/>
  <c r="K339" i="21" s="1"/>
  <c r="D286" i="21"/>
  <c r="A324" i="21"/>
  <c r="B69" i="21"/>
  <c r="K69" i="21" s="1"/>
  <c r="D182" i="21"/>
  <c r="B239" i="21"/>
  <c r="K239" i="21" s="1"/>
  <c r="A312" i="21"/>
  <c r="C248" i="21"/>
  <c r="D322" i="21"/>
  <c r="A202" i="21"/>
  <c r="B98" i="21"/>
  <c r="K98" i="21" s="1"/>
  <c r="A81" i="21"/>
  <c r="B318" i="21"/>
  <c r="K318" i="21" s="1"/>
  <c r="D256" i="21"/>
  <c r="D332" i="21"/>
  <c r="C298" i="21"/>
  <c r="D277" i="21"/>
  <c r="A7" i="21"/>
  <c r="A247" i="21"/>
  <c r="B323" i="21"/>
  <c r="K323" i="21" s="1"/>
  <c r="C76" i="21"/>
  <c r="C22" i="21"/>
  <c r="C210" i="21"/>
  <c r="B15" i="21"/>
  <c r="C235" i="21"/>
  <c r="B20" i="21"/>
  <c r="B266" i="21"/>
  <c r="K266" i="21" s="1"/>
  <c r="C214" i="21"/>
  <c r="B307" i="21"/>
  <c r="K307" i="21" s="1"/>
  <c r="B117" i="21"/>
  <c r="K117" i="21" s="1"/>
  <c r="A132" i="21"/>
  <c r="B244" i="21"/>
  <c r="K244" i="21" s="1"/>
  <c r="C326" i="21"/>
  <c r="C239" i="21"/>
  <c r="A123" i="21"/>
  <c r="C200" i="21"/>
  <c r="D265" i="21"/>
  <c r="A261" i="21"/>
  <c r="C331" i="21"/>
  <c r="C8" i="21"/>
  <c r="A156" i="21"/>
  <c r="A32" i="21"/>
  <c r="C101" i="21"/>
  <c r="A338" i="21"/>
  <c r="D109" i="21"/>
  <c r="B286" i="21"/>
  <c r="K286" i="21" s="1"/>
  <c r="C188" i="21"/>
  <c r="B303" i="21"/>
  <c r="K303" i="21" s="1"/>
  <c r="A240" i="21"/>
  <c r="A175" i="21"/>
  <c r="B13" i="21"/>
  <c r="D250" i="21"/>
  <c r="D289" i="21"/>
  <c r="D130" i="21"/>
  <c r="A105" i="21"/>
  <c r="D217" i="21"/>
  <c r="B101" i="21"/>
  <c r="K101" i="21" s="1"/>
  <c r="A236" i="21"/>
  <c r="A286" i="21"/>
  <c r="A137" i="21"/>
  <c r="D312" i="21"/>
  <c r="B335" i="21"/>
  <c r="K335" i="21" s="1"/>
  <c r="B81" i="21"/>
  <c r="K81" i="21" s="1"/>
  <c r="B50" i="21"/>
  <c r="K50" i="21" s="1"/>
  <c r="B186" i="21"/>
  <c r="K186" i="21" s="1"/>
  <c r="B257" i="21"/>
  <c r="K257" i="21" s="1"/>
  <c r="C250" i="21"/>
  <c r="D267" i="21"/>
  <c r="A292" i="21"/>
  <c r="C46" i="21"/>
  <c r="D19" i="21"/>
  <c r="A220" i="21"/>
  <c r="D180" i="21"/>
  <c r="B276" i="21"/>
  <c r="K276" i="21" s="1"/>
  <c r="C263" i="21"/>
  <c r="D125" i="21"/>
  <c r="C194" i="21"/>
  <c r="A167" i="21"/>
  <c r="B138" i="21"/>
  <c r="K138" i="21" s="1"/>
  <c r="C244" i="21"/>
  <c r="C334" i="21"/>
  <c r="C307" i="21"/>
  <c r="C113" i="21"/>
  <c r="B23" i="21"/>
  <c r="A59" i="21"/>
  <c r="D53" i="21"/>
  <c r="A23" i="21"/>
  <c r="B197" i="21"/>
  <c r="K197" i="21" s="1"/>
  <c r="B178" i="21"/>
  <c r="K178" i="21" s="1"/>
  <c r="A64" i="21"/>
  <c r="B85" i="21"/>
  <c r="K85" i="21" s="1"/>
  <c r="C131" i="21"/>
  <c r="C32" i="21"/>
  <c r="C240" i="21"/>
  <c r="B326" i="21"/>
  <c r="K326" i="21" s="1"/>
  <c r="C295" i="21"/>
  <c r="C199" i="21"/>
  <c r="C29" i="21"/>
  <c r="C17" i="21"/>
  <c r="D181" i="21"/>
  <c r="A160" i="21"/>
  <c r="A169" i="21"/>
  <c r="D157" i="21"/>
  <c r="D223" i="21"/>
  <c r="C106" i="21"/>
  <c r="C208" i="21"/>
  <c r="B270" i="21"/>
  <c r="K270" i="21" s="1"/>
  <c r="C11" i="21"/>
  <c r="D166" i="21"/>
  <c r="A127" i="21"/>
  <c r="D273" i="21"/>
  <c r="D235" i="21"/>
  <c r="B236" i="21"/>
  <c r="K236" i="21" s="1"/>
  <c r="D290" i="21"/>
  <c r="B161" i="21"/>
  <c r="K161" i="21" s="1"/>
  <c r="A33" i="21"/>
  <c r="A313" i="21"/>
  <c r="C272" i="21"/>
  <c r="C35" i="21"/>
  <c r="A270" i="21"/>
  <c r="A291" i="21"/>
  <c r="C13" i="21"/>
  <c r="A44" i="21"/>
  <c r="A198" i="21"/>
  <c r="A15" i="21"/>
  <c r="A230" i="21"/>
  <c r="D31" i="21"/>
  <c r="D243" i="21"/>
  <c r="B322" i="21"/>
  <c r="K322" i="21" s="1"/>
  <c r="A213" i="21"/>
  <c r="D207" i="21"/>
  <c r="B27" i="21"/>
  <c r="C216" i="21"/>
  <c r="A283" i="21"/>
  <c r="A309" i="21"/>
  <c r="B29" i="21"/>
  <c r="B221" i="21"/>
  <c r="K221" i="21" s="1"/>
  <c r="D82" i="21"/>
  <c r="A221" i="21"/>
  <c r="D104" i="21"/>
  <c r="C151" i="21"/>
  <c r="C81" i="21"/>
  <c r="A239" i="21"/>
  <c r="D175" i="21"/>
  <c r="A177" i="21"/>
  <c r="C330" i="21"/>
  <c r="C303" i="21"/>
  <c r="A142" i="21"/>
  <c r="D155" i="21"/>
  <c r="C140" i="21"/>
  <c r="D179" i="21"/>
  <c r="D177" i="21"/>
  <c r="A252" i="21"/>
  <c r="B128" i="21"/>
  <c r="K128" i="21" s="1"/>
  <c r="C54" i="21"/>
  <c r="C99" i="21"/>
  <c r="C91" i="21"/>
  <c r="A38" i="21"/>
  <c r="B119" i="21"/>
  <c r="K119" i="21" s="1"/>
  <c r="D196" i="21"/>
  <c r="C327" i="21"/>
  <c r="D57" i="21"/>
  <c r="C224" i="21"/>
  <c r="A73" i="21"/>
  <c r="C270" i="21"/>
  <c r="A28" i="21"/>
  <c r="B224" i="21"/>
  <c r="K224" i="21" s="1"/>
  <c r="C122" i="21"/>
  <c r="B226" i="21"/>
  <c r="K226" i="21" s="1"/>
  <c r="A231" i="21"/>
  <c r="B308" i="21"/>
  <c r="K308" i="21" s="1"/>
  <c r="C138" i="21"/>
  <c r="A68" i="21"/>
  <c r="B228" i="21"/>
  <c r="K228" i="21" s="1"/>
  <c r="C276" i="21"/>
  <c r="D40" i="21"/>
  <c r="A96" i="21"/>
  <c r="BK630" i="10" l="1"/>
  <c r="BL629" i="10"/>
  <c r="K4" i="21"/>
  <c r="K5" i="21" s="1"/>
  <c r="K6" i="21" s="1"/>
  <c r="K7" i="21" s="1"/>
  <c r="K8" i="21" s="1"/>
  <c r="K9" i="21" s="1"/>
  <c r="K10" i="21" s="1"/>
  <c r="K11" i="21" s="1"/>
  <c r="K12" i="21" s="1"/>
  <c r="K13" i="21" s="1"/>
  <c r="K14" i="21" s="1"/>
  <c r="K15" i="21" s="1"/>
  <c r="K16" i="21" s="1"/>
  <c r="K17" i="21" s="1"/>
  <c r="K18" i="21" s="1"/>
  <c r="K19" i="21" s="1"/>
  <c r="K20" i="21" s="1"/>
  <c r="K21" i="21" s="1"/>
  <c r="K22" i="21" s="1"/>
  <c r="K23" i="21" s="1"/>
  <c r="K24" i="21" s="1"/>
  <c r="K25" i="21" s="1"/>
  <c r="K26" i="21" s="1"/>
  <c r="K27" i="21" s="1"/>
  <c r="K28" i="21" s="1"/>
  <c r="K29" i="21" s="1"/>
  <c r="K30" i="21" s="1"/>
  <c r="K31" i="21" s="1"/>
  <c r="K32" i="21" s="1"/>
  <c r="K33" i="21" s="1"/>
  <c r="K34" i="21" s="1"/>
  <c r="K35" i="21" s="1"/>
  <c r="BL630" i="10" l="1"/>
  <c r="BK631" i="10"/>
  <c r="BK632" i="10" l="1"/>
  <c r="BL631" i="10"/>
  <c r="BK633" i="10" l="1"/>
  <c r="BL632" i="10"/>
  <c r="BL633" i="10" l="1"/>
  <c r="BK634" i="10"/>
  <c r="BK635" i="10" l="1"/>
  <c r="BL634" i="10"/>
  <c r="BK636" i="10" l="1"/>
  <c r="BL635" i="10"/>
  <c r="BL636" i="10" l="1"/>
  <c r="BK637" i="10"/>
  <c r="BK638" i="10" l="1"/>
  <c r="BL637" i="10"/>
  <c r="BK639" i="10" l="1"/>
  <c r="BL638" i="10"/>
  <c r="BL639" i="10" l="1"/>
  <c r="BK640" i="10"/>
  <c r="BK641" i="10" l="1"/>
  <c r="BL640" i="10"/>
  <c r="BK642" i="10" l="1"/>
  <c r="BL641" i="10"/>
  <c r="BL642" i="10" l="1"/>
  <c r="BK643" i="10"/>
  <c r="BK644" i="10" l="1"/>
  <c r="BL643" i="10"/>
  <c r="BK645" i="10" l="1"/>
  <c r="BL644" i="10"/>
  <c r="BL645" i="10" l="1"/>
  <c r="BK646" i="10"/>
  <c r="BK647" i="10" l="1"/>
  <c r="BL646" i="10"/>
  <c r="BK648" i="10" l="1"/>
  <c r="BL647" i="10"/>
  <c r="BL648" i="10" l="1"/>
  <c r="BK649" i="10"/>
  <c r="BK650" i="10" l="1"/>
  <c r="BL649" i="10"/>
  <c r="BK651" i="10" l="1"/>
  <c r="BL650" i="10"/>
  <c r="BL651" i="10" l="1"/>
  <c r="BK652" i="10"/>
  <c r="BK653" i="10" l="1"/>
  <c r="BL652" i="10"/>
  <c r="BK654" i="10" l="1"/>
  <c r="BL653" i="10"/>
  <c r="BL654" i="10" l="1"/>
  <c r="BK655" i="10"/>
  <c r="BK656" i="10" l="1"/>
  <c r="BL655" i="10"/>
  <c r="BK657" i="10" l="1"/>
  <c r="BL656" i="10"/>
  <c r="BL657" i="10" l="1"/>
  <c r="BK658" i="10"/>
  <c r="BK659" i="10" l="1"/>
  <c r="BL658" i="10"/>
  <c r="BK660" i="10" l="1"/>
  <c r="BL659" i="10"/>
  <c r="BL660" i="10" l="1"/>
  <c r="BK661" i="10"/>
  <c r="BK662" i="10" l="1"/>
  <c r="BL661" i="10"/>
  <c r="BK663" i="10" l="1"/>
  <c r="BL662" i="10"/>
  <c r="BL663" i="10" l="1"/>
  <c r="BK664" i="10"/>
  <c r="BK665" i="10" l="1"/>
  <c r="BL664" i="10"/>
  <c r="BK666" i="10" l="1"/>
  <c r="BL665" i="10"/>
  <c r="BL666" i="10" l="1"/>
  <c r="BK667" i="10"/>
  <c r="BK668" i="10" l="1"/>
  <c r="BL667" i="10"/>
  <c r="BK669" i="10" l="1"/>
  <c r="BL668" i="10"/>
  <c r="BL669" i="10" l="1"/>
  <c r="BK670" i="10"/>
  <c r="BK671" i="10" l="1"/>
  <c r="BL670" i="10"/>
  <c r="BK672" i="10" l="1"/>
  <c r="BL671" i="10"/>
  <c r="BL672" i="10" l="1"/>
  <c r="BK673" i="10"/>
  <c r="BK674" i="10" l="1"/>
  <c r="BL673" i="10"/>
  <c r="BK675" i="10" l="1"/>
  <c r="BL674" i="10"/>
  <c r="BL675" i="10" l="1"/>
  <c r="BK676" i="10"/>
  <c r="BK677" i="10" l="1"/>
  <c r="BL676" i="10"/>
  <c r="BK678" i="10" l="1"/>
  <c r="BL677" i="10"/>
  <c r="BL678" i="10" l="1"/>
  <c r="BK679" i="10"/>
  <c r="BK680" i="10" l="1"/>
  <c r="BL679" i="10"/>
  <c r="BK681" i="10" l="1"/>
  <c r="BL680" i="10"/>
  <c r="BL681" i="10" l="1"/>
  <c r="BK682" i="10"/>
  <c r="BK683" i="10" l="1"/>
  <c r="BL682" i="10"/>
  <c r="BK684" i="10" l="1"/>
  <c r="BL683" i="10"/>
  <c r="BL684" i="10" l="1"/>
  <c r="BK685" i="10"/>
  <c r="BK686" i="10" l="1"/>
  <c r="BL685" i="10"/>
  <c r="BK687" i="10" l="1"/>
  <c r="BL686" i="10"/>
  <c r="BL687" i="10" l="1"/>
  <c r="BK688" i="10"/>
  <c r="BK689" i="10" l="1"/>
  <c r="BL688" i="10"/>
  <c r="BK690" i="10" l="1"/>
  <c r="BL689" i="10"/>
  <c r="BL690" i="10" l="1"/>
  <c r="BK691" i="10"/>
  <c r="BK692" i="10" l="1"/>
  <c r="BL691" i="10"/>
  <c r="BK693" i="10" l="1"/>
  <c r="BL692" i="10"/>
  <c r="BL693" i="10" l="1"/>
  <c r="BK694" i="10"/>
  <c r="BK695" i="10" l="1"/>
  <c r="BL694" i="10"/>
  <c r="BK696" i="10" l="1"/>
  <c r="BL695" i="10"/>
  <c r="BL696" i="10" l="1"/>
  <c r="BK697" i="10"/>
  <c r="BK698" i="10" l="1"/>
  <c r="BL697" i="10"/>
  <c r="BK699" i="10" l="1"/>
  <c r="BL698" i="10"/>
  <c r="BL699" i="10" l="1"/>
  <c r="BK700" i="10"/>
  <c r="BK701" i="10" l="1"/>
  <c r="BL700" i="10"/>
  <c r="BK702" i="10" l="1"/>
  <c r="BL701" i="10"/>
  <c r="BL702" i="10" l="1"/>
  <c r="BK703" i="10"/>
  <c r="BK704" i="10" l="1"/>
  <c r="BL703" i="10"/>
  <c r="BK705" i="10" l="1"/>
  <c r="BL704" i="10"/>
  <c r="BL705" i="10" l="1"/>
  <c r="BK706" i="10"/>
  <c r="BK707" i="10" l="1"/>
  <c r="BL706" i="10"/>
  <c r="BK708" i="10" l="1"/>
  <c r="BL707" i="10"/>
  <c r="BL708" i="10" l="1"/>
  <c r="BK709" i="10"/>
  <c r="BK710" i="10" l="1"/>
  <c r="BL709" i="10"/>
  <c r="BK711" i="10" l="1"/>
  <c r="BL710" i="10"/>
  <c r="BL711" i="10" l="1"/>
  <c r="BK712" i="10"/>
  <c r="BK713" i="10" l="1"/>
  <c r="BL712" i="10"/>
  <c r="BK714" i="10" l="1"/>
  <c r="BL713" i="10"/>
  <c r="BL714" i="10" l="1"/>
  <c r="BK715" i="10"/>
  <c r="BK716" i="10" l="1"/>
  <c r="BL715" i="10"/>
  <c r="BK717" i="10" l="1"/>
  <c r="BL716" i="10"/>
  <c r="BL717" i="10" l="1"/>
  <c r="BK718" i="10"/>
  <c r="BK719" i="10" l="1"/>
  <c r="BL718" i="10"/>
  <c r="BK720" i="10" l="1"/>
  <c r="BL719" i="10"/>
  <c r="BL720" i="10" l="1"/>
  <c r="BK721" i="10"/>
  <c r="BK722" i="10" l="1"/>
  <c r="BL721" i="10"/>
  <c r="BK723" i="10" l="1"/>
  <c r="BL722" i="10"/>
  <c r="BL723" i="10" l="1"/>
  <c r="BK724" i="10"/>
  <c r="BK725" i="10" l="1"/>
  <c r="BL724" i="10"/>
  <c r="BK726" i="10" l="1"/>
  <c r="BL725" i="10"/>
  <c r="BL726" i="10" l="1"/>
  <c r="BK727" i="10"/>
  <c r="BK728" i="10" l="1"/>
  <c r="BL727" i="10"/>
  <c r="BK729" i="10" l="1"/>
  <c r="BL728" i="10"/>
  <c r="BL729" i="10" l="1"/>
  <c r="BK730" i="10"/>
  <c r="BK731" i="10" l="1"/>
  <c r="BL730" i="10"/>
  <c r="BK732" i="10" l="1"/>
  <c r="BL731" i="10"/>
  <c r="BL732" i="10" l="1"/>
  <c r="BK733" i="10"/>
  <c r="BK734" i="10" l="1"/>
  <c r="BL733" i="10"/>
  <c r="BK735" i="10" l="1"/>
  <c r="BL734" i="10"/>
  <c r="BL735" i="10" l="1"/>
  <c r="BK736" i="10"/>
  <c r="BK737" i="10" l="1"/>
  <c r="BL736" i="10"/>
  <c r="BK738" i="10" l="1"/>
  <c r="BL737" i="10"/>
  <c r="BL738" i="10" l="1"/>
  <c r="BK739" i="10"/>
  <c r="BK740" i="10" l="1"/>
  <c r="BL739" i="10"/>
  <c r="BK741" i="10" l="1"/>
  <c r="BL740" i="10"/>
  <c r="BL741" i="10" l="1"/>
  <c r="BK742" i="10"/>
  <c r="BK743" i="10" l="1"/>
  <c r="BL742" i="10"/>
  <c r="BK744" i="10" l="1"/>
  <c r="BL743" i="10"/>
  <c r="BL744" i="10" l="1"/>
  <c r="BK745" i="10"/>
  <c r="BK746" i="10" l="1"/>
  <c r="BL745" i="10"/>
  <c r="BK747" i="10" l="1"/>
  <c r="BL746" i="10"/>
  <c r="BL747" i="10" l="1"/>
  <c r="BK748" i="10"/>
  <c r="BK749" i="10" l="1"/>
  <c r="BL748" i="10"/>
  <c r="BK750" i="10" l="1"/>
  <c r="BL749" i="10"/>
  <c r="BL750" i="10" l="1"/>
  <c r="BK751" i="10"/>
  <c r="BK752" i="10" l="1"/>
  <c r="BL751" i="10"/>
  <c r="BK753" i="10" l="1"/>
  <c r="BL752" i="10"/>
  <c r="BL753" i="10" l="1"/>
  <c r="BK754" i="10"/>
  <c r="BK755" i="10" l="1"/>
  <c r="BL754" i="10"/>
  <c r="BK756" i="10" l="1"/>
  <c r="BL755" i="10"/>
  <c r="BL756" i="10" l="1"/>
  <c r="BK757" i="10"/>
  <c r="BK758" i="10" l="1"/>
  <c r="BL757" i="10"/>
  <c r="BK759" i="10" l="1"/>
  <c r="BL758" i="10"/>
  <c r="BK760" i="10" l="1"/>
  <c r="BL760" i="10" s="1"/>
  <c r="BL759"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<sst xmlns="http://schemas.openxmlformats.org/spreadsheetml/2006/main" count="6219" uniqueCount="3493">
  <si>
    <t>Tech Level:</t>
  </si>
  <si>
    <t>Cost</t>
  </si>
  <si>
    <t>Tonnage</t>
  </si>
  <si>
    <t>Hull Configuration</t>
  </si>
  <si>
    <t>Streamlined?</t>
  </si>
  <si>
    <t>Hull Points</t>
  </si>
  <si>
    <t>Space</t>
  </si>
  <si>
    <t>Armor</t>
  </si>
  <si>
    <t>ArmSpc</t>
  </si>
  <si>
    <t>Buffered Planetoid</t>
  </si>
  <si>
    <t>Unstreamlined</t>
  </si>
  <si>
    <t>Close Structure</t>
  </si>
  <si>
    <t>Partial</t>
  </si>
  <si>
    <t>Cone</t>
  </si>
  <si>
    <t>Streamlined</t>
  </si>
  <si>
    <t>Dispersed Structure</t>
  </si>
  <si>
    <t>Needle</t>
  </si>
  <si>
    <t>Planetoid</t>
  </si>
  <si>
    <t>Sphere</t>
  </si>
  <si>
    <t>Standard</t>
  </si>
  <si>
    <t>Wedge</t>
  </si>
  <si>
    <t>Hull Type</t>
  </si>
  <si>
    <t>Light Hull</t>
  </si>
  <si>
    <t>Reinforced Hull</t>
  </si>
  <si>
    <t>Standard Hull</t>
  </si>
  <si>
    <t>Armor Type</t>
  </si>
  <si>
    <t>TL</t>
  </si>
  <si>
    <t>Max</t>
  </si>
  <si>
    <t>Bonded Superdense</t>
  </si>
  <si>
    <t>Crystaliron</t>
  </si>
  <si>
    <t>Molecular Bonded</t>
  </si>
  <si>
    <t>Titanium Steel</t>
  </si>
  <si>
    <t>Hull Options</t>
  </si>
  <si>
    <t xml:space="preserve"> </t>
  </si>
  <si>
    <t xml:space="preserve">DM-2 Electronics (Sensors) </t>
  </si>
  <si>
    <t>Heat Shielding</t>
  </si>
  <si>
    <t>Unpowered reentry</t>
  </si>
  <si>
    <t>Radiation Shielding</t>
  </si>
  <si>
    <t>Reflec</t>
  </si>
  <si>
    <t>Protection +3 vs Lasers</t>
  </si>
  <si>
    <t>Stealth</t>
  </si>
  <si>
    <t>DM-4 Electronics (Sensors)</t>
  </si>
  <si>
    <t>DM-6 Electronics (Sensors)</t>
  </si>
  <si>
    <t>Armor Value</t>
  </si>
  <si>
    <t>Page Total</t>
  </si>
  <si>
    <t>Available Space</t>
  </si>
  <si>
    <t>Required Power</t>
  </si>
  <si>
    <t>Item Tons</t>
  </si>
  <si>
    <t>Engineering</t>
  </si>
  <si>
    <t>Manoeuvre Drive</t>
  </si>
  <si>
    <t>Rating</t>
  </si>
  <si>
    <t>FTL</t>
  </si>
  <si>
    <t>Jump Drive</t>
  </si>
  <si>
    <t>Engine Type</t>
  </si>
  <si>
    <t>Power</t>
  </si>
  <si>
    <t>Reaction Drive</t>
  </si>
  <si>
    <t>Hyperdrive</t>
  </si>
  <si>
    <t>Space Folding Drive</t>
  </si>
  <si>
    <t>Warp Drive</t>
  </si>
  <si>
    <t>Manoeuvre</t>
  </si>
  <si>
    <t>N/A</t>
  </si>
  <si>
    <t>Reaction</t>
  </si>
  <si>
    <t>Hyperdrive/Warp</t>
  </si>
  <si>
    <t>Power Plant</t>
  </si>
  <si>
    <t>Power Plant Type</t>
  </si>
  <si>
    <t>P/Ton</t>
  </si>
  <si>
    <t>Fuel</t>
  </si>
  <si>
    <t>Power Output</t>
  </si>
  <si>
    <t>Reaction Thrust-Hours</t>
  </si>
  <si>
    <t>Weeks of Operation</t>
  </si>
  <si>
    <t>Additional Tons of Fuel</t>
  </si>
  <si>
    <t>Bridge</t>
  </si>
  <si>
    <t>Standard Bridge</t>
  </si>
  <si>
    <t>Size</t>
  </si>
  <si>
    <t>Cockpit</t>
  </si>
  <si>
    <t>Command Bridge</t>
  </si>
  <si>
    <t>DM+1 to all Tactics (naval) checks</t>
  </si>
  <si>
    <t>Dual Cockpit</t>
  </si>
  <si>
    <t>Small Bridge</t>
  </si>
  <si>
    <t xml:space="preserve">DM-1 for all Ship's Ops checks from Bridge </t>
  </si>
  <si>
    <t>No Modifiers</t>
  </si>
  <si>
    <t>Main Bridge</t>
  </si>
  <si>
    <t>None</t>
  </si>
  <si>
    <t>Computer</t>
  </si>
  <si>
    <t>Main Computer</t>
  </si>
  <si>
    <t>Backup Computer</t>
  </si>
  <si>
    <t>Special Hulls</t>
  </si>
  <si>
    <t>Double Hull</t>
  </si>
  <si>
    <t>Hamster Cages</t>
  </si>
  <si>
    <t>Breakaway Hulls</t>
  </si>
  <si>
    <t>EMP Hardened?</t>
  </si>
  <si>
    <t>Armored Bulkheads?</t>
  </si>
  <si>
    <t>No</t>
  </si>
  <si>
    <t>Yes</t>
  </si>
  <si>
    <t>Armored Bulkheads reduce the severity of a critical hit by 1 (minimum Severity 1)</t>
  </si>
  <si>
    <t>Note:</t>
  </si>
  <si>
    <t>EMP Hardened units draw power prior to the power reduction caused by ion weapons</t>
  </si>
  <si>
    <t>Emergency Power System?</t>
  </si>
  <si>
    <t>TL 10</t>
  </si>
  <si>
    <t>TL 12</t>
  </si>
  <si>
    <t>High Efficiency Batteries?</t>
  </si>
  <si>
    <t># Batteries</t>
  </si>
  <si>
    <t>Main Fuel Tanks</t>
  </si>
  <si>
    <t xml:space="preserve">Fuel Scoops </t>
  </si>
  <si>
    <t>Fuel Scoop</t>
  </si>
  <si>
    <t>Included Free w/ Streamlining</t>
  </si>
  <si>
    <t>Installed</t>
  </si>
  <si>
    <t>Uninstalled</t>
  </si>
  <si>
    <t>Drive type</t>
  </si>
  <si>
    <t>Fuel Processor</t>
  </si>
  <si>
    <t>Tons</t>
  </si>
  <si>
    <t>Tons of Fuel Refined Per Day</t>
  </si>
  <si>
    <t>Thrust Points:</t>
  </si>
  <si>
    <t>High Burn Thruster</t>
  </si>
  <si>
    <t>Solar Sails</t>
  </si>
  <si>
    <t>Secondary Drive</t>
  </si>
  <si>
    <t>Mods</t>
  </si>
  <si>
    <t xml:space="preserve">The Stealth Mod on a Thrust unit provides a -1 DM to opposing Sensor Ops. </t>
  </si>
  <si>
    <t xml:space="preserve">On an FTL unit, it dampens the exit and re-entry emissions, making detection difficult. </t>
  </si>
  <si>
    <t>FTL Mods:</t>
  </si>
  <si>
    <t>Nominal</t>
  </si>
  <si>
    <t>The Easy to Repair Mod grants a +1 DM to any repair rolls for that system, unless otherwise noted.</t>
  </si>
  <si>
    <t>Detachable Bridge</t>
  </si>
  <si>
    <t>Lifeboat with two weeks of life support and Thrust 0</t>
  </si>
  <si>
    <t>Standard Controls</t>
  </si>
  <si>
    <t>Holographic Controls</t>
  </si>
  <si>
    <t>DM+2 to Initiative</t>
  </si>
  <si>
    <t>Collapsible Fuel Tank</t>
  </si>
  <si>
    <t>Drop Tank Mounts</t>
  </si>
  <si>
    <t>Not installed</t>
  </si>
  <si>
    <t>Standard Fuel Tanks</t>
  </si>
  <si>
    <t>Metal Hydride Fuel Tanks</t>
  </si>
  <si>
    <t>Bladder size when full:</t>
  </si>
  <si>
    <t>Tank Size:</t>
  </si>
  <si>
    <t>Attached Drop Tank Capacity:</t>
  </si>
  <si>
    <t>Comp/10</t>
  </si>
  <si>
    <t>Comp/15</t>
  </si>
  <si>
    <t>Comp/20</t>
  </si>
  <si>
    <t>Comp/25</t>
  </si>
  <si>
    <t>Comp/30</t>
  </si>
  <si>
    <t>Comp/35</t>
  </si>
  <si>
    <t>Core/100</t>
  </si>
  <si>
    <t>/bis?</t>
  </si>
  <si>
    <t>/fib?</t>
  </si>
  <si>
    <t>Core/ 40</t>
  </si>
  <si>
    <t>Core/ 50</t>
  </si>
  <si>
    <t>Core/ 60</t>
  </si>
  <si>
    <t>Core/ 70</t>
  </si>
  <si>
    <t>Core/ 80</t>
  </si>
  <si>
    <t>Core/ 90</t>
  </si>
  <si>
    <t>Comp/ 5</t>
  </si>
  <si>
    <t>Advanced Fire Control/1</t>
  </si>
  <si>
    <t>Advanced Fire Control/3</t>
  </si>
  <si>
    <t>Advanced Fire Control/2</t>
  </si>
  <si>
    <t>Anti-Hijack/1</t>
  </si>
  <si>
    <t>Anti-Hijack/2</t>
  </si>
  <si>
    <t>Anti-Hijack/3</t>
  </si>
  <si>
    <t>DM +1 to all attack rolls</t>
  </si>
  <si>
    <t>DM +3 to all attack rolls</t>
  </si>
  <si>
    <t>DM +2 to all attack rolls</t>
  </si>
  <si>
    <t xml:space="preserve">DM -2 to unauthorized access </t>
  </si>
  <si>
    <t xml:space="preserve">DM -6 to unauthorized access </t>
  </si>
  <si>
    <t xml:space="preserve">DM -4 to unauthorized access </t>
  </si>
  <si>
    <t>BW</t>
  </si>
  <si>
    <t>Notes</t>
  </si>
  <si>
    <t>Program</t>
  </si>
  <si>
    <t>Battle System/3</t>
  </si>
  <si>
    <t>Battle System/2</t>
  </si>
  <si>
    <t>Battle System/1</t>
  </si>
  <si>
    <t>DM +1 to Tactics (Naval)</t>
  </si>
  <si>
    <t>DM +2 to Tactics (Naval)</t>
  </si>
  <si>
    <t>DM +3 to Tactics (Naval)</t>
  </si>
  <si>
    <t>Broad Spectrum EW</t>
  </si>
  <si>
    <t>Single DM 0 to all salvos in Long range</t>
  </si>
  <si>
    <t>Conscious Intelligence</t>
  </si>
  <si>
    <t>Electronic Warfare/1</t>
  </si>
  <si>
    <t>Electronic Warfare/2</t>
  </si>
  <si>
    <t>Electronic Warfare/3</t>
  </si>
  <si>
    <t>Computer is NPC with Int 15 and Edu 15</t>
  </si>
  <si>
    <t>DM +1 to Electronics (Sensor) checks</t>
  </si>
  <si>
    <t>DM +2 to Electronics (Sensor) checks</t>
  </si>
  <si>
    <t>DM +3 to Electronics (Sensor) checks</t>
  </si>
  <si>
    <t>Launch Solution/1</t>
  </si>
  <si>
    <t>Launch Solution/2</t>
  </si>
  <si>
    <t>Launch Solution/3</t>
  </si>
  <si>
    <t>DM +1 to all missile salvo attack rolls</t>
  </si>
  <si>
    <t>DM +2 to all missile salvo attack rolls</t>
  </si>
  <si>
    <t>DM +3 to all missile salvo attack rolls</t>
  </si>
  <si>
    <t>Auto-Repair/1</t>
  </si>
  <si>
    <t>DM +2 to a repair roll or 2 automated rolls (Repair Drone)</t>
  </si>
  <si>
    <t>DM +1 to a repair roll or 1 automated roll (Repair Drone)</t>
  </si>
  <si>
    <t>Basic Fire Control/1</t>
  </si>
  <si>
    <t>Basic Fire Control/2</t>
  </si>
  <si>
    <t>Basic Fire Control/3</t>
  </si>
  <si>
    <t>Basic Fire Control/4</t>
  </si>
  <si>
    <t>Basic Fire Control/5</t>
  </si>
  <si>
    <t>DM +1 to a gunner making an attack or 1 automated attack</t>
  </si>
  <si>
    <t>DM +2 to a gunner making an attack or 2 automated attacks</t>
  </si>
  <si>
    <t>DM +3 to a gunner making an attack or 3 automated attacks</t>
  </si>
  <si>
    <t>DM +4 to a gunner making an attack or 4 automated attacks</t>
  </si>
  <si>
    <t>DM +5 to a gunner making an attack or 5 automated attacks</t>
  </si>
  <si>
    <t>Evade/1</t>
  </si>
  <si>
    <t>Evade/2</t>
  </si>
  <si>
    <t>Evade/3</t>
  </si>
  <si>
    <t>DM -1 to all attacks</t>
  </si>
  <si>
    <t>DM -2 to all attacks</t>
  </si>
  <si>
    <t>DM -3 to all attacks</t>
  </si>
  <si>
    <t>Jump Collectors/Accumulators?</t>
  </si>
  <si>
    <t>Intellect</t>
  </si>
  <si>
    <t>Allows a ship to understand and obey verbal commands</t>
  </si>
  <si>
    <t>Allows jumps up to the specified number</t>
  </si>
  <si>
    <t>Library</t>
  </si>
  <si>
    <t>Programs</t>
  </si>
  <si>
    <t>Bandwidth</t>
  </si>
  <si>
    <t>Contains a wealth of data on numerous subjects</t>
  </si>
  <si>
    <t>Manoeuvre/0</t>
  </si>
  <si>
    <t>Allows basic control of the ship</t>
  </si>
  <si>
    <t>Allows use of point defence batteries to defend other ships</t>
  </si>
  <si>
    <t>Point Defence/2 (Short)</t>
  </si>
  <si>
    <t>Point Defence/1 (Close)</t>
  </si>
  <si>
    <t>Screen Optimizer</t>
  </si>
  <si>
    <t>DM 0 automated Angle Screens action against any attack</t>
  </si>
  <si>
    <t>Virtual Crew/0</t>
  </si>
  <si>
    <t>Virtual Crew/1</t>
  </si>
  <si>
    <t>Virtual Crew/2</t>
  </si>
  <si>
    <t>Virtual Crew/5 More Crew</t>
  </si>
  <si>
    <t>Allows up to 5 crew replaced beyond the first five</t>
  </si>
  <si>
    <t>Replace 5 crewmembers at DM 0 skill level</t>
  </si>
  <si>
    <t>Replace 5 crewmembers at DM +1 skill level</t>
  </si>
  <si>
    <t>Replace 5 crewmembers at DM +2 skill level</t>
  </si>
  <si>
    <t>Virtual Gunner/0</t>
  </si>
  <si>
    <t>Virtual Gunner/02</t>
  </si>
  <si>
    <t>Virtual Gunner/01</t>
  </si>
  <si>
    <t>Virtual Gunner/10 more Gunners</t>
  </si>
  <si>
    <t>Allows up to 10 gunners replaced beyond the first ten</t>
  </si>
  <si>
    <t>Replace 10 gunners at DM 0 skill level</t>
  </si>
  <si>
    <t>Replace 10 gunners at DM +1 skill level</t>
  </si>
  <si>
    <t>Replace 10 gunners at DM +2 skill level</t>
  </si>
  <si>
    <t>Virtual Data Mining</t>
  </si>
  <si>
    <t>Auto-Repair/2</t>
  </si>
  <si>
    <t>Advanced Fire Control</t>
  </si>
  <si>
    <t>Anti-Hijack</t>
  </si>
  <si>
    <t>Auto-Repair</t>
  </si>
  <si>
    <t>Basic Fire Control</t>
  </si>
  <si>
    <t>Battle System</t>
  </si>
  <si>
    <t>Electronic Warfare</t>
  </si>
  <si>
    <t>Evade</t>
  </si>
  <si>
    <t>Launch Solution</t>
  </si>
  <si>
    <t>Point Defense</t>
  </si>
  <si>
    <t>Virtual Crew</t>
  </si>
  <si>
    <t>Virtual Gunner</t>
  </si>
  <si>
    <t>Total Crew Replaced</t>
  </si>
  <si>
    <t>Total Gunners Replaced</t>
  </si>
  <si>
    <t>Max bandwidth used for mining:</t>
  </si>
  <si>
    <t>Total Bandwidth</t>
  </si>
  <si>
    <t>Pwr</t>
  </si>
  <si>
    <t>Main Sensor Array</t>
  </si>
  <si>
    <t>Includes</t>
  </si>
  <si>
    <t>Number of Additional Sensor Stations:</t>
  </si>
  <si>
    <t>Sensor Actions Allowed per Round:</t>
  </si>
  <si>
    <t>Type</t>
  </si>
  <si>
    <t>Optional Sensor Packages</t>
  </si>
  <si>
    <t>Countermeasures Suite</t>
  </si>
  <si>
    <t>Deep Penetration Scanners</t>
  </si>
  <si>
    <t>Distributed Arrays</t>
  </si>
  <si>
    <t>Enhanced Signal Processing</t>
  </si>
  <si>
    <t>Extended Arrays</t>
  </si>
  <si>
    <t>Extension Net</t>
  </si>
  <si>
    <t>Improved Signal Processing</t>
  </si>
  <si>
    <t>Life Scanner</t>
  </si>
  <si>
    <t>Life Scanner Analysis Suite</t>
  </si>
  <si>
    <t>Mail Distribution Array</t>
  </si>
  <si>
    <t>Military Countermeasures Suite</t>
  </si>
  <si>
    <t>Mineral Detection Suite</t>
  </si>
  <si>
    <t>Rapid Deployment Extended Arrays</t>
  </si>
  <si>
    <t>Shallow Penetration Suite</t>
  </si>
  <si>
    <t>Not Installed</t>
  </si>
  <si>
    <t>Extend Range</t>
  </si>
  <si>
    <t>DM +4 to Jam/EW</t>
  </si>
  <si>
    <t>DM +4 to all Sensors</t>
  </si>
  <si>
    <t>Probe Drone Array</t>
  </si>
  <si>
    <t>DM +2 to all Sensors</t>
  </si>
  <si>
    <t>XBoat Comms Array</t>
  </si>
  <si>
    <t>Generic Life Signs</t>
  </si>
  <si>
    <t>Detailed Life Signs</t>
  </si>
  <si>
    <t>Lidar, Radar; DM -4 to all Sensor Checks</t>
  </si>
  <si>
    <t>Lidar, Radar; DM -2 to all Sensor Checks</t>
  </si>
  <si>
    <t>Jammers, Lidar, Radar; DM 0 to all Sensor Checks</t>
  </si>
  <si>
    <t>Densitometer, Jammers, Lidar, Radar; DM +1 to all Sensor Checks</t>
  </si>
  <si>
    <t>Densitometer, Jammers, Lidar, Neural Activity Sensor, Radar; DM +2 to all Sensor Checks</t>
  </si>
  <si>
    <t>Mail Distribution Array ADV</t>
  </si>
  <si>
    <t>DM +6 to Jam/EW</t>
  </si>
  <si>
    <t>Mineral Type/QTY</t>
  </si>
  <si>
    <t>Extends Range; Allows Thrust/Jump</t>
  </si>
  <si>
    <t>Heat/EM @ Vlong</t>
  </si>
  <si>
    <t>Weapons</t>
  </si>
  <si>
    <t>Quantity</t>
  </si>
  <si>
    <t>Barbette</t>
  </si>
  <si>
    <t>Modular Hull</t>
  </si>
  <si>
    <t>Total Tonnage of Modular Section(s):</t>
  </si>
  <si>
    <t>Modular Limit</t>
  </si>
  <si>
    <t>G Single Pop-Up</t>
  </si>
  <si>
    <t>H Double Pop-Up</t>
  </si>
  <si>
    <t>I Triple Pop-Up</t>
  </si>
  <si>
    <t>J Quad Pop-Up</t>
  </si>
  <si>
    <t>K Barbette</t>
  </si>
  <si>
    <t>L Point Defense Btty</t>
  </si>
  <si>
    <t>M Small Bay</t>
  </si>
  <si>
    <t>N Medium Bay</t>
  </si>
  <si>
    <t>O Large Bay</t>
  </si>
  <si>
    <t>PWR</t>
  </si>
  <si>
    <t>hardpoints</t>
  </si>
  <si>
    <t>crew</t>
  </si>
  <si>
    <t>Weapon</t>
  </si>
  <si>
    <t>Range</t>
  </si>
  <si>
    <t>DAM</t>
  </si>
  <si>
    <t>Medium</t>
  </si>
  <si>
    <t>1D</t>
  </si>
  <si>
    <t>Adjacent</t>
  </si>
  <si>
    <t>4D</t>
  </si>
  <si>
    <t>Special</t>
  </si>
  <si>
    <t>Smart</t>
  </si>
  <si>
    <t>Long</t>
  </si>
  <si>
    <t>2D</t>
  </si>
  <si>
    <t>Turret</t>
  </si>
  <si>
    <t>Radiation</t>
  </si>
  <si>
    <t>Auto 4</t>
  </si>
  <si>
    <t>Ion</t>
  </si>
  <si>
    <t>AP 10</t>
  </si>
  <si>
    <t>C Single Turret</t>
  </si>
  <si>
    <t>E Triple Turret</t>
  </si>
  <si>
    <t>F Quad Turret</t>
  </si>
  <si>
    <t>1 roll for all BTTYs</t>
  </si>
  <si>
    <t>Small Bay</t>
  </si>
  <si>
    <t>AP Special, Radiation</t>
  </si>
  <si>
    <t>Auto 6</t>
  </si>
  <si>
    <t>Medium Bay</t>
  </si>
  <si>
    <t>Auto 8</t>
  </si>
  <si>
    <t>AP 15</t>
  </si>
  <si>
    <t>Large Bay</t>
  </si>
  <si>
    <t>HP01</t>
  </si>
  <si>
    <t>HP02</t>
  </si>
  <si>
    <t>HP03</t>
  </si>
  <si>
    <t>HP04</t>
  </si>
  <si>
    <t>HP05</t>
  </si>
  <si>
    <t>HP06</t>
  </si>
  <si>
    <t>HP07</t>
  </si>
  <si>
    <t>HP08</t>
  </si>
  <si>
    <t>HP09</t>
  </si>
  <si>
    <t>HP10</t>
  </si>
  <si>
    <t>HP11</t>
  </si>
  <si>
    <t>HP12</t>
  </si>
  <si>
    <t>HP13</t>
  </si>
  <si>
    <t>HP14</t>
  </si>
  <si>
    <t>HP15</t>
  </si>
  <si>
    <t>HP16</t>
  </si>
  <si>
    <t>HP17</t>
  </si>
  <si>
    <t>HP18</t>
  </si>
  <si>
    <t>HP19</t>
  </si>
  <si>
    <t>HP20</t>
  </si>
  <si>
    <t>Index</t>
  </si>
  <si>
    <t>D Double Turret</t>
  </si>
  <si>
    <t xml:space="preserve"> Not Installed</t>
  </si>
  <si>
    <t>Modifications</t>
  </si>
  <si>
    <t>Weapon Modifications</t>
  </si>
  <si>
    <t>Damage: 1's count as 2's</t>
  </si>
  <si>
    <t>Crit Severity -1</t>
  </si>
  <si>
    <t>Adds 20% to size</t>
  </si>
  <si>
    <t>Uses 25% less Power</t>
  </si>
  <si>
    <t>30% more Power used</t>
  </si>
  <si>
    <t>DM -1 to Attack Rolls</t>
  </si>
  <si>
    <t>Size -10%</t>
  </si>
  <si>
    <t>Range +1 band, Max VLong</t>
  </si>
  <si>
    <t>Size - 20%</t>
  </si>
  <si>
    <t>Damage: 1's &amp; 2's count as 3's</t>
  </si>
  <si>
    <t># Weaps</t>
  </si>
  <si>
    <t>Modification Notes</t>
  </si>
  <si>
    <t>Railgun</t>
  </si>
  <si>
    <t>Damage</t>
  </si>
  <si>
    <t>Max Size</t>
  </si>
  <si>
    <t>Super Laser</t>
  </si>
  <si>
    <t>VLong</t>
  </si>
  <si>
    <t>A Standard</t>
  </si>
  <si>
    <t>Mod</t>
  </si>
  <si>
    <t>Equivalent Hardpoints:</t>
  </si>
  <si>
    <t>Virtual Data Mining is calculated using the smallest available bandwidth available during any part of the day. Any other use of computer bandwidth reduces the amount generated for that day.</t>
  </si>
  <si>
    <t>Page Tonnage</t>
  </si>
  <si>
    <t>Page Power</t>
  </si>
  <si>
    <t>Weapon Tonnage</t>
  </si>
  <si>
    <t>Weapon Power</t>
  </si>
  <si>
    <t>Unused</t>
  </si>
  <si>
    <t>Aerofins</t>
  </si>
  <si>
    <t>DM +2 to Atmospheric Pilot Checks</t>
  </si>
  <si>
    <t>EMER:</t>
  </si>
  <si>
    <t>BATTERY:</t>
  </si>
  <si>
    <t>Screens</t>
  </si>
  <si>
    <t>Deflector Screens</t>
  </si>
  <si>
    <t>Energy Shields</t>
  </si>
  <si>
    <t>Black Globe Generator</t>
  </si>
  <si>
    <t>Meson Screen</t>
  </si>
  <si>
    <t>Nuclear Damper</t>
  </si>
  <si>
    <t>C Advanced - Easy to Repair</t>
  </si>
  <si>
    <t>DM +1 to Repair</t>
  </si>
  <si>
    <t>Power +30%</t>
  </si>
  <si>
    <t>C Advanced - Energy Efficient</t>
  </si>
  <si>
    <t>Power -25%</t>
  </si>
  <si>
    <t>Size +20%</t>
  </si>
  <si>
    <t>Extra Jump Capacitors for Black Globe:</t>
  </si>
  <si>
    <t>Capacitor Damage Max Absorption:</t>
  </si>
  <si>
    <t>EM Hardened?</t>
  </si>
  <si>
    <t>Basic Ops:</t>
  </si>
  <si>
    <t>Grav Screen</t>
  </si>
  <si>
    <t>Drones</t>
  </si>
  <si>
    <t>Probe Drones</t>
  </si>
  <si>
    <t>Advanced Probe Drones</t>
  </si>
  <si>
    <t>Mining Drones</t>
  </si>
  <si>
    <t>Repair Drones</t>
  </si>
  <si>
    <t>Armored Bulkhead</t>
  </si>
  <si>
    <t>Class Role</t>
  </si>
  <si>
    <t>Capacity</t>
  </si>
  <si>
    <t>Holographic Hull</t>
  </si>
  <si>
    <t>Programmable Hull Paint Scheme</t>
  </si>
  <si>
    <t>External Systems</t>
  </si>
  <si>
    <t>Breaching Tube</t>
  </si>
  <si>
    <t>Docking Clamp</t>
  </si>
  <si>
    <t>Forced Linkage Aparatus</t>
  </si>
  <si>
    <t>Grappling Arm</t>
  </si>
  <si>
    <t>Heavy Grappling Arm</t>
  </si>
  <si>
    <t>Tow Cable</t>
  </si>
  <si>
    <t>Type I</t>
  </si>
  <si>
    <t>Type II</t>
  </si>
  <si>
    <t>Type III</t>
  </si>
  <si>
    <t>Type IV</t>
  </si>
  <si>
    <t>Type V</t>
  </si>
  <si>
    <t>Forced Linkage</t>
  </si>
  <si>
    <t>TL12 Laser Guided Mag Line</t>
  </si>
  <si>
    <t>TL15 Gravitic Control Rods</t>
  </si>
  <si>
    <t>Combine Breaching Tube and Forced Linkage Aparatus?</t>
  </si>
  <si>
    <t xml:space="preserve">Not Installed </t>
  </si>
  <si>
    <t>TL 7 Mag-Clamps</t>
  </si>
  <si>
    <t>TL 9 Grapnel and Reel</t>
  </si>
  <si>
    <t>DM-2: Pilot Check</t>
  </si>
  <si>
    <t>DM-1: Pilot Check</t>
  </si>
  <si>
    <t>DM 0: Pilot Check</t>
  </si>
  <si>
    <t>DM+2: Pilot Check</t>
  </si>
  <si>
    <t>1 - 30 tons</t>
  </si>
  <si>
    <t>31 - 99 tons</t>
  </si>
  <si>
    <t>100 - 300 tons</t>
  </si>
  <si>
    <t>301 - 2000 tons</t>
  </si>
  <si>
    <t>Over 2000 tons</t>
  </si>
  <si>
    <t>Artificial Gravity (Standard)?</t>
  </si>
  <si>
    <t>Additional Airlock(s)</t>
  </si>
  <si>
    <t>TL 6 Basic Defense 3D/rnd</t>
  </si>
  <si>
    <t>TL 8 Improved Defense 5D/rnd</t>
  </si>
  <si>
    <t>TL10 Advanced Defense 6D/rnd</t>
  </si>
  <si>
    <t>TL12 High Tech Defense 8D/rnd</t>
  </si>
  <si>
    <t>Internal Docking Space</t>
  </si>
  <si>
    <t>Full Hangar Bay</t>
  </si>
  <si>
    <t>Launch Tubes</t>
  </si>
  <si>
    <t>Recovery Deck</t>
  </si>
  <si>
    <t>Airlocks and Docking</t>
  </si>
  <si>
    <t>UNREP System</t>
  </si>
  <si>
    <t>Quantity/Size</t>
  </si>
  <si>
    <t>Escape/Assault Pods</t>
  </si>
  <si>
    <t>Re-Entry Capsule</t>
  </si>
  <si>
    <t>Assault Capsule</t>
  </si>
  <si>
    <t>High Survivability Capsule</t>
  </si>
  <si>
    <t>Re-Entry Pod</t>
  </si>
  <si>
    <t>Onboard Facilities</t>
  </si>
  <si>
    <t>Biosphere</t>
  </si>
  <si>
    <t>Briefing Room</t>
  </si>
  <si>
    <t>Construction Deck</t>
  </si>
  <si>
    <t>Gaming Space</t>
  </si>
  <si>
    <t>EM Hardened Launch/Recovery?</t>
  </si>
  <si>
    <t>Laboratory</t>
  </si>
  <si>
    <t>Medical Bay</t>
  </si>
  <si>
    <t>Studio</t>
  </si>
  <si>
    <t>Training Facility</t>
  </si>
  <si>
    <t>Vault</t>
  </si>
  <si>
    <t>Workshop</t>
  </si>
  <si>
    <t>Concealed Compartments</t>
  </si>
  <si>
    <t>Stables</t>
  </si>
  <si>
    <t>Cargo Scoop</t>
  </si>
  <si>
    <t>Cargo Net</t>
  </si>
  <si>
    <t>External Cargo Mount</t>
  </si>
  <si>
    <t>Jump Net</t>
  </si>
  <si>
    <t>person gaming capacity</t>
  </si>
  <si>
    <t>Scientists accomodated</t>
  </si>
  <si>
    <t>Pilot</t>
  </si>
  <si>
    <t>Engineer</t>
  </si>
  <si>
    <t>Medic</t>
  </si>
  <si>
    <t>Gunner</t>
  </si>
  <si>
    <t>Steward</t>
  </si>
  <si>
    <t>Commercial</t>
  </si>
  <si>
    <t>Military</t>
  </si>
  <si>
    <t>Needed Skills</t>
  </si>
  <si>
    <t>Astrogation</t>
  </si>
  <si>
    <t>Mechanic</t>
  </si>
  <si>
    <t>Admin</t>
  </si>
  <si>
    <t>Leadership or Tactics</t>
  </si>
  <si>
    <t xml:space="preserve">* On a commercial vessel, the captain is the leading officer from the officer pool.  </t>
  </si>
  <si>
    <t>This is reflected above by including the captain in the commercial officer calculation.</t>
  </si>
  <si>
    <t>Monthly Salary Total</t>
  </si>
  <si>
    <t>Low</t>
  </si>
  <si>
    <t>Middle</t>
  </si>
  <si>
    <t>High</t>
  </si>
  <si>
    <t>Base Salary **</t>
  </si>
  <si>
    <t>** Actual Salary adds 50% for each skill level above level 1.</t>
  </si>
  <si>
    <t>Crew</t>
  </si>
  <si>
    <t>Marines</t>
  </si>
  <si>
    <t>Barracks</t>
  </si>
  <si>
    <t>Acceleration Benches *</t>
  </si>
  <si>
    <t>Acceleration seats *</t>
  </si>
  <si>
    <t>Cabin Space *</t>
  </si>
  <si>
    <t>Middle Staterooms - Single</t>
  </si>
  <si>
    <t>Middle Staterooms - Double</t>
  </si>
  <si>
    <t>High Staterooms - Double</t>
  </si>
  <si>
    <t>Luxury Staterooms - Single</t>
  </si>
  <si>
    <t>Luxury Staterooms - Double</t>
  </si>
  <si>
    <t>Common Areas</t>
  </si>
  <si>
    <t>people</t>
  </si>
  <si>
    <t>tons</t>
  </si>
  <si>
    <t>power</t>
  </si>
  <si>
    <t>Life Support</t>
  </si>
  <si>
    <t>cost</t>
  </si>
  <si>
    <t>Accomodated</t>
  </si>
  <si>
    <t>Brig</t>
  </si>
  <si>
    <t xml:space="preserve">Each Brig unit holds 6 (12 cramped) </t>
  </si>
  <si>
    <t>High Staterooms - Single</t>
  </si>
  <si>
    <t>Seats 4 people</t>
  </si>
  <si>
    <t>Single seating</t>
  </si>
  <si>
    <t>One additional passenger</t>
  </si>
  <si>
    <t>Seating (Interplanetary)</t>
  </si>
  <si>
    <t>Each unit houses one marine</t>
  </si>
  <si>
    <t>Multi-Environment Space</t>
  </si>
  <si>
    <t>Exotic Biological Conditions</t>
  </si>
  <si>
    <t>Multi-Environmental Equipment</t>
  </si>
  <si>
    <t>Life Support/Month</t>
  </si>
  <si>
    <t>People</t>
  </si>
  <si>
    <t>Quarters</t>
  </si>
  <si>
    <t>(Not included in ship cost)</t>
  </si>
  <si>
    <t>calc</t>
  </si>
  <si>
    <t>CAPTAIN*</t>
  </si>
  <si>
    <t>PILOT</t>
  </si>
  <si>
    <t>ASTROGATOR</t>
  </si>
  <si>
    <t>ENGINEER</t>
  </si>
  <si>
    <t>MAINTENANCE</t>
  </si>
  <si>
    <t>MEDIC</t>
  </si>
  <si>
    <t>GUNNER</t>
  </si>
  <si>
    <t>STEWARD</t>
  </si>
  <si>
    <t>ADMINISTRATOR</t>
  </si>
  <si>
    <t>MARINES/TROOPS</t>
  </si>
  <si>
    <t>OFFICERS</t>
  </si>
  <si>
    <t>Hull</t>
  </si>
  <si>
    <t xml:space="preserve"> No Armor</t>
  </si>
  <si>
    <t>Armour</t>
  </si>
  <si>
    <t>Fuel Tanks</t>
  </si>
  <si>
    <t>-</t>
  </si>
  <si>
    <t>EM Hardening</t>
  </si>
  <si>
    <t>Ignore Ion Damage</t>
  </si>
  <si>
    <t>Software</t>
  </si>
  <si>
    <t>Narrative Description</t>
  </si>
  <si>
    <t>Stable</t>
  </si>
  <si>
    <t>Holds 20 (sheep) or 10 (cows)/unit</t>
  </si>
  <si>
    <t>*Short haul interplaneary transports only</t>
  </si>
  <si>
    <t>Interplanetary Hauler Net</t>
  </si>
  <si>
    <t>Cargo Capacity</t>
  </si>
  <si>
    <t>External Cargo Capacity:</t>
  </si>
  <si>
    <t>Internal Systems</t>
  </si>
  <si>
    <t>Cargo Bay</t>
  </si>
  <si>
    <t xml:space="preserve">Cargo Crane </t>
  </si>
  <si>
    <t xml:space="preserve">Loading Belts </t>
  </si>
  <si>
    <t>Internal Storage Space</t>
  </si>
  <si>
    <t>Advanced</t>
  </si>
  <si>
    <t xml:space="preserve"> Standard</t>
  </si>
  <si>
    <t>Ammunition Magazine</t>
  </si>
  <si>
    <t>Cargo:</t>
  </si>
  <si>
    <t>Collapsable Fuel Tank</t>
  </si>
  <si>
    <t>Empty</t>
  </si>
  <si>
    <t>Full</t>
  </si>
  <si>
    <t>Internal Cargo Capacity:</t>
  </si>
  <si>
    <t>Page tonnage</t>
  </si>
  <si>
    <t>Basic Sensor Array</t>
  </si>
  <si>
    <t>Civilian Grade Sensor Array</t>
  </si>
  <si>
    <t>Military Grade Sensor Array</t>
  </si>
  <si>
    <t>Improved  Sensor Array</t>
  </si>
  <si>
    <t>Advanced  Sensor Array</t>
  </si>
  <si>
    <t>Sensors</t>
  </si>
  <si>
    <t>Cargo</t>
  </si>
  <si>
    <t>Crane</t>
  </si>
  <si>
    <t>Belts</t>
  </si>
  <si>
    <t>Staterooms</t>
  </si>
  <si>
    <t>Beam Laser</t>
  </si>
  <si>
    <t>Laser Drill</t>
  </si>
  <si>
    <t>Missile Rack</t>
  </si>
  <si>
    <t>Fixed Firmpoint</t>
  </si>
  <si>
    <t>Firmpointd Pop-Up</t>
  </si>
  <si>
    <t>Single Turret</t>
  </si>
  <si>
    <t>Double Turret</t>
  </si>
  <si>
    <t>Triple Turret</t>
  </si>
  <si>
    <t>Quad Turret</t>
  </si>
  <si>
    <t>Single Pop-Up</t>
  </si>
  <si>
    <t>Double Pop-Up</t>
  </si>
  <si>
    <t>Triple Pop-Up</t>
  </si>
  <si>
    <t>Quad Pop-Up</t>
  </si>
  <si>
    <t>Point Defense Btty</t>
  </si>
  <si>
    <t>Plasma-pulse Cannon (T)</t>
  </si>
  <si>
    <t>Pulse Laser</t>
  </si>
  <si>
    <t>Sandcaster</t>
  </si>
  <si>
    <t>Plasma-pulse Cannon (Brbt)</t>
  </si>
  <si>
    <t>Close</t>
  </si>
  <si>
    <t>C</t>
  </si>
  <si>
    <t>S</t>
  </si>
  <si>
    <t>Spinal Mount</t>
  </si>
  <si>
    <t>Optional</t>
  </si>
  <si>
    <t>Airlocks</t>
  </si>
  <si>
    <t>Docking</t>
  </si>
  <si>
    <t>Hangar Bays</t>
  </si>
  <si>
    <t>EM Hardened</t>
  </si>
  <si>
    <t>Escape Pods</t>
  </si>
  <si>
    <t>Budget - Inaccurate</t>
  </si>
  <si>
    <t>Adv - Energy Efficient</t>
  </si>
  <si>
    <t>VAdv - Accurate</t>
  </si>
  <si>
    <t>VAdv - Intense Focus</t>
  </si>
  <si>
    <t>VAdv - Long Range</t>
  </si>
  <si>
    <t>VAdv - Very High Yield</t>
  </si>
  <si>
    <t>Fusion Barbette</t>
  </si>
  <si>
    <t>Particle Barbette</t>
  </si>
  <si>
    <t>Ion Cannon</t>
  </si>
  <si>
    <t>Tachyon Cannon</t>
  </si>
  <si>
    <t>Torpedo</t>
  </si>
  <si>
    <t>Antimatter Cannon</t>
  </si>
  <si>
    <t>Meson Cannon</t>
  </si>
  <si>
    <t>Particle Cannon</t>
  </si>
  <si>
    <t>White Globe Generator</t>
  </si>
  <si>
    <t>Jump</t>
  </si>
  <si>
    <t>Maintenance Cost</t>
  </si>
  <si>
    <t>Total</t>
  </si>
  <si>
    <t>Crew:</t>
  </si>
  <si>
    <t>System</t>
  </si>
  <si>
    <t>Critical Severity</t>
  </si>
  <si>
    <t>Critical Hits</t>
  </si>
  <si>
    <t>Armored Bulkheads:</t>
  </si>
  <si>
    <t>Disabled</t>
  </si>
  <si>
    <t>Hull CS+1</t>
  </si>
  <si>
    <t>Hull CS+1D</t>
  </si>
  <si>
    <t>Sensor DM-2</t>
  </si>
  <si>
    <t>Leak 1D t/hr</t>
  </si>
  <si>
    <t>Leak 1D t/rnd</t>
  </si>
  <si>
    <t>Leak 1D*10%</t>
  </si>
  <si>
    <t>Destroyed</t>
  </si>
  <si>
    <t>Armor -1</t>
  </si>
  <si>
    <t>Armor -D3</t>
  </si>
  <si>
    <t>Armor -1D</t>
  </si>
  <si>
    <t>1D Damage</t>
  </si>
  <si>
    <t>2D Damage</t>
  </si>
  <si>
    <t>3D Damage</t>
  </si>
  <si>
    <t>4D Damage</t>
  </si>
  <si>
    <t>5D Damage</t>
  </si>
  <si>
    <t>6D Damage</t>
  </si>
  <si>
    <t>Pilot DM-1</t>
  </si>
  <si>
    <t>DM-2/T-1</t>
  </si>
  <si>
    <t>DM-3/T-1</t>
  </si>
  <si>
    <t>DM-4/T-1</t>
  </si>
  <si>
    <t>0 Thrust</t>
  </si>
  <si>
    <t>Destroy 10%</t>
  </si>
  <si>
    <t>Jump DM-2</t>
  </si>
  <si>
    <t>LS Fail 1D hr</t>
  </si>
  <si>
    <t>LS Fail 1D rnd</t>
  </si>
  <si>
    <t>LS Failure</t>
  </si>
  <si>
    <t>Qty</t>
  </si>
  <si>
    <t>F/C</t>
  </si>
  <si>
    <t>SSD</t>
  </si>
  <si>
    <t>BatSys</t>
  </si>
  <si>
    <t>EW</t>
  </si>
  <si>
    <t>Brd EW</t>
  </si>
  <si>
    <t>Missile</t>
  </si>
  <si>
    <t>P/D</t>
  </si>
  <si>
    <t>Pnt Def</t>
  </si>
  <si>
    <t>Tactics</t>
  </si>
  <si>
    <t>Base</t>
  </si>
  <si>
    <t>Jam/EW</t>
  </si>
  <si>
    <t>SigProc</t>
  </si>
  <si>
    <t>Arrays</t>
  </si>
  <si>
    <t>Notes/Mods</t>
  </si>
  <si>
    <t>Dmg Add</t>
  </si>
  <si>
    <t>Adv+1</t>
  </si>
  <si>
    <t>Adv+2</t>
  </si>
  <si>
    <t>Adv+3</t>
  </si>
  <si>
    <t>X</t>
  </si>
  <si>
    <t>Bsc+1</t>
  </si>
  <si>
    <t>Bsc+2</t>
  </si>
  <si>
    <t>Bsc+3</t>
  </si>
  <si>
    <t>Bsc+4</t>
  </si>
  <si>
    <t>Bsc+5</t>
  </si>
  <si>
    <t>Sensor</t>
  </si>
  <si>
    <t>Array</t>
  </si>
  <si>
    <t>Rad</t>
  </si>
  <si>
    <t>TL Cost -10%</t>
  </si>
  <si>
    <t>TL Cost - 20%</t>
  </si>
  <si>
    <t>TL Cost - 30%</t>
  </si>
  <si>
    <t>DM +1 to Attack</t>
  </si>
  <si>
    <t>AP +2 (Las, Msn &amp; P/A)</t>
  </si>
  <si>
    <t>Repair +1</t>
  </si>
  <si>
    <t>Dmg: 1's to 2's</t>
  </si>
  <si>
    <t>CS -1</t>
  </si>
  <si>
    <t>Attack +1</t>
  </si>
  <si>
    <t>Rng +1</t>
  </si>
  <si>
    <t>Dmg: 1s &amp; 2s to 3s</t>
  </si>
  <si>
    <t>Rad, AP**</t>
  </si>
  <si>
    <t>SSD Notes</t>
  </si>
  <si>
    <t>SSD Aerofins:</t>
  </si>
  <si>
    <t xml:space="preserve">* Check notes on Weapons,Screens and Cargo. Resilient Mods are cumulative with bulkheads. </t>
  </si>
  <si>
    <t>External cargo cannot be armored.</t>
  </si>
  <si>
    <t>Page Energy</t>
  </si>
  <si>
    <t>Basic/Hull</t>
  </si>
  <si>
    <t>The process has been broken up into several steps, and separated into tabs on the bottom.</t>
  </si>
  <si>
    <t>It is recommended that you copy the blank to another file, such as the name of the ship or class prior to entering any data, so that you can upgrade or save designs for later.</t>
  </si>
  <si>
    <t>The sheet is protected, so you can only access the fields that expect you to enter data.</t>
  </si>
  <si>
    <t>Greyed out areas will usually be related to uninstalled components or features not applicable to a ship by size or configuration.</t>
  </si>
  <si>
    <t>Most units are in tons. These are metric tons of displaced liquid hydrogen, which equates to approximately 2x 5ft (1.5m) squares on a game map.</t>
  </si>
  <si>
    <t>Some ship's systems can be modded. These are optional rules. Clear their use with your game master first.</t>
  </si>
  <si>
    <t>Do not include in any package for sale or claim as your own work. There are no codes in this sheet that access any files elsewhere on your computer. I am not responsible for any damages that result from the use of this file.</t>
  </si>
  <si>
    <t>Bandwidth Used</t>
  </si>
  <si>
    <t>This is a ship designer for a certain version of a certain D6 RPG game made popular in the 1970's using the current HG stats.</t>
  </si>
  <si>
    <t>Ammo (tons)</t>
  </si>
  <si>
    <t>Magazine</t>
  </si>
  <si>
    <t>Hull tonnage</t>
  </si>
  <si>
    <t xml:space="preserve">Red cells indicate an error. Yellow indicates a warning, such as power/computer not sufficient to use all systems/programs simultaneously. </t>
  </si>
  <si>
    <t>Low Berths</t>
  </si>
  <si>
    <t>Emergency Low Berths</t>
  </si>
  <si>
    <t>Conscious Intelligence 1</t>
  </si>
  <si>
    <t>Conscious Intelligence 2</t>
  </si>
  <si>
    <t>Conscious Intelligence 3</t>
  </si>
  <si>
    <t xml:space="preserve"> No Back Up Drive</t>
  </si>
  <si>
    <t>High Thrust</t>
  </si>
  <si>
    <t>pwr</t>
  </si>
  <si>
    <t>Armor Total:</t>
  </si>
  <si>
    <t>Max Armor</t>
  </si>
  <si>
    <t>Error</t>
  </si>
  <si>
    <t>value</t>
  </si>
  <si>
    <t>Test</t>
  </si>
  <si>
    <t>CfgArmr</t>
  </si>
  <si>
    <t>Thrust Errors</t>
  </si>
  <si>
    <t>TL Main</t>
  </si>
  <si>
    <t>TL Main Mod</t>
  </si>
  <si>
    <t>TL HBT</t>
  </si>
  <si>
    <t>TL HBT Mod</t>
  </si>
  <si>
    <t>TL BU M Drive</t>
  </si>
  <si>
    <t>TL BU M Drive Mod</t>
  </si>
  <si>
    <t>Jump Errors</t>
  </si>
  <si>
    <t>Hull&lt;100</t>
  </si>
  <si>
    <t>TL FTL</t>
  </si>
  <si>
    <t>TL FTL Mod</t>
  </si>
  <si>
    <t>Allow FTL on craft smaller than 100 Dtons?</t>
  </si>
  <si>
    <t>&lt;100</t>
  </si>
  <si>
    <t>FTL&gt;0</t>
  </si>
  <si>
    <t>And</t>
  </si>
  <si>
    <t>FTL No</t>
  </si>
  <si>
    <t>PWR Plant TL</t>
  </si>
  <si>
    <t>Btty TL</t>
  </si>
  <si>
    <t>Reaction Rating</t>
  </si>
  <si>
    <t>Auxilliary Control Room</t>
  </si>
  <si>
    <t xml:space="preserve"> N/A</t>
  </si>
  <si>
    <t>Errors</t>
  </si>
  <si>
    <t>CMD 1</t>
  </si>
  <si>
    <t>CMD 2</t>
  </si>
  <si>
    <t>CMD 3</t>
  </si>
  <si>
    <t>No Aux Con</t>
  </si>
  <si>
    <t>Cockpit 1</t>
  </si>
  <si>
    <t>B/U Big</t>
  </si>
  <si>
    <t>CFT not installed</t>
  </si>
  <si>
    <t>CFT &gt; Cargo</t>
  </si>
  <si>
    <t>DMT not installed</t>
  </si>
  <si>
    <t>DFT &gt; Cargo</t>
  </si>
  <si>
    <t>CFT+DFT&gt;Cargo</t>
  </si>
  <si>
    <t>PwrMult</t>
  </si>
  <si>
    <t>Type Error</t>
  </si>
  <si>
    <t>Modular Hull Error</t>
  </si>
  <si>
    <t>TL Error</t>
  </si>
  <si>
    <t>Backup M</t>
  </si>
  <si>
    <t>Backup Jump</t>
  </si>
  <si>
    <t>Adjusted Displacement</t>
  </si>
  <si>
    <t>ADJ Main Drive Thrust</t>
  </si>
  <si>
    <t>ADJ FTL Rating</t>
  </si>
  <si>
    <t>ADJ High Burn Thruster</t>
  </si>
  <si>
    <t>ADJ B/U FTL</t>
  </si>
  <si>
    <t>Check Performance at Varied Hull Displacement</t>
  </si>
  <si>
    <t>Effective # Mods</t>
  </si>
  <si>
    <t>Docking Clamp Type I</t>
  </si>
  <si>
    <t>Docking Clamp Type II</t>
  </si>
  <si>
    <t>Docking Clamp Type III</t>
  </si>
  <si>
    <t>Docking Clamp Type IV</t>
  </si>
  <si>
    <t>Docking Clamp Type V</t>
  </si>
  <si>
    <t xml:space="preserve"> No Drive</t>
  </si>
  <si>
    <t>Ta Early Prototype - Orbital Range</t>
  </si>
  <si>
    <t>A Standard (None)</t>
  </si>
  <si>
    <t>B3 Budget Limited Range</t>
  </si>
  <si>
    <t>C1 Advanced Cost Reduction</t>
  </si>
  <si>
    <t>C2 Very Advanced Cost Reduction</t>
  </si>
  <si>
    <t>C3 High Tech Cost Reduction</t>
  </si>
  <si>
    <t xml:space="preserve">D3 Advanced - Easy to Repair </t>
  </si>
  <si>
    <t>Thrust Mods</t>
  </si>
  <si>
    <t>Mod Pt</t>
  </si>
  <si>
    <t>Pc Prototype - Limited Range</t>
  </si>
  <si>
    <t>M-Drive</t>
  </si>
  <si>
    <t>M-Drive Mods:</t>
  </si>
  <si>
    <t>Reaction Mods Mods:</t>
  </si>
  <si>
    <t>Mod Price modifier</t>
  </si>
  <si>
    <t>D1 Advanced - Energy Efficient</t>
  </si>
  <si>
    <t>D1 Advanced - Fuel Efficient</t>
  </si>
  <si>
    <t xml:space="preserve">Tons </t>
  </si>
  <si>
    <t>D4 Very Advanced- Stealth</t>
  </si>
  <si>
    <t>X1</t>
  </si>
  <si>
    <t>X2</t>
  </si>
  <si>
    <t>X3</t>
  </si>
  <si>
    <t>X4</t>
  </si>
  <si>
    <t># Mods</t>
  </si>
  <si>
    <t>Pc Prototype - Late Jump</t>
  </si>
  <si>
    <t>Ta Early Prototype Late Jump x2</t>
  </si>
  <si>
    <t>Multipliers</t>
  </si>
  <si>
    <t>DTons</t>
  </si>
  <si>
    <t>User Defined Mod</t>
  </si>
  <si>
    <t xml:space="preserve"> No FTL</t>
  </si>
  <si>
    <t>Mods Cr</t>
  </si>
  <si>
    <t>Main Drive(s)</t>
  </si>
  <si>
    <t>Secondary Drive(s)</t>
  </si>
  <si>
    <t>D1 Advanced Decreased Jump Fuel</t>
  </si>
  <si>
    <t>D2 Advanced - Early Jump</t>
  </si>
  <si>
    <t>D3 Advanced - Energy Efficient</t>
  </si>
  <si>
    <t xml:space="preserve">D5 Advanced - Easy to Repair </t>
  </si>
  <si>
    <t>E1 Very Advanced - Stealth Jump</t>
  </si>
  <si>
    <t>Backup</t>
  </si>
  <si>
    <t>mods</t>
  </si>
  <si>
    <t>Total Mods Error</t>
  </si>
  <si>
    <t>Mn M</t>
  </si>
  <si>
    <t>Mn R</t>
  </si>
  <si>
    <t>Mn F</t>
  </si>
  <si>
    <t>Sec R</t>
  </si>
  <si>
    <t>Sec M</t>
  </si>
  <si>
    <t>Sec F</t>
  </si>
  <si>
    <t>Optional Rules</t>
  </si>
  <si>
    <t>Reduce TL on Non-Jump FTL?</t>
  </si>
  <si>
    <t>TL Toggle</t>
  </si>
  <si>
    <t>MnFTL</t>
  </si>
  <si>
    <t>BU FTL</t>
  </si>
  <si>
    <t>Mn Reac</t>
  </si>
  <si>
    <t>HBT Fuel</t>
  </si>
  <si>
    <t>TL high</t>
  </si>
  <si>
    <t>Adjusted</t>
  </si>
  <si>
    <t>Man Mdrv</t>
  </si>
  <si>
    <t>BU</t>
  </si>
  <si>
    <t>ADL B/U M-Drive</t>
  </si>
  <si>
    <t>ADJ Reaction Rating</t>
  </si>
  <si>
    <t>B2 Budget - Inefficient</t>
  </si>
  <si>
    <t>PWR Mod &gt;3</t>
  </si>
  <si>
    <t>Base Fuel Calculations on:</t>
  </si>
  <si>
    <t>Mains</t>
  </si>
  <si>
    <t>Backups</t>
  </si>
  <si>
    <t xml:space="preserve">Note: </t>
  </si>
  <si>
    <t>The toggle for which set to base fuel calculations on allows you to base fuel storage on</t>
  </si>
  <si>
    <t>either the most efficient or least efficient system, based on your mods.</t>
  </si>
  <si>
    <t>Fuel Tab Mod</t>
  </si>
  <si>
    <t>Main</t>
  </si>
  <si>
    <t>TL Errors</t>
  </si>
  <si>
    <t>Class Errors</t>
  </si>
  <si>
    <t>Ext Array</t>
  </si>
  <si>
    <t>Dist Array</t>
  </si>
  <si>
    <t>Mineral</t>
  </si>
  <si>
    <t>RDE Array</t>
  </si>
  <si>
    <t>Optional Rule</t>
  </si>
  <si>
    <t>Allow both Main and B/U to run programs at the same time?</t>
  </si>
  <si>
    <t>Other</t>
  </si>
  <si>
    <t>Small FTL</t>
  </si>
  <si>
    <t>FTL TL</t>
  </si>
  <si>
    <t>Optional Rule in Use</t>
  </si>
  <si>
    <t xml:space="preserve"> Accomodated</t>
  </si>
  <si>
    <t>Small Small Bridge</t>
  </si>
  <si>
    <t>md</t>
  </si>
  <si>
    <t>rating</t>
  </si>
  <si>
    <t>Basic</t>
  </si>
  <si>
    <t>Main M</t>
  </si>
  <si>
    <t>Main FTL</t>
  </si>
  <si>
    <t>BU/ M</t>
  </si>
  <si>
    <t>B/U FTL</t>
  </si>
  <si>
    <t>Weap</t>
  </si>
  <si>
    <t>Screen</t>
  </si>
  <si>
    <t>Stateroom</t>
  </si>
  <si>
    <t>Hull+</t>
  </si>
  <si>
    <t>On a Severity 6+, the Emergency Power System is also destroyed.</t>
  </si>
  <si>
    <r>
      <rPr>
        <b/>
        <sz val="11"/>
        <color theme="1"/>
        <rFont val="Calibri"/>
        <family val="2"/>
        <scheme val="minor"/>
      </rPr>
      <t xml:space="preserve">Note: </t>
    </r>
    <r>
      <rPr>
        <sz val="11"/>
        <color theme="1"/>
        <rFont val="Calibri"/>
        <family val="2"/>
        <scheme val="minor"/>
      </rPr>
      <t xml:space="preserve">An Emergency Power System provides 90% power for five turns if the Power Plant suffers a Severity 3+ critical hit. </t>
    </r>
  </si>
  <si>
    <r>
      <rPr>
        <b/>
        <sz val="11"/>
        <color theme="1"/>
        <rFont val="Calibri"/>
        <family val="2"/>
        <scheme val="minor"/>
      </rPr>
      <t xml:space="preserve">Note: </t>
    </r>
    <r>
      <rPr>
        <sz val="11"/>
        <color theme="1"/>
        <rFont val="Calibri"/>
        <family val="2"/>
        <scheme val="minor"/>
      </rPr>
      <t>Armored Bulkheads reduce the severity of a critical hit by 1 (minimum Severity 1)</t>
    </r>
  </si>
  <si>
    <r>
      <rPr>
        <b/>
        <sz val="11"/>
        <color theme="1"/>
        <rFont val="Calibri"/>
        <family val="2"/>
        <scheme val="minor"/>
      </rPr>
      <t xml:space="preserve">Note: </t>
    </r>
    <r>
      <rPr>
        <sz val="11"/>
        <color theme="1"/>
        <rFont val="Calibri"/>
        <family val="2"/>
        <scheme val="minor"/>
      </rPr>
      <t>Jump Collectors are accumulators that power the jump drive over a week's time for a stationary ship in space</t>
    </r>
  </si>
  <si>
    <t>Max Load</t>
  </si>
  <si>
    <t>Btl Load</t>
  </si>
  <si>
    <t>Power Distribution</t>
  </si>
  <si>
    <t>Battle Load</t>
  </si>
  <si>
    <t>(CS-1)</t>
  </si>
  <si>
    <t>(CS-2)</t>
  </si>
  <si>
    <t>(CS-3)</t>
  </si>
  <si>
    <r>
      <rPr>
        <b/>
        <sz val="11"/>
        <color theme="1"/>
        <rFont val="Calibri"/>
        <family val="2"/>
        <scheme val="minor"/>
      </rPr>
      <t xml:space="preserve">Note: </t>
    </r>
    <r>
      <rPr>
        <sz val="11"/>
        <color theme="1"/>
        <rFont val="Calibri"/>
        <family val="2"/>
        <scheme val="minor"/>
      </rPr>
      <t>The Battle Load section of the Power Distribution Table provides a conservative estimate of power needs in combat.</t>
    </r>
  </si>
  <si>
    <t>The Plus 10, 20 and 70 fields show the initial power output needed to maintain power to basic and combat systems after the ship suffers the indicated critical hit.</t>
  </si>
  <si>
    <r>
      <rPr>
        <b/>
        <sz val="11"/>
        <color theme="1"/>
        <rFont val="Calibri"/>
        <family val="2"/>
        <scheme val="minor"/>
      </rPr>
      <t>Metal hydride storage:</t>
    </r>
    <r>
      <rPr>
        <sz val="11"/>
        <color theme="1"/>
        <rFont val="Calibri"/>
        <family val="2"/>
        <scheme val="minor"/>
      </rPr>
      <t xml:space="preserve"> If the ship sustains a fuel leak, fuel loss will be </t>
    </r>
  </si>
  <si>
    <t>reduced to 25% of the amount indicated, to a minimum of 1 ton.</t>
  </si>
  <si>
    <t>Mixed: Use fields below</t>
  </si>
  <si>
    <t>Budget - Inefficient</t>
  </si>
  <si>
    <t>Efficient</t>
  </si>
  <si>
    <t>Easy to repair</t>
  </si>
  <si>
    <t>Inefficient Prototype</t>
  </si>
  <si>
    <t>Inefficient Early Prototype</t>
  </si>
  <si>
    <t>Pwr Mod for record sheet</t>
  </si>
  <si>
    <t>Budget-Limited Range</t>
  </si>
  <si>
    <t>Cost Reduction 1</t>
  </si>
  <si>
    <t>Cost Reduction 2</t>
  </si>
  <si>
    <t>Cost Reduction 3</t>
  </si>
  <si>
    <t>Easy to Repair</t>
  </si>
  <si>
    <t>Budget-Inefficient</t>
  </si>
  <si>
    <t>Orbital Early Prototype</t>
  </si>
  <si>
    <t>Ltd Rng Prototype</t>
  </si>
  <si>
    <t>Inefficient, Ltd Rng Early Prototype</t>
  </si>
  <si>
    <t>Main M-Drive Mod for record sheet</t>
  </si>
  <si>
    <t>B/U M-Drive Mod for record sheet</t>
  </si>
  <si>
    <t>Main R-Drive Mod for record sheet</t>
  </si>
  <si>
    <t>B/U R-Drive Mod for record sheet</t>
  </si>
  <si>
    <t>Decreased Jump Fuel</t>
  </si>
  <si>
    <t>Early Jump</t>
  </si>
  <si>
    <t>Late Jump Prototype</t>
  </si>
  <si>
    <t>Very Late Jump Prototype</t>
  </si>
  <si>
    <t>Main FTL-Drive Mod for record sheet</t>
  </si>
  <si>
    <t>B/U FTL-Drive Mod for record sheet</t>
  </si>
  <si>
    <t>Mdrive</t>
  </si>
  <si>
    <t>EMP</t>
  </si>
  <si>
    <t>R Drive</t>
  </si>
  <si>
    <t>Auxilliary Sensor Array</t>
  </si>
  <si>
    <t>Aux&gt;Mn</t>
  </si>
  <si>
    <t>2xBasic</t>
  </si>
  <si>
    <t>Mixed Tank Input&gt; Fuel</t>
  </si>
  <si>
    <t>Unless otherwise noted in rules, additional systems are backups and their benefits are not cumulative.</t>
  </si>
  <si>
    <t>Tab</t>
  </si>
  <si>
    <t>Drives</t>
  </si>
  <si>
    <t>Overview</t>
  </si>
  <si>
    <t>Included Airlock(s)</t>
  </si>
  <si>
    <t>Airlock1</t>
  </si>
  <si>
    <t>Airlock2</t>
  </si>
  <si>
    <t>Calculate Drives on:</t>
  </si>
  <si>
    <t>Actual Dtons</t>
  </si>
  <si>
    <t>Adjusted Dtons</t>
  </si>
  <si>
    <t>Dtons</t>
  </si>
  <si>
    <t>Low Capacity Warning</t>
  </si>
  <si>
    <t>Chemical plant?</t>
  </si>
  <si>
    <t>No Jump Rating</t>
  </si>
  <si>
    <t>Accumulator TL</t>
  </si>
  <si>
    <t>P Prototype - Inaccurate</t>
  </si>
  <si>
    <t>P Prototype - Power Hog</t>
  </si>
  <si>
    <t>R Early Prototype-Inaccurate x2</t>
  </si>
  <si>
    <t>Size + 140%</t>
  </si>
  <si>
    <t>Size + 120%, PWR + 30%</t>
  </si>
  <si>
    <t>Size + 120%, Attack Rolls -1</t>
  </si>
  <si>
    <t>Size x2, Attack Rolls -2</t>
  </si>
  <si>
    <t>Size x2,PWR+30%,Attack-1</t>
  </si>
  <si>
    <t xml:space="preserve">Size x2, PWR +60% </t>
  </si>
  <si>
    <t>Prototype - Inaccurate</t>
  </si>
  <si>
    <t>Prototype - Power Hog</t>
  </si>
  <si>
    <t>Early Prototype-Inaccurate x2</t>
  </si>
  <si>
    <t>Attack -1</t>
  </si>
  <si>
    <t>Attack -2</t>
  </si>
  <si>
    <t>Displacement</t>
  </si>
  <si>
    <t>Small Craft Firmpoints</t>
  </si>
  <si>
    <t>FmPt1</t>
  </si>
  <si>
    <t>FmPt2</t>
  </si>
  <si>
    <t>FmPt3</t>
  </si>
  <si>
    <t>Hardpoints</t>
  </si>
  <si>
    <t>A Fixed Mount</t>
  </si>
  <si>
    <t>Fixed Mount</t>
  </si>
  <si>
    <t>Fixed Mount Pop-Up</t>
  </si>
  <si>
    <t>B Fixed Mount Pop-Up</t>
  </si>
  <si>
    <t>Small Craft Firmpoint Validation</t>
  </si>
  <si>
    <t>HP Data Validation</t>
  </si>
  <si>
    <t>hardpoints2</t>
  </si>
  <si>
    <t>Text</t>
  </si>
  <si>
    <t>HP</t>
  </si>
  <si>
    <t>ID</t>
  </si>
  <si>
    <t>QTY</t>
  </si>
  <si>
    <t>Weap1</t>
  </si>
  <si>
    <t>Weap2</t>
  </si>
  <si>
    <t>Weap3</t>
  </si>
  <si>
    <t>Weap4</t>
  </si>
  <si>
    <t>Mod1</t>
  </si>
  <si>
    <t>Mod2</t>
  </si>
  <si>
    <t>Mod3</t>
  </si>
  <si>
    <t>Standard Design?</t>
  </si>
  <si>
    <t>Hard Pt Validation 1</t>
  </si>
  <si>
    <t>Hard Pt Validation 2</t>
  </si>
  <si>
    <t>Hard Pt Validation 3</t>
  </si>
  <si>
    <t>Hard Pt Validation 4</t>
  </si>
  <si>
    <t>Mod 1</t>
  </si>
  <si>
    <t>Mod 2</t>
  </si>
  <si>
    <t>Mod 3</t>
  </si>
  <si>
    <t>Armored?</t>
  </si>
  <si>
    <t>Hardened?</t>
  </si>
  <si>
    <t>Mixed Weapons in Hp01?</t>
  </si>
  <si>
    <t>Mixed Weapons in Hp02?</t>
  </si>
  <si>
    <t>Mixed Weapons in Hp03?</t>
  </si>
  <si>
    <t>a Fixed Firmpoint</t>
  </si>
  <si>
    <t>b Firmpoint Pop-Up</t>
  </si>
  <si>
    <t>c Single Turret sm</t>
  </si>
  <si>
    <t>ERR ID</t>
  </si>
  <si>
    <t>ERR Type</t>
  </si>
  <si>
    <t>Column1</t>
  </si>
  <si>
    <t>Column2</t>
  </si>
  <si>
    <t xml:space="preserve">Weapon </t>
  </si>
  <si>
    <t>#</t>
  </si>
  <si>
    <t>B Budget - Inaccurate</t>
  </si>
  <si>
    <t>D Adv - Energy Efficient</t>
  </si>
  <si>
    <t>E VAdv - Accurate</t>
  </si>
  <si>
    <t>E VAdv - Intense Focus</t>
  </si>
  <si>
    <t>E VAdv - Long Range</t>
  </si>
  <si>
    <t>E VAdv - Very High Yield</t>
  </si>
  <si>
    <t>Small Range</t>
  </si>
  <si>
    <t>100+</t>
  </si>
  <si>
    <t/>
  </si>
  <si>
    <t>A Fixed Mount x1</t>
  </si>
  <si>
    <t>B Fixed Mount x1  Pop-Up</t>
  </si>
  <si>
    <t>A Fixed Mount x2</t>
  </si>
  <si>
    <t>B Fixed Mount x2 Pop-Up</t>
  </si>
  <si>
    <t>A Fixed Mount x3</t>
  </si>
  <si>
    <t>B Fixed Mount x3 Pop-Up</t>
  </si>
  <si>
    <t>Fixed Mount Slots</t>
  </si>
  <si>
    <t>Data Validation List</t>
  </si>
  <si>
    <t>Mod Name</t>
  </si>
  <si>
    <t>Weap TL</t>
  </si>
  <si>
    <t>Mod TL</t>
  </si>
  <si>
    <t>Column3</t>
  </si>
  <si>
    <t>Column4</t>
  </si>
  <si>
    <t>Notes5</t>
  </si>
  <si>
    <t>Column6</t>
  </si>
  <si>
    <t>Column7</t>
  </si>
  <si>
    <t>Mod Limits Exceeded</t>
  </si>
  <si>
    <t>Mod# Error</t>
  </si>
  <si>
    <t>Available</t>
  </si>
  <si>
    <t>Used</t>
  </si>
  <si>
    <t>HdPts</t>
  </si>
  <si>
    <t>XS HdPts</t>
  </si>
  <si>
    <t xml:space="preserve">Hardpoints </t>
  </si>
  <si>
    <t>Cost (Cr)</t>
  </si>
  <si>
    <t>Example:</t>
  </si>
  <si>
    <t xml:space="preserve">X </t>
  </si>
  <si>
    <t>Dmg</t>
  </si>
  <si>
    <t xml:space="preserve">X1 </t>
  </si>
  <si>
    <t>User Defined Weapon</t>
  </si>
  <si>
    <t>Short</t>
  </si>
  <si>
    <t>Very Long</t>
  </si>
  <si>
    <t xml:space="preserve">X2 </t>
  </si>
  <si>
    <r>
      <rPr>
        <b/>
        <sz val="11"/>
        <color theme="0" tint="-0.499984740745262"/>
        <rFont val="Calibri"/>
        <family val="2"/>
        <scheme val="minor"/>
      </rPr>
      <t xml:space="preserve">Ex: </t>
    </r>
    <r>
      <rPr>
        <sz val="11"/>
        <color theme="0" tint="-0.499984740745262"/>
        <rFont val="Calibri"/>
        <family val="2"/>
        <scheme val="minor"/>
      </rPr>
      <t>Ion Cannon Barbette</t>
    </r>
  </si>
  <si>
    <t>1 Turret</t>
  </si>
  <si>
    <t>2 Barbette</t>
  </si>
  <si>
    <t>3 Point Defense</t>
  </si>
  <si>
    <t>4 Small Bay</t>
  </si>
  <si>
    <t>5 Medium Bay</t>
  </si>
  <si>
    <t>6 Large Bay</t>
  </si>
  <si>
    <t>X1:</t>
  </si>
  <si>
    <t>X2:</t>
  </si>
  <si>
    <t>X3:</t>
  </si>
  <si>
    <t>Cost - mixed Weapons</t>
  </si>
  <si>
    <t>Cost Firmpoint</t>
  </si>
  <si>
    <t>Cost Hardpoint</t>
  </si>
  <si>
    <t>Cost - same weapon</t>
  </si>
  <si>
    <t>FP01</t>
  </si>
  <si>
    <t>FP02</t>
  </si>
  <si>
    <t>FP03</t>
  </si>
  <si>
    <t>Use This Area to List Weapons Installed in Mixed Turrets/Fixed Mounts</t>
  </si>
  <si>
    <t>First Three Hardpoint Lines Below Are Reserved for Turret/Fixed Mount Weapons, Mixed Turrets and Small Craft Weapons.</t>
  </si>
  <si>
    <t>Distant*</t>
  </si>
  <si>
    <t>Distnt Optnl</t>
  </si>
  <si>
    <t>Hardpoint/Craft Mismatch</t>
  </si>
  <si>
    <t>RNG</t>
  </si>
  <si>
    <t>D Adv - High Yield</t>
  </si>
  <si>
    <t>D Adv - Resilient</t>
  </si>
  <si>
    <t>Adv - Easy Repair</t>
  </si>
  <si>
    <t>Adv - High Yield</t>
  </si>
  <si>
    <t>Adv - Resilient</t>
  </si>
  <si>
    <t>#Mods</t>
  </si>
  <si>
    <t>Size - 10%</t>
  </si>
  <si>
    <t>Size - 15%</t>
  </si>
  <si>
    <t>E Adv - Easy Repair</t>
  </si>
  <si>
    <t>E Adv - Energy Efficient</t>
  </si>
  <si>
    <t>E Adv - High Yield</t>
  </si>
  <si>
    <t>E Adv - Resilient</t>
  </si>
  <si>
    <t>F VAdv - Accurate</t>
  </si>
  <si>
    <t>F VAdv - Intense Focus</t>
  </si>
  <si>
    <t>F VAdv - Long Range</t>
  </si>
  <si>
    <t>F VAdv - Very High Yield</t>
  </si>
  <si>
    <t>Mod 1 List</t>
  </si>
  <si>
    <t>Mod 2,3</t>
  </si>
  <si>
    <t>SM Tons</t>
  </si>
  <si>
    <t>SM TL</t>
  </si>
  <si>
    <t xml:space="preserve"> MOD TL</t>
  </si>
  <si>
    <t xml:space="preserve">SM Cost </t>
  </si>
  <si>
    <t>DMG</t>
  </si>
  <si>
    <t>#weaps</t>
  </si>
  <si>
    <t>x #weaps</t>
  </si>
  <si>
    <t>6D x 10</t>
  </si>
  <si>
    <t>9D</t>
  </si>
  <si>
    <t>7D</t>
  </si>
  <si>
    <t>3D</t>
  </si>
  <si>
    <t>6D</t>
  </si>
  <si>
    <t xml:space="preserve"> +2D/PDB</t>
  </si>
  <si>
    <t>Small Weapons</t>
  </si>
  <si>
    <t>Z28</t>
  </si>
  <si>
    <t>Record Sheet</t>
  </si>
  <si>
    <t>Mount</t>
  </si>
  <si>
    <t>Size+20%</t>
  </si>
  <si>
    <t>Damage: 1's to 2's</t>
  </si>
  <si>
    <t>Damage: 1's &amp; 2's to 3's</t>
  </si>
  <si>
    <t>Size +140%</t>
  </si>
  <si>
    <t>Size +120%, PWR +30%</t>
  </si>
  <si>
    <t>Size +120%, Attack -1</t>
  </si>
  <si>
    <t>Size x2, Attack -2</t>
  </si>
  <si>
    <t>Record</t>
  </si>
  <si>
    <t xml:space="preserve">Enjoy and if you have questions contact me on the Mongoose Publishing Forum,  </t>
  </si>
  <si>
    <t>FmPt</t>
  </si>
  <si>
    <t>HdPt</t>
  </si>
  <si>
    <t>Use</t>
  </si>
  <si>
    <t>Custom</t>
  </si>
  <si>
    <t>Select Crew Calculation to use:</t>
  </si>
  <si>
    <t>Active</t>
  </si>
  <si>
    <t>SM&gt;MaxSize</t>
  </si>
  <si>
    <t>Start with Ship Info. (Green Tab)</t>
  </si>
  <si>
    <t>There are two sets of counters on the right that allow you to count partial boxes. The boxes and counters will be greyed out until applicable.</t>
  </si>
  <si>
    <t>The SSD has room for 3000 damage boxes. These will scale by a factor of 10 or 100 with the hull points. Hatched boxes indicate the 10% critical threshhold.</t>
  </si>
  <si>
    <t>Bridge stations</t>
  </si>
  <si>
    <t>Small Craft Crew Calc:</t>
  </si>
  <si>
    <t>2xBasic2</t>
  </si>
  <si>
    <t>2xBasic3</t>
  </si>
  <si>
    <t>Y Sm Weapon Turret</t>
  </si>
  <si>
    <t>e Barbette Firmpoint</t>
  </si>
  <si>
    <t>Fixed Small Weapon Mounts</t>
  </si>
  <si>
    <t>Wrong HP</t>
  </si>
  <si>
    <t>Wrong Hardpoint</t>
  </si>
  <si>
    <t>Hardpoint index</t>
  </si>
  <si>
    <t>Weapon Index</t>
  </si>
  <si>
    <t>Firmpoint Index</t>
  </si>
  <si>
    <t>small craft or ship</t>
  </si>
  <si>
    <t>d Single Pop-up Turret sm</t>
  </si>
  <si>
    <t>Single Pop-up Turret sm</t>
  </si>
  <si>
    <t>Armor Stations?</t>
  </si>
  <si>
    <t>Maximum Size Exceeded</t>
  </si>
  <si>
    <t>Include B/U M-Drive in Battle Load?</t>
  </si>
  <si>
    <t>DM -1 to Screen</t>
  </si>
  <si>
    <t>C Advanced - High Strength</t>
  </si>
  <si>
    <t>1's count as 2's</t>
  </si>
  <si>
    <t>D Very Adv - Accurate</t>
  </si>
  <si>
    <t>DM +1 to Screen</t>
  </si>
  <si>
    <t>1-2's count as 3's</t>
  </si>
  <si>
    <t>D Very Adv - Very High Strength</t>
  </si>
  <si>
    <t>DM-2 to Screen</t>
  </si>
  <si>
    <t>Power +60%</t>
  </si>
  <si>
    <t>Size+20%/PWR+30%</t>
  </si>
  <si>
    <t>Size+20%/DM -1</t>
  </si>
  <si>
    <t>PWR+30%/DM -1</t>
  </si>
  <si>
    <t>Name</t>
  </si>
  <si>
    <t>Group 1</t>
  </si>
  <si>
    <t>Group 2</t>
  </si>
  <si>
    <t>Group 3</t>
  </si>
  <si>
    <t>Group 4</t>
  </si>
  <si>
    <t>Group1</t>
  </si>
  <si>
    <t>Group2</t>
  </si>
  <si>
    <t>Group3</t>
  </si>
  <si>
    <t>Group4</t>
  </si>
  <si>
    <t>ModCost</t>
  </si>
  <si>
    <t>Grav</t>
  </si>
  <si>
    <t>Energy Efficient</t>
  </si>
  <si>
    <t>High Strength</t>
  </si>
  <si>
    <t>Resilient</t>
  </si>
  <si>
    <t>C Advanced - Resilient</t>
  </si>
  <si>
    <t>Accurate</t>
  </si>
  <si>
    <t>Very High Strength</t>
  </si>
  <si>
    <t>DM -1</t>
  </si>
  <si>
    <t>DM +1</t>
  </si>
  <si>
    <t>DM-2</t>
  </si>
  <si>
    <t>1-2's to 3</t>
  </si>
  <si>
    <t>1s to 2</t>
  </si>
  <si>
    <t>DM-1</t>
  </si>
  <si>
    <t>Arkathan -October, 2021</t>
  </si>
  <si>
    <t>Military Hull:</t>
  </si>
  <si>
    <t>Military Hull Error</t>
  </si>
  <si>
    <t>solar</t>
  </si>
  <si>
    <t>Advanced Stealth</t>
  </si>
  <si>
    <t>Enhanced Stealth</t>
  </si>
  <si>
    <t>Improved Stealth</t>
  </si>
  <si>
    <t>Basic Stealth</t>
  </si>
  <si>
    <t>Enhanced Solar Coating</t>
  </si>
  <si>
    <t>Advanced Solar Coating</t>
  </si>
  <si>
    <t>Produces power</t>
  </si>
  <si>
    <t>(0 - 40 %)</t>
  </si>
  <si>
    <t>% of Hull:</t>
  </si>
  <si>
    <t>Adjustable Hull TL 12</t>
  </si>
  <si>
    <t>Adjustable Hull TL 15</t>
  </si>
  <si>
    <t>Pressure Hull</t>
  </si>
  <si>
    <t>Extreme Deeps ops, +4 armor</t>
  </si>
  <si>
    <t>Mimics other hull shapes</t>
  </si>
  <si>
    <t>Stealth count</t>
  </si>
  <si>
    <t>option count</t>
  </si>
  <si>
    <t>Solar Coat Count</t>
  </si>
  <si>
    <t>&lt; Check hull config for solar</t>
  </si>
  <si>
    <t xml:space="preserve">and enter that into Power Plant. </t>
  </si>
  <si>
    <t>in the Narrative Description (Ship Info Tab)</t>
  </si>
  <si>
    <t>&gt;&gt;Denote stats of separate and combined ships</t>
  </si>
  <si>
    <t>&gt;&gt;Split tonnage as appropriate on plans.</t>
  </si>
  <si>
    <t>&gt;&gt;Calculate total power needed for both ships</t>
  </si>
  <si>
    <t>&gt;&gt;Use B/U Drives for secondary hull</t>
  </si>
  <si>
    <t>Outer Hull in Dtons:</t>
  </si>
  <si>
    <t>(Minimum 60 Dtons)</t>
  </si>
  <si>
    <t>Minimal implementation. Cost and space accounted for.</t>
  </si>
  <si>
    <t>Hamster Cage</t>
  </si>
  <si>
    <t>Total Volume of Rings in Dtons:</t>
  </si>
  <si>
    <t>Ring width in meters (1.5m=1sq)</t>
  </si>
  <si>
    <t>Ring tonnage:</t>
  </si>
  <si>
    <t>Diameter in meters (min 30m/20sq)</t>
  </si>
  <si>
    <t>Meters</t>
  </si>
  <si>
    <t>Squares</t>
  </si>
  <si>
    <t>Ring Tonnage calculator</t>
  </si>
  <si>
    <t>&gt;&gt;Multi level rings can be calculated by adding 6m to the previous level's diameter and adding the total to the previous level(s)</t>
  </si>
  <si>
    <t>Inner (ceiling) circumference</t>
  </si>
  <si>
    <t>Solar Coating</t>
  </si>
  <si>
    <t>Adjustable Hull</t>
  </si>
  <si>
    <t>AP 4</t>
  </si>
  <si>
    <t>Railgun (B)</t>
  </si>
  <si>
    <t>Orbital Strike MD (S)</t>
  </si>
  <si>
    <t>Orbital Strike Ms (S)</t>
  </si>
  <si>
    <t>Orbital Strike</t>
  </si>
  <si>
    <t>7D x 10*</t>
  </si>
  <si>
    <t>3D x 10*</t>
  </si>
  <si>
    <t>2D x 3*</t>
  </si>
  <si>
    <t>3D x 3*</t>
  </si>
  <si>
    <t>5D x 20*</t>
  </si>
  <si>
    <t>6D x 10*</t>
  </si>
  <si>
    <t>8D x 20</t>
  </si>
  <si>
    <t>5D x 3*</t>
  </si>
  <si>
    <t>6D x10*</t>
  </si>
  <si>
    <t>7D x 20*</t>
  </si>
  <si>
    <t>10D x 100*</t>
  </si>
  <si>
    <t>Mass Driver Bay (S)</t>
  </si>
  <si>
    <t>Ion Cannon Bay (L)</t>
  </si>
  <si>
    <t>10D x 100</t>
  </si>
  <si>
    <t>4D x 3*</t>
  </si>
  <si>
    <t>AP 2</t>
  </si>
  <si>
    <t>AP 3, Radiation</t>
  </si>
  <si>
    <t>AP 5</t>
  </si>
  <si>
    <t>6D x 100*</t>
  </si>
  <si>
    <t>Orbital Bombardment</t>
  </si>
  <si>
    <t>4D x 20*</t>
  </si>
  <si>
    <t>5D x 10*</t>
  </si>
  <si>
    <t>6D x 20*</t>
  </si>
  <si>
    <t>8D x 20*</t>
  </si>
  <si>
    <t>Orbital Strike MD (M)</t>
  </si>
  <si>
    <t>Orbital Strike Ms (M)</t>
  </si>
  <si>
    <t>10D x 20*</t>
  </si>
  <si>
    <t>Orbital Strike MD (L)</t>
  </si>
  <si>
    <t>12D x 100*</t>
  </si>
  <si>
    <t>Orbital Strike Ms (L)</t>
  </si>
  <si>
    <t>8D x 100*</t>
  </si>
  <si>
    <t>7D x 100*</t>
  </si>
  <si>
    <t>4D x 10*</t>
  </si>
  <si>
    <t>SENSOP</t>
  </si>
  <si>
    <t>Electronics (Sensors)</t>
  </si>
  <si>
    <t>Beam Laser Barbette</t>
  </si>
  <si>
    <t>Pulse Laser Barbette</t>
  </si>
  <si>
    <t>Particle Beam Bay (L)</t>
  </si>
  <si>
    <t>Missile Bay (L)</t>
  </si>
  <si>
    <t>Sensop on-off</t>
  </si>
  <si>
    <t>FtrArmr</t>
  </si>
  <si>
    <t>Jump Filter</t>
  </si>
  <si>
    <t>Battle Network</t>
  </si>
  <si>
    <t>Battle Network/1</t>
  </si>
  <si>
    <t>Battle Network/2</t>
  </si>
  <si>
    <t>Enables Sensor Handoff to all ships within medium range</t>
  </si>
  <si>
    <t>Enables Sensor Handoff to all ships within long range</t>
  </si>
  <si>
    <t>7D x 3</t>
  </si>
  <si>
    <t>T+S:+S:BBBBL Max</t>
  </si>
  <si>
    <t>E Concealed Drive</t>
  </si>
  <si>
    <t>Concealed Drive</t>
  </si>
  <si>
    <t>Common Area Options</t>
  </si>
  <si>
    <t>Entertainment System</t>
  </si>
  <si>
    <t>Low Quality</t>
  </si>
  <si>
    <t>Adequate</t>
  </si>
  <si>
    <t>Luxury</t>
  </si>
  <si>
    <t>Advanced Entertainment System</t>
  </si>
  <si>
    <t>Cheap</t>
  </si>
  <si>
    <t>Average Quality</t>
  </si>
  <si>
    <t>High Quality</t>
  </si>
  <si>
    <t>Microbrewery/Distillery</t>
  </si>
  <si>
    <t>Gourmet Kitchen</t>
  </si>
  <si>
    <t>Hot Tub</t>
  </si>
  <si>
    <t>11+</t>
  </si>
  <si>
    <t>Swimming Pool</t>
  </si>
  <si>
    <t>Endless Pool</t>
  </si>
  <si>
    <t>dtons</t>
  </si>
  <si>
    <t>Basic Theater</t>
  </si>
  <si>
    <t>Advanced Theater</t>
  </si>
  <si>
    <t>Wet Bar</t>
  </si>
  <si>
    <t>Zero-G Room</t>
  </si>
  <si>
    <t>*SOC is House Rule to equate expense to clientele, feel free to ignore.</t>
  </si>
  <si>
    <t>&gt;&gt;&gt; Scroll down for Common Area Options &lt;&lt;&lt;</t>
  </si>
  <si>
    <t>calculated using doubled that thrust + 25%</t>
  </si>
  <si>
    <t>The rating for the Concealed Drive Mod is the actual thrust delivered. The tonnage and cost are</t>
  </si>
  <si>
    <t xml:space="preserve"> +4D/PDB</t>
  </si>
  <si>
    <t xml:space="preserve"> +6D/PDB</t>
  </si>
  <si>
    <t>3xFirmpoint Barbette</t>
  </si>
  <si>
    <t>Double Hull Installed</t>
  </si>
  <si>
    <t>No Double Hull</t>
  </si>
  <si>
    <t>Calculate Sensop?</t>
  </si>
  <si>
    <t>Pwr-10%</t>
  </si>
  <si>
    <t>Pwr-50%</t>
  </si>
  <si>
    <t>Pwr=0</t>
  </si>
  <si>
    <t>Wpn  DM-1</t>
  </si>
  <si>
    <t>Max Range=</t>
  </si>
  <si>
    <t>Random</t>
  </si>
  <si>
    <t>Wpn Disabled</t>
  </si>
  <si>
    <t>Random Wpn</t>
  </si>
  <si>
    <t>Explosion</t>
  </si>
  <si>
    <t>D3 Explosions</t>
  </si>
  <si>
    <t>1D Explosions</t>
  </si>
  <si>
    <t>Armour-2D</t>
  </si>
  <si>
    <t>1D Crew</t>
  </si>
  <si>
    <t>All Crew</t>
  </si>
  <si>
    <t>1 Crew</t>
  </si>
  <si>
    <t>Rnd Station</t>
  </si>
  <si>
    <t>2 turns</t>
  </si>
  <si>
    <t>Comp Reboot</t>
  </si>
  <si>
    <t xml:space="preserve">Bandwidth </t>
  </si>
  <si>
    <t>1D x 1D Dam</t>
  </si>
  <si>
    <t>Rnd St Dest</t>
  </si>
  <si>
    <t>1Dx1D,Hull CS+1</t>
  </si>
  <si>
    <t>Comp/40</t>
  </si>
  <si>
    <t>Core/110</t>
  </si>
  <si>
    <t>Advanced Countermeasures Suite</t>
  </si>
  <si>
    <t>DM +8 to Jam/EW</t>
  </si>
  <si>
    <t>Densitometer, Jammers, Lidar, Neural Activity Sensor, Radar; DM +3 to all Sensor Checks</t>
  </si>
  <si>
    <t>Superior Sensor Array</t>
  </si>
  <si>
    <t>Calculate cost as if module installed?</t>
  </si>
  <si>
    <t>Space Station Modules</t>
  </si>
  <si>
    <t>Residential Zones</t>
  </si>
  <si>
    <t>Luxury Quality (SOC 10+)</t>
  </si>
  <si>
    <t>Residents Accomodated</t>
  </si>
  <si>
    <t>Low Quality (SOC 1-3)</t>
  </si>
  <si>
    <t>Medium Quality (SOC 4-7)</t>
  </si>
  <si>
    <t>High Quality (SOC 8-9)</t>
  </si>
  <si>
    <t>Commercial Zones</t>
  </si>
  <si>
    <t>Crew tonnage for starport class calculation</t>
  </si>
  <si>
    <t>Module</t>
  </si>
  <si>
    <t>Design is:</t>
  </si>
  <si>
    <t>Hardpoints/Firmpoints on Base Class Without Any Modules:</t>
  </si>
  <si>
    <t>Module w/ Bridge</t>
  </si>
  <si>
    <t>Checksum</t>
  </si>
  <si>
    <t>Module with drives</t>
  </si>
  <si>
    <t>Base Class Usable Hull in Dtons (total with modules):</t>
  </si>
  <si>
    <t>Station</t>
  </si>
  <si>
    <t>Station Docking Facilities</t>
  </si>
  <si>
    <t>Ship Capacity in Dtons</t>
  </si>
  <si>
    <t>Docking Facility Group 1</t>
  </si>
  <si>
    <t>Docking Facility Group 2</t>
  </si>
  <si>
    <t>Docking Facility Group 3</t>
  </si>
  <si>
    <t>Docking Facility Group 4</t>
  </si>
  <si>
    <t>Docking Facility Group 5</t>
  </si>
  <si>
    <t>Crew Required</t>
  </si>
  <si>
    <t>Deep Space Comm Relay</t>
  </si>
  <si>
    <t>Station/Research Facilities</t>
  </si>
  <si>
    <t>Refineries</t>
  </si>
  <si>
    <t>Fuel Refinery Output Per Day</t>
  </si>
  <si>
    <t>Starport Service Fuel Tanks</t>
  </si>
  <si>
    <t>Class</t>
  </si>
  <si>
    <t>Refined Fuel/Day</t>
  </si>
  <si>
    <t>Shipyard Capacity</t>
  </si>
  <si>
    <t>Station Quality Chart</t>
  </si>
  <si>
    <t>Residential</t>
  </si>
  <si>
    <t>Mineral Refinery (space allocated)</t>
  </si>
  <si>
    <t>Smelter</t>
  </si>
  <si>
    <t>Output (Dtons)</t>
  </si>
  <si>
    <t>Shipyard</t>
  </si>
  <si>
    <t>Largest Vessel Construction Capacity</t>
  </si>
  <si>
    <t>Non-Jump Construction Capacity:</t>
  </si>
  <si>
    <t>Jump-Capable Construction Capacity:</t>
  </si>
  <si>
    <t>Manufacturing</t>
  </si>
  <si>
    <t>Basic Manufacturing Plant</t>
  </si>
  <si>
    <t>Advanced Manufacturing Plant</t>
  </si>
  <si>
    <t>Specialist Manufacturing Plant</t>
  </si>
  <si>
    <t>Agricultural Plant</t>
  </si>
  <si>
    <t>Tons Produced</t>
  </si>
  <si>
    <t>Number of Factories</t>
  </si>
  <si>
    <t>(Tab 9a Docking and Hangar space is part of the station's compliment and does not count towards a station's Docking rating)</t>
  </si>
  <si>
    <t>(Construction Deck above does not factor towards a station's Shipyard rating)</t>
  </si>
  <si>
    <t>Base Module</t>
  </si>
  <si>
    <t>Chart Room (Astographic Plotting and Analysis Chamber)</t>
  </si>
  <si>
    <t>Gravitational Analysis Suite</t>
  </si>
  <si>
    <t>Hostile Environment Operations Support Suite (HEOSS)</t>
  </si>
  <si>
    <t>Scientific Operations Suite</t>
  </si>
  <si>
    <t>Small Observatory</t>
  </si>
  <si>
    <t>Medium Observatory</t>
  </si>
  <si>
    <t>Large Observatory</t>
  </si>
  <si>
    <t>Number of Yards</t>
  </si>
  <si>
    <t>Average Crew</t>
  </si>
  <si>
    <t>GENERAL CREW</t>
  </si>
  <si>
    <t>SCIENTISTS</t>
  </si>
  <si>
    <t># Small Craft</t>
  </si>
  <si>
    <t>Tons Small Craft Drives</t>
  </si>
  <si>
    <t>Base Salary</t>
  </si>
  <si>
    <t>Additional Scientists</t>
  </si>
  <si>
    <t>Science</t>
  </si>
  <si>
    <t>Profession</t>
  </si>
  <si>
    <t>Additional Stewards</t>
  </si>
  <si>
    <t>Use 11-Staterooms for extra Common Areas</t>
  </si>
  <si>
    <t>Use Residential Zone for Crew?</t>
  </si>
  <si>
    <t>Hostile Environment Ops</t>
  </si>
  <si>
    <t>Resist Hazardous Atmospheres</t>
  </si>
  <si>
    <t>Hostile Environment Operations Package</t>
  </si>
  <si>
    <t>Reasearch Programs</t>
  </si>
  <si>
    <t>Science (Specific)</t>
  </si>
  <si>
    <t>Mentor</t>
  </si>
  <si>
    <t>Research Assistant</t>
  </si>
  <si>
    <t>Flight Operations</t>
  </si>
  <si>
    <t>Planetology</t>
  </si>
  <si>
    <t>Iterations</t>
  </si>
  <si>
    <t>Research</t>
  </si>
  <si>
    <t>Science (General)</t>
  </si>
  <si>
    <t>Advanced Science (Specific)</t>
  </si>
  <si>
    <t>Mentor/1</t>
  </si>
  <si>
    <t>Mentor/2</t>
  </si>
  <si>
    <t>Mentor/3</t>
  </si>
  <si>
    <t>Research Assist/1</t>
  </si>
  <si>
    <t>Research Assist/2</t>
  </si>
  <si>
    <t>Research Assist/3</t>
  </si>
  <si>
    <t>Flight Operations/1</t>
  </si>
  <si>
    <t>Flight Operations/2</t>
  </si>
  <si>
    <t>Flight Operations/3</t>
  </si>
  <si>
    <t>Planetology/1</t>
  </si>
  <si>
    <t>Planetology/2</t>
  </si>
  <si>
    <t>Planetology/3</t>
  </si>
  <si>
    <t>DM +1 to any Science research checks</t>
  </si>
  <si>
    <t>DM +1 to Planetology/Prospecting/Weather Prediction</t>
  </si>
  <si>
    <t>DM +2 to Planetology/Prospecting/Weather Prediction</t>
  </si>
  <si>
    <t>DM +3 to Planetology/Prospecting/Weather Prediction</t>
  </si>
  <si>
    <t>Science (Subject)</t>
  </si>
  <si>
    <t>DM +2 to Purchased Science(Specific) research checks</t>
  </si>
  <si>
    <t>DM +3 to Purchased Science(Specific) research checks</t>
  </si>
  <si>
    <t>weapon cost</t>
  </si>
  <si>
    <t>Allow Modules to have a separate Computer?</t>
  </si>
  <si>
    <t>Override Crew Accomodations for Modules?</t>
  </si>
  <si>
    <t>There are now three modes on this tab that will determine how the rest of the sheet works. Ship, Station and Module. I recommend saving a copy of this file as a blank for each mode.</t>
  </si>
  <si>
    <t>(1% of Hull)</t>
  </si>
  <si>
    <t>Recommended</t>
  </si>
  <si>
    <t>Skill Level ***</t>
  </si>
  <si>
    <t>*** Average Crew Level set at Zero uses Base Salary</t>
  </si>
  <si>
    <t>Automation Level:</t>
  </si>
  <si>
    <t>Crew-Intensive</t>
  </si>
  <si>
    <t>Low Automation</t>
  </si>
  <si>
    <t>Standard Automation</t>
  </si>
  <si>
    <t>Enhanced Automation</t>
  </si>
  <si>
    <t>Advanced Automation</t>
  </si>
  <si>
    <t>High Automation</t>
  </si>
  <si>
    <t>Cost Multiplier</t>
  </si>
  <si>
    <t>Crew Multiplier</t>
  </si>
  <si>
    <t>DM-4 for all shipboard tasks</t>
  </si>
  <si>
    <t>DM-1 for all shipboard tasks after 1 week in space</t>
  </si>
  <si>
    <t>DM+1 on all shipboard tasks</t>
  </si>
  <si>
    <t>DM+2 on all shipboard tasks</t>
  </si>
  <si>
    <t>Active labels:</t>
  </si>
  <si>
    <t>NOTE: Automation is an optional rule from the Traveller Companion. Standard Automation is HG2022 Compliant</t>
  </si>
  <si>
    <t>0, Intellect00000</t>
  </si>
  <si>
    <t>Repulsor Bay Adv (L)</t>
  </si>
  <si>
    <t>Repulsor Bay Adv (M)</t>
  </si>
  <si>
    <t>Repulsor Bay Adv (S)</t>
  </si>
  <si>
    <t>Hold 800 Dtons</t>
  </si>
  <si>
    <t>Hold 400 Dtons</t>
  </si>
  <si>
    <t>Hold 100 Dtons</t>
  </si>
  <si>
    <t>Hold 200 Dtons</t>
  </si>
  <si>
    <t>Hold 1600 Dtons</t>
  </si>
  <si>
    <t>P Cannonade</t>
  </si>
  <si>
    <t>Cannonade</t>
  </si>
  <si>
    <t>8 X (User Defined)</t>
  </si>
  <si>
    <t>7 Cannonade</t>
  </si>
  <si>
    <t>Cannonade, Plasma</t>
  </si>
  <si>
    <t>Cannonade, Fusion</t>
  </si>
  <si>
    <t>Torpedo Interceptor Cluster</t>
  </si>
  <si>
    <t>GP Mass Driver</t>
  </si>
  <si>
    <t>Weak</t>
  </si>
  <si>
    <t>Rad, Weak</t>
  </si>
  <si>
    <t>16D</t>
  </si>
  <si>
    <t>12D</t>
  </si>
  <si>
    <t>Subtract PD Gunner</t>
  </si>
  <si>
    <t>Fusion Gun Bay (L)</t>
  </si>
  <si>
    <t>Mass Driver Bay (L)</t>
  </si>
  <si>
    <t>Meson Gun Bay (L)</t>
  </si>
  <si>
    <t>Neutron Laser Bay (L)</t>
  </si>
  <si>
    <t>Plasma-pulse Cannon Bay (L)</t>
  </si>
  <si>
    <t>Railgun Bay (L)</t>
  </si>
  <si>
    <t>Tachyon Cannon Bay (L)</t>
  </si>
  <si>
    <t>Fusion Gun</t>
  </si>
  <si>
    <t>Fusion Gun Bay (M)</t>
  </si>
  <si>
    <t>Fusion Gun Bay (S)</t>
  </si>
  <si>
    <t>Gravimetric Distorter</t>
  </si>
  <si>
    <t>Ion Cannon Bay (M)</t>
  </si>
  <si>
    <t>Ion Cannon Bay (S)</t>
  </si>
  <si>
    <t>Mass Driver Bay (M)</t>
  </si>
  <si>
    <t>Meson Gun Bay (M)</t>
  </si>
  <si>
    <t>Meson Gun Bay (S)</t>
  </si>
  <si>
    <t>Missile Barbette</t>
  </si>
  <si>
    <t>Missile Bay (M)</t>
  </si>
  <si>
    <t>Missile Bay (S)</t>
  </si>
  <si>
    <t>Neutron Laser Bay (M)</t>
  </si>
  <si>
    <t>Neutron Laser Bay (S)</t>
  </si>
  <si>
    <t>Particle Beam</t>
  </si>
  <si>
    <t>Particle Beam Bay (M)</t>
  </si>
  <si>
    <t>Particle Beam Bay (S)</t>
  </si>
  <si>
    <t>Plasma Barbette</t>
  </si>
  <si>
    <t>Plasma Gun</t>
  </si>
  <si>
    <t>Plasma-pulse Cannon Bay (M)</t>
  </si>
  <si>
    <t>Plasma-pulse Cannon Bay (S)</t>
  </si>
  <si>
    <t>Railgun Bay (M)</t>
  </si>
  <si>
    <t>Railgun Bay (S)</t>
  </si>
  <si>
    <t>Repulsor Bay (L)</t>
  </si>
  <si>
    <t>Repulsor Bay (M)</t>
  </si>
  <si>
    <t>Repulsor Bay (S)</t>
  </si>
  <si>
    <t>Tachyon Cannon Bay (M)</t>
  </si>
  <si>
    <t>Tachyon Cannon Bay (S)</t>
  </si>
  <si>
    <t>Torpedo Bay (L)</t>
  </si>
  <si>
    <t>Torpedo Bay (M)</t>
  </si>
  <si>
    <t>Torpedo Bay (S)</t>
  </si>
  <si>
    <t>Add Command Bridge Status to an Existing Bridge</t>
  </si>
  <si>
    <t>VirtualGunnerCount</t>
  </si>
  <si>
    <t>VGunners</t>
  </si>
  <si>
    <t>Virtual Crew (non-Gunner)</t>
  </si>
  <si>
    <t>Reminder from 6-Comp Tab</t>
  </si>
  <si>
    <t xml:space="preserve">&gt;&gt;&gt; See Cargo Tab for additional information. </t>
  </si>
  <si>
    <t>Fuel/Cargo Container</t>
  </si>
  <si>
    <t>Fuel Cargo</t>
  </si>
  <si>
    <t>Solar Panels?</t>
  </si>
  <si>
    <t>Solar Panels</t>
  </si>
  <si>
    <t>Improved</t>
  </si>
  <si>
    <t>Enhanced</t>
  </si>
  <si>
    <t>PPU</t>
  </si>
  <si>
    <t># Units</t>
  </si>
  <si>
    <t>Jump Drive (Hop)</t>
  </si>
  <si>
    <t>Jump Drive (Skip)</t>
  </si>
  <si>
    <t>Sand</t>
  </si>
  <si>
    <t>Special Munitions</t>
  </si>
  <si>
    <t>Mass Driver</t>
  </si>
  <si>
    <t>Deep Space Manoeuvering System?</t>
  </si>
  <si>
    <t>DSMS</t>
  </si>
  <si>
    <t>DSMS TL Limiter:</t>
  </si>
  <si>
    <t>MilCrew</t>
  </si>
  <si>
    <t>MilCrew2</t>
  </si>
  <si>
    <t>FTL?</t>
  </si>
  <si>
    <t>Fuel Capacity</t>
  </si>
  <si>
    <t>NOTES</t>
  </si>
  <si>
    <t>Random Station</t>
  </si>
  <si>
    <t>Computer Reboot</t>
  </si>
  <si>
    <t>Rnd Station Dest</t>
  </si>
  <si>
    <t>Life Support Fails in 1D hours</t>
  </si>
  <si>
    <t>Life Support Faila in 1D rounds</t>
  </si>
  <si>
    <t>Life Support Failure</t>
  </si>
  <si>
    <t>Thrust -1</t>
  </si>
  <si>
    <t>Pilot DM-2</t>
  </si>
  <si>
    <t>Pilot DM-3</t>
  </si>
  <si>
    <t>Pilot DM-4</t>
  </si>
  <si>
    <t>Leak 1D</t>
  </si>
  <si>
    <t xml:space="preserve"> tons/hour</t>
  </si>
  <si>
    <t xml:space="preserve">Leak 1D </t>
  </si>
  <si>
    <t>tons/round</t>
  </si>
  <si>
    <t>Beam Laser Bay (L)</t>
  </si>
  <si>
    <t>Beam Laser Bay (M)</t>
  </si>
  <si>
    <t>Beam Laser Bay (S)</t>
  </si>
  <si>
    <t>Pulse Laser Bay (L)</t>
  </si>
  <si>
    <t>Pulse Laser Bay (M)</t>
  </si>
  <si>
    <t>Pulse Laser Bay (S)</t>
  </si>
  <si>
    <t>Burst Laser</t>
  </si>
  <si>
    <t>Auto 3</t>
  </si>
  <si>
    <t>3D x 100*</t>
  </si>
  <si>
    <t>3D x 20*</t>
  </si>
  <si>
    <t>2D x 10*</t>
  </si>
  <si>
    <t>*Roll damage; Subtract Armor; Apply Multiple; And Then Subtract Screen Effect</t>
  </si>
  <si>
    <t>The Capital Ship SSD is located after the Cargo Tab. It provides larger print and 10,560 boxes, with a maximum scale of x1000 and partial box counters going to the hundreds. Warning, it is slow.</t>
  </si>
  <si>
    <t>CREW</t>
  </si>
  <si>
    <t>Maximum Tonnage Allowed for Listed Performance With Current Engines</t>
  </si>
  <si>
    <t>Total of Secondary Hull(s) in Dtons:</t>
  </si>
  <si>
    <t>Ignore Crew Reduction for Ship Size?</t>
  </si>
  <si>
    <t>Toggle</t>
  </si>
  <si>
    <t>Use This Multiplier</t>
  </si>
  <si>
    <t>Components</t>
  </si>
  <si>
    <t># of Systems</t>
  </si>
  <si>
    <t>Quantity of Bays</t>
  </si>
  <si>
    <t>Convert Main Tanks to Fuel/Cargo?</t>
  </si>
  <si>
    <t>Tons Per Bay</t>
  </si>
  <si>
    <t>Mountable Fuel Tank</t>
  </si>
  <si>
    <t>* Check notes on Weapons,Screens and Cargo. Resilient Mods are cumulative with bulkheads. Double Underline and (CS-1) indicates Armored Bulkheads</t>
  </si>
  <si>
    <t>Electronics (Sensors) 10+ to determine where a ship has jumped to</t>
  </si>
  <si>
    <t>Small Craft and Carried Vehicles</t>
  </si>
  <si>
    <t>Description</t>
  </si>
  <si>
    <t>Calculate craft in ship's cost?</t>
  </si>
  <si>
    <t>Cost per Unit</t>
  </si>
  <si>
    <t>Cost per unit</t>
  </si>
  <si>
    <t>Toggles for Drop Down Craft</t>
  </si>
  <si>
    <t>Disable TL Restriction?</t>
  </si>
  <si>
    <t>Maximum Tons:</t>
  </si>
  <si>
    <t>Minimum Tons:</t>
  </si>
  <si>
    <t>Setting Limits to Zero Lists All in the Group</t>
  </si>
  <si>
    <t>Include High Guard?</t>
  </si>
  <si>
    <t>Include Small Craft Catalogue?</t>
  </si>
  <si>
    <t>Include Vehicles:</t>
  </si>
  <si>
    <t>Include Small Craft:</t>
  </si>
  <si>
    <t>Include Riders:</t>
  </si>
  <si>
    <t>HG</t>
  </si>
  <si>
    <t>SmCrftCat</t>
  </si>
  <si>
    <t>Include Vehicle Handbook?</t>
  </si>
  <si>
    <t>VH</t>
  </si>
  <si>
    <t>Robot Brain</t>
  </si>
  <si>
    <t>Alpha</t>
  </si>
  <si>
    <t>Omega</t>
  </si>
  <si>
    <t>No Robot Brain Interface</t>
  </si>
  <si>
    <t>Robot Brain Interfaces Installed</t>
  </si>
  <si>
    <t>Custom Robot Brain</t>
  </si>
  <si>
    <t>No avatars, max 4 tasks, DM-2 on each additional task</t>
  </si>
  <si>
    <t>Basic Avatar, Max 8 tasks, DM-1 on each additional task</t>
  </si>
  <si>
    <t>4 Avatars, 8 Drones, Advanced Swarm</t>
  </si>
  <si>
    <t>Brian</t>
  </si>
  <si>
    <t>Haptic Robot Brain Interfaces Installed</t>
  </si>
  <si>
    <t>Robot Handbook Robot Brain</t>
  </si>
  <si>
    <t>A25</t>
  </si>
  <si>
    <t>A28</t>
  </si>
  <si>
    <t>Robot Input Interface</t>
  </si>
  <si>
    <t>Light Fighter (HG'22)</t>
  </si>
  <si>
    <t>Cargo Shuttle (SCC)</t>
  </si>
  <si>
    <t>Fighter</t>
  </si>
  <si>
    <t xml:space="preserve">(Military under 100 tons) Include Fighters? </t>
  </si>
  <si>
    <t>Core'22</t>
  </si>
  <si>
    <t>Include Core Rulebook?</t>
  </si>
  <si>
    <t>Tons V</t>
  </si>
  <si>
    <t>Tons SmC</t>
  </si>
  <si>
    <t>Tons Rider</t>
  </si>
  <si>
    <t>V/Sm/Rdr</t>
  </si>
  <si>
    <t>Quality</t>
  </si>
  <si>
    <t>Chamber Liters</t>
  </si>
  <si>
    <t>Standard Units</t>
  </si>
  <si>
    <t>None Installed</t>
  </si>
  <si>
    <t>Custom Units</t>
  </si>
  <si>
    <t>Pick List</t>
  </si>
  <si>
    <t>T</t>
  </si>
  <si>
    <t>A</t>
  </si>
  <si>
    <t>N</t>
  </si>
  <si>
    <t>D</t>
  </si>
  <si>
    <t>R</t>
  </si>
  <si>
    <t>U</t>
  </si>
  <si>
    <t>O</t>
  </si>
  <si>
    <t>M</t>
  </si>
  <si>
    <t xml:space="preserve">* Note: You have to manually ensure that you have space to hold the craft you carry. </t>
  </si>
  <si>
    <t>Management is not responsible for craft left at the spaceport due to insufficient clamps/craft/hangar space.</t>
  </si>
  <si>
    <t>Craft</t>
  </si>
  <si>
    <t>Fabricator without space</t>
  </si>
  <si>
    <t>Include Aliens of Charted Space 1?</t>
  </si>
  <si>
    <t>Include Aliens of Charted Space 2?</t>
  </si>
  <si>
    <t>Include Aliens of Charted Space 3?</t>
  </si>
  <si>
    <t>Include Aliens of Charted Space 4?</t>
  </si>
  <si>
    <t>Include Behind the Claw?</t>
  </si>
  <si>
    <t>AOCS1</t>
  </si>
  <si>
    <t>AOCS2</t>
  </si>
  <si>
    <t>AOCS3</t>
  </si>
  <si>
    <t>AOCS4</t>
  </si>
  <si>
    <t>BH</t>
  </si>
  <si>
    <t>BtC</t>
  </si>
  <si>
    <t>Ship's Standalone Fabricators</t>
  </si>
  <si>
    <t>Ship's Standalone Deconstruction Chambers</t>
  </si>
  <si>
    <t>Ship's Combined Deconstruction/Fabrication Chambers</t>
  </si>
  <si>
    <t>Fabricators</t>
  </si>
  <si>
    <t>*Note: Requires a Laboratory, Studio or Workshop to install*</t>
  </si>
  <si>
    <t>WF5FW</t>
  </si>
  <si>
    <t>Include War Fleets of the 5th Frontier War?</t>
  </si>
  <si>
    <t>Link/tube Combo</t>
  </si>
  <si>
    <t>Pimane Fuel Shuttle (B&amp;ESG)</t>
  </si>
  <si>
    <t>Behrait Transport Vehicle (B&amp;ESG)</t>
  </si>
  <si>
    <t>Bestia AFV (B&amp;ESG)</t>
  </si>
  <si>
    <t>Hrattliner Gravitic Transport (B&amp;ESG)</t>
  </si>
  <si>
    <t>Seaskimmer (CA 2)</t>
  </si>
  <si>
    <t>Rammiakhiidru Shuttle (CA 2)</t>
  </si>
  <si>
    <t>Hover Chariot (CA 3)</t>
  </si>
  <si>
    <t>Dune Jumper (CA 3)</t>
  </si>
  <si>
    <t>Tilt-Rotor Cargo Plane (Scirocco) (CA 3)</t>
  </si>
  <si>
    <t>Research Pinnace (DS)</t>
  </si>
  <si>
    <t>Skerrier (DR:CG)</t>
  </si>
  <si>
    <t>Ardent (DR:CG)</t>
  </si>
  <si>
    <t>Vendara (DR:CG)</t>
  </si>
  <si>
    <t>Deepnight Scout (DR:CG)</t>
  </si>
  <si>
    <t>Deepnight Pinnace (DR:CG)</t>
  </si>
  <si>
    <t>Deepnight Boat (DR:CG)</t>
  </si>
  <si>
    <t>Alikaia Light Combat Vehicle (DR:RT)</t>
  </si>
  <si>
    <t>Alikaia Aerospace Strike Fighter (DR:RT)</t>
  </si>
  <si>
    <t>Alikaia Exploration Ship (DR:RT)</t>
  </si>
  <si>
    <t>Erline Combat Walker (DR:TNSOY)</t>
  </si>
  <si>
    <t>Erline Combat Drone (DR:TNSOY)</t>
  </si>
  <si>
    <t>Commonwealth F-3A4 Reaction Drive Interceptor (DR:TFSON)</t>
  </si>
  <si>
    <t>Commonwealth U-27 Hybrid Support Vessel (DR:TFSON)</t>
  </si>
  <si>
    <t>Solomani FAMAT-12 ATV (DR:V)</t>
  </si>
  <si>
    <t>Solomani Outrider Grav Platform (DR:V)</t>
  </si>
  <si>
    <t>Droyne Umtyatho-Class Spacecraft (DR:V)</t>
  </si>
  <si>
    <t>Include Deepnight Revelation?</t>
  </si>
  <si>
    <t>DnR</t>
  </si>
  <si>
    <t>future system</t>
  </si>
  <si>
    <t>CR</t>
  </si>
  <si>
    <t>ERROR</t>
  </si>
  <si>
    <t>Crew Accomodations</t>
  </si>
  <si>
    <t>Hull tonnage exceeded</t>
  </si>
  <si>
    <t>Solar plus anything</t>
  </si>
  <si>
    <t>No High Burn Thruster</t>
  </si>
  <si>
    <t>No Solar Sails</t>
  </si>
  <si>
    <t>The Summary, Record Sheet and the SSD automatically fill out based on your choices. These can be printed to a printer or as PDF's for later use.</t>
  </si>
  <si>
    <t>Include Bounty Hunter?</t>
  </si>
  <si>
    <t>Ranger (DR:CG)</t>
  </si>
  <si>
    <t>Ship's Boat (HG'22)</t>
  </si>
  <si>
    <t>Slow Boat (HG'22)</t>
  </si>
  <si>
    <t>Passenger Shuttle (HG'22)</t>
  </si>
  <si>
    <t>Cargo Crane</t>
  </si>
  <si>
    <t>Loading Belts</t>
  </si>
  <si>
    <t>Fuel/Cargo options</t>
  </si>
  <si>
    <t># Additional Scientists</t>
  </si>
  <si>
    <t xml:space="preserve">Yes </t>
  </si>
  <si>
    <t>(SOL) Space Science Facility</t>
  </si>
  <si>
    <t>(SOL) Planetary Science Facility</t>
  </si>
  <si>
    <t xml:space="preserve">(SOL) Life Science Facility </t>
  </si>
  <si>
    <t>(SOL) Research Scoop</t>
  </si>
  <si>
    <t>(SOL) Refueling Research Scoop</t>
  </si>
  <si>
    <t>(SOL) Vehicular Excursion Bay, Minimal</t>
  </si>
  <si>
    <t>(SOL) Vehicle Access Bay, Large</t>
  </si>
  <si>
    <t>(SOL) Vehicular Excursion Bay, Minimal, Extreme Hazard</t>
  </si>
  <si>
    <t>Additional Tonnage</t>
  </si>
  <si>
    <t>(SOL) Vehicular Bay, Multi-Access</t>
  </si>
  <si>
    <t>(SOL) Vehicular Bay, Multi-Access, Extreme Hazard</t>
  </si>
  <si>
    <t>(SOL) Accomodation Block</t>
  </si>
  <si>
    <t>(SOL) HB Accomodation Block</t>
  </si>
  <si>
    <t>(SOL) Vehicle Access Bay, Large, Extreme Hazard</t>
  </si>
  <si>
    <t>Cestion Strike Boat (DC)</t>
  </si>
  <si>
    <t>ECITS Tug (DC)</t>
  </si>
  <si>
    <t>ECITS Cargo Module (DC)</t>
  </si>
  <si>
    <t>ECITS Passenger Module (DC)</t>
  </si>
  <si>
    <t>ECITS Salvage Module (DC)</t>
  </si>
  <si>
    <t>ECITS Torpedo Module (DC)</t>
  </si>
  <si>
    <t>ECITS Crew Module (DC)</t>
  </si>
  <si>
    <t>ECITS-Compatable Yacht (DC)</t>
  </si>
  <si>
    <t>ECITS Fighter Module (DC)</t>
  </si>
  <si>
    <t>ECITS Base Module (DC)</t>
  </si>
  <si>
    <t>Armored Car (DC)</t>
  </si>
  <si>
    <t>Sperle Searcher (DC)</t>
  </si>
  <si>
    <t>Hanger Pod (DRCG)</t>
  </si>
  <si>
    <t>Scientific Pod (DRCG)</t>
  </si>
  <si>
    <t>Mission Pod (DRCG)</t>
  </si>
  <si>
    <t>Missile Pod (ECC)</t>
  </si>
  <si>
    <t>Fuel Pod (ECC)</t>
  </si>
  <si>
    <t>Hanger Pod (ECC)</t>
  </si>
  <si>
    <t>Marine Operations Pod (ECC)</t>
  </si>
  <si>
    <t>Torpedo Pod (ECC)</t>
  </si>
  <si>
    <t>Orbiral Assualt Pod (ECC)</t>
  </si>
  <si>
    <t>Fighter Pod (ECC)</t>
  </si>
  <si>
    <t>Forward Communications Pod (ECC)</t>
  </si>
  <si>
    <t>Exploration Pod (ECC)</t>
  </si>
  <si>
    <t>Intelligence OPS Pod (ECC)</t>
  </si>
  <si>
    <t>Number of Aux Con's set up as Specialist Command Centers:</t>
  </si>
  <si>
    <t>(Denote the specializations of SCC's in Notes)</t>
  </si>
  <si>
    <t>Module Control Rooms must be SCC's</t>
  </si>
  <si>
    <t>MISCELLANEOUS 1</t>
  </si>
  <si>
    <t>MISCELLANEOUS 2</t>
  </si>
  <si>
    <t>MISCELLANEOUS 3</t>
  </si>
  <si>
    <t>MISCELLANEOUS 4</t>
  </si>
  <si>
    <t>MISCELLANEOUS 5</t>
  </si>
  <si>
    <t>Deduct Misc Crew from General Crew?</t>
  </si>
  <si>
    <t>M1</t>
  </si>
  <si>
    <t>M2</t>
  </si>
  <si>
    <t>M3</t>
  </si>
  <si>
    <t>M4</t>
  </si>
  <si>
    <t>M5</t>
  </si>
  <si>
    <t>Misc subtraction</t>
  </si>
  <si>
    <t>Mortgage:</t>
  </si>
  <si>
    <t>Ship's Expenses</t>
  </si>
  <si>
    <t>Life Support:</t>
  </si>
  <si>
    <t>Crew Salaries:</t>
  </si>
  <si>
    <t>Total Expenses:</t>
  </si>
  <si>
    <t>Additional Pilots</t>
  </si>
  <si>
    <t>Additional Engineers</t>
  </si>
  <si>
    <t>Additional Astrogators</t>
  </si>
  <si>
    <t>Additional Mechanics</t>
  </si>
  <si>
    <t>Additional Medics</t>
  </si>
  <si>
    <t>Additional Gunners</t>
  </si>
  <si>
    <t>Additional Sensops</t>
  </si>
  <si>
    <t>Additional Admins</t>
  </si>
  <si>
    <t>Additional Officers</t>
  </si>
  <si>
    <t>Additional Crew</t>
  </si>
  <si>
    <t>Bypasses Size and</t>
  </si>
  <si>
    <t>Automation Reductions</t>
  </si>
  <si>
    <t xml:space="preserve">This Column </t>
  </si>
  <si>
    <t>Low Emissions</t>
  </si>
  <si>
    <t>D4 Advanced - Low Emissions</t>
  </si>
  <si>
    <t>Concealed Docking Space</t>
  </si>
  <si>
    <t>Concealed Hangar Bay</t>
  </si>
  <si>
    <t>Select normal or concealed</t>
  </si>
  <si>
    <t>Power Distribution: Normal (Battle Load)</t>
  </si>
  <si>
    <t>Maximum Load (Battle Load)</t>
  </si>
  <si>
    <t>GS-3 Fast Attack Vehicle (Field Catalogue)</t>
  </si>
  <si>
    <t>Field Ranger Utility Vehicle (Field Catalogue)</t>
  </si>
  <si>
    <t>Negav Ten-Wheel Off-Road Transport Vehicle (Field Catalogue)</t>
  </si>
  <si>
    <t>Marrix Light Armoured Combat Vehicle (Field Catalogue)</t>
  </si>
  <si>
    <t>Taisben Military Grav Platform (Field Catalogue)</t>
  </si>
  <si>
    <t>Preplenn Fast Attack Platform (Field Catalogue)</t>
  </si>
  <si>
    <t>Chagride Grav Sled (Field Catalogue)</t>
  </si>
  <si>
    <t>Saita Grav Tank (Field Catalogue)</t>
  </si>
  <si>
    <t>S-Series Grav Transport (Field Catalogue)</t>
  </si>
  <si>
    <t>NoneNotMod</t>
  </si>
  <si>
    <t>* Making a module fully spaceworthy lets you bypass installing a bridge while having a pod that can survive space on its own.</t>
  </si>
  <si>
    <t>Gravity</t>
  </si>
  <si>
    <t>&lt;&lt;Pod?</t>
  </si>
  <si>
    <t>For modules/pods, setting quantities to zero removes all sensors and sensops</t>
  </si>
  <si>
    <t>WARNING: The morale of military ships is negatively impacted by insufficient supply levels</t>
  </si>
  <si>
    <t>Supplies Stores and Spares</t>
  </si>
  <si>
    <t>Dedicated hold for Supply Units</t>
  </si>
  <si>
    <t>100 days of SU's</t>
  </si>
  <si>
    <t>Deepnight Endeavour Fuel Shuttle (Great Rift Adventure 2)</t>
  </si>
  <si>
    <t>Field Buggy (Great Rift Adventure 3)</t>
  </si>
  <si>
    <t>Aslan Hraye-Class Scout (High Guard: Aslan)</t>
  </si>
  <si>
    <t>Aslan Ihateisho-Class Scout (High Guard: Aslan)</t>
  </si>
  <si>
    <t>Deployment Shuttle (High Guard Deployment Shuttle)</t>
  </si>
  <si>
    <t>Four-Wheel ATV (JTAS Vol. 1)</t>
  </si>
  <si>
    <t>Large ATV (JTAS Vol. 1)</t>
  </si>
  <si>
    <t>Grav-Assisted ATV (JTAS Vol. 1)</t>
  </si>
  <si>
    <t>Aquatic ATV (JTAS Vol. 1)</t>
  </si>
  <si>
    <t>Light Patrol Vehicle (JTAS Vol. 1)</t>
  </si>
  <si>
    <t>Light APC (JTAS Vol. 1)</t>
  </si>
  <si>
    <t>Rampart Atmosphere-Capable Fighter (JTAS Vol. 2)</t>
  </si>
  <si>
    <t>Foxhound Air Superiority Fighter (JTAS Vol. 2)</t>
  </si>
  <si>
    <t>Palomino Light Strike Aircraft (JTAS Vol. 2)</t>
  </si>
  <si>
    <t>Lightning Ground-Attack Aitcraft (JTAS Vol. 2)</t>
  </si>
  <si>
    <t>Raven Heavy Strike Jet (JTAS Vol. 2)</t>
  </si>
  <si>
    <t>Modular Cutter Mining Module (JTAS Vol. 3)</t>
  </si>
  <si>
    <t>Modular Cutter Starport Shuttle Module (JTAS V3)</t>
  </si>
  <si>
    <t>Modular Cutter Field Workshop Module (JTAS V3)</t>
  </si>
  <si>
    <t>Splorabug (JTAS Vol. 4)</t>
  </si>
  <si>
    <t>Talson Automotive ‘Challenger’ Ground Car (JTAS Vol. 4)</t>
  </si>
  <si>
    <t>Shepherd Picket Boat (JTAS Vol. 5)</t>
  </si>
  <si>
    <t>Towing Pod (JTAS Vol. 5)</t>
  </si>
  <si>
    <t>AT-4 Rough Terrain Snowmobile (JTAS Vol. 5)</t>
  </si>
  <si>
    <t>FT-500 Field Power Unit (JTAS Vol. 5)</t>
  </si>
  <si>
    <t>Hazardous Environment Fire Engine (JTAS Vol. 5)</t>
  </si>
  <si>
    <t>Advanced Fire Engine (JTAS Vol. 5)</t>
  </si>
  <si>
    <t>Javelin Light Gunboat (JTAS Vol. 6)</t>
  </si>
  <si>
    <t>Dart Interceptor (JTAS Vol. 6)</t>
  </si>
  <si>
    <t>Steppehauler-Class Default Module (JTAS Vol. 6)</t>
  </si>
  <si>
    <t>Steppehauler-Class Downport Module (JTAS Vol. 6)</t>
  </si>
  <si>
    <t>Steppehauler-Class Low Berth Module (JTAS Vol. 6)</t>
  </si>
  <si>
    <t>Steppehauler-Class Carrier Module (JTAS Vol. 6)</t>
  </si>
  <si>
    <t>Steppehauler-Class Torpedo Module (JTAS Vol. 6)</t>
  </si>
  <si>
    <t>ADB-602 Coastal Patrol Cutter (JTAS Vol. 6)</t>
  </si>
  <si>
    <t>ADB-511 Strike Hydrofoil (JTAS Vol. 6)</t>
  </si>
  <si>
    <t>KAVARII-CLASS Aerospace Defense Submarine (JTAS Vol. 6)</t>
  </si>
  <si>
    <t>IISS Grav Bike (JTAS Vol. 6)</t>
  </si>
  <si>
    <t>IISS Air/Raft (JTAS Vol. 6)</t>
  </si>
  <si>
    <t>IISS Survey G/Carrier (JTAS Vol. 6)</t>
  </si>
  <si>
    <t>Long Range Mod?</t>
  </si>
  <si>
    <t>Long-Range</t>
  </si>
  <si>
    <t>JTAS</t>
  </si>
  <si>
    <t>Include JTAS?</t>
  </si>
  <si>
    <t>Minnow Slow Pinnace (JTAS Vol. 7)</t>
  </si>
  <si>
    <t>Buggy Sealed Excursion Air/Raft (JTAS Vol. 7)</t>
  </si>
  <si>
    <t>Iderati Space Defense Submarine (JTAS Vol. 7)</t>
  </si>
  <si>
    <t>Iderati Light Support Submarine (JTAS Vol. 7)</t>
  </si>
  <si>
    <t>Modified System Defense Boat (JTAS Vol. 8)</t>
  </si>
  <si>
    <t>Aeon Flyer Stinger SZ-100 G/Bike (JTAS Vol. 8)</t>
  </si>
  <si>
    <t>Aeon Flyer Stinger SZ-580Z G/Bike (JTAS Vol. 8)</t>
  </si>
  <si>
    <t>BB-2 Nuclear Powered Bus (JTAS Vol. 8)</t>
  </si>
  <si>
    <t>Fast Launch (JTAS Vol. 9)</t>
  </si>
  <si>
    <t>Telchine Mining Craft (JTAS Vol. 9)</t>
  </si>
  <si>
    <t>Psara Fast Transport Vessel (JTAS Vol. 9)</t>
  </si>
  <si>
    <t>Merla Light Grav Vehicle (JTAS Vol. 9)</t>
  </si>
  <si>
    <t>Vindictor Logging Heavy Walker (JTAS Vol. 9)</t>
  </si>
  <si>
    <t>Unicycle of Mass Destruction (JTAS Vol. 10)</t>
  </si>
  <si>
    <t>Eli Boarding Pinnace (JTAS Vol. 11)</t>
  </si>
  <si>
    <t>Hauler Shuttle (JTAS Vol. 11)</t>
  </si>
  <si>
    <t>Mighty Maus Mobile Crane (JTAS Vol. 11)</t>
  </si>
  <si>
    <t>Ragno Walker (JTAS Vol. 11)</t>
  </si>
  <si>
    <t>Gorte-Class Battle Rider (JTAS Vol. 12)</t>
  </si>
  <si>
    <t>Drako Valliant Grav Saloon (JTAS Vol. 12)</t>
  </si>
  <si>
    <t>Bonham-Class Luxury Airship (JTAS Vol. 12)</t>
  </si>
  <si>
    <t>ZRM Airstrike Platform (JTAS Vol. 12)</t>
  </si>
  <si>
    <t>Hostile Environment Reserch Outpost (JTAS Vol. 12)</t>
  </si>
  <si>
    <t>Shimmerlight Luxury Sealed Air/Raft (JTAS Vol. 9)</t>
  </si>
  <si>
    <t>Star Angel Ambulance Pinnace (JTAS Vol. 13)</t>
  </si>
  <si>
    <t>Cargo Submarine (JTAS Vol. 13)</t>
  </si>
  <si>
    <t>Farm-Crawler (JTAS Vol. 13)</t>
  </si>
  <si>
    <t>Gukhii-Class Fighter (JTAS Vol. 14)</t>
  </si>
  <si>
    <t>Ship's Cart (JTAS Vol. 14)</t>
  </si>
  <si>
    <t>Scooter (JTAS Vol. 14)</t>
  </si>
  <si>
    <t>Ship's Bike (JTAS Vol. 14)</t>
  </si>
  <si>
    <t>Grav Cart (JTAS Vol. 14)</t>
  </si>
  <si>
    <t>Unpressurized Rover (JTAS Vol. 15)</t>
  </si>
  <si>
    <t>Cabin Rover (JTAS Vol. 15)</t>
  </si>
  <si>
    <t>Research Scout (JTAS Vol. 15)</t>
  </si>
  <si>
    <t>ATV w/Fusion+ (JTAS Vol. 15)</t>
  </si>
  <si>
    <t>Little Sister Fighting Gig (JTAS Vol. 16)</t>
  </si>
  <si>
    <t>ECO-B3 Ground Car (JTAS Vol. 16)</t>
  </si>
  <si>
    <t>Ocean Cleanup Boat (JTAS Vol. 16)</t>
  </si>
  <si>
    <t>Short Duration Maneuver Drive (SDM)?</t>
  </si>
  <si>
    <t>Basic Gel HMS</t>
  </si>
  <si>
    <t>Ejection Capable Gel HMS</t>
  </si>
  <si>
    <t>Heat Management System</t>
  </si>
  <si>
    <t>Additional Capacity</t>
  </si>
  <si>
    <t>Standard Heat Management Gel</t>
  </si>
  <si>
    <t>Advanced Heat Management Gel</t>
  </si>
  <si>
    <t>Sword Worlds ATV (Marches Adventure 2)</t>
  </si>
  <si>
    <t>Galian Interceptior Platform (Mercenary Adventure 1)</t>
  </si>
  <si>
    <t>Half-Track Truck (Mercenary Adventure 1)</t>
  </si>
  <si>
    <t>Dushka Sarel Surface Action Cutter (Mercenary Adventure 3)</t>
  </si>
  <si>
    <t>Calefaction Emergency Ascent Vehicle (Mysteries of the Ancients)</t>
  </si>
  <si>
    <t>Reiplau All-Terrain Vehicle (Mysteries of the Ancients)</t>
  </si>
  <si>
    <t>Standard Eight-Wheel ATV (JTAS Vol. 1)</t>
  </si>
  <si>
    <t>Port Porter Transport Vehicle (JTAS Vol. 3)</t>
  </si>
  <si>
    <t>Port Protector Light Security Vehicle (JTAS Vol. 3)</t>
  </si>
  <si>
    <t>Use Small Craft Catalog Fuel Rule?</t>
  </si>
  <si>
    <t>Bridge Crew:</t>
  </si>
  <si>
    <t>No Gravity Shielding</t>
  </si>
  <si>
    <t>Primitive Gravity Shielding</t>
  </si>
  <si>
    <t>Basic Gravity Shielding</t>
  </si>
  <si>
    <t>Standard Gravity Shielding</t>
  </si>
  <si>
    <t>Enhanced Gravity Shielding</t>
  </si>
  <si>
    <t>Advanced Gravity Shielding</t>
  </si>
  <si>
    <t>Superb Gravity Shielding</t>
  </si>
  <si>
    <t>(P)</t>
  </si>
  <si>
    <t>(B)</t>
  </si>
  <si>
    <t>(S)</t>
  </si>
  <si>
    <t>(E)</t>
  </si>
  <si>
    <t>(A)</t>
  </si>
  <si>
    <t>(Su)</t>
  </si>
  <si>
    <t>Gravity Shielding</t>
  </si>
  <si>
    <t>Antimatter Streamer Bay (L)</t>
  </si>
  <si>
    <t>Antimatter Streamer Bay (M)</t>
  </si>
  <si>
    <t>Antimatter Streamer Bay (S)</t>
  </si>
  <si>
    <t>4D x 5</t>
  </si>
  <si>
    <t>6D x 5</t>
  </si>
  <si>
    <t>8D x 5</t>
  </si>
  <si>
    <t>Hullcutter Bay (S)</t>
  </si>
  <si>
    <t>Hullcutter Bay (M)</t>
  </si>
  <si>
    <t>Hullcutter Bay (L)</t>
  </si>
  <si>
    <t>Reductor</t>
  </si>
  <si>
    <t>1</t>
  </si>
  <si>
    <t>2</t>
  </si>
  <si>
    <t>3</t>
  </si>
  <si>
    <t>4</t>
  </si>
  <si>
    <t>5</t>
  </si>
  <si>
    <t>6</t>
  </si>
  <si>
    <t>7</t>
  </si>
  <si>
    <t>Type I -L</t>
  </si>
  <si>
    <t>Type II -L</t>
  </si>
  <si>
    <t>Type III -L</t>
  </si>
  <si>
    <t>Type I -G</t>
  </si>
  <si>
    <t>Type II -G</t>
  </si>
  <si>
    <t>Type III -G</t>
  </si>
  <si>
    <t>GP Check</t>
  </si>
  <si>
    <t>GPMD</t>
  </si>
  <si>
    <t>SuSag Stealth Courier (Naval Adventure 4)</t>
  </si>
  <si>
    <t>Missile Pod (Opening Moves)</t>
  </si>
  <si>
    <t>Hanger Pod (Opening Moves)</t>
  </si>
  <si>
    <t>Intelligence Operations Pod (Opening Moves)</t>
  </si>
  <si>
    <t>Passenger Shuttle (Reach Adventure 1)</t>
  </si>
  <si>
    <t>Sealed Air/Raft (Reach Adventure 2)</t>
  </si>
  <si>
    <t>Dirt Bike (Reach Adventure 2)</t>
  </si>
  <si>
    <t>Cargo Submarine (Reach Adventure 3)</t>
  </si>
  <si>
    <t>Work Submarine (Reach Adventure 3)</t>
  </si>
  <si>
    <t>Little Betty (Modified Shuttle) (Reach Adventure 6)</t>
  </si>
  <si>
    <t>Ausiyr Assualt Helicopter (Reach Adventure 6)</t>
  </si>
  <si>
    <t>Sir Willard's SUV (Reach Adventure 7)</t>
  </si>
  <si>
    <t>Sir Willard's Pickup (Reach Adventure 7)</t>
  </si>
  <si>
    <t>Doomsayer Grav APC (Reach Adventure 8)</t>
  </si>
  <si>
    <t>Famat–4 All–Terrain Vehicle (Rim Expeditions)</t>
  </si>
  <si>
    <t>Outrider Grav Platform (Rim Expeditions)</t>
  </si>
  <si>
    <t>Chipmunk Personal Transport (Rim Expeditions)</t>
  </si>
  <si>
    <t>The Alahir (Heavy Scout) (Secrets of the Ancients)</t>
  </si>
  <si>
    <t>Vargr Aakum Heavy Fighter (Secrets of the Ancients)</t>
  </si>
  <si>
    <t>The Dart (Ancients Scout Ship) (Secrets of the Ancients)</t>
  </si>
  <si>
    <t>Skander SUV and Pickup (Skandervic)</t>
  </si>
  <si>
    <t>AM-20 Mining Craft (Solomani Adventure 1)</t>
  </si>
  <si>
    <t>Kokoro (Ornothopter) (Solomani Adventure 2)</t>
  </si>
  <si>
    <t>Modified Addumsa-Class System Defense Boat (Solomani Front)</t>
  </si>
  <si>
    <t>Vixen-ADV Aerospace Defense Vessel (Specialist Forces)</t>
  </si>
  <si>
    <t>Umphathi-Class Security Sled, Military Variant (Specialist Forces)</t>
  </si>
  <si>
    <t>PBC-10 Heavy System Defense Boat (War Fleets of the Fifth Frontier War)</t>
  </si>
  <si>
    <t>PLD-12 Patrol Boat (War Fleets of the Fifth Frontier War)</t>
  </si>
  <si>
    <t>The Nameless Ship (Wrath of the Ancients)</t>
  </si>
  <si>
    <t>Hleakakhea-Class System Defense Boat (Clans of the Aslan)</t>
  </si>
  <si>
    <t>Slave Quarters</t>
  </si>
  <si>
    <t>Glorious Empire minimal housing</t>
  </si>
  <si>
    <t>Page Totals</t>
  </si>
  <si>
    <t>Use Interplanetary Seating for Crew?</t>
  </si>
  <si>
    <t>Design Occupancy</t>
  </si>
  <si>
    <t>Disintegrator</t>
  </si>
  <si>
    <t>Improved Disintegrator</t>
  </si>
  <si>
    <t>Advanced Disintegrator</t>
  </si>
  <si>
    <t>Extreme</t>
  </si>
  <si>
    <t>Custom Screen appears in the list for Globe Generators</t>
  </si>
  <si>
    <t>Has the mortgage on this ship been completely paid off?</t>
  </si>
  <si>
    <t>E1 Advanced - Increased Power</t>
  </si>
  <si>
    <t>D2 Advanced - Easy to Repair</t>
  </si>
  <si>
    <t>Increased Power</t>
  </si>
  <si>
    <t>Airlock Notes</t>
  </si>
  <si>
    <t>Cargo Bays (tons)</t>
  </si>
  <si>
    <t>Common Area (tons)</t>
  </si>
  <si>
    <t>Middle Staterooms (#/each)</t>
  </si>
  <si>
    <t>High Staterooms (#/each)</t>
  </si>
  <si>
    <t>Luxury Staterooms (#/each)</t>
  </si>
  <si>
    <t>Brig (#/each)</t>
  </si>
  <si>
    <t>ME Spaces</t>
  </si>
  <si>
    <t xml:space="preserve">cargo </t>
  </si>
  <si>
    <t>barracks</t>
  </si>
  <si>
    <t>common areas</t>
  </si>
  <si>
    <t>Stables (#/each)</t>
  </si>
  <si>
    <t>Engineering Spaces (tons)</t>
  </si>
  <si>
    <t>Bridge (tons)</t>
  </si>
  <si>
    <t>Weapons (tons)</t>
  </si>
  <si>
    <t>Docking/Hangars (tons)</t>
  </si>
  <si>
    <t>Screens (tons)</t>
  </si>
  <si>
    <t>Facilities</t>
  </si>
  <si>
    <t>User Defined:</t>
  </si>
  <si>
    <t>Docking Hangars</t>
  </si>
  <si>
    <t>Facilities (tons)</t>
  </si>
  <si>
    <t>Sensors (tons)</t>
  </si>
  <si>
    <t>(SOL) Personnel Excursion Bay, Small</t>
  </si>
  <si>
    <t>(SOL) Personnel Excursion Bay, Small, Extreme Hazard</t>
  </si>
  <si>
    <t>(SOL) Personnel Excursion Bay, Large</t>
  </si>
  <si>
    <t>(SOL) Personnel Excursion Bay, Large, Extreme Hazard</t>
  </si>
  <si>
    <t>Are Grav Screens Crewed?</t>
  </si>
  <si>
    <t>Integrated Munitions System</t>
  </si>
  <si>
    <t>IMS Crew</t>
  </si>
  <si>
    <t>Vehicle Weapon Turrets &gt;.25 Dt</t>
  </si>
  <si>
    <t>Small Weapon Turrets&lt;.25Dt</t>
  </si>
  <si>
    <t>Weapon Spaces</t>
  </si>
  <si>
    <t xml:space="preserve"> Tons of  Wpns &gt;.25Dt</t>
  </si>
  <si>
    <t>Shrine to Heroes</t>
  </si>
  <si>
    <t>Pod Clusters (Droyne)</t>
  </si>
  <si>
    <t>Pod Clusters</t>
  </si>
  <si>
    <t>Droyne Housing for 6</t>
  </si>
  <si>
    <t>B Budget - Energy Inefficient</t>
  </si>
  <si>
    <t>Budget - Energy Inefficient</t>
  </si>
  <si>
    <t>B Budget - Increased Size</t>
  </si>
  <si>
    <t>Budget - Increased Size</t>
  </si>
  <si>
    <t>D Adv - Easy to Repair</t>
  </si>
  <si>
    <t>Adv - Easy to Repair</t>
  </si>
  <si>
    <t>D Adv - Size Reduction</t>
  </si>
  <si>
    <t>Adv - Size Reduction</t>
  </si>
  <si>
    <t>P Prototype - Increased Size</t>
  </si>
  <si>
    <t>R Early Prototype-Increased Size x2</t>
  </si>
  <si>
    <t>Prototype - Increased Size</t>
  </si>
  <si>
    <t>Early Prototype-Increased Size x2</t>
  </si>
  <si>
    <t>R Early Prototype-Increased Size/Inefficient</t>
  </si>
  <si>
    <t>R Early Prototype-Increased Size/Inaccurate</t>
  </si>
  <si>
    <t>Early Prototype-Increased Size/Inefficient</t>
  </si>
  <si>
    <t>Early Prototype-Increased Size/Inaccurate</t>
  </si>
  <si>
    <t>Early Prototype-Inaccurate/Inefficient</t>
  </si>
  <si>
    <t>Early Prototype-Energy Inefficient x2</t>
  </si>
  <si>
    <t>R Early Prototype-Inaccurate/Inefficient</t>
  </si>
  <si>
    <t>R Early Prototype-Energy Inefficient x2</t>
  </si>
  <si>
    <t>Turrets</t>
  </si>
  <si>
    <t>Missile Turrets</t>
  </si>
  <si>
    <t>Mod List Generator</t>
  </si>
  <si>
    <t>Mis/Torp</t>
  </si>
  <si>
    <t>Mis/Torp?</t>
  </si>
  <si>
    <t>a</t>
  </si>
  <si>
    <t>b</t>
  </si>
  <si>
    <t>c</t>
  </si>
  <si>
    <t>d</t>
  </si>
  <si>
    <t>e</t>
  </si>
  <si>
    <t>f</t>
  </si>
  <si>
    <t>g</t>
  </si>
  <si>
    <t>h</t>
  </si>
  <si>
    <t>i</t>
  </si>
  <si>
    <t>j</t>
  </si>
  <si>
    <t>k</t>
  </si>
  <si>
    <t>l</t>
  </si>
  <si>
    <t>m</t>
  </si>
  <si>
    <t>n</t>
  </si>
  <si>
    <t>o</t>
  </si>
  <si>
    <t>p</t>
  </si>
  <si>
    <t>q</t>
  </si>
  <si>
    <t>r</t>
  </si>
  <si>
    <t>s</t>
  </si>
  <si>
    <t>t</t>
  </si>
  <si>
    <t>u</t>
  </si>
  <si>
    <t>v</t>
  </si>
  <si>
    <t>w</t>
  </si>
  <si>
    <t>x</t>
  </si>
  <si>
    <t>y</t>
  </si>
  <si>
    <t>z</t>
  </si>
  <si>
    <t>P Prototype - Energy Inefficient</t>
  </si>
  <si>
    <t>Budget - Budget - Increased Size</t>
  </si>
  <si>
    <t>Red Size - 10%</t>
  </si>
  <si>
    <t>Red Size - 20%</t>
  </si>
  <si>
    <t>Red Size - 15%</t>
  </si>
  <si>
    <t>D Reduced Size</t>
  </si>
  <si>
    <t>D Reduced Size x2</t>
  </si>
  <si>
    <t>D Reduced Size x3</t>
  </si>
  <si>
    <t>R Early Prototype-Inaccurate/Energy Inefficient</t>
  </si>
  <si>
    <t>Prototype - Energy Inefficient</t>
  </si>
  <si>
    <t>Early Prototype-Inaccurate/Energy Inefficient</t>
  </si>
  <si>
    <t>Early Prototype- Increased Size/Energy Inefficient</t>
  </si>
  <si>
    <t>R Early Proto - Increased Size x2</t>
  </si>
  <si>
    <t>Early Proto - Increased Size x2</t>
  </si>
  <si>
    <t>Proto - Increased Size</t>
  </si>
  <si>
    <t>R Early Proto - Increased Size/Inaccurate</t>
  </si>
  <si>
    <t>R Early Proto - Inaccurate x2</t>
  </si>
  <si>
    <t>Proto - Inaccurate</t>
  </si>
  <si>
    <t>Early Proto - Increased Size/Inaccurate</t>
  </si>
  <si>
    <t>Early Proto - Inaccurate x2</t>
  </si>
  <si>
    <t>Proto -Energy Inefficient</t>
  </si>
  <si>
    <t>R Early Proto - Increased Size/Energy Inefficient</t>
  </si>
  <si>
    <t>R Early Proto - Energy Inefficient x2</t>
  </si>
  <si>
    <t>R Early Proto - Inaccurate/Energy Inefficient</t>
  </si>
  <si>
    <t>Early Proto - Increased Size/Energy Inefficient</t>
  </si>
  <si>
    <t>Early Proto - Energy Inefficient x2</t>
  </si>
  <si>
    <t>Early Proto - Inaccurate/Energy Inefficient</t>
  </si>
  <si>
    <t>C Advanced - Reduced Size</t>
  </si>
  <si>
    <t>Reduced Size</t>
  </si>
  <si>
    <t>B1 Budget - Increased Size</t>
  </si>
  <si>
    <t>Budget-Increased Size</t>
  </si>
  <si>
    <t>Increased Size Prototype</t>
  </si>
  <si>
    <t>Increased Size Early Prototype</t>
  </si>
  <si>
    <t>Increased Size/Inefficient Early Prototype</t>
  </si>
  <si>
    <t>Tc Early Prototype - Increased Size/Inefficient</t>
  </si>
  <si>
    <t>Ta Early Prototype - Increased Size x2</t>
  </si>
  <si>
    <t>Pa Prototype - Increased Size</t>
  </si>
  <si>
    <t>Pb Prototype - Inefficient</t>
  </si>
  <si>
    <t>Tb Early Prototype - Inefficient x2</t>
  </si>
  <si>
    <t>D2 Advanced - Reduced Size</t>
  </si>
  <si>
    <t>Tb Early Prototype - Increased Size x2</t>
  </si>
  <si>
    <t>Td Early Prototype - Increased Size, Inefficient</t>
  </si>
  <si>
    <t>Te Early Prototype- Increased Size, Limit Rng</t>
  </si>
  <si>
    <t>Tf Early Prototype- Inefficient, Limit Rng</t>
  </si>
  <si>
    <t>Tc Early Prototype - Inefficient x2</t>
  </si>
  <si>
    <t>Increased Size x2 Early Prototype</t>
  </si>
  <si>
    <t>Inefficient x2 Early Prototype</t>
  </si>
  <si>
    <t>Increased Size, Inefficient Early Prototype</t>
  </si>
  <si>
    <t>Increased Size, Ltd Rng Early Prototype</t>
  </si>
  <si>
    <t>B2 Budget - Fuel Inefficient</t>
  </si>
  <si>
    <t>Pb Prototype -  Fuel Inefficient</t>
  </si>
  <si>
    <t>Tb Early Prototype -  Fuel Inefficient x2</t>
  </si>
  <si>
    <t>Tc Early Prototype - Increased Size,  Fuel Inefficient</t>
  </si>
  <si>
    <t>D4 Advanced - Reduced Size</t>
  </si>
  <si>
    <t>Te Early Prototype Late Jump, Inefficient</t>
  </si>
  <si>
    <t>Tf Early Prototype Increased Size, Late Jump</t>
  </si>
  <si>
    <t>Late Jump, Inefficient Early Prototype</t>
  </si>
  <si>
    <t>Late Jump, Increased Size Early Prototype</t>
  </si>
  <si>
    <t>Note that the Custom Screen below adds itself as a selection to the Globe Generator Listing. It is intended as a persistent user defined type of Screen/Shield/Globe that can then be selected and added above</t>
  </si>
  <si>
    <t>Stewards</t>
  </si>
  <si>
    <t>Passengers</t>
  </si>
  <si>
    <t>Passenger Accomodations</t>
  </si>
  <si>
    <t>One additional crew</t>
  </si>
  <si>
    <t>Frozen Watch Low Berths</t>
  </si>
  <si>
    <t>Low Passage Berths</t>
  </si>
  <si>
    <t>Frozen Watch/Low Passage</t>
  </si>
  <si>
    <t>Adjustable Hull for free popup turrets</t>
  </si>
  <si>
    <t>301 - 2,000 tons</t>
  </si>
  <si>
    <t>Over 2,000 tons</t>
  </si>
  <si>
    <t>Reduce Rads by 1,000</t>
  </si>
  <si>
    <t>Acceleration Seats *</t>
  </si>
  <si>
    <t>RAW: Ships greater than 7,500 tons are not permitted to use additional sensor stations</t>
  </si>
  <si>
    <t>R Early Prototype-Increased Size/Energy Inefficient</t>
  </si>
  <si>
    <t>Toggle for Section Shading in the Summary Tab is:</t>
  </si>
  <si>
    <t>On</t>
  </si>
  <si>
    <t>First in Class Cost</t>
  </si>
  <si>
    <t>Construction Time:</t>
  </si>
  <si>
    <t>Modular Construction %:</t>
  </si>
  <si>
    <t>Construction Time rounded up to whole days</t>
  </si>
  <si>
    <t>User Defined Weapon Mount</t>
  </si>
  <si>
    <t>Mount Type</t>
  </si>
  <si>
    <t>Planetoid House Rules</t>
  </si>
  <si>
    <t>Use Total Tons for Modular Section Limit:</t>
  </si>
  <si>
    <t>Allow Specialized Hull Types</t>
  </si>
  <si>
    <t>Allow Additional Hull Types</t>
  </si>
  <si>
    <t>Planetoid/Additional</t>
  </si>
  <si>
    <t>Planetoid/Specialized</t>
  </si>
  <si>
    <t>Mil</t>
  </si>
  <si>
    <t>No Fuel</t>
  </si>
  <si>
    <t>Small Theatres</t>
  </si>
  <si>
    <t>T12-Class Fighter (The Borderlands)</t>
  </si>
  <si>
    <t>USI-175-Class System Defense Boat (The Borderlands)</t>
  </si>
  <si>
    <t>Geiser System Craft (The Borderlands)</t>
  </si>
  <si>
    <t>Reacher Military Airship ‘High Warrior' (The Borderlands)</t>
  </si>
  <si>
    <t>Roadhauler XM (The Borderlands)</t>
  </si>
  <si>
    <t>Remember: Update Aw1, Aw, Ax,N27:O37 when adding craft</t>
  </si>
  <si>
    <t>Barracks (#/each)</t>
  </si>
  <si>
    <t>D1 Advanced - Reduced Size</t>
  </si>
  <si>
    <t>Hull Description</t>
  </si>
  <si>
    <t>Lifting Body</t>
  </si>
  <si>
    <t>Trussed</t>
  </si>
  <si>
    <t>Ad-Hoc</t>
  </si>
  <si>
    <t>Ringed</t>
  </si>
  <si>
    <t>Connected Pods</t>
  </si>
  <si>
    <t>Round</t>
  </si>
  <si>
    <t>Oval</t>
  </si>
  <si>
    <t>Teardrop</t>
  </si>
  <si>
    <t>Boxy</t>
  </si>
  <si>
    <t>Current</t>
  </si>
  <si>
    <t>Dispersed</t>
  </si>
  <si>
    <t>Lumpy</t>
  </si>
  <si>
    <t>Rounded</t>
  </si>
  <si>
    <t>Flat Cylinder</t>
  </si>
  <si>
    <t>Rounded Cylinder</t>
  </si>
  <si>
    <t>Hemisphere</t>
  </si>
  <si>
    <t>Irregular Shape</t>
  </si>
  <si>
    <t>Losenge</t>
  </si>
  <si>
    <t>Rounded Nose</t>
  </si>
  <si>
    <t>Disc</t>
  </si>
  <si>
    <t>Edge&gt;&gt;&gt;</t>
  </si>
  <si>
    <t>Ramscoop</t>
  </si>
  <si>
    <t>Additional Tonnage:</t>
  </si>
  <si>
    <t>Tons Per Week</t>
  </si>
  <si>
    <t>Streamlined Ramscoop</t>
  </si>
  <si>
    <t>This spreadsheet uses "," to separate 000's and "." to indicate decimals. If you get an #ARG! Error, check your EXCEL settings.</t>
  </si>
  <si>
    <t>Liters to Robot Slots</t>
  </si>
  <si>
    <t>*</t>
  </si>
  <si>
    <t>* (-x) indicates the slot is not full by that amount</t>
  </si>
  <si>
    <t>Show Slot Conversion?</t>
  </si>
  <si>
    <t>Upgrade Med Bay Beds to:</t>
  </si>
  <si>
    <t>Basic Autodoc</t>
  </si>
  <si>
    <t>Improved Autodoc</t>
  </si>
  <si>
    <t>Advanced Autodoc</t>
  </si>
  <si>
    <t>Beds available for upgrade:</t>
  </si>
  <si>
    <t>Autodoc overflow</t>
  </si>
  <si>
    <t>Upgrade low Berths To:</t>
  </si>
  <si>
    <t>Frozen Watch Overflow</t>
  </si>
  <si>
    <t>Low Berth Overflow</t>
  </si>
  <si>
    <t xml:space="preserve">    (Power for crew and passenger low berths)</t>
  </si>
  <si>
    <t>Advanced Low Berth</t>
  </si>
  <si>
    <t>Electric Prison Truck (Reach Adventure #9)</t>
  </si>
  <si>
    <t>Armoured Ground Car  (Reach Adventure #9)</t>
  </si>
  <si>
    <t>FuelScoop Stream,NoScoop</t>
  </si>
  <si>
    <t>FuelscoopUnstreamFreeScoop</t>
  </si>
  <si>
    <t>Robotics Laboratory</t>
  </si>
  <si>
    <t>Size 6 Robot Fabricator (128 Slots)</t>
  </si>
  <si>
    <t>Size 5 Robot Fabricator (64 Slots)</t>
  </si>
  <si>
    <t>Size 4 Robot Fabricator (32 Slots)</t>
  </si>
  <si>
    <t>Robotics Facilities (Robot Handbook)</t>
  </si>
  <si>
    <t>Avatar Chair</t>
  </si>
  <si>
    <t>Drone Control Console</t>
  </si>
  <si>
    <t>Swarm Control Console</t>
  </si>
  <si>
    <t>Basic Lab Control Robot</t>
  </si>
  <si>
    <t>Advanced Lab Control Robot</t>
  </si>
  <si>
    <t>Single drone capacity</t>
  </si>
  <si>
    <t>8 Drones/Swarm</t>
  </si>
  <si>
    <t>Robotic Lab Fabricators</t>
  </si>
  <si>
    <t>RobotLabFabOverflow</t>
  </si>
  <si>
    <t>Deluxe</t>
  </si>
  <si>
    <t>TooManyChairs</t>
  </si>
  <si>
    <t>Primitive</t>
  </si>
  <si>
    <t>Superior</t>
  </si>
  <si>
    <t>User Defined Gear/Robot</t>
  </si>
  <si>
    <t>Variable Emission Drive?</t>
  </si>
  <si>
    <t>Infiltration Capsule System</t>
  </si>
  <si>
    <t>Internal Aquatic Environment</t>
  </si>
  <si>
    <t>Multi-Environment</t>
  </si>
  <si>
    <t>Designate as Alternate Environment:                       Space remaining:</t>
  </si>
  <si>
    <t>Internal Aquatic</t>
  </si>
  <si>
    <t>Internal Deepwater</t>
  </si>
  <si>
    <t>Internal Aquatic Equipment</t>
  </si>
  <si>
    <t>Internal Deepwater Environment</t>
  </si>
  <si>
    <t>**Common Area Options count as Common Areas when designating Alternate Environment Spaces</t>
  </si>
  <si>
    <t>**</t>
  </si>
  <si>
    <t>Entirely Filled</t>
  </si>
  <si>
    <t>Mixed Environment</t>
  </si>
  <si>
    <t>Cr</t>
  </si>
  <si>
    <t>Ton</t>
  </si>
  <si>
    <t>Aquatic</t>
  </si>
  <si>
    <t>Deepwater</t>
  </si>
  <si>
    <t>Internal Deepwater Equipment</t>
  </si>
  <si>
    <t>mixed alt on entire fill</t>
  </si>
  <si>
    <t>ERROR             **Mixed Environment with Entirely Filled Selected**</t>
  </si>
  <si>
    <t>DesignatedSpace/EntireFillA</t>
  </si>
  <si>
    <t>DesignatedSpace/EntireFillD</t>
  </si>
  <si>
    <t>Cargo Error</t>
  </si>
  <si>
    <t>Min Level</t>
  </si>
  <si>
    <t>Mandated Passenger Storage Capacity:</t>
  </si>
  <si>
    <t>Adhere to rules requiring storage for passengers?</t>
  </si>
  <si>
    <t>Follow</t>
  </si>
  <si>
    <t>The boxed area adds no tonnage or cost to the ship.</t>
  </si>
  <si>
    <t>Environmental Selection</t>
  </si>
  <si>
    <t xml:space="preserve">The Environmental Selection area allocates systems created elsewhere in the sheet as using a specific alternate environment. </t>
  </si>
  <si>
    <t>Hull Options (Total Hull)</t>
  </si>
  <si>
    <t>Breakaway Secondary Hull Only</t>
  </si>
  <si>
    <t xml:space="preserve">   Note: Column A: Hull Options will cover both primary and secondary hulls</t>
  </si>
  <si>
    <t>Gravity?</t>
  </si>
  <si>
    <t>Configuration</t>
  </si>
  <si>
    <t>Armour Type</t>
  </si>
  <si>
    <t>Armour Value</t>
  </si>
  <si>
    <t>Military Hull</t>
  </si>
  <si>
    <t>TL 2ry</t>
  </si>
  <si>
    <t>Max Armor 2ry</t>
  </si>
  <si>
    <t>C1 Advanced Cost Reduction*</t>
  </si>
  <si>
    <t>C2 Very Advanced Cost Reduction*</t>
  </si>
  <si>
    <t>C3 High Tech Cost Reduction*</t>
  </si>
  <si>
    <t>Cost Reduction 1*</t>
  </si>
  <si>
    <t>Cost Reduction 2*</t>
  </si>
  <si>
    <t>Cost Reduction 3*</t>
  </si>
  <si>
    <t>*  Indicates a non-MgT2-standard Mod</t>
  </si>
  <si>
    <t>TL Cost Reduction 1*</t>
  </si>
  <si>
    <t>TL Cost Reduction 2*</t>
  </si>
  <si>
    <t>TL Cost Reduction 3*</t>
  </si>
  <si>
    <t>C TL+1 Cost Reduction*</t>
  </si>
  <si>
    <t>C TL+2 Cost Reduction*</t>
  </si>
  <si>
    <t>C TL+3 Cost Reduction*</t>
  </si>
  <si>
    <t>TL+1 Cost Reduction*</t>
  </si>
  <si>
    <t>TL+2 Cost Reduction*</t>
  </si>
  <si>
    <t>TL+3 Cost Reduction*</t>
  </si>
  <si>
    <t>**Non-Starship Weapons are sold outside of the shipyard.</t>
  </si>
  <si>
    <t>Standard - (TL+1) Advanced*</t>
  </si>
  <si>
    <t>Standard - (TL+2) Very Advanced*</t>
  </si>
  <si>
    <t>Standard - (TL+3) High Tech*</t>
  </si>
  <si>
    <t>2ry Armour Total</t>
  </si>
  <si>
    <t>User Defined</t>
  </si>
  <si>
    <t>User Defined Accomodations</t>
  </si>
  <si>
    <t>User Defined Accomodation 1</t>
  </si>
  <si>
    <t>User Defined Accomodation 2</t>
  </si>
  <si>
    <t>User Defined Accomodation 3</t>
  </si>
  <si>
    <t>User Defined Accomodation 4</t>
  </si>
  <si>
    <t>Name/Description</t>
  </si>
  <si>
    <t># Accomodated per unit</t>
  </si>
  <si>
    <t>Life Support Costs per Ton</t>
  </si>
  <si>
    <t>Std Middle Stateroom is 250Cr/ton (1000Cr/month)</t>
  </si>
  <si>
    <t>Std low Berth is 100Cr/ton (50Cr/Month/unit</t>
  </si>
  <si>
    <t>2ry</t>
  </si>
  <si>
    <t>Calculate Performance on Combined Breakaway Ship Drives?</t>
  </si>
  <si>
    <t>Breakaway Drive Allocatioin</t>
  </si>
  <si>
    <t>Main M-Drive</t>
  </si>
  <si>
    <t>FTL Drive</t>
  </si>
  <si>
    <t>Main FTL Drive</t>
  </si>
  <si>
    <t>Main Reaction Drive</t>
  </si>
  <si>
    <t>Secondary Reaction Drive</t>
  </si>
  <si>
    <t>Secondary M-Drive</t>
  </si>
  <si>
    <t>Secondary FTL Drive</t>
  </si>
  <si>
    <t>Main Hull Tons</t>
  </si>
  <si>
    <t>Secondary Hull Tons</t>
  </si>
  <si>
    <t>Combined Rating</t>
  </si>
  <si>
    <t>Main Tonnage</t>
  </si>
  <si>
    <t>Secondary Tonnage</t>
  </si>
  <si>
    <t>Main and Secondary Tons can use alternate tonnages in their calculations.</t>
  </si>
  <si>
    <t>Solar</t>
  </si>
  <si>
    <t>Combine</t>
  </si>
  <si>
    <t>F</t>
  </si>
  <si>
    <t>Note: This chart does not combine main and secondary drives</t>
  </si>
  <si>
    <t xml:space="preserve">Note: Checking combined perfomance of breakaway ships and entering full tonnage </t>
  </si>
  <si>
    <t>gives you the combined rating for Main and B/U drives working in concert.</t>
  </si>
  <si>
    <t>The Combined Rating above does not allow you to jump farther than the jump your software is rated for.</t>
  </si>
  <si>
    <t>Jump software:</t>
  </si>
  <si>
    <t>Robotic Crew</t>
  </si>
  <si>
    <t>Model/Name</t>
  </si>
  <si>
    <t>Other - Level</t>
  </si>
  <si>
    <t>Total Cost</t>
  </si>
  <si>
    <t>Levels</t>
  </si>
  <si>
    <t xml:space="preserve">Skill </t>
  </si>
  <si>
    <t>NOTE: If Robotic Crew is used, Select Custom for Crew Calculation. This will allow you to see the recommended Commercial/Military levels, but enter the number of sophonts you actually need.</t>
  </si>
  <si>
    <t>User Defined Fuel Storage</t>
  </si>
  <si>
    <t>Source</t>
  </si>
  <si>
    <t>Internal Cargo Bays</t>
  </si>
  <si>
    <t>External Cargo</t>
  </si>
  <si>
    <t>Slots</t>
  </si>
  <si>
    <t>Induction Plates</t>
  </si>
  <si>
    <t>Size 5 (Human)=16 slots</t>
  </si>
  <si>
    <t>Size 8 (Orca) = 128 slots</t>
  </si>
  <si>
    <t>Size 7 (Bear) = 64 slots</t>
  </si>
  <si>
    <t>Size 6 (Lion) = 32 slots</t>
  </si>
  <si>
    <t>Each robot requires:</t>
  </si>
  <si>
    <t>Total Slots</t>
  </si>
  <si>
    <t>Crew Robot Slots</t>
  </si>
  <si>
    <t>See Induction Plates for optional charging under Robotics Facilities in the 9b-Optional Tab.</t>
  </si>
  <si>
    <t>User Defined Crew1</t>
  </si>
  <si>
    <t>User Defined Crew2</t>
  </si>
  <si>
    <t>User Defined Pass1</t>
  </si>
  <si>
    <t>User Defined Pass2</t>
  </si>
  <si>
    <t>UseDefHabNames</t>
  </si>
  <si>
    <t>Flat Cost</t>
  </si>
  <si>
    <t>Tons Per Ton of Fuel +</t>
  </si>
  <si>
    <t>new technologies prior to implementaion in this sheet.</t>
  </si>
  <si>
    <t>Flat Ton Usage</t>
  </si>
  <si>
    <t>Cost Per Ton of Fuel +</t>
  </si>
  <si>
    <t>and a per unit size/cost.</t>
  </si>
  <si>
    <t>Power/Ton</t>
  </si>
  <si>
    <t>Internal Cargo Available:</t>
  </si>
  <si>
    <t>External Cargo Available:</t>
  </si>
  <si>
    <t>Bays/Internal</t>
  </si>
  <si>
    <t>Nets/Racks</t>
  </si>
  <si>
    <t>Fuel Overfow</t>
  </si>
  <si>
    <t>Ignore HG'22 Prohibitions on Power Plants in Modules?</t>
  </si>
  <si>
    <t>No Bridge</t>
  </si>
  <si>
    <t>Ship</t>
  </si>
  <si>
    <t>Low Berth?</t>
  </si>
  <si>
    <t>Drone Ship</t>
  </si>
  <si>
    <t>Civilian Grade</t>
  </si>
  <si>
    <t>Military Grade</t>
  </si>
  <si>
    <t xml:space="preserve">Improved </t>
  </si>
  <si>
    <t xml:space="preserve">Advanced </t>
  </si>
  <si>
    <t>Edge&gt;&gt;</t>
  </si>
  <si>
    <t>Toggle for Unused Space Notification in Summary Tab:</t>
  </si>
  <si>
    <t>Off</t>
  </si>
  <si>
    <t>Minimum Notification Setpoint:</t>
  </si>
  <si>
    <t>Size 8 Robot Fabricator (512 Slots)</t>
  </si>
  <si>
    <t>Size 7 Robot Fabricator (256 Slots)</t>
  </si>
  <si>
    <t>Size 3 Robot Fabricator (16 Slots)</t>
  </si>
  <si>
    <t>Size 2 Robot Fabricator (8 Slots)</t>
  </si>
  <si>
    <t>Size 1 Robot Fabricator (4 Slots)</t>
  </si>
  <si>
    <t>Size 0 Robot Fabricator (2 Slots)</t>
  </si>
  <si>
    <t>Small Plant Minimum</t>
  </si>
  <si>
    <t>SM Turret</t>
  </si>
  <si>
    <t>&gt;1 SMTurret</t>
  </si>
  <si>
    <t>(Middle Passage)</t>
  </si>
  <si>
    <t>Use CSC tie in for proto/retro Computers?</t>
  </si>
  <si>
    <t>Used Values:</t>
  </si>
  <si>
    <t>TL mod</t>
  </si>
  <si>
    <t>Cost mod</t>
  </si>
  <si>
    <t>Early Prototype*</t>
  </si>
  <si>
    <t>Prototype*</t>
  </si>
  <si>
    <t>Income</t>
  </si>
  <si>
    <t>Freight</t>
  </si>
  <si>
    <t>Mail</t>
  </si>
  <si>
    <t>Middle Passage</t>
  </si>
  <si>
    <t>High Passage</t>
  </si>
  <si>
    <t>Luxury Passage</t>
  </si>
  <si>
    <t>Luxury Double Occupancy</t>
  </si>
  <si>
    <t>High Double Occupancy</t>
  </si>
  <si>
    <t>Parsecs</t>
  </si>
  <si>
    <t>Payments Received</t>
  </si>
  <si>
    <t>Staterooms Filled</t>
  </si>
  <si>
    <t>Spec Trade</t>
  </si>
  <si>
    <t>Per Ton</t>
  </si>
  <si>
    <t>Per SR</t>
  </si>
  <si>
    <t>(2 sophonts - use 0.5 for a single, or change SR to single occupancy for Middle passage)</t>
  </si>
  <si>
    <t>Switch SR to single occupancy for correct fee if not occupied by 2 sophonts</t>
  </si>
  <si>
    <t>1 Middle Passenger</t>
  </si>
  <si>
    <t>1 High Passenger</t>
  </si>
  <si>
    <t>1 Luxury Passenger</t>
  </si>
  <si>
    <t>Total Cargo Income:</t>
  </si>
  <si>
    <t>Total Passenger Income:</t>
  </si>
  <si>
    <t>Total Income:</t>
  </si>
  <si>
    <t>Basic/Steerage (2 tons)</t>
  </si>
  <si>
    <t>Middle Double Occupancy</t>
  </si>
  <si>
    <t>Middle Staterooms</t>
  </si>
  <si>
    <t>(Middle or Basic Passage)</t>
  </si>
  <si>
    <t>Double occupancy adds 50% for second sophont</t>
  </si>
  <si>
    <t>1 low berth</t>
  </si>
  <si>
    <t>Luxury Passages based on Singularity pricing</t>
  </si>
  <si>
    <t>1 Standby Luxury Passenger</t>
  </si>
  <si>
    <t>Standby means a Luxury Passenger in a High Stateroom</t>
  </si>
  <si>
    <t>Basic and Middle Double Occupancy share Capacity</t>
  </si>
  <si>
    <t>Standby and High Passage share Capacity</t>
  </si>
  <si>
    <t>Standby Luxury Passage</t>
  </si>
  <si>
    <t>Standby Luxury Double Occupancy</t>
  </si>
  <si>
    <t>of</t>
  </si>
  <si>
    <t>Add Robot costs to Mortgage/Purchase Price?</t>
  </si>
  <si>
    <t>Self Maintenance</t>
  </si>
  <si>
    <t>Enhancement?</t>
  </si>
  <si>
    <t>Maintenance</t>
  </si>
  <si>
    <t>Monthly</t>
  </si>
  <si>
    <t xml:space="preserve">that only referee fiat would have maintenance occur during the </t>
  </si>
  <si>
    <t>duration of a normal campaign, so the cost is effectively zero.</t>
  </si>
  <si>
    <t>for purposes of simplifying maintenance payments.</t>
  </si>
  <si>
    <t>Outdated/Used Ships</t>
  </si>
  <si>
    <t>Age:</t>
  </si>
  <si>
    <t>New</t>
  </si>
  <si>
    <t>Black-listed: DM-1 Broker</t>
  </si>
  <si>
    <t>Severely Damaged: -1 Hull</t>
  </si>
  <si>
    <t>Leaky Reactor Core: Jump on 12, 2Dx20 Rads</t>
  </si>
  <si>
    <t>Well Maintained: 50% Maintenance Costs</t>
  </si>
  <si>
    <t>Upgraded Sensors</t>
  </si>
  <si>
    <t>Luxurious: DM+1 Steward</t>
  </si>
  <si>
    <t>Extra Turret if possible</t>
  </si>
  <si>
    <t>Library computer erroneous</t>
  </si>
  <si>
    <t>Tainted Cargo Bay</t>
  </si>
  <si>
    <t>Notorious Battle: Enemies</t>
  </si>
  <si>
    <t>Disturbing Psionic Echoes</t>
  </si>
  <si>
    <t>Damaged Sensors: DM-1 Electronics(Sensors)</t>
  </si>
  <si>
    <t>DM-1 to all Repair attempts</t>
  </si>
  <si>
    <t>Double Maintenance Costs</t>
  </si>
  <si>
    <t>Severely Damaged: -10% Hull</t>
  </si>
  <si>
    <t>Damaged Thrusters: DM-1 Pilot</t>
  </si>
  <si>
    <t>Famous Ship: Good Reputation</t>
  </si>
  <si>
    <t>Library contains secret/unusual information</t>
  </si>
  <si>
    <t>Upgraded Computer</t>
  </si>
  <si>
    <t>Add a weapon up to MCr2</t>
  </si>
  <si>
    <t>Used:</t>
  </si>
  <si>
    <t>Quirks</t>
  </si>
  <si>
    <t>User Defined 1:</t>
  </si>
  <si>
    <t>User Defined 2:</t>
  </si>
  <si>
    <t>&lt;&lt;&lt;Edge</t>
  </si>
  <si>
    <t>Layover (days):</t>
  </si>
  <si>
    <t>Jumps (4 weeks):</t>
  </si>
  <si>
    <t>Total Income (4 weeks):</t>
  </si>
  <si>
    <t>Buy Fuel?</t>
  </si>
  <si>
    <t>Total Expenses (4 weeks):</t>
  </si>
  <si>
    <t>Fuel:</t>
  </si>
  <si>
    <t>Is Crew Paid in Shares or Salary?</t>
  </si>
  <si>
    <t>Salary</t>
  </si>
  <si>
    <t>Override Purchase Price for Mortgage?</t>
  </si>
  <si>
    <t>Revised Purchase Price</t>
  </si>
  <si>
    <t>Used Ship Trade-Ins/Negotiations</t>
  </si>
  <si>
    <t>Monthly Report</t>
  </si>
  <si>
    <t>Variable Report</t>
  </si>
  <si>
    <t>Time Period (Days):</t>
  </si>
  <si>
    <t>Number of Jumps:</t>
  </si>
  <si>
    <t>Income:</t>
  </si>
  <si>
    <t>Expenses:</t>
  </si>
  <si>
    <t>Externally Added/Unlisted</t>
  </si>
  <si>
    <t>Staterooms from Modules,</t>
  </si>
  <si>
    <t>Pods &amp; Carried Ships</t>
  </si>
  <si>
    <t>Cargo from Modules,</t>
  </si>
  <si>
    <t>Buy Additional Fuel?</t>
  </si>
  <si>
    <t>This column increases the</t>
  </si>
  <si>
    <t>Max for Cargo and Stateroom</t>
  </si>
  <si>
    <t>Capacity, allowing for situations</t>
  </si>
  <si>
    <t>not yet handled by the sheet.</t>
  </si>
  <si>
    <t>Edge &gt;&gt;&gt;</t>
  </si>
  <si>
    <t>Served with Distinction: Good Navy rep</t>
  </si>
  <si>
    <t>Use SCC Fuel for All Ships (House Rule)?</t>
  </si>
  <si>
    <t>Retro*</t>
  </si>
  <si>
    <t>Improved Energy Shields</t>
  </si>
  <si>
    <t>Advanced Energy Shields</t>
  </si>
  <si>
    <t>Robot Input Interface (Robotic UI Software)</t>
  </si>
  <si>
    <t>Software package: Allows Ship's Brain to run any of the Ship's Computer Software</t>
  </si>
  <si>
    <t>Comms</t>
  </si>
  <si>
    <t>Use Core24 Bridge Rule</t>
  </si>
  <si>
    <t>Rule Selection:</t>
  </si>
  <si>
    <t>EDGE&gt;&gt;</t>
  </si>
  <si>
    <t>Show Errors on Summary?</t>
  </si>
  <si>
    <t>Show Grid Lines on Summary?</t>
  </si>
  <si>
    <t>Select Room Type</t>
  </si>
  <si>
    <t>* Leave Blank to use Type default trip prices</t>
  </si>
  <si>
    <t>Enter Base Trip Price *</t>
  </si>
  <si>
    <t>Max Passengers</t>
  </si>
  <si>
    <t>Single rates shown. Additional passengers in a single non-basic room add 50%</t>
  </si>
  <si>
    <t>Base Price</t>
  </si>
  <si>
    <t>Room Type determines price per parsec multipliers</t>
  </si>
  <si>
    <t>MaxSR</t>
  </si>
  <si>
    <t>Profitability Tab Info</t>
  </si>
  <si>
    <t>Listed</t>
  </si>
  <si>
    <t>Listed Freight and Accomodations on Carried Craft/Pods/Modules  for Profitability Tab</t>
  </si>
  <si>
    <t>Enter Data for a Single Example of the Craft/Pod/Module</t>
  </si>
  <si>
    <t>Self-Maintenance Mod</t>
  </si>
  <si>
    <t>Self Maintenance Mod</t>
  </si>
  <si>
    <t>Conduct Repairs in Deep Space</t>
  </si>
  <si>
    <t>Astrographic Plotting and Analysis Chamber</t>
  </si>
  <si>
    <t>Integrated Long Range Sensor Suite</t>
  </si>
  <si>
    <t>Sensor Stations (1-6)</t>
  </si>
  <si>
    <t>Self Desruct Systems</t>
  </si>
  <si>
    <t>Self Destruct Lattice</t>
  </si>
  <si>
    <t>Crew Armoury</t>
  </si>
  <si>
    <t>Marine Armoury</t>
  </si>
  <si>
    <t>Base Support Facility</t>
  </si>
  <si>
    <t>Enhanced Deconstruction Chamber</t>
  </si>
  <si>
    <t>Basic, Early Prototype</t>
  </si>
  <si>
    <t>Basic, Prototype</t>
  </si>
  <si>
    <t>Improved, Early Prototype</t>
  </si>
  <si>
    <t>Improved, Prototype</t>
  </si>
  <si>
    <t>Enhanced, Early Prototype</t>
  </si>
  <si>
    <t>Enhanced, Prototype</t>
  </si>
  <si>
    <t>Ship's Standalone External Fabricators</t>
  </si>
  <si>
    <t>Advanced, Early Prototype</t>
  </si>
  <si>
    <t>Advanced, Prototype</t>
  </si>
  <si>
    <t>Superior, Early Prototype</t>
  </si>
  <si>
    <t>Superior, Prototype</t>
  </si>
  <si>
    <t>Ship's Combined External Deconstruction/Fabrication Chambers</t>
  </si>
  <si>
    <t>Standard Installed</t>
  </si>
  <si>
    <t>High Yield Installed</t>
  </si>
  <si>
    <t>External Retractable Shelter</t>
  </si>
  <si>
    <t>Shelter</t>
  </si>
  <si>
    <t>July 26: New Weapons Tab - .1 fixed Record sheet issue; .2 Fixed an issue with HP02 and HP03 Cost calculations</t>
  </si>
  <si>
    <t>July 28: Bug fixes</t>
  </si>
  <si>
    <t>July 29: Updated Screens Tab, bug fix</t>
  </si>
  <si>
    <t>October 8: requested changes to how the crew calculates broke the monthly salary calculation when added a column. That's fixed</t>
  </si>
  <si>
    <t>November 18: Fixed an error that caused you to pay for a grav screen whether you bought one or not.</t>
  </si>
  <si>
    <t>November 25: Fixed an issue with the calculations for cargo cranes and loading ramps.</t>
  </si>
  <si>
    <t>December 17: Found an issue with single laser turrets and the SSD page.</t>
  </si>
  <si>
    <t>January 4 2022: Updated Stealth Jump to conform with Highguard Errata. Now uses one Mod slot.</t>
  </si>
  <si>
    <t>January 8: Corrected an issue with Sensors on the SSD.</t>
  </si>
  <si>
    <t>January 21: A typo in a drop down list affected mixed weapon turrets</t>
  </si>
  <si>
    <t>March 14: Fixed maintenance on Ship's Info tab and the Record Sheet. Fix for compatibility on Weapons tab power formula</t>
  </si>
  <si>
    <t>March 15 - Fix for the fix on Fix for compatibility on Weapons tab power formula</t>
  </si>
  <si>
    <t>August 6 - Implemented many of the changes from High Guard Update 2022... still a few missing, such as Hop and Skip drives.</t>
  </si>
  <si>
    <t>August 7 - Fixed new function of Intellect software. Added Battle Network. Corrected drop downs on mixed turrets. Corrected Sick bay for new 3 patient limit. External link removed</t>
  </si>
  <si>
    <t>August 12 - The new stats for Ion Cannon Barbettes from today's update to HG2/U2022 has been included/ M-Drive TL's match update</t>
  </si>
  <si>
    <t>August 14 - Pressure Hulls (thanks Spartan159), Common Area Options. A few other fixes, like stealth jump. Concealed Drives replaces stealth for M-Drives. Armor now calculates correctly with sphere and streamlined hull configurations.</t>
  </si>
  <si>
    <t>August 18 - Implemented Gauss and Laser PBDs. Added Battle Loadout in parentheses for power on the Record Sheet. Hopefully will help when determining if/when you need to shut off systems due to damage. Fixed Mod calculations for drives/power plants so that costs for increased or decreased drive/plant volume is not calculated, only the cost of the mod, per HG examples.</t>
  </si>
  <si>
    <t>August 20 - Corrected small craft barbettes for the new 3 firm point usage.</t>
  </si>
  <si>
    <t>August 21 - Form tools removed, since they do not work on free versions of Excel.</t>
  </si>
  <si>
    <r>
      <t>August 25 - Fixed PDBs not displaying correctly on SDDs. Fixed Power sometimes not calculating correctly on Record Sheet after adding Battle </t>
    </r>
    <r>
      <rPr>
        <sz val="11"/>
        <color rgb="FFFFFFFF"/>
        <rFont val="Segoe UI"/>
        <family val="2"/>
      </rPr>
      <t>Load.</t>
    </r>
  </si>
  <si>
    <t>August 26 - Big bridges should now work properly. SSD Critical Chart uses Core 2022 chart now. Made the Critical Chart more legible.</t>
  </si>
  <si>
    <r>
      <t>S</t>
    </r>
    <r>
      <rPr>
        <sz val="11"/>
        <color theme="1"/>
        <rFont val="Segoe UI"/>
        <family val="2"/>
      </rPr>
      <t>eptember 6 - Added TL 16 Computers and sensor options from Behind the Claw.</t>
    </r>
  </si>
  <si>
    <t>September 7 - Fixed issue with the first three hardpoints and power mods.</t>
  </si>
  <si>
    <t>September 25 - Added Stations, Modules and research facilities.</t>
  </si>
  <si>
    <t>July 21 - July 8 update: Numerous changes up to the Sensors tab. Will be working on the Weapons tab next.</t>
  </si>
  <si>
    <t>September 27 - Small Craft barbettes no longer cost three times the listed value.</t>
  </si>
  <si>
    <t>September 30 - Small modules can hold big weapons without throwing errors.</t>
  </si>
  <si>
    <t>October 20 - Non-Excel compatibility issue fixed with Grapples and Forced Interlink Apparatus.</t>
  </si>
  <si>
    <t>October 27 - Mineral detection suites now take up space, as intended.</t>
  </si>
  <si>
    <r>
      <t>Feb</t>
    </r>
    <r>
      <rPr>
        <sz val="11"/>
        <color theme="1"/>
        <rFont val="Segoe UI"/>
        <family val="2"/>
      </rPr>
      <t>ruary 25 - Fixed issues with cargo section. Automated reduced crew requirements on large ships.</t>
    </r>
  </si>
  <si>
    <t>March 14/15 - Implemented Traveller Companion Ship Automation and limited data mining to the ship's main computer level. J7-9 control programs added.</t>
  </si>
  <si>
    <r>
      <t>Mar</t>
    </r>
    <r>
      <rPr>
        <sz val="11"/>
        <color theme="1"/>
        <rFont val="Segoe UI"/>
        <family val="2"/>
      </rPr>
      <t>ch 18 - Implemented Advanced Repulsor Bays (HG2022-pg34)</t>
    </r>
  </si>
  <si>
    <t>July 21 - Cannonades and the GP Mass Driver from the Companion Update 2024 are implemented.</t>
  </si>
  <si>
    <t>March 3 2023- Fixed Agriculture factories for stations (and big portable industrial ships).</t>
  </si>
  <si>
    <t>2021</t>
  </si>
  <si>
    <t>2022</t>
  </si>
  <si>
    <t>2023</t>
  </si>
  <si>
    <t>July 29 - Command bridges add 40 tons; Point Defense Batteries do not automatically add gunners to crew requirements.</t>
  </si>
  <si>
    <t>August 4 - Fixed an issue where small craft firmpoint barbettes use three times as much energy as they should.</t>
  </si>
  <si>
    <r>
      <t>Augus</t>
    </r>
    <r>
      <rPr>
        <sz val="11"/>
        <color theme="1"/>
        <rFont val="Segoe UI"/>
        <family val="2"/>
      </rPr>
      <t>t 11 - Corrected tables in the weapons tab returning out of range TL.</t>
    </r>
  </si>
  <si>
    <r>
      <t>Augu</t>
    </r>
    <r>
      <rPr>
        <sz val="11"/>
        <color theme="1"/>
        <rFont val="Segoe UI"/>
        <family val="2"/>
      </rPr>
      <t>st 12 - Fixed an error that crept into some crew calculations.</t>
    </r>
  </si>
  <si>
    <r>
      <t>August 13</t>
    </r>
    <r>
      <rPr>
        <sz val="11"/>
        <color rgb="FFFFFFFF"/>
        <rFont val="Segoe UI"/>
        <family val="2"/>
      </rPr>
      <t> </t>
    </r>
    <r>
      <rPr>
        <sz val="11"/>
        <color theme="1"/>
        <rFont val="Segoe UI"/>
        <family val="2"/>
      </rPr>
      <t>- Corrected prices on weapon bays, changed the Aux bridge calculation and clarified the Add Command Bridge fields. Modular hulls now cost less per dTon as intended. All hull option costs are added on Record Sheet.</t>
    </r>
  </si>
  <si>
    <r>
      <t>August 2</t>
    </r>
    <r>
      <rPr>
        <sz val="11"/>
        <color theme="1"/>
        <rFont val="Segoe UI"/>
        <family val="2"/>
      </rPr>
      <t>9 - Virtual Gunner in computer tab now subtracts from required gunners in the Crew Tab. Virtual Crew remains manual via the Custom Crew setting.</t>
    </r>
  </si>
  <si>
    <t>September 07 - Reminder for Virtual Crew added to crew page. Correction to Officer calculation.</t>
  </si>
  <si>
    <t>December 12 - Fixed a circular reference in commercial crew calculations. Implemented Fuel/Cargo Containers.</t>
  </si>
  <si>
    <t>2024</t>
  </si>
  <si>
    <t>April 10 - Solar Panels are now supported. Small weapon mounts should comply with HG22.</t>
  </si>
  <si>
    <t>August 6 - SSD now correctly reports the DM for superior sensors from Behind the Claw.</t>
  </si>
  <si>
    <t>September 30 - Implemented Hop and Skip Drives. Core computers reduce jump software to 0 Cr. Split out munitions types in Cargo Tab. Fixed issues resulting from those changes.</t>
  </si>
  <si>
    <t>October 5 - Implemented Deep Space Manoeuvering Systems</t>
  </si>
  <si>
    <t>October 13 - Revised Military Gunnery crew calculations</t>
  </si>
  <si>
    <t>October 21- Multiple Accumulators allowed. When using adjusted tonnage for drives, the jump section of fuel now uses that same number for its calculations.</t>
  </si>
  <si>
    <t>October 25- Added Total Fuel Capacity reminder to the Fuel Purification area; New Capital Ship SSD, located after Cargo Tab; Laser Bays and Burst lasers implemented, laser barbettes conform to Traders and Gunboats
-a: Hotfix to fix sandcasters being out of range in mixed turrets
-b: Sensop crew/station calculations</t>
  </si>
  <si>
    <t>October 28- Fixed a problem with Core110 computers.
Added table listing ratings at given tonnage based on current engines
a- Fixed bug with DSMS on Record Sheet
b- Sensor stations set at 1/7500 instead of crew size. Warning for unofficial builds.</t>
  </si>
  <si>
    <t>November 11- Computer Brains
Fuel/Cargo Containers can use the main tanks and can have cargo cranes and loading belts. Due to the ability to use main tanks, it will be in the Fuel tab and the Summary's Fuel Section.
Craft are now supported. Because of clamps, I can't do an automatic comparison of craft vs docking capacity. You are on your own there.
I think I finally fixed the add-on Command Bridge... even though I could swear I had that one done a while ago
Thanks to Terry Mixon for the fabricator/deconstructor section on the 9b-Optional Tab
Cargo bays can now be separately armored, as can magazine storage.
The Summary replaces most of the Record Sheet.</t>
  </si>
  <si>
    <t>November 15- Solomani equipment from Rim Expeditions added</t>
  </si>
  <si>
    <t>November 18- Fixed the issue with large vehicle bays having the same entry in both slots, thus not having an Hazardous rated version.
Aux Cons can be designated as SCC's.
Designating an an Aux Con as a SCC in a module now deactivates error notification.
Thanks again to Terry Mixon, for adding more craft to the list.
-a: Expanded utility of Miscellaneous crew and allowed for better definition of certain General Crew members with toggles to subtract Misc categories from General Crew so they don't overlap.</t>
  </si>
  <si>
    <t>November 19- Fixed the Solomani Research Scoop. No longer standard on all ships. (Oops)
Fiddled with crew some. Extra crew can be added, that won't go away with ship size or automation.
Added ship expenses to the Summary and Ship Info page
Added Low Emissions to M-Drive mods
You can select between normal and concealed Docking Spaces and Hangar Bays
-a Fixed error in Summary Total</t>
  </si>
  <si>
    <t>November 20- Implemented Pods. Use Module on Ship's Info, but say YES for fully spaceworthy pod. That will let you get away with no bridge, get the cost reduction for no gravity and put a power plant inside. It CAN have SCC's.
Modules no longer make you put a scanner in, so you can go to zero without hitting an error
The Record Sheet Tab is gone. The Summary Tab replaces it.
Non-gravitic hulls now properly reduce power requirements.
-a Fixed software remaining when computer removed.</t>
  </si>
  <si>
    <t>November 26- Changed the way Long Range mod reports. Previously it was Rng +1 to avoid tripping over missiles.
Now it bump the weapon's reported range by one step.
Terry supplied more craft! Over 380 supported so far.</t>
  </si>
  <si>
    <t>December 8 - Modified systems so early prototype jump engines can have software.
Added another batch of vehicles from Terry Mixon
Implemented Short Duration Maneuver Drives
Implemented Gel Heat Management Systems
-a Railgun Barbettes show up again
Small Craft Fuel rule implemented</t>
  </si>
  <si>
    <t>December 13 - Glorious Empire Slave Quarters added.
Companion 2024 Weapons, except for spinal mounts, implemented.
Over 480 standard carried vehicles and spacecraft available. Thanks, once again Terry.
Gravity Shields from the Companion are also implemented.
No Bridge Drone Ships</t>
  </si>
  <si>
    <t>December 17 - Fixed the Summary, so small craft do not tell you that the free airlock(s) is/are not actually there.
You can toggle interplanetary seating to be counted for anyone, not just those listed as passengers.
Requested feature to also do page counts for tonnage and power have been implemented... placed where space was available, but highlighted and connected to make them easy to spot.
-b hotfix to make all accommodations count for small craft when toggled</t>
  </si>
  <si>
    <t>December 25- Added Disintegrator spinal mounts from Companion
Changed damage on spinals to xK instead of x1000 so it will fit better in the space in the SSD's
-a Screens has a custom space so you can define a different type of screen. When filled out, it will appear in the Globe Generator's drop down
-b Fixed bug where burst lasers on small craft had no range.
-c Bays were not displaying all selections
Custom Hardpoint was not selectable
Longer range small craft weapons no longer benefit from the long range mod. A warning will color the mod field yellow to alert you that the mod might not work.
-d Hotfix</t>
  </si>
  <si>
    <t>December 29- Updated Jump/Hop/Skip in the summary to make range clearer.
Added a toggle on the ship info tab to turn on/off mortgage payments
Implemented suggestions from Prodromoi:
Power plant mod changed to Increased Power, counts as two mods
Cylinder hull spelling corrected
Hull points and amount of radiation shielded show on Summary
Added Notes for airlocks, which appear on summary</t>
  </si>
  <si>
    <t>2025</t>
  </si>
  <si>
    <t>Jan 01 - Updated the way Multi-Environmental Spaces report
Fixed more spelling errors
The summary for training was off by one field. Fixed
Added user-defined descriptors for labs, studios and training facilities.
-a hotfix for tonnage calculation on Staterooms tab
-b hotfix for powerplant small mod</t>
  </si>
  <si>
    <t>Jan 06 - Fixed a fault in the Power Distribution calculations
Added a toggle on the Screens tab to let you determine whether Grav Screens are crewed or not.
Implemented Sword Worlder Integrated Munitions System to Spinal Mounts. When installed, each missile magically becomes the size of a sand cannister.
Eliminated conditional formatting that didn't like armour being greater than hull points.
Pods are now their own type.
Ship and Station now both use their size for crew reduction</t>
  </si>
  <si>
    <t>Jan 10 - Modules and Pods use the size of the mother ship for their crew reduction
You can now use that toggle for Grav Screens.
Ranges show up on the SSD's again.
35 ton craft show the correct number of firmpoints. Thanks Terry.
Fixed Virtual Gunner</t>
  </si>
  <si>
    <t>Jan 11 - Small Weapons fix</t>
  </si>
  <si>
    <t>Jan 17 - Replaced Installed/Not Installed with a notes field for docking bays, hangars and Launch Recovery. This allows you to name the group and eliminates the annoying additional step for these components.
Mod Names are closer to the book value, and weapons mods that are not allowed for a weapon type are removed for that type. (If you wish to implement those mods, they can be created in the custom weapon slots)
Added some alien components for which I either have the rules or was able to deduce stats from official designs.
-a Hotfix to correct summary display of clamps
-b Hotfix. Turrets #2 and #3 were not displaying cost correctly after reworking Mods
-c Hotfix. Turret 3 going exponential on power. Feature request to calculate stewards based on staterooms</t>
  </si>
  <si>
    <t>Jan 19 - The steward calculation has been changed again. Wholly based on passenger accommodations.
Crew and passenger accommodations have been split. This will allow a (not particularly near) future update to include and evaluate moral/quality for serving crews/passenger contentment and recommendations.
Fixed a problem with Backup FTL mods and excess load calculation</t>
  </si>
  <si>
    <t>Jan 20 - Installing an Adjustable Hull negates the extra cost of pop-up turrets.</t>
  </si>
  <si>
    <t>Jan 22 - Terry Mixon submitted a change to get the Summary Page to display numbers in the text fields to show comma separations for large numbers.
Terry also suggested adding a TOTAL CREW line to the summary.</t>
  </si>
  <si>
    <t>Jan 26 - Optional Section Shading on the Summary Tab
Cost of First-in-Class listed below cost on Ship's Info Tab
Construction Time Calculator added to Ship's Info Tab</t>
  </si>
  <si>
    <t>Feb 02 - Fixed User defined weapons and hardpoint
Class - Role displays on the Summary
The Summary now indicates if a Computer is the Backup
Weapons in multi-use turrets are now separated by commas in the Summary listing
-a Hotfix for user defined hardpoints</t>
  </si>
  <si>
    <t>Feb 7 - Scientific Operations Suites count as laboratories for purposes of Fabricators.</t>
  </si>
  <si>
    <t>Feb 8 - Planetoid Hulls more compliant with HG'22
Fixed a power calculation for Hardpoint 1 when Mixed Use is active.</t>
  </si>
  <si>
    <t>Feb 21 - Borderland vehicles and small craft included for carried craft - Thanks Terry!
More conversions away from H/V Lookup.</t>
  </si>
  <si>
    <t>Mar 6 - Adjusted more displays to show decimal fractions
WIP on one box for standard HG'22 Hull Configurations and another for a secondary description.</t>
  </si>
  <si>
    <t>Mar 17 - Ramscoops implemented</t>
  </si>
  <si>
    <t>Mar 22 - Fixed a problem with the fuel scoops error showing on the ram scoop, and the fuel scoop error not reporting correctly
Fixed a few fields that Terry found that had no comma separations. Thanks Terry.</t>
  </si>
  <si>
    <t>Mar 23 - Can replace med bay beds and low berths with autodocs
Corrected calculation of total low berth power</t>
  </si>
  <si>
    <t>Mar 27 - Added vehicles from Reach Adventure #9. Thanks Terry</t>
  </si>
  <si>
    <t>Apr 03 - Stealth tonnage now reports correctly on Summary.</t>
  </si>
  <si>
    <t>Apr 05 - Summary updated to show Sensor TL Errors and improper Free Fuel Scoop Use on Fuel Tab.
-a Corrected error in formula in Fuel tab error checking that drove the Summary nuts if you streamlined your hull.</t>
  </si>
  <si>
    <t>Apr 08 - Implemented request for Robotics Labs from the Robot handbook.
-a Updated Vaults to HG'22</t>
  </si>
  <si>
    <t>Apr 11 - Implemented Riverland additions implemented
-a minor adjustment (commas in some numbers), Fabricator prototypes
-b Spheres no longer counted as planetoid, and vice versa, in the Hull Tab.</t>
  </si>
  <si>
    <t>Apr 14 - Implemented Internal Aquatic and Internal Deepwater Evironments</t>
  </si>
  <si>
    <t>Apr 18 - Implemented rules for required steward levels in the Crew Tab
Automated adding required passenger storage in the Cargo Tab.
TM5 - Fixed error with entertainment section
change to passenger storage reporting
-a Passenger Storage goes away on Summary when = Zero.</t>
  </si>
  <si>
    <t>May 01 - Summary, Hull and Drive Tabs updated for Breakaway Hull calculations.
Robotic Crew added to Crew Tab
Induction Plates added to Robotic Facilities on 9-b Options Tab (You do not need a robotics lab for them to work)
Adjusted TL for Fuel Tanks to cover Low TL sources.
A Custom Fuel Storage type was added to the Fuel Tab. You can choose Hull, Internal Cargo or External Cargo as sources of space for your custom fuel tanks.
Custom Accommodations were added to the Stateroom Tab.
-a Fixed interplanetary seating toggle for crew
-b minor text fix
-c minor text fix
-d Toggle Allowing Power Plants on Modules to emulate bad official designs
-e Fixed a #VALUE error caused by other changes
-Drone Ship bridges no longer cause an error, and provide zero seats for small craft</t>
  </si>
  <si>
    <t>May 03 -If there is no computer, the TL's for non-existent programs goes to zero.
Military gunners no longer calculate to a negative, no matter how many virtual gunners you buy
-a The default basic sensor TL now goes to zero when you set QTY to zero.
Same with the Sol excursion bays on Tab 9b.
-b Eliminated Vlookup from sensors, so they report correctly and don't need "Class I,..." to keep them in alphabetical order
The summary now lists cost of passenger cabin space, and if you toggle Use interplanetary Seating on a small craft, it adds to passenger accommodations
-c Fixed issue with stateroom armored bulkheads
-d Fixed issue with Aux Sensors
-e Fixed more issues with Aux Sensors</t>
  </si>
  <si>
    <t>May 08 -Various bug fixes associated with changing Vlookup and Hlookup to Index(Match)
Minor feature requests noted above.</t>
  </si>
  <si>
    <t>May 09 -Toggle on Ship's Info Tab that controls Unused Space message in the Cargo area of the Summary.
Expanded the decimal points on the unused space field on the cargo tab to 3.
-a Rounded Unused space to 2 digits to avoid "Zero Hunting"</t>
  </si>
  <si>
    <t>May 13 -Robotic Crew triggers Crew tag in Summary</t>
  </si>
  <si>
    <t>May 31 -Terry added 0-8 Robot sizes for Robotic Labs. also two more user defined slots. I have those duplicated on my sheet and working in the Summary.
Stirling Fission Plants are now supported.
Removed rounding from the power plant fuel calculation as it was giving large numbers on super-small plants with years-long operating times.</t>
  </si>
  <si>
    <t>June13 -Hardpoint cost no longer affected by weapon modifications.</t>
  </si>
  <si>
    <t>June 20 -Fixed an error that crept in from changes affecting small craft turret/firmpoint costs
Sheet now checks for more than one small turret again
SSD moved to end of sheet with the Capital SSD
Added Optional CSC proto/retro handling of Ship's Computers, within the limits of HG customization. (2 proto, 3 High tech levels)
Added a profitability tab to (hopefully) help to calculate how much you might expect to make on standard or various runs
-a Fixed Crew Salaries on the Profitability Tab
-b High Passage reflects Core Rulebook
-c Update to Profitability Tab function
Standby Luxury Passengers in High Staterooms
Robot costs added to purchase price with toggle
Robot maintenance added to ship's maintenance
-d Included the calculations for freight that I missed
Quirks now implemented, bottom right on Ship's Info Tab
-e Terry updated Profitability to show a month's profit and added Fuel costs
Terry increased Robot skill max to 8</t>
  </si>
  <si>
    <t>June 21 - Crew Tab now toggles between Salary and Shares
Under Quirks on the Ship's Info Tab, there is a purchase price override. On the Summary, Mortgage will show the revised starting principle on the loan.
Cargo/Fuel bays now count on Profitability Tab
-a Added Variable Report to Profitability Tab that lets you specify any number of days to compare with any number of jumps.</t>
  </si>
  <si>
    <t>June 22 - Fixed an error with costs of Jump software when using an optional rule reduced price core computer.
Terry suggested adding Cargo and Passenger fields to handle Pods, modules and carried craft that might not show up on the main craft sheet.
Added ability to show additional fuel purchases for calculating expenses
-a Fixed validation issues
-b Outside additions from modules/carried ships now properly share the same pools of staterooms as the Stateroom Tab rooms.</t>
  </si>
  <si>
    <t>June 29 -Removed minimum fuel for small craft rule due to conflict with newer publication</t>
  </si>
  <si>
    <t>July 06 - Fixed a typo in quirks (Thanks Terry)
Fixed Railgun stats (Thanks DigrizJB)
-a Fixed an issue with the Full Collapsible Fuel Tank equation on the Cargo tab.</t>
  </si>
  <si>
    <t>July 07 - House Rule toggle applying the Small Craft Fuel Rule to all ships.</t>
  </si>
  <si>
    <t>July 10 - Power Tab's Power Distribution expanded to include station systems- Good catch Mavikfelna
Revised Retro computers for unlimited reductions instead of only three - Thanks Terry</t>
  </si>
  <si>
    <t>July 16 - Fixed an error on the summary that caused a FALSE when not using Small Craft Fuel Rules for all ships. Thanks MyndkryM</t>
  </si>
  <si>
    <t>July 17 - Improved and Advanced Energy Shields implemented. Thanks Endie</t>
  </si>
  <si>
    <t>July 22 - 100 ton ships now have 6 ton bridges
Added Comms to the standard list of skills for robotic crew</t>
  </si>
  <si>
    <t>October 05 -Terry's accommodations tally for carried craft/pods (9a) to effect the profitability tab is implemented.
-Retro calculates the backup computer separately
-Tytalan's printer friendly Summary implemented, controls on Ship's Info Tab
-Self maintenance mod implemented
-Self Destruct Lattice implemented
-Astrographic Plotting and Analysis chamber implemented. (It says it combines the plotting and grav analysis, but gives no other information, so that's what I did
-Integrated Long Range Sensor Suite implemented. If you use 6 stations, it is the stated 20 tons, otherwise it is smaller. Suite adds to Sensop crew count.
-Changes to custom accomodations (Staterooms Tab) to work better with Profitability Tab calculations
-A couple of minor error fixes.
a- 9b tonnage issue fixed.</t>
  </si>
  <si>
    <t>October 12 - Implemented Base Support Facilities for Armored Infantry.
-Separated out Armories to designate crew or marines. If it is an issue, I can add the generic one back in as another option.
-Terry Mixon did more work on Fabricators.</t>
  </si>
  <si>
    <t>High Passage DM+1</t>
  </si>
  <si>
    <t>Average # of</t>
  </si>
  <si>
    <t>Secure Accomodations</t>
  </si>
  <si>
    <t>Number of Units in</t>
  </si>
  <si>
    <t>Passengers/Block</t>
  </si>
  <si>
    <t>(SOL) VIP Suite</t>
  </si>
  <si>
    <t xml:space="preserve">(SOL) High Passage Block </t>
  </si>
  <si>
    <t>(SOL) Steerage Block</t>
  </si>
  <si>
    <t xml:space="preserve">Number of Blocks </t>
  </si>
  <si>
    <t>Housing Stewards</t>
  </si>
  <si>
    <t>Staff/Block</t>
  </si>
  <si>
    <t>(SOL) High Passage Block</t>
  </si>
  <si>
    <t>Use decimals for partially filled Steerage Block</t>
  </si>
  <si>
    <t>(SOL) VIP SUITE</t>
  </si>
  <si>
    <t>Security</t>
  </si>
  <si>
    <t>(Sol) Enhanced Security</t>
  </si>
  <si>
    <t>(SOL) Secure Accomodations?</t>
  </si>
  <si>
    <r>
      <rPr>
        <b/>
        <sz val="11"/>
        <color theme="1"/>
        <rFont val="Calibri"/>
        <family val="2"/>
        <scheme val="minor"/>
      </rPr>
      <t>Terms of use:</t>
    </r>
    <r>
      <rPr>
        <sz val="11"/>
        <color theme="1"/>
        <rFont val="Calibri"/>
        <family val="2"/>
        <scheme val="minor"/>
      </rPr>
      <t xml:space="preserve"> This spreadsheet is for non-commercial use only, including the derived SSD's, although any ships designed on it are your own to do with as you wish. Printouts or screenshots from the Summary Tab have no restrictions on use.</t>
    </r>
  </si>
  <si>
    <t>October 18 - Implemented External Retractable Shelters; Implemented High Yield Fuel Scoops;Implemented Solomani Enhanced Security, Secure Accomodations, VIP Suites, High Passage Blocks and Steerage Blocks; Change to Terms of Service: Deleted the reference to Record Sheets being non-commercial use only, since they no longer exist. Copies old enough to HAVE a Record Sheet Tab are still bound by the terms of service on that version's Instructions Tab. Clarification: Printouts of the Summary Tab are NOT bound to non-commercial usage in any version of this document.</t>
  </si>
  <si>
    <t>Ejectable Pod Clusters (Droyne)</t>
  </si>
  <si>
    <t>Ejectable Pod Clusters</t>
  </si>
  <si>
    <t>Droyne Hull</t>
  </si>
  <si>
    <t>Auspicious of Jump</t>
  </si>
  <si>
    <t>Auspicious of Manoeuvre</t>
  </si>
  <si>
    <t>Auspicious of Seeking</t>
  </si>
  <si>
    <t>Auspicious of Leading</t>
  </si>
  <si>
    <t>Auspicious of Battling</t>
  </si>
  <si>
    <t>Auspicious of Communicating</t>
  </si>
  <si>
    <t>Droyne</t>
  </si>
  <si>
    <t>DM+1 Pilot Checks</t>
  </si>
  <si>
    <t>DM+1 Sensors/Astrogation</t>
  </si>
  <si>
    <t>DM+1 Appeal/Leadership/Tactics</t>
  </si>
  <si>
    <t>DM+1 Gunner; +2 Armour</t>
  </si>
  <si>
    <t>DM+1 Diplomacy/Broker</t>
  </si>
  <si>
    <t>*Cost reflects amount paid above for Hull.</t>
  </si>
  <si>
    <t>Impressively Decorated</t>
  </si>
  <si>
    <t>DM+1 Jump Checks; -10% Jump Fuel</t>
  </si>
  <si>
    <t xml:space="preserve">Goes to Drives </t>
  </si>
  <si>
    <t>AC47</t>
  </si>
  <si>
    <t>Acts as intrinsic</t>
  </si>
  <si>
    <t>Ship-Heart Chamber</t>
  </si>
  <si>
    <t>Droyne Bridge</t>
  </si>
  <si>
    <t>Ship-Heart Citadel</t>
  </si>
  <si>
    <t>Droyne Bridge - Armored</t>
  </si>
  <si>
    <t>Droyne Ceremnial Chambers</t>
  </si>
  <si>
    <t>Minor Ceremonial Space</t>
  </si>
  <si>
    <t>Major Ceremonial Space</t>
  </si>
  <si>
    <t>Minor Ceremonial Citadel</t>
  </si>
  <si>
    <t>Major Ceremonial Citadel</t>
  </si>
  <si>
    <t>October 22 - Added Droyne Hulls, Droyne Ejectable Pod Clusters, Droyne Ship-Heart Chambers and Droyne Ceremonial Spaces</t>
  </si>
  <si>
    <t>Manuever</t>
  </si>
  <si>
    <t>Jump/FTL</t>
  </si>
  <si>
    <t>Reaction/Solar</t>
  </si>
  <si>
    <t>November 11- Stations now use correct volume for 0 rating M-Drives.'</t>
  </si>
  <si>
    <t xml:space="preserve">November 12- Fixed the Validation for airlocks, Page cost for Tab 9B - Options and the Robot crew count for induction plate reference. </t>
  </si>
  <si>
    <t xml:space="preserve"> A Pod can have its own power plant. A Pod can have a bridge or control center other than an SCC, but not under the Main Bridge.</t>
  </si>
  <si>
    <t xml:space="preserve"> Instead, these are selected in the Auxilliary Control Room Menu.</t>
  </si>
  <si>
    <t>Auto Tons</t>
  </si>
  <si>
    <t>Auto Cost</t>
  </si>
  <si>
    <t>Automate HG22 p35</t>
  </si>
  <si>
    <t>Auto TL</t>
  </si>
  <si>
    <t>Spinal Mount Modifications are Manual</t>
  </si>
  <si>
    <t>Automate Spinal Mount Size Reduction</t>
  </si>
  <si>
    <t>TL (K36)</t>
  </si>
  <si>
    <t>Limit Automatic Spinal Mount to 3 (RAW)?</t>
  </si>
  <si>
    <t>Auto</t>
  </si>
  <si>
    <t>AutoModCount</t>
  </si>
  <si>
    <t>TL 6 Fission</t>
  </si>
  <si>
    <t>TL 7 Chemical</t>
  </si>
  <si>
    <t>TL 8 Stirling Fission</t>
  </si>
  <si>
    <t>TL 6 Stirling Fission</t>
  </si>
  <si>
    <t>TL 8 Fusion</t>
  </si>
  <si>
    <t>TL 12 Stirling Fission</t>
  </si>
  <si>
    <t>TL 12 Fusion</t>
  </si>
  <si>
    <t>TL 15 Fusion</t>
  </si>
  <si>
    <t>TL 20 Antimatter</t>
  </si>
  <si>
    <t>Enable User Defined Quirks?</t>
  </si>
  <si>
    <t>Separated out Adjusted Hull Rating so Maneuver, Reaction and Jump can have different numbers.Updated Ship Info Tab explanation on Pod bridge/control center usage. Added toggle for automated spinal mount upgrades. Fixed tonnage calculation for spinal mods. In the Profitability Tab, buying fuel figures into the cost/profit equation. Power Plants now listed in ascending TL order. Added a toggle to user defined quirks on the Ship's Info Tab, so that it will hopefully fix the Summary Tab issue for Libre users.</t>
  </si>
  <si>
    <t>Version 2026, January 22</t>
  </si>
  <si>
    <t>"Maggie" Train/Tunneller (JTAS Vol. 18)</t>
  </si>
  <si>
    <t>Abel Thermospheric Reconnaissance Drone (Vehicle Handbook)</t>
  </si>
  <si>
    <t>Achilles Frigate (Vehicle Handbook)</t>
  </si>
  <si>
    <t>ACV-3 Martinique IFV (Vehicle Handbook)</t>
  </si>
  <si>
    <t>Advertising Boat (SCC)</t>
  </si>
  <si>
    <t>AFV (Vehicle Handbook)</t>
  </si>
  <si>
    <t>Aigle Aerial Scout/Attack UAV (Vehicle Handbook)</t>
  </si>
  <si>
    <t>Air/Raft (Core'24)</t>
  </si>
  <si>
    <t>Air/Raft w/Fusion+ (JTAS Vol. 16)</t>
  </si>
  <si>
    <t>Alligator Grav Gunship (Armies of the 5FW)</t>
  </si>
  <si>
    <t>Amindii Carrier (JTAS Vol. 18)</t>
  </si>
  <si>
    <t>Amindii Extended Grav Bike (JTAS Vol. 18)</t>
  </si>
  <si>
    <t>Angliar Planetary Landing Shuttle (Great Rifts Book 1)</t>
  </si>
  <si>
    <t>Animal Type K Safari Ship (HG'22)</t>
  </si>
  <si>
    <t>Arakoine Strike Cruiser (HG'22)</t>
  </si>
  <si>
    <t>Architeuthis Biotech Airship (Vehicle Handbook)</t>
  </si>
  <si>
    <t>Arladu Utility Boat (Great Rifts Book 2)</t>
  </si>
  <si>
    <t>Armed Air/Raft (The Riverlands)</t>
  </si>
  <si>
    <t>Armored Fighting Vehicle (Vehicle Handbook)</t>
  </si>
  <si>
    <t>Armored G/Car (Bounty Hunter)</t>
  </si>
  <si>
    <t>Armored Van (Vehicle Handbook)</t>
  </si>
  <si>
    <t>Arthur Mining Robot (Vehicle Handbook)</t>
  </si>
  <si>
    <t>Aslan Akhoilaw Shrine Ship (SCC)</t>
  </si>
  <si>
    <t>Aslan Assault Grav Tank (AoCS1)</t>
  </si>
  <si>
    <t>Aslan Clawbike (AoCS1)</t>
  </si>
  <si>
    <t>Aslan Crawler (AoCS1)</t>
  </si>
  <si>
    <t>Aslan Faiyh Assault Craft (SCC)</t>
  </si>
  <si>
    <t>Aslan Fyalraiea Pinnace (Spinward Extents)</t>
  </si>
  <si>
    <t>Aslan Grav Barge (AoCS1)</t>
  </si>
  <si>
    <t>Aslan Hleakakhea System Defense Boat (Clans of the Aslan)</t>
  </si>
  <si>
    <t>Aslan Hoeywea Troop Carrier (Traders &amp; Gunboats)</t>
  </si>
  <si>
    <t>Aslan Ifteaa Orbital Defense Fighter (Traders &amp; Gunboats)</t>
  </si>
  <si>
    <t>Aslan Iysa Light Fighter (Traders &amp; Gunboats)</t>
  </si>
  <si>
    <t>Aslan Khtesiai Spy Ship (Spinward Extents)</t>
  </si>
  <si>
    <t>Aslan Khuilrakh Light fighter (SCC)</t>
  </si>
  <si>
    <t>Aslan Sakhal Launch (Traders &amp; Gunboats)</t>
  </si>
  <si>
    <t>Aslan Taleryushi Light Fighter (Spinward Extents)</t>
  </si>
  <si>
    <t>Aslan Taorl  Passenger Pod (Clans of the Aslan)</t>
  </si>
  <si>
    <t>Aslan Taorl Cargo Pod (Clans of the Aslan)</t>
  </si>
  <si>
    <t>Aslan Taorl Fuel Pod (Clans of the Aslan)</t>
  </si>
  <si>
    <t>Aslan Taorl Low Pod (Clans of the Aslan)</t>
  </si>
  <si>
    <t>Aslan Yaeai Reconnaissance Pinnace (SCC)</t>
  </si>
  <si>
    <t>Aslan Yeawel Light Fighter (SCC)</t>
  </si>
  <si>
    <t>Assault Cycle (Vehicle Handbook)</t>
  </si>
  <si>
    <t>Asteroid Projectile (Sylean Dream)</t>
  </si>
  <si>
    <t>Astrin Grav APC (TTI)</t>
  </si>
  <si>
    <t>ATV (Core'24)</t>
  </si>
  <si>
    <t>Automated Lifeboat (SCC)</t>
  </si>
  <si>
    <t>Automated Refinery Drone (JTAS Vol. 12)</t>
  </si>
  <si>
    <t>Avante Jet Fighter (Vehicle Handbook)</t>
  </si>
  <si>
    <t>Azhanti High-Lightning Frontier Cruiser (HG'22)</t>
  </si>
  <si>
    <t>Barnacle Deep Sea Submersiable (PoD Book 1)</t>
  </si>
  <si>
    <t>Behemoth Transport Helicopter (Vehicle Handbook)</t>
  </si>
  <si>
    <t>Belter Launch (SCC)</t>
  </si>
  <si>
    <t>Beowulf Type A Free Trader (HG'22)</t>
  </si>
  <si>
    <t>Bergstrom Light Grav Tank (Armies of the 5FW)</t>
  </si>
  <si>
    <t>Birdseye Reconnaissance Aircraft (Vehicle Handbook)</t>
  </si>
  <si>
    <t>Boarding Shuttle (SCC)</t>
  </si>
  <si>
    <t>Borderguard Ground Attack Drone (Vehicle Handbook)</t>
  </si>
  <si>
    <t>Bright-Side Crawler (TtI)</t>
  </si>
  <si>
    <t>Brize Light Grav Vehicle (Armies of the 5FW)</t>
  </si>
  <si>
    <t>Brutus Heavy Cargo Truck (Core'24)</t>
  </si>
  <si>
    <t>Budget Bounty (Bounty Hunter)</t>
  </si>
  <si>
    <t>Bulette (Vehicle Handbook)</t>
  </si>
  <si>
    <t>Bwap A-Awab Air Tram (AoCS3)</t>
  </si>
  <si>
    <t>Bwap Apa-Pakwa-Class Medium Fighter (AoCS1)</t>
  </si>
  <si>
    <t>Bwap Betwa-Taa Heavy Ocean Farming Robot (AoCS3)</t>
  </si>
  <si>
    <t>Bwap Da-We-Pa War Walker (AoCS3)</t>
  </si>
  <si>
    <t>Bwap Eaaetatka-Class Monitor (AoCS3)</t>
  </si>
  <si>
    <t>Bwap Efaweape-Class Scout (AoCS3)</t>
  </si>
  <si>
    <t>Bwap Fastas-Ewawab Off-Roader Engine (AoCS3)</t>
  </si>
  <si>
    <t>Bwap Fastas-Ewawab Off-Roader Freight Carriage (AoCS3)</t>
  </si>
  <si>
    <t>Bwap Fastas-Ewawab Off-Roader Habitat Carriage (AoCS3)</t>
  </si>
  <si>
    <t>Bwap Fastas-Ewawab Off-Roader Laboratory Carriage (AoCS3)</t>
  </si>
  <si>
    <t>Bwap Pabta Tracked Scooter (AoCS3)</t>
  </si>
  <si>
    <t>Bwap Peswab Marsh Hopper (AoCS3)</t>
  </si>
  <si>
    <t>Bwap Tabewarke System Defense Boat (AoCS3)</t>
  </si>
  <si>
    <t>Camoranian Adversary Light Carrier (Glorious Empire)</t>
  </si>
  <si>
    <t>Camoranian Light Stealth Fighter (Glorious Empire)</t>
  </si>
  <si>
    <t>Cargo Lifter (Core'24)</t>
  </si>
  <si>
    <t>Cargo Lifter (Vehicle Handbook)</t>
  </si>
  <si>
    <t>Cargo Lighter (Behind the Claw)</t>
  </si>
  <si>
    <t>Cargo Transport (SCC)</t>
  </si>
  <si>
    <t>Carrier Support Craft (SCC)</t>
  </si>
  <si>
    <t>Chameleon Scout Walker (Vehicle Handbook)</t>
  </si>
  <si>
    <t>Chrysanthemum Destroyer Escort (HG'22)</t>
  </si>
  <si>
    <t>Civilian Hopper (SCC)</t>
  </si>
  <si>
    <t>Collmen Prospecting Shuttle (TTF)</t>
  </si>
  <si>
    <t>Concetto Artillery Sled (Armies of the 5FW)</t>
  </si>
  <si>
    <t>Concordia II Hypersonic Airliner (Vehicle Handbook)</t>
  </si>
  <si>
    <t>Converted Bread Van (The Riverlands)</t>
  </si>
  <si>
    <t>Corellan League Gaadee Transport (Spinward Extents)</t>
  </si>
  <si>
    <t>Corellan League Gaja Assault Boat (Spinward Extents)</t>
  </si>
  <si>
    <t>Corellan League Ghose Spy Boat (Spinward Extents)</t>
  </si>
  <si>
    <t>Corellan League Gryphon Heavy Fighter (Spinward Extents)</t>
  </si>
  <si>
    <t>Corellan League Gwydion Strike Fighter (Spinward Extents)</t>
  </si>
  <si>
    <t>Cosmic Mako Racing Craft (Great Rifts Book 1)</t>
  </si>
  <si>
    <t>Cougar Battle Tank (Vehicle Handbook)</t>
  </si>
  <si>
    <t>Covert Insertion Boat (SCC)</t>
  </si>
  <si>
    <t>Crusader Self-Propelled Gun (Vehicle Handbook)</t>
  </si>
  <si>
    <t>Crusader Superheavy Tank (Solomani Front)</t>
  </si>
  <si>
    <t>Cryo-Truck (Bounty Hunter)</t>
  </si>
  <si>
    <t>Customs Launch (SCC)</t>
  </si>
  <si>
    <t>Customs Patrol Boat (SCC)</t>
  </si>
  <si>
    <t>Customs Patrol Cutter (Adventure Class Ships)</t>
  </si>
  <si>
    <t>Cyclone Ground Attack Fighter (SCC)</t>
  </si>
  <si>
    <t>Darlene-Class Gig (Traders &amp; Gunboats)</t>
  </si>
  <si>
    <t>Darrian Grav Bike (AoCS3)</t>
  </si>
  <si>
    <t>Darrian Haveanna Grav Transport/Gunship (Armies of the 5FW)</t>
  </si>
  <si>
    <t>Darrian Lehnd Covert Espionage Scout (AoCS3)</t>
  </si>
  <si>
    <t>Darrian Military Grav Bike (AoCS3)</t>
  </si>
  <si>
    <t>Darrian Monocycle (Vehicle Handbook)</t>
  </si>
  <si>
    <t>Darrian Piholz-Class System Defense Boat (AoCS3)</t>
  </si>
  <si>
    <t>Darrian Rehld Courier (AoCS3)</t>
  </si>
  <si>
    <t>Darrian Shere Tank (AoCS3)</t>
  </si>
  <si>
    <t>Darrian Thengg Pioneer Scout (AoCS3)</t>
  </si>
  <si>
    <t>Deathtractor (The Riverlands)</t>
  </si>
  <si>
    <t>Dee Six Downpoprt Kit (JTAS Vol. 18)</t>
  </si>
  <si>
    <t>Deep Ranger-Class Research Submarine (Behind the Claw)</t>
  </si>
  <si>
    <t>Deep Sea Submersible (Vehicle Handbook)</t>
  </si>
  <si>
    <t>Deneb Light Grav Tank (Armies of the 5FW)</t>
  </si>
  <si>
    <t>Deneb Stalwart-Class Monitor (BtC)</t>
  </si>
  <si>
    <t>Dirigible (Vehicle Handbook)</t>
  </si>
  <si>
    <t>Dirt Bike (Vehicle Handbook)</t>
  </si>
  <si>
    <t>Dirtside APC (Vehicle Handbook)</t>
  </si>
  <si>
    <t>Dolphin Deep Dive-Class Scout/Courier (AoCS3)</t>
  </si>
  <si>
    <t>Dolphin Grav Sled (AoCS3)</t>
  </si>
  <si>
    <t>Dolphin Mud Crab Submercible Tank (AoCS3)</t>
  </si>
  <si>
    <t>Dolphin Ocean Quest Submercible Laboratory (AoCS3)</t>
  </si>
  <si>
    <t>Dolphin Sail Fish Scooter (AoCS3)</t>
  </si>
  <si>
    <t>Dolphin Tiger Shark Attack Submarine (AoCS3)</t>
  </si>
  <si>
    <t>Donosev Survey Scout (Core'24)</t>
  </si>
  <si>
    <t>Donosev Survey Scout (HG'22)</t>
  </si>
  <si>
    <t>Dorannian Transport Crawler (Behind the Claw)</t>
  </si>
  <si>
    <t>Dragon System Defense Boat (HG'22)</t>
  </si>
  <si>
    <t>Dragonflyer Gravcopter (Vehicle Handbook)</t>
  </si>
  <si>
    <t>Dropship Pinnace (Glorious Empire)</t>
  </si>
  <si>
    <t>Droyne Kuxpe System Defense Boat (Traders &amp; Gunboats)</t>
  </si>
  <si>
    <t>Droyne Siyoparttwi Communications Vessel (AoCS2)</t>
  </si>
  <si>
    <t>Dune Buggy (Vehicle Handbook)</t>
  </si>
  <si>
    <t>Empress Marava Far Trader (HG'22)</t>
  </si>
  <si>
    <t>Endeavor Packet - Maximum Cargo (B&amp;ESG)</t>
  </si>
  <si>
    <t>Eslyat Type-E Fighter (Spinward Extents)</t>
  </si>
  <si>
    <t>Eslyat Type-V Attack Ship (Spinward Extents)</t>
  </si>
  <si>
    <t>Esperanzan Ore Barge (Great Rifts Book 1)</t>
  </si>
  <si>
    <t>Exfil Ornithopter (Bounty Hunter)</t>
  </si>
  <si>
    <t>Expeditionary Crawler (TTI)</t>
  </si>
  <si>
    <t>Explorer Mini-Sub (TTI)</t>
  </si>
  <si>
    <t>Express Boat (HG'22)</t>
  </si>
  <si>
    <t>Express Boat, Solar Sailer (Singularity Sourcebook)</t>
  </si>
  <si>
    <t>Express Boat, Stealth (Singularity Sourcebook)</t>
  </si>
  <si>
    <t>ExtRng Passenger Shuttle (SCC)</t>
  </si>
  <si>
    <t>FAMAT–12 All–Terrain Vehicle (Rim Expeditions)</t>
  </si>
  <si>
    <t>Farhome Belt Missile Boat (Sylean Dream)</t>
  </si>
  <si>
    <t>Fast Cutter (SCC)</t>
  </si>
  <si>
    <t>Fast Launch (SCC)</t>
  </si>
  <si>
    <t>Fast Shuttle (SCC)</t>
  </si>
  <si>
    <t>FB-220011 Rock Twelve Ship's Boat (Flashpoint)</t>
  </si>
  <si>
    <t>Fer-De-Lance (HG'22)</t>
  </si>
  <si>
    <t>Fighting Launch (SCC)</t>
  </si>
  <si>
    <t>Firehammer G/Fighter (Vehicle Handbook)</t>
  </si>
  <si>
    <t>Flame Train (Great Rifts Book 2)</t>
  </si>
  <si>
    <t>Fleet Courier (HG'22)</t>
  </si>
  <si>
    <t>Florian Fast Interceptor (Singularity Act 3)</t>
  </si>
  <si>
    <t>Freight Handler Pod (SCC)</t>
  </si>
  <si>
    <t>Fuel Lighter (Behind the Claw)</t>
  </si>
  <si>
    <t>Fury Helicopter Gunship (Vehicle Handbook)</t>
  </si>
  <si>
    <t>G/Bike (Core'24)</t>
  </si>
  <si>
    <t>G/Bike w/Fusion+ (JTAS Vol. 16)</t>
  </si>
  <si>
    <t>G/Carrier (Core'24)</t>
  </si>
  <si>
    <t>G/Carrier w/Fusion+ (JTAS Vol. 16)</t>
  </si>
  <si>
    <t>G/Racer (Core'24)</t>
  </si>
  <si>
    <t>G/Racer (Vehicle Handbook)</t>
  </si>
  <si>
    <t>G/Runner City Car (Vehicle Handbook)</t>
  </si>
  <si>
    <t>Galleon (Vehicle Handbook)</t>
  </si>
  <si>
    <t>Galvan Corrosive Environment Construction Platform (Solomani Front)</t>
  </si>
  <si>
    <t>Garden Rover (Great Rifts Adventure)</t>
  </si>
  <si>
    <t>Garish Rescue Vessel (March Adventures)</t>
  </si>
  <si>
    <t>Gazelle Close Escort (Core'24)</t>
  </si>
  <si>
    <t>Gazelle Close Escort (HG'22)</t>
  </si>
  <si>
    <t>Gecko All-Terrain Assault Vehicle (Core'24)</t>
  </si>
  <si>
    <t>Geonee Adrat-Class Scout (AoCS3)</t>
  </si>
  <si>
    <t>Geonee Boarding Pod (AoCS2)</t>
  </si>
  <si>
    <t>Geonee Branak Superheavy Tank (AoCS3)</t>
  </si>
  <si>
    <t>Geonee Brekat-Class System Defense Boat (AoCS3)</t>
  </si>
  <si>
    <t>Geonee Fuelling Shuttle (AoCS3)</t>
  </si>
  <si>
    <t>Geonee Gosta Light Tank (AoCS3)</t>
  </si>
  <si>
    <t>Geonee Kran-Class System Defense Boat (AoCS3)</t>
  </si>
  <si>
    <t>Ghalalk Armoured Cruiser (HG'22)</t>
  </si>
  <si>
    <t>Ghorrd's Submersible (Sylean Dream)</t>
  </si>
  <si>
    <t>Gig (Core'24)</t>
  </si>
  <si>
    <t>Glorious Empire Elar Kha'yaheh Multi-Purpose Fighter (Glorious Empire)</t>
  </si>
  <si>
    <t>Glorious Empire Elar Kha'yaheh Multi-Purpose Fighter (Naval Adventure 3)</t>
  </si>
  <si>
    <t>Glorious Empire Stailoakh Slaver ATV (Glorious Empire)</t>
  </si>
  <si>
    <t>Glorious Empire Su'ikh Interceptor (Glorious Empire)</t>
  </si>
  <si>
    <t>Glorious Empire Yeyuela Attack Boat (The Deep and the Dark)</t>
  </si>
  <si>
    <t>Goshawk Orbital Defense Corvette (Sylean Dream)</t>
  </si>
  <si>
    <t>Grav Buggy w/Fusion+ (JTAS Vol. 16)</t>
  </si>
  <si>
    <t>Grav/Floater (Vehicle Handbook)</t>
  </si>
  <si>
    <t>Grinder Subterranean Assault Capsule (Vehicle Handbook)</t>
  </si>
  <si>
    <t>Ground Car (Vehicle Handbook)</t>
  </si>
  <si>
    <t>Ground Car w/Fusion+ (JTAS Vol. 16)</t>
  </si>
  <si>
    <t>Guardian APC (Far Trader Comic #3)</t>
  </si>
  <si>
    <t>Gun Transport (Vehicle Handbook)</t>
  </si>
  <si>
    <t>Gunship Lighter (Behind the Claw)</t>
  </si>
  <si>
    <t>Gunskiff (Vehicle Handbook)</t>
  </si>
  <si>
    <t>Guo-Class Solomani System Defense Boat (Traders &amp; Gunboats)</t>
  </si>
  <si>
    <t>Gurvin Nawryne Trade Scout (AoCS4)</t>
  </si>
  <si>
    <t>GVR Minicon (Vehicle Handbook)</t>
  </si>
  <si>
    <t>Hadrian Battle Rider (HG'22)</t>
  </si>
  <si>
    <t>Hand-Cranked Dirigible (Behind the Claw)</t>
  </si>
  <si>
    <t>Hargrave H-6 Submersible Boat (Vehicle Handbook)</t>
  </si>
  <si>
    <t>Hazardous Environment Exploration Boat (World Builder's Handbook)</t>
  </si>
  <si>
    <t>Heardsman All-Terrain Walker (JTAS Vol. 17)</t>
  </si>
  <si>
    <t>Heaven70 Gunship Drone (Vehicle Handbook)</t>
  </si>
  <si>
    <t>Heavy Fighter (HG'22)</t>
  </si>
  <si>
    <t>Heavy Modular Cutter (SCC)</t>
  </si>
  <si>
    <t>Herkul Heavy Utility Vehicle (Vehicle Handbook)</t>
  </si>
  <si>
    <t>Hero Type A2 Far Trader (HG'22)</t>
  </si>
  <si>
    <t>HEV-12 Hostile Environment (Vehicle Handbook)</t>
  </si>
  <si>
    <t>High Guardian Military Dirigible (Great Rifts Book 1)</t>
  </si>
  <si>
    <t>Hiver Keldyx System Defense Boat (Traders &amp; Gunboats)</t>
  </si>
  <si>
    <t>Hiver Ninnup Ship's Boat (Traders &amp; Gunboats)</t>
  </si>
  <si>
    <t>Holande Cargo Lighter (TTF)</t>
  </si>
  <si>
    <t>Homeshield Mini-Fighter (SCC)</t>
  </si>
  <si>
    <t>Honey Badger (Vehicle Handbook)</t>
  </si>
  <si>
    <t>HS-10 Halklar Savasci Fighter (TFF)</t>
  </si>
  <si>
    <t>Humphead Armored Personnel Carrier (Vehicle Handbook)</t>
  </si>
  <si>
    <t>Hunterfoil Hydrofoil (Solomani Front)</t>
  </si>
  <si>
    <t>Hydra Heavy Support Walker (Vehicle Handbook)</t>
  </si>
  <si>
    <t>Hydrofoil (Vehicle Handbook)</t>
  </si>
  <si>
    <t>Icebreaker Submarine (Singularity Act 2)</t>
  </si>
  <si>
    <t>IGS Runabout (Spinward Extents)</t>
  </si>
  <si>
    <t>IISS Covert Operations Pod (World Builder's Handbook)</t>
  </si>
  <si>
    <t>IISS Survey Pod (World Builder's Handbook)</t>
  </si>
  <si>
    <t>Ilauus-Class Fast Shuttle (Behind the Claw)</t>
  </si>
  <si>
    <t>Impala Scout Helicopter (Vehicle Handbook)</t>
  </si>
  <si>
    <t>Impulse Gunship (The Borderlands)</t>
  </si>
  <si>
    <t>In-System Sailing Yacht (SCC)</t>
  </si>
  <si>
    <t>Inter-Caldera Airship (Singularity Act 3)</t>
  </si>
  <si>
    <t>Invader light Grav Tank (TTI)</t>
  </si>
  <si>
    <t>Isgni Flyer (B&amp;EVV)</t>
  </si>
  <si>
    <t>Jester Covert Ops Fighter (SCC)</t>
  </si>
  <si>
    <t>Jiydyce Mining Shuttle (TTF)</t>
  </si>
  <si>
    <t>Jump Shuttle (HG'22)</t>
  </si>
  <si>
    <t>Junker (SCC)</t>
  </si>
  <si>
    <t>Kashi Rover (Bounty Hunter)</t>
  </si>
  <si>
    <t>Kashu Multirole Fighter (SCC)</t>
  </si>
  <si>
    <t>Kinunir Colonial Cruiser (HG'22)</t>
  </si>
  <si>
    <t>K'Kree Bearer-of-Cargoes Shuttle (AoCS1)</t>
  </si>
  <si>
    <t>K'Kree Bearer-of-Families Orbital Shuttle (AoCS1)</t>
  </si>
  <si>
    <t>K'Kree Faithful Shield Robotic Escort Fighter  (AoCS1)</t>
  </si>
  <si>
    <t>K'Kree Family Transport Vehicle (AoCS1)</t>
  </si>
  <si>
    <t>K'Kree Lead Grav Skimmer (AoCS1)</t>
  </si>
  <si>
    <t>K'Kree Mobile Fighting Platform (AoCS1)</t>
  </si>
  <si>
    <t>K'Kree Personal Grav Skimmer (AoCS1)</t>
  </si>
  <si>
    <t>K'Kree Quickening Thunder Robotic Fighter (AoCS1)</t>
  </si>
  <si>
    <t>Larshan -Defender Light Patrol Boat (Warfleet of the 5FW)</t>
  </si>
  <si>
    <t>Larshan Utility Craft (Warfeets of the 5FW)</t>
  </si>
  <si>
    <t>Launch (Core'24)</t>
  </si>
  <si>
    <t>Launch (HG22)</t>
  </si>
  <si>
    <t>Legionary Battle Tank (Vehicle Handbook)</t>
  </si>
  <si>
    <t>Leviathan Merchant Cruiser (HG'22)</t>
  </si>
  <si>
    <t>Liberator G/Carrier (Vehicle Handbook)</t>
  </si>
  <si>
    <t>Liberty Ironclad (Vehicle Handbook)</t>
  </si>
  <si>
    <t>Lifeboat (SCC)</t>
  </si>
  <si>
    <t>Light Fighter (Core'24)</t>
  </si>
  <si>
    <t>Lurent Fweet-eh-# Trader (B&amp;Edt5FW)</t>
  </si>
  <si>
    <t>Luxury Shuttle (SCC)</t>
  </si>
  <si>
    <t>Lynx Fast Assault Tank (Vehicle Handbook)</t>
  </si>
  <si>
    <t>M-90 Urban Assault Vehicle (Vehicle Handbook)</t>
  </si>
  <si>
    <t>Makamda Main Battle Tank (Armies of the 5FW)</t>
  </si>
  <si>
    <t>Manticore Fighting Walker (Vehicle Handbook)</t>
  </si>
  <si>
    <t>Maus Smallhauler (Great Rift Adventure 3)</t>
  </si>
  <si>
    <t>Medical Launch (SCC)</t>
  </si>
  <si>
    <t>Mercenary Company Transport Module (Specialist Forces)</t>
  </si>
  <si>
    <t>Mercenary Platoon Assault Module (Specialist Forces)</t>
  </si>
  <si>
    <t>Mercenary Platoon Cold Transport Module (Specialist Forces)</t>
  </si>
  <si>
    <t>Mercenary Platoon Transport Module (Specialist Forces)</t>
  </si>
  <si>
    <t>Mercenary Ship's Troops Barracks Module, Section (Specialist Forces)</t>
  </si>
  <si>
    <t>Mercenary Ship's Troops Ready Module, Section (Specialist Forces)</t>
  </si>
  <si>
    <t>Midu Agasham Destroyer (HG'22)</t>
  </si>
  <si>
    <t>Miin Khirki Atmospheric Fighter (Singularity Act 2)</t>
  </si>
  <si>
    <t>Military Gig (HG'22)</t>
  </si>
  <si>
    <t>Missionary Barracks Module (Sylean Dream)</t>
  </si>
  <si>
    <t>Missionary Storage Module (Sylean Dream)</t>
  </si>
  <si>
    <t>MK Mora Cargo Carrier (HG'22)</t>
  </si>
  <si>
    <t>Modular Cutter (Core.24)</t>
  </si>
  <si>
    <t>Modular Cutter (HG'22)</t>
  </si>
  <si>
    <t>Modular Cutter Armory Module (SCC)</t>
  </si>
  <si>
    <t>Modular Cutter Assault Boat Module (HG'22)</t>
  </si>
  <si>
    <t>Modular Cutter Assault Boat Module (JTAS Vol.3)</t>
  </si>
  <si>
    <t>Modular Cutter ATV Module (Core'24)</t>
  </si>
  <si>
    <t>Modular Cutter ATV Module (JTAS Vol.3)</t>
  </si>
  <si>
    <t>Modular Cutter Cargo Transport Module (HG'22)</t>
  </si>
  <si>
    <t>Modular Cutter Cattle Transport Module (SCC)</t>
  </si>
  <si>
    <t>Modular Cutter Cold Passage Module (SCC)</t>
  </si>
  <si>
    <t>Modular Cutter Fighter Frame Module (HG'22)</t>
  </si>
  <si>
    <t>Modular Cutter Fighter hangar Module (SCC)</t>
  </si>
  <si>
    <t>Modular Cutter Frontier Medical Module (SCC)</t>
  </si>
  <si>
    <t>Modular Cutter Fuel Module (Core'24)</t>
  </si>
  <si>
    <t>Modular Cutter Fuel Skimmer Module (HG'22)</t>
  </si>
  <si>
    <t>Modular Cutter Gunship Module (HG'22)</t>
  </si>
  <si>
    <t>Modular Cutter Life Support module (SCC)</t>
  </si>
  <si>
    <t>Modular Cutter Missile Support Module (SCC)</t>
  </si>
  <si>
    <t>Modular Cutter Open Module (Core'24)</t>
  </si>
  <si>
    <t>Modular Cutter Open Module (JTAS Vol.3)</t>
  </si>
  <si>
    <t>Modular Cutter Orbital Outpost Module (SCC)</t>
  </si>
  <si>
    <t>Modular Cutter Passenger Transport Module (SCC)</t>
  </si>
  <si>
    <t>Modular Cutter Personnel Transport Module (HG'22)</t>
  </si>
  <si>
    <t>Modular Cutter Planetary Assault Module (SCC)</t>
  </si>
  <si>
    <t>Modular Cutter Planetary Outpost Module (SCC)</t>
  </si>
  <si>
    <t>Modular Cutter Power Module (SCC)</t>
  </si>
  <si>
    <t>Modular Cutter Pressurized Shelter Module (HG'22)</t>
  </si>
  <si>
    <t>Modular Cutter Public House Module (SCC)</t>
  </si>
  <si>
    <t>Modular Cutter Relaxation Module (SCC)</t>
  </si>
  <si>
    <t>Modular Cutter Salvage Module (SCC)</t>
  </si>
  <si>
    <t>Modular Cutter Shelter Module (JTAS Vol.3)</t>
  </si>
  <si>
    <t>Modular Cutter Spaceborne Early Warning Module (SCC)</t>
  </si>
  <si>
    <t>Modular Cutter Surveyor Cutter Module (World Builder's Handbook)</t>
  </si>
  <si>
    <t>Modular Cutter Tanker Module (SCC)</t>
  </si>
  <si>
    <t>Modular Cutter Urban Module (SCC)</t>
  </si>
  <si>
    <t>Modular Cutter Vehicle Cradle Module (HG'22)</t>
  </si>
  <si>
    <t>Modular Skiff (SCC)</t>
  </si>
  <si>
    <t>Moongoose Attack Speeder (Armies of the 5FW)</t>
  </si>
  <si>
    <t>Moray Antique Fighter (SCC)</t>
  </si>
  <si>
    <t>Newpoint G/APC (Vehicle Handbook)</t>
  </si>
  <si>
    <t>Ninua Tactical Police Vehicle (Sylean Dream)</t>
  </si>
  <si>
    <t>Nishemani Corsair (HG'22)</t>
  </si>
  <si>
    <t>Orbital Defense Submarine (Great Rifts Book 1)</t>
  </si>
  <si>
    <t>P.F. Sloan Fleet Escort (HG'22)</t>
  </si>
  <si>
    <t>Paladin Laser Grav Tank (The Riverlands)</t>
  </si>
  <si>
    <t>Parthian Wheeled Scout (Vehicle Handbook)</t>
  </si>
  <si>
    <t>Passenger Lighter (Behind the Claw)</t>
  </si>
  <si>
    <t>Passenger Shuttle (Core'24)</t>
  </si>
  <si>
    <t>Pecah Breacher Shuttle (Specialist Forces)</t>
  </si>
  <si>
    <t>Pegasus Personal Ornithopter (Vehicle Handbook)</t>
  </si>
  <si>
    <t>Personal Land Yacht (Core'24)</t>
  </si>
  <si>
    <t>Piankir Class Light Monitor (War Fleets of the Fifth Frontier War)</t>
  </si>
  <si>
    <t>Piankir Combat Outrigger (War Fleets of the Fifth Frontier War)</t>
  </si>
  <si>
    <t>Piankir Patrol Outrigger (War Fleets of the Fifth Frontier War)</t>
  </si>
  <si>
    <t>Pinnace (Core'24))</t>
  </si>
  <si>
    <t>Pinnace (HG'22)</t>
  </si>
  <si>
    <t>Planetary Assault Barge (SCC)</t>
  </si>
  <si>
    <t>Planetoid Monitor (HG'22)</t>
  </si>
  <si>
    <t>Poignard Assault Boat</t>
  </si>
  <si>
    <t>Power Boat (Vehicle Handbook)</t>
  </si>
  <si>
    <t>Predator Ambush-Hunter Tank (Vehicle Handbook)</t>
  </si>
  <si>
    <t>Predator Gunship (TTF)</t>
  </si>
  <si>
    <t>Pressurized Yacht (SCC)</t>
  </si>
  <si>
    <t>Prospecting Buggy (HG'22)</t>
  </si>
  <si>
    <t>Protective Shuttle (SCC)</t>
  </si>
  <si>
    <t>Quiet Vigilance Outsystem Patrol Boat (JTAS Vol. 2)</t>
  </si>
  <si>
    <t>Quvar-Class Hiver Shuttle (Traders &amp; Gunboats)</t>
  </si>
  <si>
    <t>R2A4 Prototype Accomodations Suite Module (Whispers of the Abyss)</t>
  </si>
  <si>
    <t>R2A4 Prototype Hospitality Suite Module (Whispers of the Abyss)</t>
  </si>
  <si>
    <t>R2A4 Prototype Internal Accomodations Unit Module (Whispers of the Abyss)</t>
  </si>
  <si>
    <t>R2A4 Prototype Missile Battery Module (Whispers of the Abyss)</t>
  </si>
  <si>
    <t>R2A4 Prototype Secure Trasnsport Unit Module (Whispers of the Abyss)</t>
  </si>
  <si>
    <t>R2A4 Prototype Vehicle Garage Module (Whispers of the Abyss)</t>
  </si>
  <si>
    <t>Raider's Land Yacht (Vehicle Handbook)</t>
  </si>
  <si>
    <t>Rakatama G/Carrier (Vehicle Handbook)</t>
  </si>
  <si>
    <t>Rescue Boat (SCC)</t>
  </si>
  <si>
    <t>Research Pinnace (SCC)</t>
  </si>
  <si>
    <t>Research Ship (Vehicle Handbook)</t>
  </si>
  <si>
    <t>Retrofit Launch (Bounty Hunter)</t>
  </si>
  <si>
    <t>Retrofit Pinnace (Bounty Hunter)</t>
  </si>
  <si>
    <t>Rock Twelve (Stealthed) Fuel Alpha Fuel Shuttle (Flashpoints)</t>
  </si>
  <si>
    <t>Runabout (SCC)</t>
  </si>
  <si>
    <t>Ryo Steamship (Great Rift Book 2)</t>
  </si>
  <si>
    <t>S-40 Gunship (TTF)</t>
  </si>
  <si>
    <t>Sea Dragon (JTAS Vol. 18)</t>
  </si>
  <si>
    <t>Seeder Segment (Far Colony Postulant) (DR6)</t>
  </si>
  <si>
    <t>Sentinel Escort Fighter (SCC)</t>
  </si>
  <si>
    <t>Serendip Belt Construction Ship (Great Rift Book 1)</t>
  </si>
  <si>
    <t>Serpent Scout (HG'22)</t>
  </si>
  <si>
    <t>SEW Boat (SCC)</t>
  </si>
  <si>
    <t>Shasiimkir Multi-Purpose Vehicle (Singularity Act 2)</t>
  </si>
  <si>
    <t>Ship's Boat (Core'24)</t>
  </si>
  <si>
    <t>Ship-To-Ship Shuttle (SCC)</t>
  </si>
  <si>
    <t>Shiv Meteoric Assault Craft (Singularity Act 2)</t>
  </si>
  <si>
    <t>Short Shuttle (SCC)</t>
  </si>
  <si>
    <t>Shuttle (Core'24)</t>
  </si>
  <si>
    <t>Shuttle (HG'22)</t>
  </si>
  <si>
    <t>Skimkish Light Carrier (HG'22)</t>
  </si>
  <si>
    <t>Sky Whale Airship Bomber (JTAS2)</t>
  </si>
  <si>
    <t>Skystrike G/Fighter (Vehicle Handbook)</t>
  </si>
  <si>
    <t>Sloop (Vehicle Handbook)</t>
  </si>
  <si>
    <t>Slow Boat (Core'24)</t>
  </si>
  <si>
    <t>Slow Pinnace (Core'24)</t>
  </si>
  <si>
    <t>Slow Pinnace (HG'22)</t>
  </si>
  <si>
    <t>Smuggler Packet (Singularity Act 3)</t>
  </si>
  <si>
    <t>Smuggler's Pinnace (SCC)</t>
  </si>
  <si>
    <t>Socrates Field Car (Vehicle Handbook)</t>
  </si>
  <si>
    <t>Solar Sailer (Sylean Dream)</t>
  </si>
  <si>
    <t>Solomani Cimarron Support Vessel (Rim Expeditions)</t>
  </si>
  <si>
    <t>Solomani Gig (Traders &amp; Gunboats)</t>
  </si>
  <si>
    <t>Solomani Gladys Ei System Defense Boat (Traders &amp; Gunboats)</t>
  </si>
  <si>
    <t>Solomani Kestrel Aerospace Fighter (Solomani Front)</t>
  </si>
  <si>
    <t>Solomani Mountain Logistics Barge (Solomani Front)</t>
  </si>
  <si>
    <t>Solomani Murat Battle Monitor (Solomani Front)</t>
  </si>
  <si>
    <t>Solomani Prasad Light Fighter (Traders &amp; Gunboats)</t>
  </si>
  <si>
    <t>Solomani Saxby-Class System Defense Boat (AoCS2)</t>
  </si>
  <si>
    <t>Solomani Scorpion Strike Boat (Solomani Front)</t>
  </si>
  <si>
    <t>Solomani UB-25-Class Small Utility Boat (AoCS2)</t>
  </si>
  <si>
    <t>Solomani UB-25EV Utility Boat, Exploration Variant (Rim Expeditions)</t>
  </si>
  <si>
    <t>Solomani UB-75-Class Large Utility Boat (AoCS2)</t>
  </si>
  <si>
    <t>Solomani UB-75EV Large Utility Boat, Exploration Variant (Rim Expeditions)</t>
  </si>
  <si>
    <t>Solomani USC-3A-Class Small Packet Boat AoCS2)</t>
  </si>
  <si>
    <t>Space Surveillance Boat (SCC)</t>
  </si>
  <si>
    <t>Speeder w/Fusion+ (JTAS Vol. 16)</t>
  </si>
  <si>
    <t>Sred*Ni Excursion Boat (Spinward Extents)</t>
  </si>
  <si>
    <t>Statesman Luxury Grav Car (Great Rifts Book 1)</t>
  </si>
  <si>
    <t>Stealth G/Bike (Bounty Hunter)</t>
  </si>
  <si>
    <t>Steam Car (Vehicle Handbook)</t>
  </si>
  <si>
    <t>Storm Knights Katar Light Fighter (Spinward Extents)</t>
  </si>
  <si>
    <t>Storm Knights Mule Utility Tug (Spinward Extents)</t>
  </si>
  <si>
    <t>Storm Knights Sabre Pinnace (Spinward Extents)</t>
  </si>
  <si>
    <t>Storm Knights Starfighter Starship (Spinward Extents)</t>
  </si>
  <si>
    <t>Strike Boat (SCC)</t>
  </si>
  <si>
    <t>Sua Kai Heavy Fighter (Warfleet of the 5FW)</t>
  </si>
  <si>
    <t>Submersible Command Hub (Bounty Hunter)</t>
  </si>
  <si>
    <t>Submersible Personal Tranport (Solomani Front)</t>
  </si>
  <si>
    <t>Suerrat RCPO Courier (AoCS4)</t>
  </si>
  <si>
    <t>Swiftstrike Interceptor (Great Rifts Book 1)</t>
  </si>
  <si>
    <t>Sword Sworlds Drakesward System Defense Boat (Traders &amp; Gunboats)</t>
  </si>
  <si>
    <t>Sword Worlds Ahven Light Transport (Sword Worlds)</t>
  </si>
  <si>
    <t>Sword Worlds Baldr Attack Fighter (SCC)</t>
  </si>
  <si>
    <t>Sword Worlds Draken Light Strike Boat (Sword Worlds)</t>
  </si>
  <si>
    <t>Sword Worlds Draug Torpedo Boat (Sword Worlds)</t>
  </si>
  <si>
    <t>Sword Worlds Gripen Aerospace/Close Orbit Interceptor (Sword Worlds)</t>
  </si>
  <si>
    <t>Sword Worlds Hnaefir Militarised Air/Raft (Sword Worlds)</t>
  </si>
  <si>
    <t xml:space="preserve">Sword Worlds Hrunting Hnaefir Air/Raft (Behind the Claw) </t>
  </si>
  <si>
    <t>Sword Worlds LK-1001 Light Grav Tank (Sword Worlds)</t>
  </si>
  <si>
    <t>Sword Worlds LT-1067 Grav Gunship (Sword Worlds)</t>
  </si>
  <si>
    <t>Sword Worlds MTD-1088 Magnetisk Tankdampare (Sword Worlds)</t>
  </si>
  <si>
    <t>Sword Worlds P-984 Armored Personnel Carrier (Sword Worlds)</t>
  </si>
  <si>
    <t>Sword Worlds PK-1065 Wheeled APC (Sword Worlds)</t>
  </si>
  <si>
    <t>Sword Worlds Priest Vogel System Defense Boat (Traders &amp; Gunboats)</t>
  </si>
  <si>
    <t>Sword Worlds Rauma Utility Boat (Sword Worlds)</t>
  </si>
  <si>
    <t>Sword Worlds SBC-12 Strike Boat (War Fleets of the Fifth Frontier War)</t>
  </si>
  <si>
    <t>Sword Worlds Ship's Boat (SCC)</t>
  </si>
  <si>
    <t>Sword Worlds Sobjornen Heavy Gunboat (Sword Worlds)</t>
  </si>
  <si>
    <t>Sword Worlds ST-1085 Tank Hunter (Sword Worlds)</t>
  </si>
  <si>
    <t>Sword Worlds Tjell Shuttle (Sword Worlds)</t>
  </si>
  <si>
    <t>Sword Worlds Turunmaa Fighter (Opening Moves)</t>
  </si>
  <si>
    <t>Sword Worlds Vanguard Fusion Boat (SCC)</t>
  </si>
  <si>
    <t>Sword Worlds Vanguard-M Missile Boat (SCC)</t>
  </si>
  <si>
    <t>Sword Worlds Veijari Wheeled Utility Vehicle (Sword Worlds)</t>
  </si>
  <si>
    <t>System Defence Boat (Core'24)</t>
  </si>
  <si>
    <t>System Defence Craft (SCC)</t>
  </si>
  <si>
    <t>System Defense Boat (HG'22)</t>
  </si>
  <si>
    <t>Sytem Defense Rock (SCC)</t>
  </si>
  <si>
    <t>Takedown Cutter (Sylean Dream)</t>
  </si>
  <si>
    <t>Teamster Logistics Vehicle (Armies of the 5FW)</t>
  </si>
  <si>
    <t>Tempest Supercar (Vehicle Handbook)</t>
  </si>
  <si>
    <t>Termite Excavating Tunneller (Vehicle Handbook)</t>
  </si>
  <si>
    <t>Terror-Roc Patrol Fighter (Vehicle Handbook)</t>
  </si>
  <si>
    <t>Tezcat Asjrou-Class Stealth Fighter (AoCS4)</t>
  </si>
  <si>
    <t>Tezcat Grathriss-Class Gunboat (AoCS4)</t>
  </si>
  <si>
    <t>Tezcat Gshahk-Class Gig (AoCS4)</t>
  </si>
  <si>
    <t>Tezcat Hrisshtou-Class Light Fighter (AoCS4)</t>
  </si>
  <si>
    <t>Tezcat Kalahk-Class Medium Fighter (AoCS4)</t>
  </si>
  <si>
    <t>Tezcat Kilrashta-Class Refuelling Shuttle (AoCS 4)</t>
  </si>
  <si>
    <t>Tezcat Rashkaaht-Class Boarding Skiff (AoCS4)</t>
  </si>
  <si>
    <t>Tezcat Vatha-Class Torpedo Boat (AoCS4)</t>
  </si>
  <si>
    <t>Tezcat Yarlasth-Class Heavy Fighter (AoCS4)</t>
  </si>
  <si>
    <t>Thousand-Class (In System) Freighter (BtC)</t>
  </si>
  <si>
    <t>Thunder Hover Tank (Vehicle Handbook)</t>
  </si>
  <si>
    <t>Torana Grav Vehicle (Armies of the 5FW)</t>
  </si>
  <si>
    <t>Torbellino Grav Speeder (Solomani Front)</t>
  </si>
  <si>
    <t>Torcon Mining Module (TTF)</t>
  </si>
  <si>
    <t>Torpedo Boat (HG'22)</t>
  </si>
  <si>
    <t>Tracked Exploration Vehicle (Vehicle Handbook)</t>
  </si>
  <si>
    <t>Trade Shuttle (SCC)</t>
  </si>
  <si>
    <t>Tradesman's Gig (SCC)</t>
  </si>
  <si>
    <t>Traffic Control Router (SCC)</t>
  </si>
  <si>
    <t>Transfer Shuttle (Great Rifts Book 1)</t>
  </si>
  <si>
    <t>Transport Bus (Bounty Hunter)</t>
  </si>
  <si>
    <t>Transport Crawler (Behind the Claw)</t>
  </si>
  <si>
    <t>Transporter (SCC)</t>
  </si>
  <si>
    <t>Trencher Abyssal Depths Submarine (Sylean Dream)</t>
  </si>
  <si>
    <t>Trepida Grav Tank (TTI)</t>
  </si>
  <si>
    <t>Tristira Type 7 Interplanetary Tug (Great Rifts Book 1)</t>
  </si>
  <si>
    <t>Troop Transport (HG'22)</t>
  </si>
  <si>
    <t>TSS Resort Agropod (The Borderlands)</t>
  </si>
  <si>
    <t>TSS Standard Agropod (The Borderlands)</t>
  </si>
  <si>
    <t>Type A: Free Trader (Core'24)</t>
  </si>
  <si>
    <t>Type A2: Far Trader (Core'24)</t>
  </si>
  <si>
    <t>Type C: Mercenary Cruiser (Core'24)</t>
  </si>
  <si>
    <t>Type C: Mercenary Cruiser (HG'22)</t>
  </si>
  <si>
    <t>Type J: Seeker (HG'22)</t>
  </si>
  <si>
    <t>Type J: Seeker Mining Ship (CRB'24)</t>
  </si>
  <si>
    <t>Type K: Safari Ship (Core'24)</t>
  </si>
  <si>
    <t>Type L: Laboratory Ship (Core'24)</t>
  </si>
  <si>
    <t>Type L: Laboratory Ship (HG'22)</t>
  </si>
  <si>
    <t>Type M: Subsidized Liner (Core'24)</t>
  </si>
  <si>
    <t>Type M: Subsidized Liner (HG'22)</t>
  </si>
  <si>
    <t>Type S: Scout/Courier (Core'24)</t>
  </si>
  <si>
    <t>Type S: Sulieman Scout/Courier (HG'22)</t>
  </si>
  <si>
    <t>Type T: Patrol Corvette (Core'24)</t>
  </si>
  <si>
    <t>Type T: Patrol Corvette (HG'22)</t>
  </si>
  <si>
    <t>Type Y: Yacht (Core'24)</t>
  </si>
  <si>
    <t>Type Y: Yacht (HG'22)</t>
  </si>
  <si>
    <t>Type: R Subsidized Merchant (Core'24)</t>
  </si>
  <si>
    <t>Type: R Subsidized Merchant (HG'22)</t>
  </si>
  <si>
    <t>Ultralight Fighter (Core'24)</t>
  </si>
  <si>
    <t>Utility Pod (SCC)</t>
  </si>
  <si>
    <t>Valiant Light Cruiser (HG'22)</t>
  </si>
  <si>
    <t>Vanguard Air Superiority Fighter (Vehicle Handbook)</t>
  </si>
  <si>
    <t>Vanguard Assault Fighter (SCC)</t>
  </si>
  <si>
    <t>Varge Loper Ground Carrier (AoCS1)</t>
  </si>
  <si>
    <t>Vargr Aakum-Class Heavy Fighter (AoCS1)</t>
  </si>
  <si>
    <t>Vargr Aetin-Class Scout (AoCS3)</t>
  </si>
  <si>
    <t>Vargr Belt Racer (SCC)</t>
  </si>
  <si>
    <t>Vargr Clawtip Plasma Tank (AoCS1)</t>
  </si>
  <si>
    <t>Vargr Corsair Pinnace (SCC)</t>
  </si>
  <si>
    <t>Vargr Ghoerruegh G/Carrier (Behind the Claw)</t>
  </si>
  <si>
    <t>Vargr Ghoerruegh G/Carrier (Far Trader Comic #1)</t>
  </si>
  <si>
    <t>Vargr Gothta Ambush Fighter (SCC)</t>
  </si>
  <si>
    <t>Vargr Gravitic Racer (AoCS3)</t>
  </si>
  <si>
    <t>Vargr Gravitic Speeder (AoCS1)</t>
  </si>
  <si>
    <t>Vargr Nolrrgarrai Strike Fighter (SCC)</t>
  </si>
  <si>
    <t>Vargr Wulfenite G/Carrier (AoCS1)</t>
  </si>
  <si>
    <t>Vegan Interface Transport (Solomani Front)</t>
  </si>
  <si>
    <t>Velos Tis Alitheia (Singularity)</t>
  </si>
  <si>
    <t>Violator Stratigic Bomber (Vehicle Handbook)</t>
  </si>
  <si>
    <t>Walkure G/Assault Vehicle (Vehicle Handbook)</t>
  </si>
  <si>
    <t>X-Boat Tender (HG'22)</t>
  </si>
  <si>
    <t>Yacht (HG'22)</t>
  </si>
  <si>
    <t>Yolrilao Farming Sumbarine (Great Rifts Book 2)</t>
  </si>
  <si>
    <t>Za'tachk Agupon Pinnace Drone (AoCS4)</t>
  </si>
  <si>
    <t>Za'tachk Antha Recon Drone (AoCS4)</t>
  </si>
  <si>
    <t>Za'tachk Eruenooph Scout Drone (AoCS4)</t>
  </si>
  <si>
    <t>Za'tachk Idinpyx Airborne Attack Drone (AoCS4)</t>
  </si>
  <si>
    <t>Za'tachk Iestynin-Class Medium Fighter Drone (AoCS4)</t>
  </si>
  <si>
    <t>Za'tachk Klaront-Class Light Fighter Drone (AoCS4)</t>
  </si>
  <si>
    <t>Za'tachk Nudaonsk Heavy Tank Drone (AoCS4)</t>
  </si>
  <si>
    <t>Za'tachk Slaixut-Class Torpedo Drone (AoCS4)</t>
  </si>
  <si>
    <t>Za'tachk Uft Lifeboat (AoCS4)</t>
  </si>
  <si>
    <t>Za'tachk Ulminixon Light Airborne Attack Drone (AoCS4)</t>
  </si>
  <si>
    <t>Zhodani Brechatsnech Belt Survey Vessel (SCC)</t>
  </si>
  <si>
    <t>Zhodani Chredri Ivl Small Craft (Warfleets of the 5FW)</t>
  </si>
  <si>
    <t>Zhodani Combat Transport Vehicle (Armies of the 5FW)</t>
  </si>
  <si>
    <t>Zhodani Drabr Chtor Terrestrial Survey Vessel (SCC)</t>
  </si>
  <si>
    <t>Zhodani Estal Intrusion Shuttle (SCC)</t>
  </si>
  <si>
    <t>Zhodani Kia Heavy Fighter (SCC)</t>
  </si>
  <si>
    <t>Zhodani Light Artillery Tank (Armies of the 5FW)</t>
  </si>
  <si>
    <t>Zhodani Militarised Air/Raft (Armies of the 5FW)</t>
  </si>
  <si>
    <t>Zhodani Military Air/Raft (Flashpoint)</t>
  </si>
  <si>
    <t>Zhodani Neishetsienz Gas Giant Survey Vessel (SCC)</t>
  </si>
  <si>
    <t>Zhodani Ofriagli Infiltration Transport (The Borderlands)</t>
  </si>
  <si>
    <t>Zhodani Tlatl Light Fighter (SCC)</t>
  </si>
  <si>
    <t>Zhodani Z-66 Light Grav Tank (Armies of the 5FW)</t>
  </si>
  <si>
    <t>Zhodani Z-80 Main Battle Tank (Armies of the 5FW)</t>
  </si>
  <si>
    <t>Zhodani Zdiezhi-Class Light Fighter (War Fleets of the 5FW)</t>
  </si>
  <si>
    <t>Zhodoni Imperious G-Carrier (AoCS1)</t>
  </si>
  <si>
    <t>Zhodoni Insight Scout Sled (AoCS1)</t>
  </si>
  <si>
    <t>Zhodoni Ninz-Class Scout (AoCS1)</t>
  </si>
  <si>
    <t>Zhodoni Princely Lord Attack Speeder (AoCS1)</t>
  </si>
  <si>
    <t>Zhodoni Qiknavra Grav Tank (AoCS1)</t>
  </si>
  <si>
    <t>Zhodoni Silent Grasp Attack Speeder (AoCS1)</t>
  </si>
  <si>
    <t>Zhodoni Unity Grav AFV (AoCS1)</t>
  </si>
  <si>
    <t>Zhodoni Utility Grav Sled (AoCS1)</t>
  </si>
  <si>
    <t>Zircon Nuclear Gun Drone (Vehicle Handbook)</t>
  </si>
  <si>
    <t>Pilot Brain, Improved</t>
  </si>
  <si>
    <t>Admin Droid, Improved</t>
  </si>
  <si>
    <t>Adv 2, Diplo 1, Pers 2</t>
  </si>
  <si>
    <t>Broker Droid, Improved</t>
  </si>
  <si>
    <t>Broker 3, Adv 1, Car 1, Inve 1, Pers 1</t>
  </si>
  <si>
    <t>Engineering Droid, Improved</t>
  </si>
  <si>
    <t xml:space="preserve">Elec (cho 1) 1, Prof (Robot) 1 </t>
  </si>
  <si>
    <t>Gunner Droid, Improved</t>
  </si>
  <si>
    <t>Tact (Nav) 2</t>
  </si>
  <si>
    <t>Mechanic Droid, Improved</t>
  </si>
  <si>
    <t>Prof (Robot) 2</t>
  </si>
  <si>
    <t>Medic Droid, Improved</t>
  </si>
  <si>
    <t>Pers 2</t>
  </si>
  <si>
    <t>Steward Droid, Improved</t>
  </si>
  <si>
    <t>Caro2, Pers 1</t>
  </si>
  <si>
    <t>Improved AutoBerth</t>
  </si>
  <si>
    <t>Improved Emergency AutoBerth</t>
  </si>
  <si>
    <t>Improved Autoberth Cluster</t>
  </si>
  <si>
    <t>Half Stateroom</t>
  </si>
  <si>
    <t>Machinery</t>
  </si>
  <si>
    <t>Control</t>
  </si>
  <si>
    <t>5D</t>
  </si>
  <si>
    <t>Cabins</t>
  </si>
  <si>
    <t>Utility</t>
  </si>
  <si>
    <t>Hull and Bulkheads</t>
  </si>
  <si>
    <t>Structural</t>
  </si>
  <si>
    <t>Requirement Upgrade (Ton)</t>
  </si>
  <si>
    <t>Requirement Construction (Ton)</t>
  </si>
  <si>
    <t>Example</t>
  </si>
  <si>
    <t>Component Type</t>
  </si>
  <si>
    <t>MATERIAL REQUIREMENTS - OUTFITTING</t>
  </si>
  <si>
    <t>MATERIAL REQUIREMENTS - TECHNICAL</t>
  </si>
  <si>
    <t>8D</t>
  </si>
  <si>
    <t>D3</t>
  </si>
  <si>
    <t>MATERIAL REQUIREMENTS - STRUCTURAL</t>
  </si>
  <si>
    <t>Average</t>
  </si>
  <si>
    <t>Material Cost Mode:</t>
  </si>
  <si>
    <t>Reduce Actual Performance</t>
  </si>
  <si>
    <t>Performance Mode:</t>
  </si>
  <si>
    <t>High-Quality</t>
  </si>
  <si>
    <t>65%</t>
  </si>
  <si>
    <t>Janky</t>
  </si>
  <si>
    <t>Beyond Janky</t>
  </si>
  <si>
    <t>Crude</t>
  </si>
  <si>
    <t>Busted</t>
  </si>
  <si>
    <t>DM Modifier</t>
  </si>
  <si>
    <t>Performance %</t>
  </si>
  <si>
    <t>Quality Level</t>
  </si>
  <si>
    <t>QUALITY SYSTEM</t>
  </si>
  <si>
    <t>Shifts/Ton Formula</t>
  </si>
  <si>
    <t>Full Cradle</t>
  </si>
  <si>
    <t>Basic Rig</t>
  </si>
  <si>
    <t>Crew Only</t>
  </si>
  <si>
    <t>Facility Type</t>
  </si>
  <si>
    <t>LABOR &amp; FACILITY</t>
  </si>
  <si>
    <t>Target Quality</t>
  </si>
  <si>
    <t>Labor (Shifts)</t>
  </si>
  <si>
    <t>Outfitting Req</t>
  </si>
  <si>
    <t>Technical Req</t>
  </si>
  <si>
    <t>Structural Req</t>
  </si>
  <si>
    <t>Component Name</t>
  </si>
  <si>
    <t>COMPONENT CONSTRUCTION</t>
  </si>
  <si>
    <t>Outfitting</t>
  </si>
  <si>
    <t>Technical</t>
  </si>
  <si>
    <t>Total Weight</t>
  </si>
  <si>
    <t>Unit Weight (Tons)</t>
  </si>
  <si>
    <t>Total Value (MCr)</t>
  </si>
  <si>
    <t>Unit Cost (MCr)</t>
  </si>
  <si>
    <t>Units Available</t>
  </si>
  <si>
    <t>Material Type</t>
  </si>
  <si>
    <t>MATERIAL INVENTORY</t>
  </si>
  <si>
    <t>CLUSTER TRUCK BUILDER - Material Inventory &amp; Construction</t>
  </si>
  <si>
    <t>Non-Functional</t>
  </si>
  <si>
    <t>Materials to Upgrade</t>
  </si>
  <si>
    <t>(Minimum / Middle / High / Random)</t>
  </si>
  <si>
    <t>Material Cost Roll:</t>
  </si>
  <si>
    <t>(DM Only / Reduce Performance)</t>
  </si>
  <si>
    <t>DM Only</t>
  </si>
  <si>
    <t>GLOBAL SETTINGS</t>
  </si>
  <si>
    <t>(Engineer skill to avoid deterioration)</t>
  </si>
  <si>
    <t>+2</t>
  </si>
  <si>
    <t>Maintenance DM:</t>
  </si>
  <si>
    <t>(Roll 2D on deterioration table)</t>
  </si>
  <si>
    <t>System at Risk:</t>
  </si>
  <si>
    <t>2026-05-05</t>
  </si>
  <si>
    <t>Next Check Due:</t>
  </si>
  <si>
    <t>(Based on ship quality)</t>
  </si>
  <si>
    <t>3 months</t>
  </si>
  <si>
    <t>Deterioration Check Period:</t>
  </si>
  <si>
    <t>(Worst of Hull/Power Plant)</t>
  </si>
  <si>
    <t>Overall Ship Quality:</t>
  </si>
  <si>
    <t>SECTION 7: DETERIORATION TRACKER</t>
  </si>
  <si>
    <t>shifts</t>
  </si>
  <si>
    <t>Labor Required:</t>
  </si>
  <si>
    <t>Upgrade Cost:</t>
  </si>
  <si>
    <t>Outfitting units:</t>
  </si>
  <si>
    <t>Technical units:</t>
  </si>
  <si>
    <t>Structural units:</t>
  </si>
  <si>
    <t>MATERIALS TO UPGRADE:</t>
  </si>
  <si>
    <t>(Must be +1 level only)</t>
  </si>
  <si>
    <t>Desired Quality:</t>
  </si>
  <si>
    <t>Current Quality:</t>
  </si>
  <si>
    <t>SECTION 6: UPGRADE COST CALCULATOR</t>
  </si>
  <si>
    <t>(Next quality level)</t>
  </si>
  <si>
    <t>Can Upgrade To:</t>
  </si>
  <si>
    <t>(Table lookup based on source + roll)</t>
  </si>
  <si>
    <t>Component Condition:</t>
  </si>
  <si>
    <t>Salvage Roll (2D):</t>
  </si>
  <si>
    <t>(Wreck/Derelict/Scrap Yard)</t>
  </si>
  <si>
    <t>Wreck</t>
  </si>
  <si>
    <t>Salvage Source:</t>
  </si>
  <si>
    <t>SECTION 5: SALVAGE QUALITY DETERMINATION</t>
  </si>
  <si>
    <t>(-4 to +2 based on quality)</t>
  </si>
  <si>
    <t>DM Applied:</t>
  </si>
  <si>
    <t>(10-150% based on quality)</t>
  </si>
  <si>
    <t>Performance %:</t>
  </si>
  <si>
    <t>(Lookup from quality table)</t>
  </si>
  <si>
    <t>Component Quality:</t>
  </si>
  <si>
    <t>Final Result:</t>
  </si>
  <si>
    <t>(From Engineer + Facility - TL difference)</t>
  </si>
  <si>
    <t>Quality DM:</t>
  </si>
  <si>
    <t>(Enter your 2D6 roll result)</t>
  </si>
  <si>
    <t>Roll 2D:</t>
  </si>
  <si>
    <t>SECTION 4: QUALITY ROLLER &amp; RESULTS</t>
  </si>
  <si>
    <t>DM for quality roll</t>
  </si>
  <si>
    <t>Engineer Skill Level:</t>
  </si>
  <si>
    <t>days (assumes 2 shifts/day)</t>
  </si>
  <si>
    <t>Days to Complete:</t>
  </si>
  <si>
    <t>workers</t>
  </si>
  <si>
    <t>Crew Size:</t>
  </si>
  <si>
    <t>shifts (based on facility &amp; tonnage)</t>
  </si>
  <si>
    <t>Shifts Required:</t>
  </si>
  <si>
    <t>(Crew-Only/Makeshift Frame/Basic Rig/Full Cradle)</t>
  </si>
  <si>
    <t>Construction Facility:</t>
  </si>
  <si>
    <t>SECTION 3: LABOR &amp; FACILITY REQUIREMENTS</t>
  </si>
  <si>
    <t>Check inventory above</t>
  </si>
  <si>
    <t>Have sufficient materials?</t>
  </si>
  <si>
    <t>Total Material Cost:</t>
  </si>
  <si>
    <t>Outfitting units needed:</t>
  </si>
  <si>
    <t>Technical units needed:</t>
  </si>
  <si>
    <t>Structural units needed:</t>
  </si>
  <si>
    <t>MATERIALS REQUIRED:</t>
  </si>
  <si>
    <t>(Dropdown: Crude/Beyond Janky/Janky/Basic/Standard)</t>
  </si>
  <si>
    <t>Target Quality:</t>
  </si>
  <si>
    <t>Tonnage to Build:</t>
  </si>
  <si>
    <t>(Dropdown: Structural/Utility/Control/Machinery/Drives)</t>
  </si>
  <si>
    <t>Component Type:</t>
  </si>
  <si>
    <t>SECTION 2: COMPONENT CONSTRUCTION CALCULATOR</t>
  </si>
  <si>
    <t>TOTAL INVENTORY VALUE</t>
  </si>
  <si>
    <t>Total Value (Cr)</t>
  </si>
  <si>
    <t>Weight per Unit (tons)</t>
  </si>
  <si>
    <t>Cost per Unit (Cr)</t>
  </si>
  <si>
    <t>Units on Hand</t>
  </si>
  <si>
    <t>SECTION 1: MATERIAL INVENTORY &amp; COSTS</t>
  </si>
  <si>
    <t>Mongoose Traveller 2e - Estuary Cluster Rules</t>
  </si>
  <si>
    <t>CLUSTER TRUCK: Salvage &amp; Scrap Ship Construction System</t>
  </si>
  <si>
    <t>Build or Upgrade</t>
  </si>
  <si>
    <t>Build</t>
  </si>
  <si>
    <t>Upgrade</t>
  </si>
  <si>
    <t>Median</t>
  </si>
  <si>
    <t>Makeshift Frame</t>
  </si>
  <si>
    <t xml:space="preserve">4D+4 </t>
  </si>
  <si>
    <t>(low 8, avg 18, high 28)</t>
  </si>
  <si>
    <t xml:space="preserve">3D+3 </t>
  </si>
  <si>
    <t>(low 6, avg 13.5, high 21)</t>
  </si>
  <si>
    <t xml:space="preserve">2D+2 </t>
  </si>
  <si>
    <t>(low 4, avg 9, high 14)</t>
  </si>
  <si>
    <t>Current Quality</t>
  </si>
  <si>
    <t>Shifts Range: (x6 for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</si>
</sst>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0.000"/>
    <numFmt numFmtId="167" formatCode="\+0;\-0;0"/>
    <numFmt numFmtId="168" formatCode="yyyy\-mm\-dd"/>
    <numFmt numFmtId="169" formatCode="\C\r\ #,##0"/>
  </numFmts>
  <fonts count="55" x14ac:knownFonts="1">
    <font>
      <sz val="11"/>
      <color theme="1"/>
      <name val="Calibri"/>
      <family val="2"/>
      <scheme val="minor"/>
    </font>
    <font>
      <b/>
      <sz val="11"/>
      <color theme="1"/>
      <name val="Calibri"/>
      <family val="2"/>
      <scheme val="minor"/>
    </font>
    <font>
      <b/>
      <u/>
      <sz val="11"/>
      <color theme="1"/>
      <name val="Calibri"/>
      <family val="2"/>
      <scheme val="minor"/>
    </font>
    <font>
      <u/>
      <sz val="11"/>
      <color theme="1"/>
      <name val="Calibri"/>
      <family val="2"/>
      <scheme val="minor"/>
    </font>
    <font>
      <sz val="10"/>
      <color theme="1"/>
      <name val="Calibri"/>
      <family val="2"/>
      <scheme val="minor"/>
    </font>
    <font>
      <sz val="2"/>
      <color theme="1"/>
      <name val="Calibri"/>
      <family val="2"/>
      <scheme val="minor"/>
    </font>
    <font>
      <sz val="1.5"/>
      <color theme="0"/>
      <name val="Calibri"/>
      <family val="2"/>
      <scheme val="minor"/>
    </font>
    <font>
      <b/>
      <sz val="12"/>
      <color theme="1"/>
      <name val="Calibri"/>
      <family val="2"/>
      <scheme val="minor"/>
    </font>
    <font>
      <sz val="9"/>
      <color theme="1"/>
      <name val="Calibri"/>
      <family val="2"/>
      <scheme val="minor"/>
    </font>
    <font>
      <sz val="14"/>
      <color theme="1"/>
      <name val="Calibri"/>
      <family val="2"/>
      <scheme val="minor"/>
    </font>
    <font>
      <sz val="11"/>
      <color rgb="FF111111"/>
      <name val="Calibri"/>
      <family val="2"/>
      <scheme val="minor"/>
    </font>
    <font>
      <sz val="11"/>
      <name val="Calibri"/>
      <family val="2"/>
      <scheme val="minor"/>
    </font>
    <font>
      <sz val="10"/>
      <name val="Calibri"/>
      <family val="2"/>
      <scheme val="minor"/>
    </font>
    <font>
      <sz val="8"/>
      <name val="Calibri"/>
      <family val="2"/>
      <scheme val="minor"/>
    </font>
    <font>
      <b/>
      <sz val="11"/>
      <name val="Calibri"/>
      <family val="2"/>
      <scheme val="minor"/>
    </font>
    <font>
      <b/>
      <sz val="10"/>
      <name val="Calibri"/>
      <family val="2"/>
      <scheme val="minor"/>
    </font>
    <font>
      <sz val="9"/>
      <name val="Calibri"/>
      <family val="2"/>
      <scheme val="minor"/>
    </font>
    <font>
      <b/>
      <sz val="8"/>
      <name val="Calibri"/>
      <family val="2"/>
      <scheme val="minor"/>
    </font>
    <font>
      <b/>
      <sz val="8"/>
      <color theme="1"/>
      <name val="Calibri"/>
      <family val="2"/>
      <scheme val="minor"/>
    </font>
    <font>
      <b/>
      <sz val="10"/>
      <color theme="1"/>
      <name val="Calibri"/>
      <family val="2"/>
      <scheme val="minor"/>
    </font>
    <font>
      <sz val="8.5"/>
      <color theme="1"/>
      <name val="Calibri"/>
      <family val="2"/>
      <scheme val="minor"/>
    </font>
    <font>
      <sz val="11"/>
      <color theme="0"/>
      <name val="Calibri"/>
      <family val="2"/>
      <scheme val="minor"/>
    </font>
    <font>
      <b/>
      <sz val="11"/>
      <color rgb="FFFF0000"/>
      <name val="Calibri"/>
      <family val="2"/>
      <scheme val="minor"/>
    </font>
    <font>
      <sz val="11"/>
      <color theme="0" tint="-0.499984740745262"/>
      <name val="Calibri"/>
      <family val="2"/>
      <scheme val="minor"/>
    </font>
    <font>
      <b/>
      <sz val="11"/>
      <color theme="0" tint="-0.499984740745262"/>
      <name val="Calibri"/>
      <family val="2"/>
      <scheme val="minor"/>
    </font>
    <font>
      <b/>
      <sz val="11"/>
      <color theme="0"/>
      <name val="Calibri"/>
      <family val="2"/>
      <scheme val="minor"/>
    </font>
    <font>
      <sz val="11"/>
      <color theme="9" tint="-0.249977111117893"/>
      <name val="Calibri"/>
      <family val="2"/>
      <scheme val="minor"/>
    </font>
    <font>
      <b/>
      <sz val="14"/>
      <color theme="1"/>
      <name val="Calibri"/>
      <family val="2"/>
      <scheme val="minor"/>
    </font>
    <font>
      <sz val="7"/>
      <name val="Calibri"/>
      <family val="2"/>
      <scheme val="minor"/>
    </font>
    <font>
      <sz val="7"/>
      <color theme="1"/>
      <name val="Calibri"/>
      <family val="2"/>
      <scheme val="minor"/>
    </font>
    <font>
      <sz val="24"/>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14"/>
      <name val="Calibri"/>
      <family val="2"/>
      <scheme val="minor"/>
    </font>
    <font>
      <sz val="16"/>
      <color theme="1"/>
      <name val="Calibri"/>
      <family val="2"/>
      <scheme val="minor"/>
    </font>
    <font>
      <sz val="16"/>
      <name val="Calibri"/>
      <family val="2"/>
      <scheme val="minor"/>
    </font>
    <font>
      <sz val="11"/>
      <color theme="1"/>
      <name val="Calibri"/>
      <family val="2"/>
      <scheme val="minor"/>
    </font>
    <font>
      <sz val="12"/>
      <color theme="1"/>
      <name val="Calibri"/>
      <family val="2"/>
    </font>
    <font>
      <b/>
      <sz val="11"/>
      <color theme="1" tint="0.499984740745262"/>
      <name val="Calibri"/>
      <family val="2"/>
      <scheme val="minor"/>
    </font>
    <font>
      <b/>
      <sz val="11.5"/>
      <color theme="0"/>
      <name val="Calibri"/>
      <family val="2"/>
      <scheme val="minor"/>
    </font>
    <font>
      <sz val="14"/>
      <name val="Calibri"/>
      <family val="2"/>
      <scheme val="minor"/>
    </font>
    <font>
      <b/>
      <u/>
      <sz val="12"/>
      <color theme="1"/>
      <name val="Calibri"/>
      <family val="2"/>
      <scheme val="minor"/>
    </font>
    <font>
      <sz val="11"/>
      <color rgb="FFFFFFFF"/>
      <name val="Segoe UI"/>
      <family val="2"/>
    </font>
    <font>
      <sz val="11"/>
      <color theme="1"/>
      <name val="Segoe UI"/>
      <family val="2"/>
    </font>
    <font>
      <sz val="11"/>
      <color rgb="FF000000"/>
      <name val="Segoe UI"/>
      <family val="2"/>
    </font>
    <font>
      <b/>
      <sz val="11"/>
      <name val="Calibri"/>
      <family val="2"/>
    </font>
    <font>
      <b/>
      <sz val="12"/>
      <name val="Calibri"/>
      <family val="2"/>
    </font>
    <font>
      <b/>
      <sz val="14"/>
      <name val="Calibri"/>
      <family val="2"/>
    </font>
    <font>
      <i/>
      <sz val="8"/>
      <name val="Calibri"/>
      <family val="2"/>
    </font>
    <font>
      <b/>
      <u/>
      <sz val="11"/>
      <name val="Calibri"/>
      <family val="2"/>
    </font>
    <font>
      <i/>
      <sz val="11"/>
      <name val="Calibri"/>
      <family val="2"/>
    </font>
    <font>
      <i/>
      <sz val="10"/>
      <name val="Calibri"/>
      <family val="2"/>
    </font>
    <font>
      <b/>
      <sz val="14"/>
      <color rgb="FFFFFFFF"/>
      <name val="Calibri"/>
      <family val="2"/>
    </font>
    <font>
      <sz val="11"/>
      <name val="Calibri"/>
      <family val="2"/>
    </font>
  </fonts>
  <fills count="29">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7" tint="0.59996337778862885"/>
        <bgColor indexed="64"/>
      </patternFill>
    </fill>
    <fill>
      <patternFill patternType="solid">
        <fgColor theme="5" tint="0.79998168889431442"/>
        <bgColor indexed="64"/>
      </patternFill>
    </fill>
    <fill>
      <patternFill patternType="solid">
        <fgColor theme="5" tint="0.59996337778862885"/>
        <bgColor indexed="64"/>
      </patternFill>
    </fill>
    <fill>
      <patternFill patternType="solid">
        <fgColor theme="0" tint="-0.149967955565050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C00000"/>
        <bgColor indexed="64"/>
      </patternFill>
    </fill>
    <fill>
      <patternFill patternType="solid">
        <fgColor theme="0" tint="-0.499984740745262"/>
        <bgColor indexed="64"/>
      </patternFill>
    </fill>
    <fill>
      <patternFill patternType="solid">
        <fgColor theme="2"/>
        <bgColor indexed="64"/>
      </patternFill>
    </fill>
    <fill>
      <patternFill patternType="solid">
        <fgColor theme="1" tint="0.499984740745262"/>
        <bgColor indexed="64"/>
      </patternFill>
    </fill>
    <fill>
      <gradientFill degree="90">
        <stop position="0">
          <color theme="0"/>
        </stop>
        <stop position="0.5">
          <color theme="7" tint="0.80001220740379042"/>
        </stop>
        <stop position="1">
          <color theme="0"/>
        </stop>
      </gradientFill>
    </fill>
    <fill>
      <patternFill patternType="solid">
        <fgColor rgb="FFFFEBFF"/>
        <bgColor indexed="64"/>
      </patternFill>
    </fill>
    <fill>
      <patternFill patternType="solid">
        <fgColor rgb="FFFFF2CC"/>
        <bgColor rgb="FFFFF2CC"/>
      </patternFill>
    </fill>
    <fill>
      <patternFill patternType="solid">
        <fgColor rgb="FFD9E2F3"/>
        <bgColor rgb="FFD9E2F3"/>
      </patternFill>
    </fill>
    <fill>
      <patternFill patternType="solid">
        <fgColor rgb="FFFFC000"/>
        <bgColor rgb="FFFFC000"/>
      </patternFill>
    </fill>
    <fill>
      <patternFill patternType="solid">
        <fgColor rgb="FFE2EFDA"/>
        <bgColor rgb="FFE2EFDA"/>
      </patternFill>
    </fill>
    <fill>
      <patternFill patternType="solid">
        <fgColor rgb="FF8EA9DB"/>
        <bgColor rgb="FF8EA9DB"/>
      </patternFill>
    </fill>
    <fill>
      <patternFill patternType="solid">
        <fgColor rgb="FF4472C4"/>
        <bgColor rgb="FF4472C4"/>
      </patternFill>
    </fill>
  </fills>
  <borders count="169">
    <border>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right style="double">
        <color auto="1"/>
      </right>
      <top/>
      <bottom/>
      <diagonal/>
    </border>
    <border>
      <left/>
      <right style="double">
        <color auto="1"/>
      </right>
      <top/>
      <bottom style="double">
        <color auto="1"/>
      </bottom>
      <diagonal/>
    </border>
    <border>
      <left style="medium">
        <color auto="1"/>
      </left>
      <right style="medium">
        <color auto="1"/>
      </right>
      <top style="double">
        <color auto="1"/>
      </top>
      <bottom style="medium">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right style="double">
        <color auto="1"/>
      </right>
      <top/>
      <bottom style="thin">
        <color auto="1"/>
      </bottom>
      <diagonal/>
    </border>
    <border>
      <left style="thin">
        <color auto="1"/>
      </left>
      <right style="thin">
        <color auto="1"/>
      </right>
      <top/>
      <bottom/>
      <diagonal/>
    </border>
    <border>
      <left style="thin">
        <color auto="1"/>
      </left>
      <right/>
      <top style="double">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double">
        <color auto="1"/>
      </right>
      <top style="thin">
        <color auto="1"/>
      </top>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right/>
      <top style="medium">
        <color auto="1"/>
      </top>
      <bottom style="medium">
        <color auto="1"/>
      </bottom>
      <diagonal/>
    </border>
    <border>
      <left/>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thin">
        <color auto="1"/>
      </right>
      <top/>
      <bottom style="thin">
        <color auto="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theme="5" tint="-0.24994659260841701"/>
      </left>
      <right style="medium">
        <color theme="5" tint="-0.24994659260841701"/>
      </right>
      <top style="medium">
        <color theme="5" tint="-0.24994659260841701"/>
      </top>
      <bottom style="medium">
        <color theme="5" tint="-0.24994659260841701"/>
      </bottom>
      <diagonal/>
    </border>
    <border>
      <left style="medium">
        <color theme="5" tint="-0.24994659260841701"/>
      </left>
      <right/>
      <top style="medium">
        <color theme="5" tint="-0.24994659260841701"/>
      </top>
      <bottom/>
      <diagonal/>
    </border>
    <border>
      <left/>
      <right/>
      <top style="medium">
        <color theme="5" tint="-0.24994659260841701"/>
      </top>
      <bottom/>
      <diagonal/>
    </border>
    <border>
      <left/>
      <right style="medium">
        <color theme="5" tint="-0.24994659260841701"/>
      </right>
      <top style="medium">
        <color theme="5" tint="-0.24994659260841701"/>
      </top>
      <bottom/>
      <diagonal/>
    </border>
    <border>
      <left style="medium">
        <color theme="5" tint="-0.24994659260841701"/>
      </left>
      <right/>
      <top/>
      <bottom/>
      <diagonal/>
    </border>
    <border>
      <left/>
      <right style="medium">
        <color theme="5" tint="-0.24994659260841701"/>
      </right>
      <top/>
      <bottom/>
      <diagonal/>
    </border>
    <border>
      <left style="medium">
        <color theme="5" tint="-0.24994659260841701"/>
      </left>
      <right/>
      <top/>
      <bottom style="medium">
        <color theme="5" tint="-0.24994659260841701"/>
      </bottom>
      <diagonal/>
    </border>
    <border>
      <left/>
      <right/>
      <top/>
      <bottom style="medium">
        <color theme="5" tint="-0.24994659260841701"/>
      </bottom>
      <diagonal/>
    </border>
    <border>
      <left/>
      <right style="medium">
        <color theme="5" tint="-0.24994659260841701"/>
      </right>
      <top/>
      <bottom style="medium">
        <color theme="5" tint="-0.24994659260841701"/>
      </bottom>
      <diagonal/>
    </border>
    <border>
      <left style="medium">
        <color theme="5" tint="-0.24994659260841701"/>
      </left>
      <right style="medium">
        <color theme="5" tint="-0.24994659260841701"/>
      </right>
      <top/>
      <bottom style="medium">
        <color theme="5" tint="-0.24994659260841701"/>
      </bottom>
      <diagonal/>
    </border>
    <border>
      <left/>
      <right/>
      <top style="medium">
        <color theme="5" tint="-0.24994659260841701"/>
      </top>
      <bottom style="medium">
        <color theme="5" tint="-0.24994659260841701"/>
      </bottom>
      <diagonal/>
    </border>
    <border>
      <left style="thin">
        <color auto="1"/>
      </left>
      <right style="thin">
        <color auto="1"/>
      </right>
      <top/>
      <bottom style="medium">
        <color theme="5" tint="-0.24994659260841701"/>
      </bottom>
      <diagonal/>
    </border>
    <border>
      <left/>
      <right style="medium">
        <color theme="0" tint="-4.9989318521683403E-2"/>
      </right>
      <top/>
      <bottom/>
      <diagonal/>
    </border>
    <border>
      <left style="medium">
        <color theme="0" tint="-4.9989318521683403E-2"/>
      </left>
      <right style="medium">
        <color theme="5" tint="-0.24994659260841701"/>
      </right>
      <top/>
      <bottom/>
      <diagonal/>
    </border>
    <border>
      <left style="medium">
        <color theme="0" tint="-4.9989318521683403E-2"/>
      </left>
      <right style="medium">
        <color theme="0" tint="-4.9989318521683403E-2"/>
      </right>
      <top/>
      <bottom/>
      <diagonal/>
    </border>
    <border>
      <left style="medium">
        <color theme="5" tint="-0.24994659260841701"/>
      </left>
      <right style="medium">
        <color theme="0" tint="-4.9989318521683403E-2"/>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double">
        <color auto="1"/>
      </right>
      <top/>
      <bottom/>
      <diagonal/>
    </border>
    <border>
      <left style="thin">
        <color auto="1"/>
      </left>
      <right style="double">
        <color auto="1"/>
      </right>
      <top/>
      <bottom style="thin">
        <color auto="1"/>
      </bottom>
      <diagonal/>
    </border>
    <border>
      <left style="thin">
        <color auto="1"/>
      </left>
      <right style="double">
        <color auto="1"/>
      </right>
      <top style="thin">
        <color auto="1"/>
      </top>
      <bottom/>
      <diagonal/>
    </border>
    <border>
      <left style="medium">
        <color theme="5" tint="-0.24994659260841701"/>
      </left>
      <right style="medium">
        <color auto="1"/>
      </right>
      <top style="medium">
        <color theme="5" tint="-0.24994659260841701"/>
      </top>
      <bottom style="medium">
        <color theme="5" tint="-0.24994659260841701"/>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top/>
      <bottom style="medium">
        <color auto="1"/>
      </bottom>
      <diagonal/>
    </border>
    <border>
      <left style="thin">
        <color auto="1"/>
      </left>
      <right style="medium">
        <color theme="5" tint="-0.24994659260841701"/>
      </right>
      <top style="medium">
        <color theme="5" tint="-0.24994659260841701"/>
      </top>
      <bottom style="medium">
        <color theme="5" tint="-0.2499465926084170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double">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thin">
        <color auto="1"/>
      </left>
      <right style="double">
        <color auto="1"/>
      </right>
      <top style="thin">
        <color auto="1"/>
      </top>
      <bottom style="medium">
        <color auto="1"/>
      </bottom>
      <diagonal/>
    </border>
    <border>
      <left style="thin">
        <color auto="1"/>
      </left>
      <right style="medium">
        <color auto="1"/>
      </right>
      <top style="thin">
        <color auto="1"/>
      </top>
      <bottom style="double">
        <color auto="1"/>
      </bottom>
      <diagonal/>
    </border>
    <border>
      <left style="medium">
        <color auto="1"/>
      </left>
      <right style="thin">
        <color auto="1"/>
      </right>
      <top style="thin">
        <color auto="1"/>
      </top>
      <bottom style="double">
        <color auto="1"/>
      </bottom>
      <diagonal/>
    </border>
    <border>
      <left style="medium">
        <color theme="5" tint="-0.24994659260841701"/>
      </left>
      <right/>
      <top style="thin">
        <color auto="1"/>
      </top>
      <bottom/>
      <diagonal/>
    </border>
    <border>
      <left style="medium">
        <color theme="5" tint="-0.24994659260841701"/>
      </left>
      <right style="medium">
        <color theme="5" tint="-0.24994659260841701"/>
      </right>
      <top style="medium">
        <color theme="5" tint="-0.2499465926084170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theme="5" tint="-0.24994659260841701"/>
      </left>
      <right/>
      <top style="medium">
        <color theme="5" tint="-0.24994659260841701"/>
      </top>
      <bottom style="medium">
        <color theme="5" tint="-0.24994659260841701"/>
      </bottom>
      <diagonal/>
    </border>
    <border>
      <left/>
      <right style="medium">
        <color theme="5" tint="-0.24994659260841701"/>
      </right>
      <top style="medium">
        <color theme="5" tint="-0.24994659260841701"/>
      </top>
      <bottom style="medium">
        <color theme="5" tint="-0.24994659260841701"/>
      </bottom>
      <diagonal/>
    </border>
    <border>
      <left style="medium">
        <color theme="5" tint="-0.24994659260841701"/>
      </left>
      <right style="medium">
        <color theme="5" tint="-0.24994659260841701"/>
      </right>
      <top style="medium">
        <color theme="5" tint="-0.24994659260841701"/>
      </top>
      <bottom style="double">
        <color theme="5" tint="-0.24994659260841701"/>
      </bottom>
      <diagonal/>
    </border>
    <border>
      <left style="double">
        <color theme="5" tint="-0.24994659260841701"/>
      </left>
      <right style="medium">
        <color theme="5" tint="-0.24994659260841701"/>
      </right>
      <top style="medium">
        <color theme="5" tint="-0.24994659260841701"/>
      </top>
      <bottom style="double">
        <color theme="5" tint="-0.24994659260841701"/>
      </bottom>
      <diagonal/>
    </border>
    <border>
      <left style="double">
        <color theme="5" tint="-0.24994659260841701"/>
      </left>
      <right style="medium">
        <color theme="5" tint="-0.24994659260841701"/>
      </right>
      <top style="medium">
        <color theme="5" tint="-0.24994659260841701"/>
      </top>
      <bottom style="medium">
        <color theme="5" tint="-0.24994659260841701"/>
      </bottom>
      <diagonal/>
    </border>
    <border>
      <left style="medium">
        <color auto="1"/>
      </left>
      <right style="double">
        <color theme="5" tint="-0.24994659260841701"/>
      </right>
      <top style="medium">
        <color auto="1"/>
      </top>
      <bottom/>
      <diagonal/>
    </border>
    <border>
      <left style="medium">
        <color auto="1"/>
      </left>
      <right style="double">
        <color theme="5" tint="-0.24994659260841701"/>
      </right>
      <top/>
      <bottom/>
      <diagonal/>
    </border>
    <border>
      <left style="medium">
        <color auto="1"/>
      </left>
      <right style="double">
        <color theme="5" tint="-0.24994659260841701"/>
      </right>
      <top/>
      <bottom style="medium">
        <color auto="1"/>
      </bottom>
      <diagonal/>
    </border>
    <border>
      <left style="medium">
        <color auto="1"/>
      </left>
      <right style="medium">
        <color theme="5" tint="-0.24994659260841701"/>
      </right>
      <top style="medium">
        <color auto="1"/>
      </top>
      <bottom/>
      <diagonal/>
    </border>
    <border>
      <left style="medium">
        <color auto="1"/>
      </left>
      <right style="medium">
        <color theme="5" tint="-0.24994659260841701"/>
      </right>
      <top/>
      <bottom/>
      <diagonal/>
    </border>
    <border>
      <left style="medium">
        <color auto="1"/>
      </left>
      <right style="medium">
        <color theme="5" tint="-0.24994659260841701"/>
      </right>
      <top/>
      <bottom style="medium">
        <color auto="1"/>
      </bottom>
      <diagonal/>
    </border>
    <border>
      <left style="medium">
        <color theme="5" tint="-0.24994659260841701"/>
      </left>
      <right style="medium">
        <color theme="5" tint="-0.24994659260841701"/>
      </right>
      <top style="double">
        <color theme="5" tint="-0.24994659260841701"/>
      </top>
      <bottom style="medium">
        <color theme="5" tint="-0.24994659260841701"/>
      </bottom>
      <diagonal/>
    </border>
    <border>
      <left style="medium">
        <color theme="5" tint="-0.24994659260841701"/>
      </left>
      <right style="thin">
        <color auto="1"/>
      </right>
      <top style="medium">
        <color auto="1"/>
      </top>
      <bottom/>
      <diagonal/>
    </border>
    <border>
      <left style="thin">
        <color auto="1"/>
      </left>
      <right style="medium">
        <color theme="5" tint="-0.24994659260841701"/>
      </right>
      <top style="medium">
        <color auto="1"/>
      </top>
      <bottom/>
      <diagonal/>
    </border>
    <border>
      <left style="medium">
        <color theme="5" tint="-0.24994659260841701"/>
      </left>
      <right style="thin">
        <color auto="1"/>
      </right>
      <top/>
      <bottom style="thin">
        <color auto="1"/>
      </bottom>
      <diagonal/>
    </border>
    <border>
      <left style="medium">
        <color theme="5" tint="-0.24994659260841701"/>
      </left>
      <right style="thin">
        <color auto="1"/>
      </right>
      <top/>
      <bottom/>
      <diagonal/>
    </border>
    <border>
      <left style="thin">
        <color auto="1"/>
      </left>
      <right/>
      <top style="medium">
        <color theme="5" tint="-0.24994659260841701"/>
      </top>
      <bottom/>
      <diagonal/>
    </border>
    <border>
      <left/>
      <right style="medium">
        <color theme="5" tint="-0.24994659260841701"/>
      </right>
      <top/>
      <bottom style="thin">
        <color auto="1"/>
      </bottom>
      <diagonal/>
    </border>
    <border>
      <left style="medium">
        <color theme="5" tint="-0.24994659260841701"/>
      </left>
      <right/>
      <top/>
      <bottom style="thin">
        <color auto="1"/>
      </bottom>
      <diagonal/>
    </border>
    <border>
      <left style="medium">
        <color theme="5" tint="-0.24994659260841701"/>
      </left>
      <right/>
      <top style="thin">
        <color auto="1"/>
      </top>
      <bottom style="thin">
        <color auto="1"/>
      </bottom>
      <diagonal/>
    </border>
    <border>
      <left style="thick">
        <color theme="5" tint="-0.24994659260841701"/>
      </left>
      <right style="thick">
        <color theme="5" tint="-0.24994659260841701"/>
      </right>
      <top style="thick">
        <color theme="5" tint="-0.24994659260841701"/>
      </top>
      <bottom style="thick">
        <color theme="5" tint="-0.24994659260841701"/>
      </bottom>
      <diagonal/>
    </border>
    <border>
      <left style="medium">
        <color theme="0" tint="-4.9989318521683403E-2"/>
      </left>
      <right/>
      <top/>
      <bottom/>
      <diagonal/>
    </border>
    <border>
      <left/>
      <right style="medium">
        <color theme="5" tint="-0.24994659260841701"/>
      </right>
      <top style="thin">
        <color indexed="64"/>
      </top>
      <bottom/>
      <diagonal/>
    </border>
    <border>
      <left/>
      <right/>
      <top style="dotted">
        <color auto="1"/>
      </top>
      <bottom/>
      <diagonal/>
    </border>
    <border>
      <left style="thin">
        <color auto="1"/>
      </left>
      <right/>
      <top style="thin">
        <color theme="4" tint="0.39997558519241921"/>
      </top>
      <bottom style="thin">
        <color theme="4" tint="0.39997558519241921"/>
      </bottom>
      <diagonal/>
    </border>
    <border>
      <left style="thin">
        <color auto="1"/>
      </left>
      <right/>
      <top style="thin">
        <color theme="4" tint="0.39997558519241921"/>
      </top>
      <bottom style="thin">
        <color auto="1"/>
      </bottom>
      <diagonal/>
    </border>
    <border>
      <left style="medium">
        <color theme="5" tint="-0.24994659260841701"/>
      </left>
      <right style="medium">
        <color theme="5" tint="-0.24994659260841701"/>
      </right>
      <top/>
      <bottom/>
      <diagonal/>
    </border>
    <border>
      <left style="thin">
        <color auto="1"/>
      </left>
      <right style="thin">
        <color auto="1"/>
      </right>
      <top style="medium">
        <color theme="5" tint="-0.24994659260841701"/>
      </top>
      <bottom style="thin">
        <color auto="1"/>
      </bottom>
      <diagonal/>
    </border>
    <border>
      <left style="thin">
        <color indexed="64"/>
      </left>
      <right/>
      <top/>
      <bottom style="medium">
        <color theme="5" tint="-0.24994659260841701"/>
      </bottom>
      <diagonal/>
    </border>
    <border>
      <left/>
      <right style="thin">
        <color indexed="64"/>
      </right>
      <top style="thin">
        <color auto="1"/>
      </top>
      <bottom style="medium">
        <color theme="5" tint="-0.24994659260841701"/>
      </bottom>
      <diagonal/>
    </border>
    <border>
      <left/>
      <right style="thin">
        <color indexed="64"/>
      </right>
      <top style="medium">
        <color theme="5" tint="-0.24994659260841701"/>
      </top>
      <bottom/>
      <diagonal/>
    </border>
    <border>
      <left style="medium">
        <color theme="5" tint="-0.24994659260841701"/>
      </left>
      <right/>
      <top style="thin">
        <color auto="1"/>
      </top>
      <bottom style="medium">
        <color theme="1"/>
      </bottom>
      <diagonal/>
    </border>
    <border>
      <left/>
      <right style="medium">
        <color auto="1"/>
      </right>
      <top style="thin">
        <color auto="1"/>
      </top>
      <bottom style="medium">
        <color theme="1"/>
      </bottom>
      <diagonal/>
    </border>
    <border>
      <left style="thin">
        <color auto="1"/>
      </left>
      <right/>
      <top style="thin">
        <color auto="1"/>
      </top>
      <bottom style="medium">
        <color theme="5" tint="-0.24994659260841701"/>
      </bottom>
      <diagonal/>
    </border>
    <border>
      <left style="thick">
        <color theme="5" tint="-0.24994659260841701"/>
      </left>
      <right style="medium">
        <color theme="5" tint="-0.24994659260841701"/>
      </right>
      <top style="medium">
        <color theme="5" tint="-0.24994659260841701"/>
      </top>
      <bottom style="medium">
        <color theme="5" tint="-0.24994659260841701"/>
      </bottom>
      <diagonal/>
    </border>
    <border>
      <left style="medium">
        <color theme="5" tint="-0.24994659260841701"/>
      </left>
      <right style="thick">
        <color theme="5" tint="-0.24994659260841701"/>
      </right>
      <top style="medium">
        <color theme="5" tint="-0.24994659260841701"/>
      </top>
      <bottom style="medium">
        <color theme="5" tint="-0.24994659260841701"/>
      </bottom>
      <diagonal/>
    </border>
    <border>
      <left style="thick">
        <color theme="5" tint="-0.24994659260841701"/>
      </left>
      <right style="medium">
        <color theme="5" tint="-0.24994659260841701"/>
      </right>
      <top style="medium">
        <color theme="5" tint="-0.24994659260841701"/>
      </top>
      <bottom style="thick">
        <color theme="5" tint="-0.24994659260841701"/>
      </bottom>
      <diagonal/>
    </border>
    <border>
      <left style="medium">
        <color theme="5" tint="-0.24994659260841701"/>
      </left>
      <right style="thick">
        <color theme="5" tint="-0.24994659260841701"/>
      </right>
      <top style="medium">
        <color theme="5" tint="-0.24994659260841701"/>
      </top>
      <bottom style="thick">
        <color theme="5" tint="-0.24994659260841701"/>
      </bottom>
      <diagonal/>
    </border>
    <border>
      <left style="thick">
        <color theme="1"/>
      </left>
      <right style="thin">
        <color theme="1"/>
      </right>
      <top style="thick">
        <color theme="1"/>
      </top>
      <bottom/>
      <diagonal/>
    </border>
    <border>
      <left style="thin">
        <color theme="1"/>
      </left>
      <right style="thick">
        <color theme="1"/>
      </right>
      <top style="thick">
        <color theme="1"/>
      </top>
      <bottom/>
      <diagonal/>
    </border>
    <border>
      <left style="thick">
        <color theme="1"/>
      </left>
      <right style="thin">
        <color theme="1"/>
      </right>
      <top/>
      <bottom style="medium">
        <color theme="5" tint="-0.24994659260841701"/>
      </bottom>
      <diagonal/>
    </border>
    <border>
      <left style="thin">
        <color theme="1"/>
      </left>
      <right style="thick">
        <color theme="1"/>
      </right>
      <top/>
      <bottom style="medium">
        <color theme="5" tint="-0.24994659260841701"/>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5" tint="-0.24994659260841701"/>
      </left>
      <right/>
      <top style="thin">
        <color auto="1"/>
      </top>
      <bottom style="medium">
        <color auto="1"/>
      </bottom>
      <diagonal/>
    </border>
    <border>
      <left style="medium">
        <color theme="5" tint="-0.24994659260841701"/>
      </left>
      <right style="medium">
        <color theme="5" tint="-0.24994659260841701"/>
      </right>
      <top style="medium">
        <color theme="1"/>
      </top>
      <bottom style="medium">
        <color theme="1"/>
      </bottom>
      <diagonal/>
    </border>
    <border>
      <left style="medium">
        <color theme="1"/>
      </left>
      <right style="medium">
        <color theme="1"/>
      </right>
      <top/>
      <bottom/>
      <diagonal/>
    </border>
    <border>
      <left style="medium">
        <color theme="1"/>
      </left>
      <right style="medium">
        <color theme="1"/>
      </right>
      <top/>
      <bottom style="medium">
        <color theme="5" tint="-0.24994659260841701"/>
      </bottom>
      <diagonal/>
    </border>
  </borders>
  <cellStyleXfs count="4">
    <xf numFmtId="0" fontId="0" fillId="0" borderId="0"/>
    <xf numFmtId="43" fontId="37" fillId="0" borderId="0" applyFont="0" applyFill="0" applyBorder="0" applyAlignment="0" applyProtection="0"/>
    <xf numFmtId="0" fontId="38" fillId="0" borderId="0"/>
    <xf numFmtId="43" fontId="38" fillId="0" borderId="0" applyFont="0" applyFill="0" applyBorder="0" applyAlignment="0" applyProtection="0"/>
  </cellStyleXfs>
  <cellXfs count="1297">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4" fontId="0" fillId="0" borderId="0" xfId="0" applyNumberFormat="1"/>
    <xf numFmtId="0" fontId="2" fillId="0" borderId="0" xfId="0" applyFont="1"/>
    <xf numFmtId="0" fontId="2" fillId="0" borderId="0" xfId="0" applyFont="1" applyAlignment="1">
      <alignment horizontal="center"/>
    </xf>
    <xf numFmtId="0" fontId="1" fillId="0" borderId="0" xfId="0" applyFont="1" applyAlignment="1">
      <alignment horizontal="right"/>
    </xf>
    <xf numFmtId="4" fontId="2" fillId="0" borderId="0" xfId="0" applyNumberFormat="1" applyFont="1" applyAlignment="1">
      <alignment horizontal="center"/>
    </xf>
    <xf numFmtId="0" fontId="0" fillId="0" borderId="0" xfId="0" applyAlignment="1">
      <alignment horizontal="right"/>
    </xf>
    <xf numFmtId="4" fontId="0" fillId="0" borderId="0" xfId="0" applyNumberFormat="1" applyAlignment="1">
      <alignment horizontal="center"/>
    </xf>
    <xf numFmtId="0" fontId="2" fillId="0" borderId="0" xfId="0" applyFont="1" applyAlignment="1">
      <alignment horizontal="left"/>
    </xf>
    <xf numFmtId="0" fontId="0" fillId="0" borderId="0" xfId="0" applyAlignment="1">
      <alignment wrapText="1"/>
    </xf>
    <xf numFmtId="0" fontId="1" fillId="0" borderId="0" xfId="0" applyFont="1" applyAlignment="1">
      <alignment horizontal="center" wrapText="1"/>
    </xf>
    <xf numFmtId="0" fontId="0" fillId="0" borderId="2" xfId="0" applyBorder="1"/>
    <xf numFmtId="0" fontId="2" fillId="0" borderId="0" xfId="0" applyFont="1" applyAlignment="1">
      <alignment horizontal="right"/>
    </xf>
    <xf numFmtId="0" fontId="0" fillId="0" borderId="0" xfId="0" applyAlignment="1">
      <alignment horizontal="left"/>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4" fontId="0" fillId="0" borderId="0" xfId="0" applyNumberFormat="1" applyAlignment="1">
      <alignment horizontal="right" vertical="center"/>
    </xf>
    <xf numFmtId="49" fontId="0" fillId="0" borderId="0" xfId="0" applyNumberFormat="1" applyAlignment="1">
      <alignment horizontal="center"/>
    </xf>
    <xf numFmtId="0" fontId="0" fillId="3" borderId="0" xfId="0" applyFill="1"/>
    <xf numFmtId="4" fontId="0" fillId="3" borderId="0" xfId="0" applyNumberFormat="1" applyFill="1"/>
    <xf numFmtId="0" fontId="1" fillId="2" borderId="0" xfId="0" applyFont="1" applyFill="1" applyAlignment="1">
      <alignment horizontal="center"/>
    </xf>
    <xf numFmtId="49" fontId="0" fillId="0" borderId="0" xfId="0" applyNumberFormat="1"/>
    <xf numFmtId="4" fontId="0" fillId="0" borderId="0" xfId="0" applyNumberFormat="1" applyAlignment="1">
      <alignment horizontal="right"/>
    </xf>
    <xf numFmtId="0" fontId="0" fillId="3" borderId="0" xfId="0" applyFill="1" applyAlignment="1">
      <alignment horizontal="center"/>
    </xf>
    <xf numFmtId="0" fontId="0" fillId="0" borderId="20" xfId="0" applyBorder="1"/>
    <xf numFmtId="0" fontId="4" fillId="0" borderId="0" xfId="0" applyFont="1" applyAlignment="1">
      <alignment vertical="top" wrapText="1"/>
    </xf>
    <xf numFmtId="0" fontId="5" fillId="0" borderId="0" xfId="0" applyFont="1" applyAlignment="1">
      <alignment horizontal="left" shrinkToFit="1"/>
    </xf>
    <xf numFmtId="0" fontId="6" fillId="0" borderId="44" xfId="0" applyFont="1" applyBorder="1" applyAlignment="1">
      <alignment horizontal="left" shrinkToFit="1"/>
    </xf>
    <xf numFmtId="0" fontId="6" fillId="0" borderId="45" xfId="0" applyFont="1" applyBorder="1" applyAlignment="1">
      <alignment horizontal="left" shrinkToFit="1"/>
    </xf>
    <xf numFmtId="0" fontId="6" fillId="0" borderId="46" xfId="0" applyFont="1" applyBorder="1" applyAlignment="1">
      <alignment horizontal="left" shrinkToFit="1"/>
    </xf>
    <xf numFmtId="0" fontId="6" fillId="0" borderId="50" xfId="0" applyFont="1" applyBorder="1" applyAlignment="1">
      <alignment horizontal="left" shrinkToFit="1"/>
    </xf>
    <xf numFmtId="0" fontId="6" fillId="0" borderId="52" xfId="0" applyFont="1" applyBorder="1" applyAlignment="1">
      <alignment horizontal="left" shrinkToFit="1"/>
    </xf>
    <xf numFmtId="0" fontId="6" fillId="0" borderId="42" xfId="0" applyFont="1" applyBorder="1" applyAlignment="1">
      <alignment horizontal="left" shrinkToFit="1"/>
    </xf>
    <xf numFmtId="0" fontId="6" fillId="0" borderId="37" xfId="0" applyFont="1" applyBorder="1" applyAlignment="1">
      <alignment horizontal="left" shrinkToFit="1"/>
    </xf>
    <xf numFmtId="0" fontId="6" fillId="0" borderId="43" xfId="0" applyFont="1" applyBorder="1" applyAlignment="1">
      <alignment horizontal="left" shrinkToFit="1"/>
    </xf>
    <xf numFmtId="0" fontId="6" fillId="0" borderId="32" xfId="0" applyFont="1" applyBorder="1" applyAlignment="1">
      <alignment horizontal="left" shrinkToFit="1"/>
    </xf>
    <xf numFmtId="0" fontId="6" fillId="0" borderId="33" xfId="0" applyFont="1" applyBorder="1" applyAlignment="1">
      <alignment horizontal="left" shrinkToFit="1"/>
    </xf>
    <xf numFmtId="0" fontId="6" fillId="0" borderId="47" xfId="0" applyFont="1" applyBorder="1" applyAlignment="1">
      <alignment horizontal="left" shrinkToFit="1"/>
    </xf>
    <xf numFmtId="0" fontId="6" fillId="0" borderId="48" xfId="0" applyFont="1" applyBorder="1" applyAlignment="1">
      <alignment horizontal="left" shrinkToFit="1"/>
    </xf>
    <xf numFmtId="0" fontId="6" fillId="0" borderId="51" xfId="0" applyFont="1" applyBorder="1" applyAlignment="1">
      <alignment horizontal="left" shrinkToFit="1"/>
    </xf>
    <xf numFmtId="0" fontId="0" fillId="0" borderId="14" xfId="0" applyBorder="1"/>
    <xf numFmtId="0" fontId="0" fillId="0" borderId="15" xfId="0" applyBorder="1"/>
    <xf numFmtId="0" fontId="0" fillId="0" borderId="18" xfId="0" applyBorder="1"/>
    <xf numFmtId="0" fontId="0" fillId="0" borderId="16" xfId="0" applyBorder="1"/>
    <xf numFmtId="0" fontId="0" fillId="0" borderId="24" xfId="0" applyBorder="1"/>
    <xf numFmtId="0" fontId="0" fillId="0" borderId="6" xfId="0" applyBorder="1"/>
    <xf numFmtId="0" fontId="11" fillId="0" borderId="0" xfId="0" applyFont="1" applyAlignment="1">
      <alignment shrinkToFit="1"/>
    </xf>
    <xf numFmtId="0" fontId="0" fillId="0" borderId="0" xfId="0" applyAlignment="1">
      <alignment shrinkToFit="1"/>
    </xf>
    <xf numFmtId="0" fontId="3" fillId="0" borderId="0" xfId="0" applyFont="1"/>
    <xf numFmtId="49" fontId="0" fillId="3" borderId="0" xfId="0" applyNumberFormat="1" applyFill="1" applyAlignment="1">
      <alignment horizontal="center"/>
    </xf>
    <xf numFmtId="0" fontId="1" fillId="2" borderId="15" xfId="0" applyFont="1" applyFill="1" applyBorder="1"/>
    <xf numFmtId="4" fontId="2" fillId="2" borderId="16" xfId="0" applyNumberFormat="1" applyFont="1" applyFill="1" applyBorder="1"/>
    <xf numFmtId="0" fontId="0" fillId="2" borderId="17" xfId="0" applyFill="1" applyBorder="1"/>
    <xf numFmtId="0" fontId="0" fillId="2" borderId="0" xfId="0" applyFill="1"/>
    <xf numFmtId="4" fontId="0" fillId="2" borderId="18" xfId="0" applyNumberFormat="1" applyFill="1" applyBorder="1"/>
    <xf numFmtId="0" fontId="0" fillId="2" borderId="19" xfId="0" applyFill="1" applyBorder="1"/>
    <xf numFmtId="0" fontId="0" fillId="2" borderId="20" xfId="0" applyFill="1" applyBorder="1" applyAlignment="1">
      <alignment horizontal="center"/>
    </xf>
    <xf numFmtId="0" fontId="0" fillId="2" borderId="21" xfId="0" applyFill="1" applyBorder="1"/>
    <xf numFmtId="0" fontId="11" fillId="0" borderId="0" xfId="0" applyFont="1" applyAlignment="1">
      <alignment vertical="center" shrinkToFit="1"/>
    </xf>
    <xf numFmtId="0" fontId="14" fillId="0" borderId="0" xfId="0" applyFont="1" applyAlignment="1">
      <alignment shrinkToFit="1"/>
    </xf>
    <xf numFmtId="0" fontId="15" fillId="0" borderId="0" xfId="0" applyFont="1" applyAlignment="1">
      <alignment vertical="center"/>
    </xf>
    <xf numFmtId="0" fontId="6" fillId="0" borderId="49" xfId="0" applyFont="1" applyBorder="1" applyAlignment="1">
      <alignment horizontal="left" shrinkToFit="1"/>
    </xf>
    <xf numFmtId="0" fontId="6" fillId="0" borderId="53" xfId="0" applyFont="1" applyBorder="1" applyAlignment="1">
      <alignment horizontal="left" shrinkToFit="1"/>
    </xf>
    <xf numFmtId="0" fontId="0" fillId="0" borderId="0" xfId="0" applyProtection="1">
      <protection hidden="1"/>
    </xf>
    <xf numFmtId="0" fontId="1" fillId="0" borderId="0" xfId="0" applyFont="1" applyAlignment="1" applyProtection="1">
      <alignment horizontal="center"/>
      <protection hidden="1"/>
    </xf>
    <xf numFmtId="0" fontId="0" fillId="0" borderId="0" xfId="0" applyAlignment="1" applyProtection="1">
      <alignment horizontal="center"/>
      <protection hidden="1"/>
    </xf>
    <xf numFmtId="0" fontId="1" fillId="0" borderId="0" xfId="0" applyFont="1" applyProtection="1">
      <protection hidden="1"/>
    </xf>
    <xf numFmtId="0" fontId="0" fillId="0" borderId="0" xfId="0" applyAlignment="1" applyProtection="1">
      <alignment horizontal="right"/>
      <protection hidden="1"/>
    </xf>
    <xf numFmtId="0" fontId="0" fillId="0" borderId="0" xfId="0" applyAlignment="1" applyProtection="1">
      <alignment horizontal="center"/>
      <protection locked="0"/>
    </xf>
    <xf numFmtId="1" fontId="0" fillId="0" borderId="0" xfId="0" applyNumberFormat="1"/>
    <xf numFmtId="0" fontId="1" fillId="0" borderId="20" xfId="0" applyFont="1" applyBorder="1" applyAlignment="1">
      <alignment horizontal="right"/>
    </xf>
    <xf numFmtId="0" fontId="21" fillId="0" borderId="0" xfId="0" applyFont="1" applyAlignment="1">
      <alignment horizontal="center"/>
    </xf>
    <xf numFmtId="0" fontId="0" fillId="0" borderId="0" xfId="0" applyAlignment="1">
      <alignment horizontal="center" wrapText="1"/>
    </xf>
    <xf numFmtId="0" fontId="0" fillId="0" borderId="0" xfId="0" applyProtection="1">
      <protection locked="0"/>
    </xf>
    <xf numFmtId="0" fontId="0" fillId="0" borderId="17" xfId="0" applyBorder="1"/>
    <xf numFmtId="0" fontId="0" fillId="0" borderId="21" xfId="0" applyBorder="1"/>
    <xf numFmtId="0" fontId="0" fillId="3" borderId="17" xfId="0" applyFill="1" applyBorder="1"/>
    <xf numFmtId="0" fontId="0" fillId="3" borderId="19" xfId="0" applyFill="1" applyBorder="1"/>
    <xf numFmtId="0" fontId="0" fillId="3" borderId="20" xfId="0" applyFill="1" applyBorder="1"/>
    <xf numFmtId="0" fontId="0" fillId="2" borderId="14" xfId="0" applyFill="1" applyBorder="1"/>
    <xf numFmtId="0" fontId="0" fillId="2" borderId="15" xfId="0" applyFill="1" applyBorder="1"/>
    <xf numFmtId="0" fontId="0" fillId="2" borderId="16" xfId="0" applyFill="1" applyBorder="1"/>
    <xf numFmtId="0" fontId="0" fillId="0" borderId="19" xfId="0" applyBorder="1"/>
    <xf numFmtId="0" fontId="0" fillId="0" borderId="16" xfId="0" applyBorder="1" applyAlignment="1">
      <alignment horizontal="center"/>
    </xf>
    <xf numFmtId="0" fontId="0" fillId="0" borderId="18" xfId="0" applyBorder="1" applyAlignment="1">
      <alignment horizontal="center"/>
    </xf>
    <xf numFmtId="0" fontId="0" fillId="0" borderId="34" xfId="0" applyBorder="1" applyAlignment="1">
      <alignment horizontal="center"/>
    </xf>
    <xf numFmtId="0" fontId="0" fillId="0" borderId="29" xfId="0" applyBorder="1" applyAlignment="1">
      <alignment horizontal="center"/>
    </xf>
    <xf numFmtId="0" fontId="0" fillId="0" borderId="21" xfId="0" applyBorder="1" applyAlignment="1">
      <alignment horizontal="center"/>
    </xf>
    <xf numFmtId="0" fontId="0" fillId="0" borderId="17" xfId="0" applyBorder="1" applyAlignment="1">
      <alignment horizontal="center"/>
    </xf>
    <xf numFmtId="0" fontId="0" fillId="2" borderId="0" xfId="0" applyFill="1" applyAlignment="1">
      <alignment horizontal="center"/>
    </xf>
    <xf numFmtId="0" fontId="0" fillId="2" borderId="18" xfId="0" applyFill="1" applyBorder="1"/>
    <xf numFmtId="0" fontId="0" fillId="2" borderId="17" xfId="0" applyFill="1" applyBorder="1" applyAlignment="1">
      <alignment horizontal="center"/>
    </xf>
    <xf numFmtId="0" fontId="0" fillId="2" borderId="18" xfId="0" applyFill="1" applyBorder="1" applyAlignment="1">
      <alignment horizontal="center"/>
    </xf>
    <xf numFmtId="0" fontId="0" fillId="0" borderId="35" xfId="0"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0" fillId="0" borderId="20" xfId="0" applyBorder="1" applyAlignment="1">
      <alignment horizontal="right"/>
    </xf>
    <xf numFmtId="0" fontId="1" fillId="3" borderId="0" xfId="0" applyFont="1" applyFill="1" applyAlignment="1">
      <alignment horizontal="right"/>
    </xf>
    <xf numFmtId="0" fontId="1" fillId="3" borderId="0" xfId="0" applyFont="1" applyFill="1" applyAlignment="1">
      <alignment horizontal="center"/>
    </xf>
    <xf numFmtId="0" fontId="3" fillId="3" borderId="0" xfId="0" applyFont="1" applyFill="1"/>
    <xf numFmtId="0" fontId="1" fillId="0" borderId="37" xfId="0" applyFont="1" applyBorder="1" applyAlignment="1">
      <alignment horizontal="center" shrinkToFit="1"/>
    </xf>
    <xf numFmtId="0" fontId="1" fillId="0" borderId="37" xfId="0" applyFont="1" applyBorder="1"/>
    <xf numFmtId="0" fontId="0" fillId="0" borderId="37" xfId="0" applyBorder="1"/>
    <xf numFmtId="0" fontId="1" fillId="3" borderId="37" xfId="0" applyFont="1" applyFill="1" applyBorder="1" applyAlignment="1">
      <alignment horizontal="center" shrinkToFit="1"/>
    </xf>
    <xf numFmtId="9" fontId="1" fillId="0" borderId="37" xfId="0" applyNumberFormat="1" applyFont="1" applyBorder="1" applyAlignment="1">
      <alignment horizontal="center"/>
    </xf>
    <xf numFmtId="9" fontId="1" fillId="3" borderId="37" xfId="0" applyNumberFormat="1" applyFont="1" applyFill="1" applyBorder="1" applyAlignment="1">
      <alignment horizontal="center"/>
    </xf>
    <xf numFmtId="0" fontId="0" fillId="0" borderId="0" xfId="0" applyAlignment="1">
      <alignment horizontal="left" shrinkToFit="1"/>
    </xf>
    <xf numFmtId="0" fontId="0" fillId="0" borderId="0" xfId="0" applyAlignment="1">
      <alignment horizontal="center" shrinkToFit="1"/>
    </xf>
    <xf numFmtId="0" fontId="4" fillId="0" borderId="0" xfId="0" applyFont="1" applyAlignment="1" applyProtection="1">
      <alignment horizontal="left" vertical="top" wrapText="1"/>
      <protection locked="0"/>
    </xf>
    <xf numFmtId="0" fontId="22" fillId="0" borderId="37" xfId="0" applyFont="1" applyBorder="1" applyAlignment="1">
      <alignment horizontal="center"/>
    </xf>
    <xf numFmtId="4" fontId="0" fillId="0" borderId="0" xfId="0" applyNumberFormat="1" applyAlignment="1">
      <alignment horizontal="left"/>
    </xf>
    <xf numFmtId="0" fontId="1" fillId="6" borderId="0" xfId="0" applyFont="1" applyFill="1" applyAlignment="1">
      <alignment horizontal="right"/>
    </xf>
    <xf numFmtId="0" fontId="21" fillId="0" borderId="0" xfId="0" applyFont="1" applyAlignment="1">
      <alignment horizontal="left"/>
    </xf>
    <xf numFmtId="0" fontId="21" fillId="0" borderId="0" xfId="0" applyFont="1"/>
    <xf numFmtId="164" fontId="0" fillId="0" borderId="0" xfId="0" applyNumberFormat="1" applyAlignment="1">
      <alignment horizontal="center"/>
    </xf>
    <xf numFmtId="0" fontId="0" fillId="0" borderId="34" xfId="0" applyBorder="1"/>
    <xf numFmtId="0" fontId="0" fillId="0" borderId="35" xfId="0" applyBorder="1"/>
    <xf numFmtId="0" fontId="0" fillId="0" borderId="29" xfId="0" applyBorder="1"/>
    <xf numFmtId="0" fontId="0" fillId="7" borderId="70" xfId="0" applyFill="1" applyBorder="1"/>
    <xf numFmtId="0" fontId="0" fillId="0" borderId="70" xfId="0" applyBorder="1"/>
    <xf numFmtId="0" fontId="0" fillId="0" borderId="68" xfId="0" applyBorder="1"/>
    <xf numFmtId="0" fontId="0" fillId="0" borderId="68" xfId="0" applyBorder="1" applyAlignment="1">
      <alignment horizontal="center"/>
    </xf>
    <xf numFmtId="0" fontId="0" fillId="0" borderId="69" xfId="0" applyBorder="1"/>
    <xf numFmtId="0" fontId="0" fillId="7" borderId="71" xfId="0" applyFill="1" applyBorder="1"/>
    <xf numFmtId="0" fontId="0" fillId="0" borderId="15" xfId="0" applyBorder="1" applyAlignment="1">
      <alignment horizontal="center"/>
    </xf>
    <xf numFmtId="0" fontId="0" fillId="0" borderId="20" xfId="0" applyBorder="1" applyAlignment="1">
      <alignment horizontal="center"/>
    </xf>
    <xf numFmtId="0" fontId="0" fillId="4" borderId="0" xfId="0" applyFill="1" applyAlignment="1">
      <alignment horizontal="center"/>
    </xf>
    <xf numFmtId="0" fontId="0" fillId="0" borderId="72" xfId="0" applyBorder="1"/>
    <xf numFmtId="0" fontId="0" fillId="7" borderId="72" xfId="0" applyFill="1" applyBorder="1"/>
    <xf numFmtId="0" fontId="0" fillId="0" borderId="14" xfId="0" applyBorder="1" applyAlignment="1">
      <alignment horizontal="center"/>
    </xf>
    <xf numFmtId="0" fontId="0" fillId="3" borderId="17" xfId="0" applyFill="1" applyBorder="1" applyAlignment="1">
      <alignment horizontal="center"/>
    </xf>
    <xf numFmtId="0" fontId="0" fillId="3" borderId="18" xfId="0" applyFill="1" applyBorder="1"/>
    <xf numFmtId="0" fontId="0" fillId="3" borderId="19" xfId="0" applyFill="1" applyBorder="1" applyAlignment="1">
      <alignment horizontal="center"/>
    </xf>
    <xf numFmtId="0" fontId="0" fillId="3" borderId="20" xfId="0" applyFill="1" applyBorder="1" applyAlignment="1">
      <alignment horizontal="center"/>
    </xf>
    <xf numFmtId="0" fontId="1" fillId="0" borderId="14" xfId="0" applyFont="1" applyBorder="1" applyAlignment="1">
      <alignment horizontal="left"/>
    </xf>
    <xf numFmtId="0" fontId="0" fillId="0" borderId="19" xfId="0" applyBorder="1" applyAlignment="1">
      <alignment horizontal="center"/>
    </xf>
    <xf numFmtId="49" fontId="0" fillId="0" borderId="0" xfId="0" applyNumberFormat="1" applyAlignment="1">
      <alignment horizontal="left"/>
    </xf>
    <xf numFmtId="0" fontId="1" fillId="0" borderId="14" xfId="0" applyFont="1" applyBorder="1"/>
    <xf numFmtId="0" fontId="1" fillId="0" borderId="16" xfId="0" applyFont="1" applyBorder="1"/>
    <xf numFmtId="0" fontId="0" fillId="5" borderId="0" xfId="0" applyFill="1"/>
    <xf numFmtId="0" fontId="0" fillId="0" borderId="20" xfId="0" applyBorder="1" applyAlignment="1">
      <alignment horizontal="left"/>
    </xf>
    <xf numFmtId="0" fontId="0" fillId="0" borderId="70" xfId="0" applyBorder="1" applyAlignment="1">
      <alignment horizontal="right"/>
    </xf>
    <xf numFmtId="0" fontId="0" fillId="0" borderId="71" xfId="0" applyBorder="1"/>
    <xf numFmtId="0" fontId="1" fillId="0" borderId="68" xfId="0" applyFont="1" applyBorder="1" applyAlignment="1">
      <alignment horizontal="right"/>
    </xf>
    <xf numFmtId="4" fontId="1" fillId="0" borderId="0" xfId="0" applyNumberFormat="1" applyFont="1"/>
    <xf numFmtId="0" fontId="1" fillId="0" borderId="15" xfId="0" applyFont="1" applyBorder="1"/>
    <xf numFmtId="0" fontId="5" fillId="0" borderId="0" xfId="0" applyFont="1" applyAlignment="1">
      <alignment shrinkToFit="1"/>
    </xf>
    <xf numFmtId="0" fontId="5" fillId="0" borderId="20" xfId="0" applyFont="1" applyBorder="1" applyAlignment="1">
      <alignment shrinkToFit="1"/>
    </xf>
    <xf numFmtId="0" fontId="0" fillId="3" borderId="0" xfId="0" applyFill="1" applyProtection="1">
      <protection hidden="1"/>
    </xf>
    <xf numFmtId="0" fontId="21" fillId="0" borderId="0" xfId="0" applyFont="1" applyAlignment="1" applyProtection="1">
      <alignment horizontal="center"/>
      <protection hidden="1"/>
    </xf>
    <xf numFmtId="4" fontId="0" fillId="0" borderId="0" xfId="0" applyNumberFormat="1" applyAlignment="1" applyProtection="1">
      <alignment horizontal="center"/>
      <protection hidden="1"/>
    </xf>
    <xf numFmtId="0" fontId="1" fillId="0" borderId="0" xfId="0" applyFont="1" applyAlignment="1" applyProtection="1">
      <alignment horizontal="right"/>
      <protection hidden="1"/>
    </xf>
    <xf numFmtId="0" fontId="0" fillId="2" borderId="14" xfId="0" applyFill="1" applyBorder="1" applyProtection="1">
      <protection hidden="1"/>
    </xf>
    <xf numFmtId="0" fontId="1" fillId="2" borderId="15" xfId="0" applyFont="1" applyFill="1" applyBorder="1" applyAlignment="1" applyProtection="1">
      <alignment horizontal="center"/>
      <protection hidden="1"/>
    </xf>
    <xf numFmtId="0" fontId="0" fillId="2" borderId="16" xfId="0" applyFill="1" applyBorder="1" applyProtection="1">
      <protection hidden="1"/>
    </xf>
    <xf numFmtId="0" fontId="1" fillId="0" borderId="14" xfId="0" applyFont="1" applyBorder="1" applyAlignment="1" applyProtection="1">
      <alignment horizontal="center"/>
      <protection hidden="1"/>
    </xf>
    <xf numFmtId="0" fontId="0" fillId="0" borderId="16" xfId="0" applyBorder="1" applyAlignment="1" applyProtection="1">
      <alignment horizontal="center"/>
      <protection hidden="1"/>
    </xf>
    <xf numFmtId="0" fontId="1" fillId="0" borderId="19" xfId="0" applyFont="1" applyBorder="1" applyAlignment="1" applyProtection="1">
      <alignment horizontal="center"/>
      <protection hidden="1"/>
    </xf>
    <xf numFmtId="4" fontId="0" fillId="0" borderId="0" xfId="0" applyNumberFormat="1" applyProtection="1">
      <protection hidden="1"/>
    </xf>
    <xf numFmtId="0" fontId="21" fillId="0" borderId="0" xfId="0" applyFont="1" applyProtection="1">
      <protection hidden="1"/>
    </xf>
    <xf numFmtId="0" fontId="0" fillId="0" borderId="0" xfId="0" applyAlignment="1" applyProtection="1">
      <alignment shrinkToFit="1"/>
      <protection hidden="1"/>
    </xf>
    <xf numFmtId="0" fontId="1" fillId="3" borderId="0" xfId="0" applyFont="1" applyFill="1" applyProtection="1">
      <protection hidden="1"/>
    </xf>
    <xf numFmtId="0" fontId="0" fillId="3" borderId="0" xfId="0" applyFill="1" applyAlignment="1" applyProtection="1">
      <alignment shrinkToFit="1"/>
      <protection hidden="1"/>
    </xf>
    <xf numFmtId="0" fontId="0" fillId="3" borderId="0" xfId="0" applyFill="1" applyAlignment="1" applyProtection="1">
      <alignment horizontal="center"/>
      <protection hidden="1"/>
    </xf>
    <xf numFmtId="4" fontId="0" fillId="3" borderId="0" xfId="0" applyNumberFormat="1" applyFill="1" applyProtection="1">
      <protection hidden="1"/>
    </xf>
    <xf numFmtId="0" fontId="0" fillId="0" borderId="0" xfId="0" applyAlignment="1" applyProtection="1">
      <alignment horizontal="left"/>
      <protection hidden="1"/>
    </xf>
    <xf numFmtId="0" fontId="1" fillId="2" borderId="14" xfId="0" applyFont="1" applyFill="1" applyBorder="1" applyProtection="1">
      <protection hidden="1"/>
    </xf>
    <xf numFmtId="0" fontId="0" fillId="2" borderId="15" xfId="0" applyFill="1" applyBorder="1" applyAlignment="1" applyProtection="1">
      <alignment horizontal="center"/>
      <protection hidden="1"/>
    </xf>
    <xf numFmtId="0" fontId="0" fillId="0" borderId="17" xfId="0" applyBorder="1" applyAlignment="1" applyProtection="1">
      <alignment horizontal="center"/>
      <protection hidden="1"/>
    </xf>
    <xf numFmtId="0" fontId="0" fillId="2" borderId="17" xfId="0" applyFill="1" applyBorder="1" applyProtection="1">
      <protection hidden="1"/>
    </xf>
    <xf numFmtId="0" fontId="1" fillId="2" borderId="0" xfId="0" applyFont="1" applyFill="1" applyAlignment="1" applyProtection="1">
      <alignment horizontal="center"/>
      <protection hidden="1"/>
    </xf>
    <xf numFmtId="0" fontId="0" fillId="0" borderId="17" xfId="0" applyBorder="1" applyProtection="1">
      <protection hidden="1"/>
    </xf>
    <xf numFmtId="0" fontId="1" fillId="2" borderId="17" xfId="0" applyFont="1" applyFill="1" applyBorder="1" applyAlignment="1" applyProtection="1">
      <alignment horizontal="right"/>
      <protection hidden="1"/>
    </xf>
    <xf numFmtId="0" fontId="24" fillId="3" borderId="37" xfId="0" applyFont="1" applyFill="1" applyBorder="1" applyAlignment="1" applyProtection="1">
      <alignment horizontal="right"/>
      <protection hidden="1"/>
    </xf>
    <xf numFmtId="0" fontId="23" fillId="3" borderId="35" xfId="0" applyFont="1" applyFill="1" applyBorder="1" applyProtection="1">
      <protection hidden="1"/>
    </xf>
    <xf numFmtId="0" fontId="23" fillId="3" borderId="35" xfId="0" applyFont="1" applyFill="1" applyBorder="1" applyAlignment="1" applyProtection="1">
      <alignment horizontal="center"/>
      <protection hidden="1"/>
    </xf>
    <xf numFmtId="4" fontId="23" fillId="3" borderId="35" xfId="0" applyNumberFormat="1" applyFont="1" applyFill="1" applyBorder="1" applyProtection="1">
      <protection hidden="1"/>
    </xf>
    <xf numFmtId="0" fontId="1" fillId="2" borderId="15" xfId="0" applyFont="1" applyFill="1" applyBorder="1" applyAlignment="1" applyProtection="1">
      <alignment horizontal="left"/>
      <protection hidden="1"/>
    </xf>
    <xf numFmtId="0" fontId="0" fillId="2" borderId="15" xfId="0" applyFill="1" applyBorder="1" applyProtection="1">
      <protection hidden="1"/>
    </xf>
    <xf numFmtId="0" fontId="1" fillId="2" borderId="0" xfId="0" applyFont="1" applyFill="1" applyProtection="1">
      <protection hidden="1"/>
    </xf>
    <xf numFmtId="0" fontId="0" fillId="2" borderId="0" xfId="0" applyFill="1" applyProtection="1">
      <protection hidden="1"/>
    </xf>
    <xf numFmtId="0" fontId="0" fillId="2" borderId="18" xfId="0" applyFill="1" applyBorder="1" applyProtection="1">
      <protection hidden="1"/>
    </xf>
    <xf numFmtId="0" fontId="0" fillId="3" borderId="29" xfId="0" applyFill="1" applyBorder="1" applyAlignment="1">
      <alignment horizontal="center"/>
    </xf>
    <xf numFmtId="4" fontId="0" fillId="3" borderId="29" xfId="0" applyNumberFormat="1" applyFill="1" applyBorder="1" applyAlignment="1">
      <alignment horizontal="right"/>
    </xf>
    <xf numFmtId="4" fontId="0" fillId="0" borderId="29" xfId="0" applyNumberFormat="1" applyBorder="1" applyAlignment="1">
      <alignment horizontal="right"/>
    </xf>
    <xf numFmtId="4" fontId="0" fillId="0" borderId="35" xfId="0" applyNumberFormat="1" applyBorder="1" applyAlignment="1">
      <alignment horizontal="right"/>
    </xf>
    <xf numFmtId="0" fontId="1" fillId="0" borderId="32" xfId="0" applyFont="1" applyBorder="1" applyAlignment="1">
      <alignment horizontal="center"/>
    </xf>
    <xf numFmtId="0" fontId="1" fillId="0" borderId="33" xfId="0" applyFont="1" applyBorder="1"/>
    <xf numFmtId="0" fontId="1" fillId="0" borderId="37" xfId="0" applyFont="1" applyBorder="1" applyAlignment="1">
      <alignment horizontal="center"/>
    </xf>
    <xf numFmtId="0" fontId="1" fillId="9" borderId="0" xfId="0" applyFont="1" applyFill="1" applyProtection="1">
      <protection hidden="1"/>
    </xf>
    <xf numFmtId="0" fontId="1" fillId="10" borderId="0" xfId="0" applyFont="1" applyFill="1" applyProtection="1">
      <protection hidden="1"/>
    </xf>
    <xf numFmtId="0" fontId="0" fillId="0" borderId="73" xfId="0" applyBorder="1" applyProtection="1">
      <protection locked="0"/>
    </xf>
    <xf numFmtId="0" fontId="0" fillId="0" borderId="73" xfId="0" applyBorder="1" applyAlignment="1" applyProtection="1">
      <alignment horizontal="center"/>
      <protection locked="0"/>
    </xf>
    <xf numFmtId="0" fontId="10" fillId="0" borderId="73" xfId="0" applyFont="1" applyBorder="1" applyAlignment="1" applyProtection="1">
      <alignment horizontal="left" vertical="center" wrapText="1"/>
      <protection locked="0"/>
    </xf>
    <xf numFmtId="0" fontId="0" fillId="2" borderId="19" xfId="0" applyFill="1" applyBorder="1" applyAlignment="1">
      <alignment horizontal="center"/>
    </xf>
    <xf numFmtId="0" fontId="0" fillId="2" borderId="20" xfId="0" applyFill="1" applyBorder="1"/>
    <xf numFmtId="0" fontId="0" fillId="2" borderId="21" xfId="0" applyFill="1" applyBorder="1" applyAlignment="1">
      <alignment horizontal="center"/>
    </xf>
    <xf numFmtId="0" fontId="0" fillId="6" borderId="73" xfId="0" applyFill="1" applyBorder="1" applyProtection="1">
      <protection locked="0"/>
    </xf>
    <xf numFmtId="0" fontId="0" fillId="3" borderId="73" xfId="0" applyFill="1" applyBorder="1" applyAlignment="1" applyProtection="1">
      <alignment horizontal="center"/>
      <protection locked="0"/>
    </xf>
    <xf numFmtId="0" fontId="0" fillId="3" borderId="73" xfId="0" applyFill="1" applyBorder="1" applyProtection="1">
      <protection locked="0"/>
    </xf>
    <xf numFmtId="164" fontId="0" fillId="0" borderId="0" xfId="0" applyNumberFormat="1"/>
    <xf numFmtId="0" fontId="26" fillId="0" borderId="0" xfId="0" applyFont="1"/>
    <xf numFmtId="0" fontId="26" fillId="0" borderId="0" xfId="0" applyFont="1" applyAlignment="1">
      <alignment horizontal="center"/>
    </xf>
    <xf numFmtId="0" fontId="0" fillId="5" borderId="73" xfId="0" applyFill="1" applyBorder="1" applyProtection="1">
      <protection locked="0"/>
    </xf>
    <xf numFmtId="0" fontId="1" fillId="2" borderId="17" xfId="0" applyFont="1" applyFill="1" applyBorder="1" applyProtection="1">
      <protection hidden="1"/>
    </xf>
    <xf numFmtId="0" fontId="1" fillId="2" borderId="0" xfId="0" applyFont="1" applyFill="1" applyAlignment="1" applyProtection="1">
      <alignment horizontal="left"/>
      <protection hidden="1"/>
    </xf>
    <xf numFmtId="0" fontId="0" fillId="2" borderId="0" xfId="0" applyFill="1" applyAlignment="1" applyProtection="1">
      <alignment horizontal="center"/>
      <protection hidden="1"/>
    </xf>
    <xf numFmtId="0" fontId="0" fillId="9" borderId="73" xfId="0" applyFill="1" applyBorder="1" applyProtection="1">
      <protection locked="0"/>
    </xf>
    <xf numFmtId="0" fontId="0" fillId="9" borderId="73" xfId="0" applyFill="1" applyBorder="1" applyAlignment="1" applyProtection="1">
      <alignment shrinkToFit="1"/>
      <protection locked="0"/>
    </xf>
    <xf numFmtId="0" fontId="0" fillId="10" borderId="73" xfId="0" applyFill="1" applyBorder="1" applyProtection="1">
      <protection locked="0"/>
    </xf>
    <xf numFmtId="0" fontId="0" fillId="10" borderId="73" xfId="0" applyFill="1" applyBorder="1" applyAlignment="1" applyProtection="1">
      <alignment shrinkToFit="1"/>
      <protection locked="0"/>
    </xf>
    <xf numFmtId="0" fontId="0" fillId="3" borderId="73" xfId="0" applyFill="1" applyBorder="1" applyAlignment="1" applyProtection="1">
      <alignment shrinkToFit="1"/>
      <protection locked="0"/>
    </xf>
    <xf numFmtId="0" fontId="0" fillId="0" borderId="73" xfId="0" applyBorder="1" applyAlignment="1" applyProtection="1">
      <alignment shrinkToFit="1"/>
      <protection locked="0"/>
    </xf>
    <xf numFmtId="0" fontId="0" fillId="0" borderId="73" xfId="0" applyBorder="1" applyAlignment="1" applyProtection="1">
      <alignment horizontal="center" shrinkToFit="1"/>
      <protection locked="0"/>
    </xf>
    <xf numFmtId="4" fontId="0" fillId="0" borderId="73" xfId="0" applyNumberFormat="1" applyBorder="1" applyProtection="1">
      <protection locked="0"/>
    </xf>
    <xf numFmtId="0" fontId="0" fillId="7" borderId="68" xfId="0" applyFill="1" applyBorder="1"/>
    <xf numFmtId="0" fontId="1" fillId="3" borderId="0" xfId="0" applyFont="1" applyFill="1" applyAlignment="1" applyProtection="1">
      <alignment horizontal="right"/>
      <protection hidden="1"/>
    </xf>
    <xf numFmtId="0" fontId="0" fillId="0" borderId="73" xfId="0" applyBorder="1" applyAlignment="1" applyProtection="1">
      <alignment horizontal="center"/>
      <protection locked="0" hidden="1"/>
    </xf>
    <xf numFmtId="0" fontId="1" fillId="0" borderId="0" xfId="0" applyFont="1" applyAlignment="1" applyProtection="1">
      <alignment horizontal="left"/>
      <protection hidden="1"/>
    </xf>
    <xf numFmtId="0" fontId="0" fillId="3" borderId="0" xfId="0" applyFill="1" applyAlignment="1">
      <alignment horizontal="center" vertical="center"/>
    </xf>
    <xf numFmtId="0" fontId="1" fillId="0" borderId="17" xfId="0" applyFont="1" applyBorder="1" applyAlignment="1" applyProtection="1">
      <alignment horizontal="right"/>
      <protection hidden="1"/>
    </xf>
    <xf numFmtId="0" fontId="0" fillId="2" borderId="73" xfId="0" applyFill="1" applyBorder="1" applyAlignment="1" applyProtection="1">
      <alignment horizontal="center"/>
      <protection locked="0"/>
    </xf>
    <xf numFmtId="0" fontId="0" fillId="0" borderId="83" xfId="0" applyBorder="1" applyAlignment="1">
      <alignment horizontal="center"/>
    </xf>
    <xf numFmtId="0" fontId="0" fillId="3" borderId="0" xfId="0" applyFill="1" applyAlignment="1" applyProtection="1">
      <alignment horizontal="center"/>
      <protection locked="0"/>
    </xf>
    <xf numFmtId="0" fontId="0" fillId="11" borderId="0" xfId="0" applyFill="1"/>
    <xf numFmtId="0" fontId="0" fillId="11" borderId="0" xfId="0" applyFill="1" applyAlignment="1">
      <alignment horizontal="center"/>
    </xf>
    <xf numFmtId="0" fontId="3" fillId="0" borderId="0" xfId="0" applyFont="1" applyAlignment="1">
      <alignment horizontal="center"/>
    </xf>
    <xf numFmtId="3" fontId="0" fillId="0" borderId="73" xfId="0" applyNumberFormat="1" applyBorder="1" applyAlignment="1" applyProtection="1">
      <alignment horizontal="center"/>
      <protection locked="0"/>
    </xf>
    <xf numFmtId="0" fontId="1" fillId="0" borderId="15" xfId="0" applyFont="1" applyBorder="1" applyAlignment="1">
      <alignment horizontal="right"/>
    </xf>
    <xf numFmtId="4" fontId="0" fillId="0" borderId="15" xfId="0" applyNumberFormat="1" applyBorder="1"/>
    <xf numFmtId="0" fontId="1" fillId="0" borderId="17" xfId="0" applyFont="1" applyBorder="1"/>
    <xf numFmtId="0" fontId="1" fillId="0" borderId="20" xfId="0" applyFont="1" applyBorder="1" applyAlignment="1">
      <alignment horizontal="center"/>
    </xf>
    <xf numFmtId="165" fontId="0" fillId="0" borderId="73" xfId="0" applyNumberFormat="1" applyBorder="1" applyAlignment="1" applyProtection="1">
      <alignment horizontal="center"/>
      <protection locked="0"/>
    </xf>
    <xf numFmtId="165" fontId="0" fillId="0" borderId="0" xfId="0" applyNumberFormat="1" applyProtection="1">
      <protection hidden="1"/>
    </xf>
    <xf numFmtId="3" fontId="0" fillId="0" borderId="0" xfId="0" applyNumberFormat="1" applyProtection="1">
      <protection hidden="1"/>
    </xf>
    <xf numFmtId="1" fontId="0" fillId="0" borderId="0" xfId="0" applyNumberFormat="1" applyProtection="1">
      <protection hidden="1"/>
    </xf>
    <xf numFmtId="0" fontId="0" fillId="0" borderId="3" xfId="0" applyBorder="1" applyAlignment="1">
      <alignment shrinkToFit="1"/>
    </xf>
    <xf numFmtId="0" fontId="11" fillId="0" borderId="3" xfId="0" applyFont="1" applyBorder="1" applyAlignment="1">
      <alignment shrinkToFit="1"/>
    </xf>
    <xf numFmtId="0" fontId="13" fillId="0" borderId="3" xfId="0" applyFont="1" applyBorder="1" applyAlignment="1">
      <alignment horizontal="center"/>
    </xf>
    <xf numFmtId="0" fontId="11" fillId="0" borderId="3" xfId="0" applyFont="1" applyBorder="1" applyAlignment="1">
      <alignment vertical="center" shrinkToFit="1"/>
    </xf>
    <xf numFmtId="4" fontId="0" fillId="5" borderId="0" xfId="0" applyNumberFormat="1" applyFill="1"/>
    <xf numFmtId="0" fontId="0" fillId="5" borderId="85" xfId="0" applyFill="1" applyBorder="1"/>
    <xf numFmtId="0" fontId="0" fillId="5" borderId="87" xfId="0" applyFill="1" applyBorder="1" applyAlignment="1">
      <alignment horizontal="center"/>
    </xf>
    <xf numFmtId="0" fontId="0" fillId="12" borderId="0" xfId="0" applyFill="1"/>
    <xf numFmtId="0" fontId="0" fillId="13" borderId="73" xfId="0" applyFill="1" applyBorder="1" applyProtection="1">
      <protection locked="0"/>
    </xf>
    <xf numFmtId="0" fontId="0" fillId="13" borderId="73" xfId="0" applyFill="1" applyBorder="1" applyAlignment="1" applyProtection="1">
      <alignment horizontal="center"/>
      <protection locked="0"/>
    </xf>
    <xf numFmtId="0" fontId="0" fillId="14" borderId="73" xfId="0" applyFill="1" applyBorder="1" applyAlignment="1" applyProtection="1">
      <alignment horizontal="center"/>
      <protection locked="0"/>
    </xf>
    <xf numFmtId="0" fontId="0" fillId="14" borderId="73" xfId="0" applyFill="1" applyBorder="1" applyProtection="1">
      <protection locked="0"/>
    </xf>
    <xf numFmtId="1" fontId="0" fillId="14" borderId="73" xfId="0" applyNumberFormat="1" applyFill="1" applyBorder="1" applyAlignment="1" applyProtection="1">
      <alignment horizontal="center"/>
      <protection locked="0"/>
    </xf>
    <xf numFmtId="0" fontId="0" fillId="12" borderId="0" xfId="0" applyFill="1" applyAlignment="1">
      <alignment horizontal="right"/>
    </xf>
    <xf numFmtId="0" fontId="0" fillId="14" borderId="83" xfId="0" applyFill="1" applyBorder="1" applyAlignment="1">
      <alignment horizontal="center"/>
    </xf>
    <xf numFmtId="0" fontId="0" fillId="14" borderId="0" xfId="0" applyFill="1" applyAlignment="1">
      <alignment horizontal="center"/>
    </xf>
    <xf numFmtId="0" fontId="11" fillId="0" borderId="3" xfId="0" applyFont="1" applyBorder="1" applyAlignment="1">
      <alignment horizontal="right"/>
    </xf>
    <xf numFmtId="0" fontId="0" fillId="12" borderId="0" xfId="0" applyFill="1" applyAlignment="1">
      <alignment horizontal="center"/>
    </xf>
    <xf numFmtId="0" fontId="27" fillId="0" borderId="20" xfId="0" applyFont="1" applyBorder="1" applyAlignment="1">
      <alignment horizontal="center"/>
    </xf>
    <xf numFmtId="3" fontId="0" fillId="0" borderId="0" xfId="0" applyNumberFormat="1"/>
    <xf numFmtId="0" fontId="11" fillId="0" borderId="73" xfId="0" applyFont="1" applyBorder="1" applyAlignment="1" applyProtection="1">
      <alignment horizontal="center"/>
      <protection locked="0" hidden="1"/>
    </xf>
    <xf numFmtId="4" fontId="0" fillId="0" borderId="18" xfId="0" applyNumberFormat="1" applyBorder="1"/>
    <xf numFmtId="4" fontId="0" fillId="0" borderId="21" xfId="0" applyNumberFormat="1" applyBorder="1"/>
    <xf numFmtId="0" fontId="21" fillId="0" borderId="16" xfId="0" applyFont="1" applyBorder="1" applyAlignment="1" applyProtection="1">
      <alignment horizontal="center"/>
      <protection hidden="1"/>
    </xf>
    <xf numFmtId="0" fontId="0" fillId="0" borderId="75" xfId="0" applyBorder="1" applyAlignment="1">
      <alignment horizontal="center"/>
    </xf>
    <xf numFmtId="3" fontId="0" fillId="0" borderId="0" xfId="0" applyNumberFormat="1" applyAlignment="1">
      <alignment horizontal="center"/>
    </xf>
    <xf numFmtId="0" fontId="0" fillId="0" borderId="0" xfId="0" applyAlignment="1">
      <alignment textRotation="135"/>
    </xf>
    <xf numFmtId="0" fontId="0" fillId="0" borderId="0" xfId="0" applyAlignment="1">
      <alignment vertical="top" textRotation="180"/>
    </xf>
    <xf numFmtId="0" fontId="0" fillId="0" borderId="25" xfId="0" applyBorder="1"/>
    <xf numFmtId="0" fontId="0" fillId="0" borderId="26" xfId="0" applyBorder="1"/>
    <xf numFmtId="0" fontId="0" fillId="0" borderId="22" xfId="0" applyBorder="1" applyAlignment="1">
      <alignment horizontal="center"/>
    </xf>
    <xf numFmtId="0" fontId="0" fillId="0" borderId="25" xfId="0" applyBorder="1" applyAlignment="1">
      <alignment horizontal="center"/>
    </xf>
    <xf numFmtId="0" fontId="0" fillId="16" borderId="25" xfId="0" applyFill="1" applyBorder="1" applyAlignment="1">
      <alignment horizontal="center"/>
    </xf>
    <xf numFmtId="0" fontId="0" fillId="4" borderId="25" xfId="0" applyFill="1" applyBorder="1" applyAlignment="1">
      <alignment horizontal="center"/>
    </xf>
    <xf numFmtId="0" fontId="0" fillId="6" borderId="25" xfId="0" applyFill="1" applyBorder="1" applyAlignment="1">
      <alignment horizontal="center"/>
    </xf>
    <xf numFmtId="0" fontId="0" fillId="15" borderId="25" xfId="0" applyFill="1" applyBorder="1" applyAlignment="1">
      <alignment horizontal="center"/>
    </xf>
    <xf numFmtId="0" fontId="0" fillId="17" borderId="25" xfId="0" applyFill="1" applyBorder="1" applyAlignment="1">
      <alignment horizontal="center"/>
    </xf>
    <xf numFmtId="0" fontId="0" fillId="0" borderId="98" xfId="0" applyBorder="1"/>
    <xf numFmtId="0" fontId="0" fillId="0" borderId="99" xfId="0" applyBorder="1"/>
    <xf numFmtId="0" fontId="0" fillId="0" borderId="100" xfId="0" applyBorder="1"/>
    <xf numFmtId="0" fontId="1" fillId="0" borderId="0" xfId="0" applyFont="1" applyAlignment="1">
      <alignment horizontal="left"/>
    </xf>
    <xf numFmtId="0" fontId="3" fillId="0" borderId="34" xfId="0" applyFont="1" applyBorder="1" applyAlignment="1">
      <alignment horizontal="center"/>
    </xf>
    <xf numFmtId="0" fontId="8" fillId="0" borderId="0" xfId="0" applyFont="1" applyAlignment="1">
      <alignment horizontal="right"/>
    </xf>
    <xf numFmtId="4" fontId="1" fillId="0" borderId="0" xfId="0" applyNumberFormat="1" applyFont="1" applyAlignment="1">
      <alignment horizontal="center"/>
    </xf>
    <xf numFmtId="3" fontId="0" fillId="0" borderId="73" xfId="0" applyNumberFormat="1" applyBorder="1" applyProtection="1">
      <protection locked="0"/>
    </xf>
    <xf numFmtId="0" fontId="0" fillId="3" borderId="0" xfId="0" applyFill="1" applyAlignment="1">
      <alignment vertical="top" textRotation="180"/>
    </xf>
    <xf numFmtId="0" fontId="0" fillId="3" borderId="4" xfId="0" applyFill="1" applyBorder="1"/>
    <xf numFmtId="0" fontId="0" fillId="3" borderId="2" xfId="0" applyFill="1" applyBorder="1"/>
    <xf numFmtId="0" fontId="0" fillId="3" borderId="102" xfId="0" applyFill="1" applyBorder="1" applyAlignment="1">
      <alignment horizontal="center"/>
    </xf>
    <xf numFmtId="0" fontId="0" fillId="3" borderId="2" xfId="0" applyFill="1" applyBorder="1" applyAlignment="1">
      <alignment horizontal="center"/>
    </xf>
    <xf numFmtId="0" fontId="0" fillId="3" borderId="103" xfId="0" applyFill="1" applyBorder="1"/>
    <xf numFmtId="0" fontId="0" fillId="3" borderId="11" xfId="0" applyFill="1" applyBorder="1"/>
    <xf numFmtId="0" fontId="0" fillId="0" borderId="5" xfId="0" applyBorder="1"/>
    <xf numFmtId="0" fontId="0" fillId="0" borderId="12" xfId="0" applyBorder="1" applyAlignment="1">
      <alignment vertical="top" textRotation="180"/>
    </xf>
    <xf numFmtId="0" fontId="0" fillId="3" borderId="5" xfId="0" applyFill="1" applyBorder="1"/>
    <xf numFmtId="0" fontId="0" fillId="3" borderId="12" xfId="0" applyFill="1" applyBorder="1" applyAlignment="1">
      <alignment vertical="top" textRotation="180"/>
    </xf>
    <xf numFmtId="0" fontId="0" fillId="0" borderId="12" xfId="0" applyBorder="1"/>
    <xf numFmtId="0" fontId="0" fillId="3" borderId="12" xfId="0" applyFill="1" applyBorder="1"/>
    <xf numFmtId="0" fontId="0" fillId="0" borderId="9" xfId="0" applyBorder="1"/>
    <xf numFmtId="0" fontId="0" fillId="0" borderId="3" xfId="0" applyBorder="1"/>
    <xf numFmtId="0" fontId="0" fillId="0" borderId="96" xfId="0" applyBorder="1" applyAlignment="1">
      <alignment horizontal="center"/>
    </xf>
    <xf numFmtId="0" fontId="0" fillId="0" borderId="3" xfId="0" applyBorder="1" applyAlignment="1">
      <alignment horizontal="center"/>
    </xf>
    <xf numFmtId="0" fontId="0" fillId="0" borderId="104" xfId="0" applyBorder="1"/>
    <xf numFmtId="0" fontId="0" fillId="0" borderId="13" xfId="0" applyBorder="1"/>
    <xf numFmtId="0" fontId="1" fillId="2" borderId="0" xfId="0" applyFont="1" applyFill="1"/>
    <xf numFmtId="0" fontId="21" fillId="0" borderId="16" xfId="0" applyFont="1" applyBorder="1" applyAlignment="1">
      <alignment horizontal="center"/>
    </xf>
    <xf numFmtId="0" fontId="1" fillId="0" borderId="17" xfId="0" applyFont="1" applyBorder="1" applyAlignment="1">
      <alignment vertical="center"/>
    </xf>
    <xf numFmtId="0" fontId="0" fillId="0" borderId="18" xfId="0" applyBorder="1" applyAlignment="1">
      <alignment horizontal="left" wrapText="1"/>
    </xf>
    <xf numFmtId="0" fontId="0" fillId="14" borderId="105" xfId="0" applyFill="1" applyBorder="1" applyProtection="1">
      <protection locked="0"/>
    </xf>
    <xf numFmtId="0" fontId="0" fillId="0" borderId="18" xfId="0" applyBorder="1" applyAlignment="1">
      <alignment horizontal="center" wrapText="1"/>
    </xf>
    <xf numFmtId="0" fontId="0" fillId="0" borderId="105" xfId="0" applyBorder="1" applyProtection="1">
      <protection locked="0"/>
    </xf>
    <xf numFmtId="0" fontId="2" fillId="0" borderId="14" xfId="0" applyFont="1" applyBorder="1"/>
    <xf numFmtId="0" fontId="0" fillId="0" borderId="0" xfId="0" applyAlignment="1" applyProtection="1">
      <alignment wrapText="1"/>
      <protection hidden="1"/>
    </xf>
    <xf numFmtId="3" fontId="0" fillId="3" borderId="29" xfId="0" applyNumberFormat="1" applyFill="1" applyBorder="1" applyAlignment="1">
      <alignment horizontal="center"/>
    </xf>
    <xf numFmtId="3" fontId="0" fillId="0" borderId="29" xfId="0" applyNumberFormat="1" applyBorder="1" applyAlignment="1">
      <alignment horizontal="center"/>
    </xf>
    <xf numFmtId="3" fontId="0" fillId="0" borderId="35" xfId="0" applyNumberFormat="1" applyBorder="1" applyAlignment="1">
      <alignment horizontal="center"/>
    </xf>
    <xf numFmtId="3" fontId="0" fillId="0" borderId="20" xfId="0" applyNumberFormat="1" applyBorder="1" applyAlignment="1">
      <alignment horizontal="center"/>
    </xf>
    <xf numFmtId="3" fontId="0" fillId="3" borderId="0" xfId="0" applyNumberFormat="1" applyFill="1" applyAlignment="1">
      <alignment horizontal="center"/>
    </xf>
    <xf numFmtId="3" fontId="0" fillId="3" borderId="37" xfId="0" applyNumberFormat="1" applyFill="1" applyBorder="1" applyAlignment="1">
      <alignment horizontal="center"/>
    </xf>
    <xf numFmtId="3" fontId="22" fillId="3" borderId="37" xfId="0" applyNumberFormat="1" applyFont="1" applyFill="1" applyBorder="1"/>
    <xf numFmtId="3" fontId="0" fillId="0" borderId="37" xfId="0" applyNumberFormat="1" applyBorder="1"/>
    <xf numFmtId="3" fontId="22" fillId="3" borderId="32" xfId="0" applyNumberFormat="1" applyFont="1" applyFill="1" applyBorder="1"/>
    <xf numFmtId="3" fontId="0" fillId="3" borderId="37" xfId="0" applyNumberFormat="1" applyFill="1" applyBorder="1"/>
    <xf numFmtId="3" fontId="22" fillId="0" borderId="37" xfId="0" applyNumberFormat="1" applyFont="1" applyBorder="1"/>
    <xf numFmtId="3" fontId="1" fillId="0" borderId="37" xfId="0" applyNumberFormat="1" applyFont="1" applyBorder="1"/>
    <xf numFmtId="165" fontId="0" fillId="0" borderId="0" xfId="0" applyNumberFormat="1" applyAlignment="1">
      <alignment horizontal="center"/>
    </xf>
    <xf numFmtId="3" fontId="0" fillId="14" borderId="73" xfId="0" applyNumberFormat="1" applyFill="1" applyBorder="1" applyAlignment="1" applyProtection="1">
      <alignment horizontal="center"/>
      <protection locked="0"/>
    </xf>
    <xf numFmtId="3" fontId="0" fillId="3" borderId="0" xfId="0" applyNumberFormat="1" applyFill="1"/>
    <xf numFmtId="3" fontId="0" fillId="0" borderId="73" xfId="0" applyNumberFormat="1" applyBorder="1" applyAlignment="1" applyProtection="1">
      <alignment horizontal="center" vertical="center"/>
      <protection locked="0"/>
    </xf>
    <xf numFmtId="3" fontId="0" fillId="9" borderId="73" xfId="0" applyNumberFormat="1" applyFill="1" applyBorder="1" applyAlignment="1" applyProtection="1">
      <alignment horizontal="center"/>
      <protection locked="0"/>
    </xf>
    <xf numFmtId="3" fontId="0" fillId="10" borderId="73" xfId="0" applyNumberFormat="1" applyFill="1" applyBorder="1" applyAlignment="1" applyProtection="1">
      <alignment horizontal="center"/>
      <protection locked="0"/>
    </xf>
    <xf numFmtId="3" fontId="0" fillId="3" borderId="73" xfId="0" applyNumberFormat="1" applyFill="1" applyBorder="1" applyAlignment="1" applyProtection="1">
      <alignment horizontal="center"/>
      <protection locked="0"/>
    </xf>
    <xf numFmtId="3" fontId="0" fillId="0" borderId="73" xfId="0" applyNumberFormat="1" applyBorder="1" applyAlignment="1" applyProtection="1">
      <alignment horizontal="center"/>
      <protection locked="0" hidden="1"/>
    </xf>
    <xf numFmtId="3" fontId="0" fillId="3" borderId="0" xfId="0" applyNumberFormat="1" applyFill="1" applyAlignment="1" applyProtection="1">
      <alignment horizontal="center"/>
      <protection hidden="1"/>
    </xf>
    <xf numFmtId="3" fontId="0" fillId="0" borderId="21" xfId="0" applyNumberFormat="1" applyBorder="1" applyAlignment="1" applyProtection="1">
      <alignment horizontal="center"/>
      <protection hidden="1"/>
    </xf>
    <xf numFmtId="4" fontId="0" fillId="0" borderId="0" xfId="0" applyNumberFormat="1" applyAlignment="1" applyProtection="1">
      <alignment horizontal="right"/>
      <protection hidden="1"/>
    </xf>
    <xf numFmtId="3" fontId="0" fillId="0" borderId="0" xfId="0" applyNumberFormat="1" applyAlignment="1" applyProtection="1">
      <alignment horizontal="center"/>
      <protection hidden="1"/>
    </xf>
    <xf numFmtId="3" fontId="23" fillId="3" borderId="35" xfId="0" applyNumberFormat="1" applyFont="1" applyFill="1" applyBorder="1" applyAlignment="1" applyProtection="1">
      <alignment horizontal="center"/>
      <protection hidden="1"/>
    </xf>
    <xf numFmtId="3" fontId="0" fillId="5" borderId="85" xfId="0" applyNumberFormat="1" applyFill="1" applyBorder="1" applyAlignment="1">
      <alignment horizontal="center"/>
    </xf>
    <xf numFmtId="3" fontId="0" fillId="5" borderId="87" xfId="0" applyNumberFormat="1" applyFill="1" applyBorder="1" applyAlignment="1">
      <alignment horizontal="center"/>
    </xf>
    <xf numFmtId="3" fontId="0" fillId="5" borderId="88" xfId="0" applyNumberFormat="1" applyFill="1" applyBorder="1" applyAlignment="1">
      <alignment horizontal="center"/>
    </xf>
    <xf numFmtId="3" fontId="0" fillId="5" borderId="73" xfId="0" applyNumberFormat="1" applyFill="1" applyBorder="1" applyAlignment="1" applyProtection="1">
      <alignment horizontal="center"/>
      <protection locked="0"/>
    </xf>
    <xf numFmtId="3" fontId="0" fillId="8" borderId="0" xfId="0" applyNumberFormat="1" applyFill="1" applyAlignment="1">
      <alignment horizontal="center"/>
    </xf>
    <xf numFmtId="3" fontId="0" fillId="2" borderId="0" xfId="0" applyNumberFormat="1" applyFill="1" applyAlignment="1">
      <alignment horizontal="center"/>
    </xf>
    <xf numFmtId="3" fontId="0" fillId="5" borderId="86" xfId="0" applyNumberFormat="1" applyFill="1" applyBorder="1" applyAlignment="1">
      <alignment horizontal="center"/>
    </xf>
    <xf numFmtId="2" fontId="0" fillId="3" borderId="0" xfId="0" applyNumberFormat="1" applyFill="1"/>
    <xf numFmtId="4" fontId="0" fillId="3" borderId="0" xfId="0" applyNumberFormat="1" applyFill="1" applyAlignment="1">
      <alignment horizontal="center"/>
    </xf>
    <xf numFmtId="2" fontId="0" fillId="0" borderId="0" xfId="0" applyNumberFormat="1"/>
    <xf numFmtId="0" fontId="17" fillId="0" borderId="55" xfId="0" applyFont="1" applyBorder="1" applyAlignment="1">
      <alignment horizontal="center" shrinkToFit="1"/>
    </xf>
    <xf numFmtId="0" fontId="0" fillId="0" borderId="3" xfId="0" applyBorder="1" applyAlignment="1">
      <alignment vertical="center"/>
    </xf>
    <xf numFmtId="0" fontId="31" fillId="0" borderId="0" xfId="0" applyFont="1"/>
    <xf numFmtId="0" fontId="17" fillId="0" borderId="3" xfId="0" applyFont="1" applyBorder="1" applyAlignment="1">
      <alignment shrinkToFit="1"/>
    </xf>
    <xf numFmtId="0" fontId="17" fillId="0" borderId="0" xfId="0" applyFont="1" applyAlignment="1">
      <alignment shrinkToFit="1"/>
    </xf>
    <xf numFmtId="0" fontId="17" fillId="0" borderId="55" xfId="0" applyFont="1" applyBorder="1" applyAlignment="1">
      <alignment shrinkToFit="1"/>
    </xf>
    <xf numFmtId="0" fontId="36" fillId="0" borderId="0" xfId="0" applyFont="1" applyAlignment="1">
      <alignment horizontal="center"/>
    </xf>
    <xf numFmtId="0" fontId="35" fillId="0" borderId="0" xfId="0" applyFont="1"/>
    <xf numFmtId="0" fontId="36" fillId="0" borderId="0" xfId="0" applyFont="1" applyAlignment="1">
      <alignment shrinkToFit="1"/>
    </xf>
    <xf numFmtId="0" fontId="36" fillId="0" borderId="0" xfId="0" applyFont="1" applyAlignment="1">
      <alignment horizontal="center" shrinkToFit="1"/>
    </xf>
    <xf numFmtId="0" fontId="35" fillId="0" borderId="0" xfId="0" applyFont="1" applyAlignment="1">
      <alignment shrinkToFit="1"/>
    </xf>
    <xf numFmtId="0" fontId="0" fillId="3" borderId="14" xfId="0" applyFill="1" applyBorder="1"/>
    <xf numFmtId="0" fontId="0" fillId="3" borderId="15" xfId="0" applyFill="1" applyBorder="1"/>
    <xf numFmtId="0" fontId="0" fillId="3" borderId="16" xfId="0" applyFill="1" applyBorder="1"/>
    <xf numFmtId="0" fontId="0" fillId="3" borderId="21" xfId="0" applyFill="1" applyBorder="1"/>
    <xf numFmtId="0" fontId="0" fillId="0" borderId="23" xfId="0" applyBorder="1"/>
    <xf numFmtId="0" fontId="0" fillId="18" borderId="0" xfId="0" applyFill="1"/>
    <xf numFmtId="0" fontId="0" fillId="18" borderId="12" xfId="0" applyFill="1" applyBorder="1"/>
    <xf numFmtId="0" fontId="0" fillId="18" borderId="5" xfId="0" applyFill="1" applyBorder="1"/>
    <xf numFmtId="0" fontId="0" fillId="18" borderId="6" xfId="0" applyFill="1" applyBorder="1"/>
    <xf numFmtId="0" fontId="0" fillId="18" borderId="27" xfId="0" applyFill="1" applyBorder="1"/>
    <xf numFmtId="0" fontId="0" fillId="18" borderId="7" xfId="0" applyFill="1" applyBorder="1"/>
    <xf numFmtId="0" fontId="0" fillId="0" borderId="117" xfId="0" applyBorder="1" applyAlignment="1">
      <alignment horizontal="center"/>
    </xf>
    <xf numFmtId="0" fontId="21" fillId="0" borderId="0" xfId="0" applyFont="1" applyAlignment="1">
      <alignment horizontal="center" vertical="center"/>
    </xf>
    <xf numFmtId="4" fontId="21" fillId="0" borderId="0" xfId="0" applyNumberFormat="1" applyFont="1"/>
    <xf numFmtId="4" fontId="0" fillId="3" borderId="73" xfId="0" applyNumberFormat="1" applyFill="1" applyBorder="1" applyProtection="1">
      <protection locked="0"/>
    </xf>
    <xf numFmtId="4" fontId="0" fillId="0" borderId="16" xfId="0" applyNumberFormat="1" applyBorder="1"/>
    <xf numFmtId="4" fontId="0" fillId="0" borderId="33" xfId="0" applyNumberFormat="1" applyBorder="1"/>
    <xf numFmtId="1" fontId="1" fillId="0" borderId="0" xfId="0" applyNumberFormat="1" applyFont="1"/>
    <xf numFmtId="1" fontId="1" fillId="0" borderId="14" xfId="0" applyNumberFormat="1" applyFont="1" applyBorder="1"/>
    <xf numFmtId="0" fontId="0" fillId="0" borderId="15" xfId="0" applyBorder="1" applyAlignment="1">
      <alignment wrapText="1"/>
    </xf>
    <xf numFmtId="0" fontId="0" fillId="0" borderId="20" xfId="0" applyBorder="1" applyAlignment="1">
      <alignment wrapText="1"/>
    </xf>
    <xf numFmtId="0" fontId="0" fillId="0" borderId="31" xfId="0" applyBorder="1" applyAlignment="1">
      <alignment wrapText="1"/>
    </xf>
    <xf numFmtId="0" fontId="1" fillId="0" borderId="0" xfId="0" applyFont="1" applyAlignment="1">
      <alignment horizontal="right" vertical="top"/>
    </xf>
    <xf numFmtId="0" fontId="1" fillId="0" borderId="14" xfId="0" applyFont="1" applyBorder="1" applyAlignment="1">
      <alignment horizontal="center" vertical="top"/>
    </xf>
    <xf numFmtId="4" fontId="1" fillId="0" borderId="17" xfId="0" applyNumberFormat="1" applyFont="1" applyBorder="1" applyAlignment="1">
      <alignment vertical="top"/>
    </xf>
    <xf numFmtId="0" fontId="1" fillId="0" borderId="17" xfId="0" applyFont="1" applyBorder="1" applyAlignment="1">
      <alignment vertical="top"/>
    </xf>
    <xf numFmtId="0" fontId="1" fillId="0" borderId="19" xfId="0" applyFont="1" applyBorder="1" applyAlignment="1">
      <alignment vertical="top"/>
    </xf>
    <xf numFmtId="0" fontId="1" fillId="0" borderId="32" xfId="0" applyFont="1" applyBorder="1" applyAlignment="1">
      <alignment vertical="top"/>
    </xf>
    <xf numFmtId="0" fontId="1" fillId="0" borderId="0" xfId="0" applyFont="1" applyAlignment="1">
      <alignment vertical="top"/>
    </xf>
    <xf numFmtId="0" fontId="1" fillId="0" borderId="14" xfId="0" applyFont="1" applyBorder="1" applyAlignment="1">
      <alignment vertical="top"/>
    </xf>
    <xf numFmtId="4" fontId="1" fillId="0" borderId="37" xfId="0" applyNumberFormat="1" applyFont="1" applyBorder="1" applyAlignment="1">
      <alignment horizontal="center"/>
    </xf>
    <xf numFmtId="4" fontId="0" fillId="0" borderId="20" xfId="0" applyNumberFormat="1" applyBorder="1"/>
    <xf numFmtId="4" fontId="0" fillId="13" borderId="73" xfId="0" applyNumberFormat="1" applyFill="1" applyBorder="1" applyAlignment="1" applyProtection="1">
      <alignment horizontal="center"/>
      <protection locked="0"/>
    </xf>
    <xf numFmtId="3" fontId="0" fillId="0" borderId="75" xfId="0" applyNumberFormat="1" applyBorder="1" applyProtection="1">
      <protection locked="0"/>
    </xf>
    <xf numFmtId="3" fontId="0" fillId="0" borderId="0" xfId="0" applyNumberFormat="1" applyProtection="1">
      <protection locked="0"/>
    </xf>
    <xf numFmtId="3" fontId="1" fillId="0" borderId="0" xfId="0" applyNumberFormat="1" applyFont="1"/>
    <xf numFmtId="0" fontId="0" fillId="0" borderId="82" xfId="0" applyBorder="1" applyProtection="1">
      <protection locked="0"/>
    </xf>
    <xf numFmtId="0" fontId="0" fillId="3" borderId="15" xfId="0" applyFill="1" applyBorder="1" applyAlignment="1">
      <alignment horizontal="center"/>
    </xf>
    <xf numFmtId="3" fontId="0" fillId="3" borderId="73" xfId="0" applyNumberFormat="1" applyFill="1" applyBorder="1" applyProtection="1">
      <protection locked="0"/>
    </xf>
    <xf numFmtId="0" fontId="0" fillId="0" borderId="17" xfId="0" applyBorder="1" applyAlignment="1">
      <alignment horizontal="right"/>
    </xf>
    <xf numFmtId="0" fontId="0" fillId="3" borderId="0" xfId="0" applyFill="1" applyAlignment="1">
      <alignment horizontal="right"/>
    </xf>
    <xf numFmtId="4" fontId="0" fillId="0" borderId="118" xfId="0" applyNumberFormat="1" applyBorder="1" applyProtection="1">
      <protection locked="0"/>
    </xf>
    <xf numFmtId="4" fontId="0" fillId="3" borderId="82" xfId="0" applyNumberFormat="1" applyFill="1" applyBorder="1" applyProtection="1">
      <protection locked="0"/>
    </xf>
    <xf numFmtId="0" fontId="0" fillId="5" borderId="17" xfId="0" applyFill="1" applyBorder="1"/>
    <xf numFmtId="4" fontId="0" fillId="0" borderId="0" xfId="0" applyNumberFormat="1" applyAlignment="1">
      <alignment vertical="center"/>
    </xf>
    <xf numFmtId="4" fontId="0" fillId="0" borderId="31" xfId="0" applyNumberFormat="1" applyBorder="1"/>
    <xf numFmtId="0" fontId="1" fillId="0" borderId="119" xfId="0" applyFont="1" applyBorder="1"/>
    <xf numFmtId="0" fontId="1" fillId="0" borderId="102" xfId="0" applyFont="1" applyBorder="1"/>
    <xf numFmtId="0" fontId="1" fillId="0" borderId="120" xfId="0" applyFont="1" applyBorder="1"/>
    <xf numFmtId="0" fontId="1" fillId="0" borderId="80" xfId="0" applyFont="1" applyBorder="1" applyAlignment="1">
      <alignment horizontal="center"/>
    </xf>
    <xf numFmtId="0" fontId="0" fillId="0" borderId="82" xfId="0" applyBorder="1" applyAlignment="1" applyProtection="1">
      <alignment horizontal="center"/>
      <protection locked="0"/>
    </xf>
    <xf numFmtId="0" fontId="1" fillId="0" borderId="10" xfId="0" applyFont="1" applyBorder="1" applyAlignment="1">
      <alignment horizontal="center"/>
    </xf>
    <xf numFmtId="0" fontId="1" fillId="0" borderId="55" xfId="0" applyFont="1" applyBorder="1" applyAlignment="1">
      <alignment horizontal="center"/>
    </xf>
    <xf numFmtId="0" fontId="1" fillId="0" borderId="38" xfId="0" applyFont="1" applyBorder="1" applyAlignment="1">
      <alignment horizontal="center"/>
    </xf>
    <xf numFmtId="0" fontId="0" fillId="18" borderId="73" xfId="0" applyFill="1" applyBorder="1" applyProtection="1">
      <protection locked="0"/>
    </xf>
    <xf numFmtId="4" fontId="0" fillId="18" borderId="73" xfId="0" applyNumberFormat="1" applyFill="1" applyBorder="1" applyProtection="1">
      <protection locked="0"/>
    </xf>
    <xf numFmtId="0" fontId="1" fillId="0" borderId="18" xfId="0" applyFont="1" applyBorder="1" applyAlignment="1">
      <alignment horizontal="center"/>
    </xf>
    <xf numFmtId="3" fontId="0" fillId="0" borderId="83" xfId="0" applyNumberFormat="1" applyBorder="1"/>
    <xf numFmtId="0" fontId="0" fillId="3" borderId="82" xfId="0" applyFill="1" applyBorder="1" applyProtection="1">
      <protection locked="0"/>
    </xf>
    <xf numFmtId="3" fontId="0" fillId="3" borderId="82" xfId="0" applyNumberFormat="1" applyFill="1" applyBorder="1" applyProtection="1">
      <protection locked="0"/>
    </xf>
    <xf numFmtId="0" fontId="0" fillId="3" borderId="125" xfId="0" applyFill="1" applyBorder="1" applyProtection="1">
      <protection locked="0"/>
    </xf>
    <xf numFmtId="0" fontId="0" fillId="11" borderId="125" xfId="0" applyFill="1" applyBorder="1" applyProtection="1">
      <protection locked="0"/>
    </xf>
    <xf numFmtId="3" fontId="0" fillId="11" borderId="73" xfId="0" applyNumberFormat="1" applyFill="1" applyBorder="1" applyProtection="1">
      <protection locked="0"/>
    </xf>
    <xf numFmtId="0" fontId="0" fillId="11" borderId="124" xfId="0" applyFill="1" applyBorder="1" applyProtection="1">
      <protection locked="0"/>
    </xf>
    <xf numFmtId="3" fontId="0" fillId="11" borderId="123" xfId="0" applyNumberFormat="1" applyFill="1" applyBorder="1" applyProtection="1">
      <protection locked="0"/>
    </xf>
    <xf numFmtId="0" fontId="1" fillId="0" borderId="129" xfId="0" applyFont="1" applyBorder="1" applyAlignment="1">
      <alignment horizontal="center"/>
    </xf>
    <xf numFmtId="0" fontId="1" fillId="0" borderId="130" xfId="0" applyFont="1" applyBorder="1" applyAlignment="1">
      <alignment horizontal="center"/>
    </xf>
    <xf numFmtId="0" fontId="1" fillId="0" borderId="131" xfId="0" applyFont="1" applyBorder="1" applyAlignment="1">
      <alignment horizontal="center"/>
    </xf>
    <xf numFmtId="0" fontId="0" fillId="3" borderId="126" xfId="0" applyFill="1" applyBorder="1"/>
    <xf numFmtId="0" fontId="1" fillId="3" borderId="127" xfId="0" applyFont="1" applyFill="1" applyBorder="1" applyAlignment="1">
      <alignment horizontal="center"/>
    </xf>
    <xf numFmtId="0" fontId="0" fillId="3" borderId="128" xfId="0" applyFill="1" applyBorder="1"/>
    <xf numFmtId="0" fontId="0" fillId="0" borderId="0" xfId="1" applyNumberFormat="1" applyFont="1"/>
    <xf numFmtId="0" fontId="0" fillId="2" borderId="1" xfId="0" applyFill="1" applyBorder="1" applyAlignment="1">
      <alignment horizontal="center"/>
    </xf>
    <xf numFmtId="3" fontId="0" fillId="3" borderId="133" xfId="0" applyNumberFormat="1" applyFill="1" applyBorder="1"/>
    <xf numFmtId="3" fontId="0" fillId="3" borderId="134" xfId="0" applyNumberFormat="1" applyFill="1" applyBorder="1"/>
    <xf numFmtId="3" fontId="0" fillId="3" borderId="132" xfId="0" applyNumberFormat="1" applyFill="1" applyBorder="1" applyProtection="1">
      <protection locked="0"/>
    </xf>
    <xf numFmtId="3" fontId="0" fillId="19" borderId="101" xfId="0" applyNumberFormat="1" applyFill="1" applyBorder="1" applyAlignment="1">
      <alignment horizontal="center"/>
    </xf>
    <xf numFmtId="0" fontId="38" fillId="0" borderId="0" xfId="2"/>
    <xf numFmtId="4" fontId="38" fillId="0" borderId="0" xfId="2" applyNumberFormat="1"/>
    <xf numFmtId="0" fontId="38" fillId="0" borderId="0" xfId="3" applyNumberFormat="1" applyFont="1"/>
    <xf numFmtId="165" fontId="0" fillId="0" borderId="0" xfId="0" applyNumberFormat="1"/>
    <xf numFmtId="4" fontId="0" fillId="0" borderId="0" xfId="0" applyNumberFormat="1" applyAlignment="1">
      <alignment wrapText="1"/>
    </xf>
    <xf numFmtId="0" fontId="0" fillId="0" borderId="136" xfId="0" applyBorder="1"/>
    <xf numFmtId="0" fontId="0" fillId="0" borderId="135" xfId="0" applyBorder="1"/>
    <xf numFmtId="0" fontId="0" fillId="0" borderId="137" xfId="0" applyBorder="1"/>
    <xf numFmtId="0" fontId="0" fillId="0" borderId="75" xfId="0" applyBorder="1" applyAlignment="1" applyProtection="1">
      <alignment horizontal="center"/>
      <protection locked="0"/>
    </xf>
    <xf numFmtId="0" fontId="0" fillId="0" borderId="138" xfId="0" applyBorder="1"/>
    <xf numFmtId="0" fontId="0" fillId="0" borderId="73" xfId="0" applyBorder="1" applyAlignment="1" applyProtection="1">
      <alignment horizontal="right"/>
      <protection locked="0"/>
    </xf>
    <xf numFmtId="3" fontId="0" fillId="0" borderId="83" xfId="0" applyNumberFormat="1" applyBorder="1" applyAlignment="1">
      <alignment horizontal="center"/>
    </xf>
    <xf numFmtId="3" fontId="0" fillId="3" borderId="88" xfId="0" applyNumberFormat="1" applyFill="1" applyBorder="1" applyAlignment="1">
      <alignment horizontal="center"/>
    </xf>
    <xf numFmtId="0" fontId="1" fillId="0" borderId="19" xfId="0" applyFont="1" applyBorder="1" applyAlignment="1">
      <alignment horizontal="center"/>
    </xf>
    <xf numFmtId="0" fontId="0" fillId="0" borderId="0" xfId="0" quotePrefix="1"/>
    <xf numFmtId="0" fontId="0" fillId="3" borderId="18" xfId="0" applyFill="1" applyBorder="1" applyAlignment="1">
      <alignment horizontal="center"/>
    </xf>
    <xf numFmtId="0" fontId="0" fillId="0" borderId="118" xfId="0" applyBorder="1" applyProtection="1">
      <protection locked="0"/>
    </xf>
    <xf numFmtId="0" fontId="0" fillId="0" borderId="77" xfId="0" applyBorder="1"/>
    <xf numFmtId="0" fontId="0" fillId="0" borderId="139" xfId="0" applyBorder="1"/>
    <xf numFmtId="0" fontId="0" fillId="0" borderId="140" xfId="0" applyBorder="1"/>
    <xf numFmtId="0" fontId="1" fillId="0" borderId="5" xfId="0" applyFont="1" applyBorder="1"/>
    <xf numFmtId="0" fontId="2" fillId="0" borderId="5" xfId="0" applyFont="1" applyBorder="1" applyAlignment="1">
      <alignment horizontal="right"/>
    </xf>
    <xf numFmtId="0" fontId="1" fillId="0" borderId="5" xfId="0" applyFont="1" applyBorder="1" applyAlignment="1">
      <alignment horizontal="right"/>
    </xf>
    <xf numFmtId="0" fontId="1" fillId="0" borderId="9" xfId="0" applyFont="1" applyBorder="1" applyAlignment="1">
      <alignment horizontal="right"/>
    </xf>
    <xf numFmtId="4" fontId="0" fillId="0" borderId="12" xfId="0" applyNumberFormat="1" applyBorder="1"/>
    <xf numFmtId="4" fontId="0" fillId="0" borderId="13" xfId="0" applyNumberFormat="1" applyBorder="1"/>
    <xf numFmtId="3" fontId="0" fillId="0" borderId="21" xfId="0" applyNumberFormat="1" applyBorder="1" applyAlignment="1">
      <alignment horizontal="center"/>
    </xf>
    <xf numFmtId="3" fontId="0" fillId="5" borderId="142" xfId="0" applyNumberFormat="1" applyFill="1" applyBorder="1" applyAlignment="1">
      <alignment horizontal="center"/>
    </xf>
    <xf numFmtId="3" fontId="0" fillId="3" borderId="142" xfId="0" applyNumberFormat="1" applyFill="1" applyBorder="1" applyAlignment="1">
      <alignment horizontal="center"/>
    </xf>
    <xf numFmtId="3" fontId="0" fillId="5" borderId="118" xfId="0" applyNumberFormat="1" applyFill="1" applyBorder="1" applyAlignment="1" applyProtection="1">
      <alignment horizontal="center"/>
      <protection locked="0"/>
    </xf>
    <xf numFmtId="3" fontId="0" fillId="3" borderId="82" xfId="0" applyNumberFormat="1" applyFill="1" applyBorder="1" applyAlignment="1" applyProtection="1">
      <alignment horizontal="center"/>
      <protection locked="0"/>
    </xf>
    <xf numFmtId="3" fontId="0" fillId="8" borderId="141" xfId="0" applyNumberFormat="1" applyFill="1" applyBorder="1" applyAlignment="1" applyProtection="1">
      <alignment horizontal="center"/>
      <protection locked="0"/>
    </xf>
    <xf numFmtId="3" fontId="0" fillId="2" borderId="141" xfId="0" applyNumberFormat="1" applyFill="1" applyBorder="1" applyAlignment="1" applyProtection="1">
      <alignment horizontal="center"/>
      <protection locked="0"/>
    </xf>
    <xf numFmtId="4" fontId="0" fillId="0" borderId="15" xfId="0" applyNumberFormat="1" applyBorder="1" applyAlignment="1">
      <alignment wrapText="1"/>
    </xf>
    <xf numFmtId="0" fontId="0" fillId="0" borderId="0" xfId="3" applyNumberFormat="1" applyFont="1"/>
    <xf numFmtId="0" fontId="0" fillId="20" borderId="0" xfId="0" applyFill="1"/>
    <xf numFmtId="0" fontId="39" fillId="20" borderId="0" xfId="0" applyFont="1" applyFill="1" applyAlignment="1">
      <alignment horizontal="right"/>
    </xf>
    <xf numFmtId="0" fontId="23" fillId="20" borderId="73" xfId="0" applyFont="1" applyFill="1" applyBorder="1" applyAlignment="1" applyProtection="1">
      <alignment horizontal="center"/>
      <protection locked="0"/>
    </xf>
    <xf numFmtId="0" fontId="25" fillId="0" borderId="0" xfId="0" applyFont="1"/>
    <xf numFmtId="0" fontId="0" fillId="0" borderId="0" xfId="0" applyAlignment="1" applyProtection="1">
      <alignment horizontal="right"/>
      <protection locked="0"/>
    </xf>
    <xf numFmtId="4" fontId="0" fillId="0" borderId="37" xfId="0" applyNumberFormat="1" applyBorder="1" applyAlignment="1">
      <alignment horizontal="left"/>
    </xf>
    <xf numFmtId="0" fontId="11" fillId="0" borderId="0" xfId="0" applyFont="1"/>
    <xf numFmtId="0" fontId="14" fillId="0" borderId="0" xfId="0" applyFont="1" applyAlignment="1">
      <alignment horizontal="right"/>
    </xf>
    <xf numFmtId="3" fontId="0" fillId="0" borderId="0" xfId="0" applyNumberFormat="1" applyAlignment="1" applyProtection="1">
      <alignment horizontal="center"/>
      <protection locked="0"/>
    </xf>
    <xf numFmtId="0" fontId="2" fillId="21" borderId="37" xfId="0" applyFont="1" applyFill="1" applyBorder="1" applyAlignment="1">
      <alignment horizontal="center"/>
    </xf>
    <xf numFmtId="4" fontId="0" fillId="21" borderId="37" xfId="0" applyNumberFormat="1" applyFill="1" applyBorder="1"/>
    <xf numFmtId="4" fontId="0" fillId="21" borderId="37" xfId="0" applyNumberFormat="1" applyFill="1" applyBorder="1" applyAlignment="1">
      <alignment horizontal="center"/>
    </xf>
    <xf numFmtId="3" fontId="0" fillId="21" borderId="37" xfId="0" applyNumberFormat="1" applyFill="1" applyBorder="1" applyAlignment="1">
      <alignment horizontal="center"/>
    </xf>
    <xf numFmtId="4" fontId="2" fillId="21" borderId="37" xfId="0" applyNumberFormat="1" applyFont="1" applyFill="1" applyBorder="1" applyAlignment="1">
      <alignment horizontal="center"/>
    </xf>
    <xf numFmtId="4" fontId="0" fillId="0" borderId="16" xfId="0" applyNumberFormat="1" applyBorder="1" applyProtection="1">
      <protection hidden="1"/>
    </xf>
    <xf numFmtId="4" fontId="0" fillId="0" borderId="18" xfId="0" applyNumberFormat="1" applyBorder="1" applyProtection="1">
      <protection hidden="1"/>
    </xf>
    <xf numFmtId="0" fontId="0" fillId="21" borderId="31" xfId="0" applyFill="1" applyBorder="1" applyAlignment="1" applyProtection="1">
      <alignment horizontal="center"/>
      <protection hidden="1"/>
    </xf>
    <xf numFmtId="4" fontId="0" fillId="21" borderId="37" xfId="0" applyNumberFormat="1" applyFill="1" applyBorder="1" applyAlignment="1" applyProtection="1">
      <alignment horizontal="right"/>
      <protection hidden="1"/>
    </xf>
    <xf numFmtId="4" fontId="0" fillId="21" borderId="37" xfId="0" applyNumberFormat="1" applyFill="1" applyBorder="1" applyAlignment="1" applyProtection="1">
      <alignment horizontal="center"/>
      <protection hidden="1"/>
    </xf>
    <xf numFmtId="4" fontId="1" fillId="21" borderId="37" xfId="0" applyNumberFormat="1" applyFont="1" applyFill="1" applyBorder="1" applyAlignment="1" applyProtection="1">
      <alignment horizontal="center"/>
      <protection hidden="1"/>
    </xf>
    <xf numFmtId="0" fontId="0" fillId="21" borderId="33" xfId="0" applyFill="1" applyBorder="1" applyProtection="1">
      <protection hidden="1"/>
    </xf>
    <xf numFmtId="0" fontId="0" fillId="21" borderId="32" xfId="0" applyFill="1" applyBorder="1" applyProtection="1">
      <protection hidden="1"/>
    </xf>
    <xf numFmtId="3" fontId="0" fillId="21" borderId="37" xfId="0" applyNumberFormat="1" applyFill="1" applyBorder="1"/>
    <xf numFmtId="0" fontId="2" fillId="2" borderId="15" xfId="0" applyFont="1" applyFill="1" applyBorder="1"/>
    <xf numFmtId="3" fontId="0" fillId="0" borderId="34" xfId="0" applyNumberFormat="1" applyBorder="1" applyAlignment="1">
      <alignment horizontal="center"/>
    </xf>
    <xf numFmtId="0" fontId="1" fillId="0" borderId="143" xfId="0" applyFont="1" applyBorder="1" applyAlignment="1">
      <alignment horizontal="right"/>
    </xf>
    <xf numFmtId="0" fontId="14" fillId="0" borderId="73" xfId="0" applyFont="1" applyBorder="1" applyAlignment="1" applyProtection="1">
      <alignment horizontal="center"/>
      <protection locked="0"/>
    </xf>
    <xf numFmtId="0" fontId="0" fillId="0" borderId="118" xfId="0" applyBorder="1" applyAlignment="1" applyProtection="1">
      <alignment horizontal="center"/>
      <protection locked="0"/>
    </xf>
    <xf numFmtId="0" fontId="0" fillId="3" borderId="118" xfId="0" applyFill="1" applyBorder="1" applyAlignment="1" applyProtection="1">
      <alignment horizontal="center"/>
      <protection locked="0"/>
    </xf>
    <xf numFmtId="0" fontId="0" fillId="22" borderId="73" xfId="0" applyFill="1" applyBorder="1" applyAlignment="1" applyProtection="1">
      <alignment horizontal="center"/>
      <protection locked="0"/>
    </xf>
    <xf numFmtId="0" fontId="1" fillId="0" borderId="144" xfId="0" applyFont="1" applyBorder="1" applyAlignment="1">
      <alignment vertical="top"/>
    </xf>
    <xf numFmtId="0" fontId="0" fillId="0" borderId="144" xfId="0" applyBorder="1" applyAlignment="1">
      <alignment wrapText="1"/>
    </xf>
    <xf numFmtId="4" fontId="0" fillId="0" borderId="144" xfId="0" applyNumberFormat="1" applyBorder="1"/>
    <xf numFmtId="0" fontId="3" fillId="0" borderId="0" xfId="0" applyFont="1" applyAlignment="1">
      <alignment horizontal="right"/>
    </xf>
    <xf numFmtId="0" fontId="3" fillId="3" borderId="0" xfId="0" applyFont="1" applyFill="1" applyAlignment="1" applyProtection="1">
      <alignment horizontal="center"/>
      <protection hidden="1"/>
    </xf>
    <xf numFmtId="4" fontId="0" fillId="0" borderId="73" xfId="0" applyNumberFormat="1" applyBorder="1" applyAlignment="1" applyProtection="1">
      <alignment horizontal="center"/>
      <protection locked="0"/>
    </xf>
    <xf numFmtId="0" fontId="0" fillId="7" borderId="145" xfId="0" applyFill="1" applyBorder="1"/>
    <xf numFmtId="0" fontId="0" fillId="0" borderId="145" xfId="0" applyBorder="1" applyAlignment="1">
      <alignment horizontal="left"/>
    </xf>
    <xf numFmtId="49" fontId="0" fillId="7" borderId="145" xfId="0" applyNumberFormat="1" applyFill="1" applyBorder="1" applyAlignment="1">
      <alignment horizontal="left"/>
    </xf>
    <xf numFmtId="0" fontId="0" fillId="7" borderId="145" xfId="0" applyFill="1" applyBorder="1" applyAlignment="1">
      <alignment horizontal="left"/>
    </xf>
    <xf numFmtId="0" fontId="0" fillId="0" borderId="145" xfId="0" applyBorder="1"/>
    <xf numFmtId="0" fontId="0" fillId="0" borderId="146" xfId="0" applyBorder="1"/>
    <xf numFmtId="3" fontId="0" fillId="0" borderId="80" xfId="0" applyNumberFormat="1" applyBorder="1" applyAlignment="1">
      <alignment horizontal="center"/>
    </xf>
    <xf numFmtId="3" fontId="0" fillId="0" borderId="75" xfId="0" applyNumberFormat="1" applyBorder="1" applyAlignment="1" applyProtection="1">
      <alignment horizontal="center"/>
      <protection locked="0"/>
    </xf>
    <xf numFmtId="165" fontId="0" fillId="3" borderId="0" xfId="0" applyNumberFormat="1" applyFill="1"/>
    <xf numFmtId="4" fontId="0" fillId="11" borderId="0" xfId="0" applyNumberFormat="1" applyFill="1"/>
    <xf numFmtId="4" fontId="0" fillId="3" borderId="0" xfId="0" applyNumberFormat="1" applyFill="1" applyAlignment="1" applyProtection="1">
      <alignment horizontal="right"/>
      <protection hidden="1"/>
    </xf>
    <xf numFmtId="4" fontId="0" fillId="0" borderId="16" xfId="0" applyNumberFormat="1" applyBorder="1" applyAlignment="1">
      <alignment horizontal="center"/>
    </xf>
    <xf numFmtId="4" fontId="0" fillId="0" borderId="18" xfId="0" applyNumberFormat="1" applyBorder="1" applyAlignment="1">
      <alignment horizontal="center"/>
    </xf>
    <xf numFmtId="0" fontId="0" fillId="7" borderId="146" xfId="0" applyFill="1" applyBorder="1"/>
    <xf numFmtId="0" fontId="0" fillId="0" borderId="0" xfId="0" applyAlignment="1">
      <alignment vertical="top"/>
    </xf>
    <xf numFmtId="0" fontId="0" fillId="9" borderId="14" xfId="0" applyFill="1" applyBorder="1"/>
    <xf numFmtId="0" fontId="0" fillId="9" borderId="15" xfId="0" applyFill="1" applyBorder="1"/>
    <xf numFmtId="0" fontId="2" fillId="9" borderId="15" xfId="0" applyFont="1" applyFill="1" applyBorder="1"/>
    <xf numFmtId="0" fontId="0" fillId="9" borderId="16" xfId="0" applyFill="1" applyBorder="1"/>
    <xf numFmtId="0" fontId="0" fillId="9" borderId="17" xfId="0" applyFill="1" applyBorder="1"/>
    <xf numFmtId="0" fontId="0" fillId="9" borderId="0" xfId="0" applyFill="1"/>
    <xf numFmtId="0" fontId="1" fillId="9" borderId="0" xfId="0" applyFont="1" applyFill="1" applyAlignment="1">
      <alignment horizontal="right"/>
    </xf>
    <xf numFmtId="0" fontId="0" fillId="9" borderId="19" xfId="0" applyFill="1" applyBorder="1"/>
    <xf numFmtId="0" fontId="0" fillId="9" borderId="20" xfId="0" applyFill="1" applyBorder="1"/>
    <xf numFmtId="0" fontId="1" fillId="9" borderId="20" xfId="0" applyFont="1" applyFill="1" applyBorder="1" applyAlignment="1">
      <alignment horizontal="right"/>
    </xf>
    <xf numFmtId="4" fontId="0" fillId="3" borderId="73" xfId="0" applyNumberFormat="1" applyFill="1" applyBorder="1" applyAlignment="1" applyProtection="1">
      <alignment horizontal="center"/>
      <protection locked="0"/>
    </xf>
    <xf numFmtId="4" fontId="0" fillId="0" borderId="73" xfId="0" applyNumberFormat="1" applyBorder="1" applyAlignment="1" applyProtection="1">
      <alignment horizontal="right"/>
      <protection locked="0"/>
    </xf>
    <xf numFmtId="0" fontId="0" fillId="0" borderId="20" xfId="0" applyBorder="1" applyAlignment="1">
      <alignment horizontal="center" wrapText="1"/>
    </xf>
    <xf numFmtId="0" fontId="0" fillId="0" borderId="15" xfId="0" applyBorder="1" applyProtection="1">
      <protection hidden="1"/>
    </xf>
    <xf numFmtId="0" fontId="0" fillId="0" borderId="32" xfId="0" applyBorder="1" applyProtection="1">
      <protection hidden="1"/>
    </xf>
    <xf numFmtId="0" fontId="0" fillId="0" borderId="31" xfId="0" applyBorder="1" applyProtection="1">
      <protection hidden="1"/>
    </xf>
    <xf numFmtId="0" fontId="0" fillId="0" borderId="31" xfId="0" applyBorder="1"/>
    <xf numFmtId="0" fontId="0" fillId="0" borderId="33" xfId="0" applyBorder="1"/>
    <xf numFmtId="0" fontId="0" fillId="0" borderId="34" xfId="0" applyBorder="1" applyProtection="1">
      <protection hidden="1"/>
    </xf>
    <xf numFmtId="0" fontId="0" fillId="0" borderId="29" xfId="0" applyBorder="1" applyProtection="1">
      <protection hidden="1"/>
    </xf>
    <xf numFmtId="0" fontId="0" fillId="0" borderId="35" xfId="0" applyBorder="1" applyProtection="1">
      <protection hidden="1"/>
    </xf>
    <xf numFmtId="0" fontId="0" fillId="0" borderId="14" xfId="0" applyBorder="1" applyAlignment="1" applyProtection="1">
      <alignment horizontal="left"/>
      <protection hidden="1"/>
    </xf>
    <xf numFmtId="0" fontId="0" fillId="0" borderId="15" xfId="0" applyBorder="1" applyAlignment="1" applyProtection="1">
      <alignment horizontal="left"/>
      <protection hidden="1"/>
    </xf>
    <xf numFmtId="0" fontId="0" fillId="0" borderId="16" xfId="0" applyBorder="1" applyAlignment="1" applyProtection="1">
      <alignment horizontal="left"/>
      <protection hidden="1"/>
    </xf>
    <xf numFmtId="0" fontId="0" fillId="0" borderId="17" xfId="0" applyBorder="1" applyAlignment="1" applyProtection="1">
      <alignment horizontal="left"/>
      <protection hidden="1"/>
    </xf>
    <xf numFmtId="0" fontId="0" fillId="0" borderId="18" xfId="0" applyBorder="1" applyAlignment="1" applyProtection="1">
      <alignment horizontal="left"/>
      <protection hidden="1"/>
    </xf>
    <xf numFmtId="0" fontId="0" fillId="0" borderId="19" xfId="0" applyBorder="1" applyAlignment="1" applyProtection="1">
      <alignment horizontal="left"/>
      <protection hidden="1"/>
    </xf>
    <xf numFmtId="0" fontId="0" fillId="0" borderId="20" xfId="0" applyBorder="1" applyAlignment="1" applyProtection="1">
      <alignment horizontal="left"/>
      <protection hidden="1"/>
    </xf>
    <xf numFmtId="0" fontId="0" fillId="0" borderId="21" xfId="0" applyBorder="1" applyAlignment="1" applyProtection="1">
      <alignment horizontal="left"/>
      <protection hidden="1"/>
    </xf>
    <xf numFmtId="0" fontId="1" fillId="0" borderId="0" xfId="0" applyFont="1" applyAlignment="1">
      <alignment horizontal="center" vertical="center"/>
    </xf>
    <xf numFmtId="4" fontId="0" fillId="3" borderId="16" xfId="0" applyNumberFormat="1" applyFill="1" applyBorder="1"/>
    <xf numFmtId="4" fontId="0" fillId="3" borderId="18" xfId="0" applyNumberFormat="1" applyFill="1" applyBorder="1"/>
    <xf numFmtId="3" fontId="0" fillId="0" borderId="0" xfId="0" applyNumberFormat="1" applyAlignment="1">
      <alignment horizontal="right"/>
    </xf>
    <xf numFmtId="3" fontId="0" fillId="0" borderId="15" xfId="0" applyNumberFormat="1" applyBorder="1"/>
    <xf numFmtId="3" fontId="0" fillId="0" borderId="20" xfId="0" applyNumberFormat="1" applyBorder="1"/>
    <xf numFmtId="3" fontId="0" fillId="0" borderId="18" xfId="0" applyNumberFormat="1" applyBorder="1"/>
    <xf numFmtId="0" fontId="0" fillId="0" borderId="32" xfId="0" applyBorder="1"/>
    <xf numFmtId="3" fontId="0" fillId="0" borderId="118" xfId="0" applyNumberFormat="1" applyBorder="1" applyAlignment="1" applyProtection="1">
      <alignment horizontal="center"/>
      <protection locked="0"/>
    </xf>
    <xf numFmtId="0" fontId="0" fillId="0" borderId="20" xfId="0" applyBorder="1" applyProtection="1">
      <protection locked="0"/>
    </xf>
    <xf numFmtId="165" fontId="0" fillId="0" borderId="20" xfId="0" applyNumberFormat="1" applyBorder="1" applyAlignment="1" applyProtection="1">
      <alignment horizontal="center"/>
      <protection locked="0"/>
    </xf>
    <xf numFmtId="3" fontId="0" fillId="0" borderId="20" xfId="0" applyNumberFormat="1" applyBorder="1" applyAlignment="1" applyProtection="1">
      <alignment horizontal="center"/>
      <protection locked="0"/>
    </xf>
    <xf numFmtId="0" fontId="0" fillId="3" borderId="0" xfId="0" applyFill="1" applyAlignment="1">
      <alignment horizontal="left"/>
    </xf>
    <xf numFmtId="0" fontId="27" fillId="0" borderId="0" xfId="0" applyFont="1"/>
    <xf numFmtId="0" fontId="1" fillId="0" borderId="23" xfId="0" applyFont="1" applyBorder="1" applyAlignment="1">
      <alignment horizontal="center"/>
    </xf>
    <xf numFmtId="0" fontId="1" fillId="0" borderId="25" xfId="0" applyFont="1" applyBorder="1"/>
    <xf numFmtId="0" fontId="0" fillId="3" borderId="25" xfId="0" applyFill="1" applyBorder="1"/>
    <xf numFmtId="0" fontId="0" fillId="3" borderId="25" xfId="0" applyFill="1" applyBorder="1" applyAlignment="1">
      <alignment horizontal="right"/>
    </xf>
    <xf numFmtId="0" fontId="0" fillId="0" borderId="27" xfId="0" applyBorder="1"/>
    <xf numFmtId="0" fontId="0" fillId="0" borderId="7" xfId="0" applyBorder="1"/>
    <xf numFmtId="165" fontId="1" fillId="0" borderId="23" xfId="0" applyNumberFormat="1" applyFont="1" applyBorder="1" applyAlignment="1">
      <alignment horizontal="center"/>
    </xf>
    <xf numFmtId="0" fontId="1" fillId="0" borderId="20" xfId="0" applyFont="1" applyBorder="1" applyAlignment="1">
      <alignment vertical="top"/>
    </xf>
    <xf numFmtId="4" fontId="0" fillId="0" borderId="0" xfId="0" applyNumberFormat="1" applyProtection="1">
      <protection locked="0"/>
    </xf>
    <xf numFmtId="2" fontId="0" fillId="0" borderId="18" xfId="0" applyNumberFormat="1" applyBorder="1"/>
    <xf numFmtId="2" fontId="0" fillId="0" borderId="21" xfId="0" applyNumberFormat="1" applyBorder="1"/>
    <xf numFmtId="4" fontId="0" fillId="0" borderId="20" xfId="0" applyNumberFormat="1" applyBorder="1" applyAlignment="1">
      <alignment horizontal="center"/>
    </xf>
    <xf numFmtId="0" fontId="1" fillId="0" borderId="22" xfId="0" applyFont="1" applyBorder="1" applyAlignment="1">
      <alignment horizontal="center"/>
    </xf>
    <xf numFmtId="0" fontId="0" fillId="0" borderId="147" xfId="0" applyBorder="1" applyProtection="1">
      <protection locked="0"/>
    </xf>
    <xf numFmtId="0" fontId="0" fillId="0" borderId="37" xfId="0" applyBorder="1" applyAlignment="1">
      <alignment horizontal="center"/>
    </xf>
    <xf numFmtId="0" fontId="0" fillId="6" borderId="0" xfId="0" applyFill="1"/>
    <xf numFmtId="0" fontId="0" fillId="3" borderId="37" xfId="0" applyFill="1" applyBorder="1" applyAlignment="1">
      <alignment horizontal="center"/>
    </xf>
    <xf numFmtId="0" fontId="1" fillId="0" borderId="34" xfId="0" applyFont="1" applyBorder="1" applyAlignment="1">
      <alignment horizontal="center"/>
    </xf>
    <xf numFmtId="3" fontId="1" fillId="0" borderId="34" xfId="0" applyNumberFormat="1" applyFont="1" applyBorder="1" applyAlignment="1">
      <alignment horizontal="center"/>
    </xf>
    <xf numFmtId="0" fontId="1" fillId="0" borderId="93" xfId="0" applyFont="1" applyBorder="1" applyAlignment="1">
      <alignment horizontal="center"/>
    </xf>
    <xf numFmtId="0" fontId="27" fillId="2" borderId="4" xfId="0" applyFont="1" applyFill="1" applyBorder="1" applyAlignment="1">
      <alignment horizontal="center"/>
    </xf>
    <xf numFmtId="3" fontId="0" fillId="2" borderId="2" xfId="0" applyNumberFormat="1" applyFill="1" applyBorder="1" applyAlignment="1">
      <alignment horizontal="center"/>
    </xf>
    <xf numFmtId="0" fontId="0" fillId="2" borderId="2" xfId="0" applyFill="1" applyBorder="1"/>
    <xf numFmtId="0" fontId="7" fillId="2" borderId="50" xfId="0" applyFont="1" applyFill="1" applyBorder="1" applyAlignment="1">
      <alignment horizontal="right"/>
    </xf>
    <xf numFmtId="0" fontId="7" fillId="2" borderId="56" xfId="0" applyFont="1" applyFill="1" applyBorder="1"/>
    <xf numFmtId="0" fontId="0" fillId="2" borderId="56" xfId="0" applyFill="1" applyBorder="1"/>
    <xf numFmtId="0" fontId="0" fillId="2" borderId="52" xfId="0" applyFill="1" applyBorder="1"/>
    <xf numFmtId="0" fontId="0" fillId="2" borderId="11" xfId="0" applyFill="1" applyBorder="1"/>
    <xf numFmtId="0" fontId="27" fillId="0" borderId="20" xfId="0" applyFont="1" applyBorder="1"/>
    <xf numFmtId="0" fontId="0" fillId="0" borderId="148" xfId="0" applyBorder="1" applyAlignment="1">
      <alignment horizontal="right"/>
    </xf>
    <xf numFmtId="0" fontId="0" fillId="0" borderId="148" xfId="0" applyBorder="1" applyAlignment="1">
      <alignment horizontal="center"/>
    </xf>
    <xf numFmtId="0" fontId="0" fillId="0" borderId="37" xfId="0" applyBorder="1" applyAlignment="1">
      <alignment horizontal="right"/>
    </xf>
    <xf numFmtId="4" fontId="0" fillId="0" borderId="148" xfId="0" applyNumberFormat="1" applyBorder="1"/>
    <xf numFmtId="4" fontId="0" fillId="0" borderId="37" xfId="0" applyNumberFormat="1" applyBorder="1"/>
    <xf numFmtId="0" fontId="4" fillId="0" borderId="0" xfId="0" applyFont="1" applyAlignment="1">
      <alignment horizontal="left" vertical="top" wrapText="1"/>
    </xf>
    <xf numFmtId="4" fontId="0" fillId="3" borderId="21" xfId="0" applyNumberFormat="1" applyFill="1" applyBorder="1"/>
    <xf numFmtId="166" fontId="14" fillId="0" borderId="73" xfId="0" applyNumberFormat="1" applyFont="1" applyBorder="1" applyAlignment="1" applyProtection="1">
      <alignment horizontal="center"/>
      <protection locked="0"/>
    </xf>
    <xf numFmtId="0" fontId="0" fillId="2" borderId="0" xfId="0" applyFill="1" applyAlignment="1">
      <alignment horizontal="left"/>
    </xf>
    <xf numFmtId="4" fontId="0" fillId="2" borderId="0" xfId="0" applyNumberFormat="1" applyFill="1"/>
    <xf numFmtId="2" fontId="0" fillId="3" borderId="0" xfId="0" applyNumberFormat="1" applyFill="1" applyAlignment="1">
      <alignment horizontal="center"/>
    </xf>
    <xf numFmtId="166" fontId="0" fillId="0" borderId="73" xfId="0" applyNumberFormat="1" applyBorder="1" applyProtection="1">
      <protection locked="0"/>
    </xf>
    <xf numFmtId="1" fontId="0" fillId="0" borderId="73" xfId="0" applyNumberFormat="1" applyBorder="1" applyProtection="1">
      <protection locked="0"/>
    </xf>
    <xf numFmtId="1" fontId="0" fillId="3" borderId="73" xfId="0" applyNumberFormat="1" applyFill="1" applyBorder="1" applyProtection="1">
      <protection locked="0"/>
    </xf>
    <xf numFmtId="165" fontId="0" fillId="3" borderId="73" xfId="0" applyNumberFormat="1" applyFill="1" applyBorder="1" applyProtection="1">
      <protection locked="0"/>
    </xf>
    <xf numFmtId="0" fontId="1" fillId="0" borderId="4" xfId="0" applyFont="1" applyBorder="1"/>
    <xf numFmtId="3" fontId="0" fillId="0" borderId="16" xfId="0" applyNumberFormat="1" applyBorder="1"/>
    <xf numFmtId="3" fontId="0" fillId="3" borderId="18" xfId="0" applyNumberFormat="1" applyFill="1" applyBorder="1"/>
    <xf numFmtId="3" fontId="0" fillId="0" borderId="21" xfId="0" applyNumberFormat="1" applyBorder="1"/>
    <xf numFmtId="0" fontId="1" fillId="3" borderId="0" xfId="0" applyFont="1" applyFill="1"/>
    <xf numFmtId="3" fontId="0" fillId="3" borderId="21" xfId="0" applyNumberFormat="1" applyFill="1" applyBorder="1"/>
    <xf numFmtId="165" fontId="0" fillId="3" borderId="0" xfId="0" applyNumberFormat="1" applyFill="1" applyAlignment="1">
      <alignment horizontal="center"/>
    </xf>
    <xf numFmtId="0" fontId="0" fillId="3" borderId="34" xfId="0" applyFill="1" applyBorder="1"/>
    <xf numFmtId="0" fontId="0" fillId="3" borderId="37" xfId="0" applyFill="1" applyBorder="1"/>
    <xf numFmtId="4" fontId="0" fillId="3" borderId="12" xfId="0" applyNumberFormat="1" applyFill="1" applyBorder="1"/>
    <xf numFmtId="0" fontId="0" fillId="3" borderId="3" xfId="0" applyFill="1" applyBorder="1"/>
    <xf numFmtId="4" fontId="0" fillId="3" borderId="13" xfId="0" applyNumberFormat="1" applyFill="1" applyBorder="1"/>
    <xf numFmtId="0" fontId="1" fillId="0" borderId="54" xfId="0" applyFont="1" applyBorder="1"/>
    <xf numFmtId="16" fontId="0" fillId="0" borderId="17" xfId="0" applyNumberFormat="1" applyBorder="1"/>
    <xf numFmtId="4" fontId="1" fillId="0" borderId="35" xfId="0" applyNumberFormat="1" applyFont="1" applyBorder="1" applyAlignment="1">
      <alignment horizontal="center"/>
    </xf>
    <xf numFmtId="0" fontId="1" fillId="0" borderId="73" xfId="0" applyFont="1" applyBorder="1" applyAlignment="1" applyProtection="1">
      <alignment horizontal="center" vertical="center"/>
      <protection locked="0"/>
    </xf>
    <xf numFmtId="0" fontId="0" fillId="2" borderId="73" xfId="0" applyFill="1" applyBorder="1" applyProtection="1">
      <protection locked="0"/>
    </xf>
    <xf numFmtId="0" fontId="42" fillId="0" borderId="0" xfId="0" applyFont="1"/>
    <xf numFmtId="0" fontId="0" fillId="0" borderId="149" xfId="0" applyBorder="1"/>
    <xf numFmtId="0" fontId="0" fillId="0" borderId="150" xfId="0" applyBorder="1"/>
    <xf numFmtId="164" fontId="0" fillId="0" borderId="151" xfId="0" applyNumberFormat="1" applyBorder="1"/>
    <xf numFmtId="4" fontId="14" fillId="0" borderId="18" xfId="0" applyNumberFormat="1" applyFont="1" applyBorder="1"/>
    <xf numFmtId="4" fontId="1" fillId="0" borderId="21" xfId="0" applyNumberFormat="1" applyFont="1" applyBorder="1"/>
    <xf numFmtId="0" fontId="7" fillId="0" borderId="20" xfId="0" applyFont="1" applyBorder="1" applyAlignment="1">
      <alignment horizontal="right"/>
    </xf>
    <xf numFmtId="0" fontId="0" fillId="0" borderId="121" xfId="0" applyBorder="1" applyAlignment="1" applyProtection="1">
      <alignment horizontal="center"/>
      <protection locked="0"/>
    </xf>
    <xf numFmtId="3" fontId="0" fillId="3" borderId="19" xfId="0" applyNumberFormat="1" applyFill="1" applyBorder="1"/>
    <xf numFmtId="3" fontId="0" fillId="3" borderId="20" xfId="0" applyNumberFormat="1" applyFill="1" applyBorder="1"/>
    <xf numFmtId="0" fontId="0" fillId="0" borderId="155" xfId="0" applyBorder="1" applyAlignment="1" applyProtection="1">
      <alignment horizontal="center"/>
      <protection locked="0"/>
    </xf>
    <xf numFmtId="0" fontId="0" fillId="0" borderId="156" xfId="0" applyBorder="1" applyAlignment="1" applyProtection="1">
      <alignment horizontal="center"/>
      <protection locked="0"/>
    </xf>
    <xf numFmtId="0" fontId="0" fillId="0" borderId="157" xfId="0" applyBorder="1" applyAlignment="1" applyProtection="1">
      <alignment horizontal="center"/>
      <protection locked="0"/>
    </xf>
    <xf numFmtId="0" fontId="0" fillId="0" borderId="158" xfId="0" applyBorder="1" applyAlignment="1" applyProtection="1">
      <alignment horizontal="center"/>
      <protection locked="0"/>
    </xf>
    <xf numFmtId="4" fontId="0" fillId="11" borderId="73" xfId="0" applyNumberFormat="1" applyFill="1" applyBorder="1" applyProtection="1">
      <protection locked="0"/>
    </xf>
    <xf numFmtId="4" fontId="0" fillId="11" borderId="123" xfId="0" applyNumberFormat="1" applyFill="1" applyBorder="1" applyProtection="1">
      <protection locked="0"/>
    </xf>
    <xf numFmtId="0" fontId="0" fillId="0" borderId="10" xfId="0" applyBorder="1"/>
    <xf numFmtId="4" fontId="0" fillId="3" borderId="20" xfId="0" applyNumberFormat="1" applyFill="1" applyBorder="1"/>
    <xf numFmtId="4" fontId="0" fillId="11" borderId="20" xfId="0" applyNumberFormat="1" applyFill="1" applyBorder="1"/>
    <xf numFmtId="4" fontId="0" fillId="0" borderId="140" xfId="0" applyNumberFormat="1" applyBorder="1"/>
    <xf numFmtId="4" fontId="0" fillId="3" borderId="139" xfId="0" applyNumberFormat="1" applyFill="1" applyBorder="1"/>
    <xf numFmtId="4" fontId="0" fillId="0" borderId="165" xfId="0" applyNumberFormat="1" applyBorder="1"/>
    <xf numFmtId="4" fontId="0" fillId="0" borderId="166" xfId="0" applyNumberFormat="1" applyBorder="1"/>
    <xf numFmtId="4" fontId="0" fillId="3" borderId="166" xfId="0" applyNumberFormat="1" applyFill="1" applyBorder="1"/>
    <xf numFmtId="1" fontId="0" fillId="0" borderId="73" xfId="0" applyNumberFormat="1" applyBorder="1" applyAlignment="1" applyProtection="1">
      <alignment horizontal="center"/>
      <protection locked="0"/>
    </xf>
    <xf numFmtId="3" fontId="0" fillId="12" borderId="18" xfId="0" applyNumberFormat="1" applyFill="1" applyBorder="1"/>
    <xf numFmtId="3" fontId="0" fillId="12" borderId="21" xfId="0" applyNumberFormat="1" applyFill="1" applyBorder="1"/>
    <xf numFmtId="165" fontId="0" fillId="0" borderId="0" xfId="0" applyNumberFormat="1" applyAlignment="1" applyProtection="1">
      <alignment horizontal="center"/>
      <protection locked="0"/>
    </xf>
    <xf numFmtId="0" fontId="0" fillId="0" borderId="122" xfId="0" applyBorder="1" applyAlignment="1" applyProtection="1">
      <alignment horizontal="center"/>
      <protection locked="0"/>
    </xf>
    <xf numFmtId="0" fontId="44" fillId="0" borderId="0" xfId="0" applyFont="1"/>
    <xf numFmtId="0" fontId="44" fillId="0" borderId="0" xfId="0" applyFont="1" applyAlignment="1">
      <alignment wrapText="1"/>
    </xf>
    <xf numFmtId="0" fontId="45" fillId="0" borderId="0" xfId="0" applyFont="1" applyAlignment="1">
      <alignment wrapText="1"/>
    </xf>
    <xf numFmtId="0" fontId="0" fillId="0" borderId="0" xfId="0" applyAlignment="1">
      <alignment horizontal="center" vertical="center" wrapText="1"/>
    </xf>
    <xf numFmtId="0" fontId="27" fillId="0" borderId="0" xfId="0" applyFont="1" applyAlignment="1">
      <alignment horizontal="center"/>
    </xf>
    <xf numFmtId="0" fontId="1" fillId="0" borderId="80" xfId="0" applyFont="1" applyBorder="1" applyAlignment="1">
      <alignment horizontal="center" wrapText="1"/>
    </xf>
    <xf numFmtId="4" fontId="1" fillId="0" borderId="159" xfId="0" applyNumberFormat="1" applyFont="1" applyBorder="1" applyAlignment="1">
      <alignment horizontal="center" wrapText="1"/>
    </xf>
    <xf numFmtId="4" fontId="1" fillId="0" borderId="161" xfId="0" applyNumberFormat="1" applyFont="1" applyBorder="1" applyAlignment="1">
      <alignment horizontal="center" wrapText="1"/>
    </xf>
    <xf numFmtId="0" fontId="1" fillId="0" borderId="160" xfId="0" applyFont="1" applyBorder="1" applyAlignment="1">
      <alignment horizontal="center" wrapText="1"/>
    </xf>
    <xf numFmtId="0" fontId="1" fillId="0" borderId="162" xfId="0" applyFont="1" applyBorder="1" applyAlignment="1">
      <alignment horizontal="center" wrapText="1"/>
    </xf>
    <xf numFmtId="0" fontId="0" fillId="5" borderId="73" xfId="0" applyFill="1" applyBorder="1" applyAlignment="1" applyProtection="1">
      <alignment horizontal="center"/>
      <protection locked="0"/>
    </xf>
    <xf numFmtId="3" fontId="0" fillId="0" borderId="77" xfId="0" applyNumberFormat="1" applyBorder="1" applyAlignment="1">
      <alignment horizontal="center"/>
    </xf>
    <xf numFmtId="2" fontId="0" fillId="0" borderId="73" xfId="0" applyNumberFormat="1" applyBorder="1" applyAlignment="1" applyProtection="1">
      <alignment horizontal="center"/>
      <protection locked="0"/>
    </xf>
    <xf numFmtId="0" fontId="0" fillId="5" borderId="25" xfId="0" applyFill="1" applyBorder="1"/>
    <xf numFmtId="4" fontId="0" fillId="5" borderId="73" xfId="0" applyNumberFormat="1" applyFill="1" applyBorder="1" applyAlignment="1" applyProtection="1">
      <alignment horizontal="center"/>
      <protection locked="0"/>
    </xf>
    <xf numFmtId="0" fontId="0" fillId="5" borderId="25" xfId="0" applyFill="1" applyBorder="1" applyAlignment="1">
      <alignment horizontal="right"/>
    </xf>
    <xf numFmtId="0" fontId="0" fillId="0" borderId="78" xfId="0" applyBorder="1" applyAlignment="1">
      <alignment horizontal="center"/>
    </xf>
    <xf numFmtId="0" fontId="1" fillId="0" borderId="80" xfId="0" applyFont="1" applyBorder="1"/>
    <xf numFmtId="0" fontId="1" fillId="0" borderId="77" xfId="0" applyFont="1" applyBorder="1"/>
    <xf numFmtId="0" fontId="1" fillId="0" borderId="79" xfId="0" applyFont="1" applyBorder="1"/>
    <xf numFmtId="3" fontId="0" fillId="3" borderId="0" xfId="0" applyNumberFormat="1" applyFill="1" applyAlignment="1" applyProtection="1">
      <alignment horizontal="center"/>
      <protection locked="0"/>
    </xf>
    <xf numFmtId="0" fontId="0" fillId="0" borderId="14" xfId="0" applyBorder="1" applyProtection="1">
      <protection hidden="1"/>
    </xf>
    <xf numFmtId="0" fontId="0" fillId="0" borderId="16" xfId="0" applyBorder="1" applyProtection="1">
      <protection hidden="1"/>
    </xf>
    <xf numFmtId="0" fontId="0" fillId="0" borderId="18" xfId="0" applyBorder="1" applyProtection="1">
      <protection hidden="1"/>
    </xf>
    <xf numFmtId="0" fontId="0" fillId="0" borderId="19" xfId="0" applyBorder="1" applyProtection="1">
      <protection hidden="1"/>
    </xf>
    <xf numFmtId="0" fontId="0" fillId="0" borderId="20" xfId="0" applyBorder="1" applyProtection="1">
      <protection hidden="1"/>
    </xf>
    <xf numFmtId="0" fontId="0" fillId="0" borderId="21" xfId="0" applyBorder="1" applyProtection="1">
      <protection hidden="1"/>
    </xf>
    <xf numFmtId="0" fontId="0" fillId="0" borderId="15" xfId="0" applyBorder="1" applyAlignment="1" applyProtection="1">
      <alignment horizontal="right"/>
      <protection hidden="1"/>
    </xf>
    <xf numFmtId="0" fontId="0" fillId="0" borderId="14" xfId="0" applyBorder="1" applyAlignment="1" applyProtection="1">
      <alignment horizontal="right"/>
      <protection hidden="1"/>
    </xf>
    <xf numFmtId="0" fontId="0" fillId="0" borderId="16" xfId="0" applyBorder="1" applyAlignment="1" applyProtection="1">
      <alignment horizontal="right"/>
      <protection hidden="1"/>
    </xf>
    <xf numFmtId="0" fontId="0" fillId="0" borderId="0" xfId="1" applyNumberFormat="1" applyFont="1" applyBorder="1"/>
    <xf numFmtId="0" fontId="0" fillId="0" borderId="0" xfId="3" applyNumberFormat="1" applyFont="1" applyBorder="1"/>
    <xf numFmtId="0" fontId="38" fillId="0" borderId="0" xfId="3" applyNumberFormat="1" applyFont="1" applyBorder="1"/>
    <xf numFmtId="0" fontId="38" fillId="0" borderId="0" xfId="3" applyNumberFormat="1" applyFont="1" applyFill="1" applyBorder="1"/>
    <xf numFmtId="0" fontId="7" fillId="0" borderId="0" xfId="0" applyFont="1"/>
    <xf numFmtId="0" fontId="46" fillId="0" borderId="0" xfId="0" applyFont="1"/>
    <xf numFmtId="0" fontId="47" fillId="0" borderId="0" xfId="0" applyFont="1"/>
    <xf numFmtId="9" fontId="0" fillId="0" borderId="0" xfId="0" applyNumberFormat="1"/>
    <xf numFmtId="0" fontId="49" fillId="0" borderId="0" xfId="0" applyFont="1"/>
    <xf numFmtId="0" fontId="0" fillId="23" borderId="0" xfId="0" applyFill="1"/>
    <xf numFmtId="0" fontId="46" fillId="24" borderId="0" xfId="0" applyFont="1" applyFill="1"/>
    <xf numFmtId="167" fontId="0" fillId="23" borderId="0" xfId="0" applyNumberFormat="1" applyFill="1"/>
    <xf numFmtId="0" fontId="0" fillId="26" borderId="0" xfId="0" applyFill="1"/>
    <xf numFmtId="168" fontId="0" fillId="23" borderId="0" xfId="0" applyNumberFormat="1" applyFill="1"/>
    <xf numFmtId="3" fontId="0" fillId="26" borderId="0" xfId="0" applyNumberFormat="1" applyFill="1"/>
    <xf numFmtId="169" fontId="46" fillId="26" borderId="0" xfId="0" applyNumberFormat="1" applyFont="1" applyFill="1"/>
    <xf numFmtId="0" fontId="0" fillId="24" borderId="0" xfId="0" applyFill="1"/>
    <xf numFmtId="0" fontId="50" fillId="0" borderId="0" xfId="0" applyFont="1"/>
    <xf numFmtId="1" fontId="0" fillId="23" borderId="0" xfId="0" applyNumberFormat="1" applyFill="1"/>
    <xf numFmtId="167" fontId="0" fillId="26" borderId="0" xfId="0" applyNumberFormat="1" applyFill="1"/>
    <xf numFmtId="0" fontId="46" fillId="26" borderId="0" xfId="0" applyFont="1" applyFill="1"/>
    <xf numFmtId="1" fontId="46" fillId="26" borderId="0" xfId="0" applyNumberFormat="1" applyFont="1" applyFill="1"/>
    <xf numFmtId="165" fontId="0" fillId="26" borderId="0" xfId="0" applyNumberFormat="1" applyFill="1"/>
    <xf numFmtId="3" fontId="0" fillId="23" borderId="0" xfId="0" applyNumberFormat="1" applyFill="1"/>
    <xf numFmtId="0" fontId="51" fillId="26" borderId="0" xfId="0" applyFont="1" applyFill="1"/>
    <xf numFmtId="165" fontId="0" fillId="23" borderId="0" xfId="0" applyNumberFormat="1" applyFill="1"/>
    <xf numFmtId="169" fontId="46" fillId="27" borderId="37" xfId="0" applyNumberFormat="1" applyFont="1" applyFill="1" applyBorder="1"/>
    <xf numFmtId="169" fontId="0" fillId="26" borderId="37" xfId="0" applyNumberFormat="1" applyFill="1" applyBorder="1"/>
    <xf numFmtId="2" fontId="0" fillId="0" borderId="37" xfId="0" applyNumberFormat="1" applyBorder="1"/>
    <xf numFmtId="169" fontId="0" fillId="0" borderId="37" xfId="0" applyNumberFormat="1" applyBorder="1"/>
    <xf numFmtId="3" fontId="0" fillId="23" borderId="37" xfId="0" applyNumberFormat="1" applyFill="1" applyBorder="1"/>
    <xf numFmtId="0" fontId="46" fillId="24" borderId="37" xfId="0" applyFont="1" applyFill="1" applyBorder="1"/>
    <xf numFmtId="0" fontId="46" fillId="24" borderId="37" xfId="0" applyFont="1" applyFill="1" applyBorder="1" applyAlignment="1">
      <alignment horizontal="center"/>
    </xf>
    <xf numFmtId="0" fontId="54" fillId="0" borderId="0" xfId="0" applyFont="1"/>
    <xf numFmtId="0" fontId="48" fillId="0" borderId="0" xfId="0" applyFont="1"/>
    <xf numFmtId="0" fontId="0" fillId="0" borderId="0" xfId="0"/>
    <xf numFmtId="0" fontId="53" fillId="28" borderId="0" xfId="0" applyFont="1" applyFill="1" applyAlignment="1">
      <alignment horizontal="center" vertical="center"/>
    </xf>
    <xf numFmtId="0" fontId="46" fillId="27" borderId="0" xfId="0" applyFont="1" applyFill="1"/>
    <xf numFmtId="0" fontId="49" fillId="0" borderId="0" xfId="0" applyFont="1"/>
    <xf numFmtId="0" fontId="46" fillId="27" borderId="0" xfId="0" applyFont="1" applyFill="1" applyAlignment="1">
      <alignment horizontal="left" vertical="center"/>
    </xf>
    <xf numFmtId="0" fontId="46" fillId="25" borderId="0" xfId="0" applyFont="1" applyFill="1"/>
    <xf numFmtId="0" fontId="52" fillId="0" borderId="0" xfId="0" applyFont="1" applyAlignment="1">
      <alignment horizontal="center"/>
    </xf>
    <xf numFmtId="0" fontId="46" fillId="27" borderId="0" xfId="0" applyFont="1" applyFill="1" applyAlignment="1">
      <alignment horizontal="left"/>
    </xf>
    <xf numFmtId="0" fontId="1" fillId="0" borderId="20" xfId="0" applyFont="1" applyBorder="1" applyAlignment="1">
      <alignment horizontal="left"/>
    </xf>
    <xf numFmtId="0" fontId="1" fillId="0" borderId="32" xfId="0" applyFont="1" applyBorder="1" applyAlignment="1">
      <alignment horizontal="center"/>
    </xf>
    <xf numFmtId="0" fontId="1" fillId="0" borderId="33" xfId="0" applyFont="1" applyBorder="1" applyAlignment="1">
      <alignment horizontal="center"/>
    </xf>
    <xf numFmtId="0" fontId="0" fillId="0" borderId="121" xfId="0" applyBorder="1" applyAlignment="1" applyProtection="1">
      <alignment horizontal="center"/>
      <protection locked="0"/>
    </xf>
    <xf numFmtId="0" fontId="0" fillId="0" borderId="122" xfId="0" applyBorder="1" applyAlignment="1" applyProtection="1">
      <alignment horizontal="center"/>
      <protection locked="0"/>
    </xf>
    <xf numFmtId="4" fontId="0" fillId="0" borderId="0" xfId="0" applyNumberFormat="1" applyAlignment="1">
      <alignment horizontal="center"/>
    </xf>
    <xf numFmtId="4" fontId="0" fillId="0" borderId="78" xfId="0" applyNumberFormat="1" applyBorder="1" applyAlignment="1">
      <alignment horizontal="center"/>
    </xf>
    <xf numFmtId="4" fontId="0" fillId="3" borderId="0" xfId="0" applyNumberFormat="1" applyFill="1" applyAlignment="1">
      <alignment horizontal="center"/>
    </xf>
    <xf numFmtId="4" fontId="0" fillId="3" borderId="78" xfId="0" applyNumberFormat="1" applyFill="1" applyBorder="1" applyAlignment="1">
      <alignment horizontal="center"/>
    </xf>
    <xf numFmtId="0" fontId="1" fillId="0" borderId="0" xfId="0" applyFont="1" applyAlignment="1">
      <alignment horizontal="center"/>
    </xf>
    <xf numFmtId="0" fontId="0" fillId="3" borderId="121" xfId="0" applyFill="1" applyBorder="1" applyAlignment="1" applyProtection="1">
      <alignment horizontal="center"/>
      <protection locked="0"/>
    </xf>
    <xf numFmtId="0" fontId="0" fillId="3" borderId="122" xfId="0" applyFill="1" applyBorder="1" applyAlignment="1" applyProtection="1">
      <alignment horizontal="center"/>
      <protection locked="0"/>
    </xf>
    <xf numFmtId="4" fontId="1" fillId="0" borderId="20" xfId="0" applyNumberFormat="1" applyFont="1" applyBorder="1" applyAlignment="1">
      <alignment horizontal="center"/>
    </xf>
    <xf numFmtId="4" fontId="1" fillId="0" borderId="21" xfId="0" applyNumberFormat="1" applyFont="1" applyBorder="1" applyAlignment="1">
      <alignment horizontal="center"/>
    </xf>
    <xf numFmtId="0" fontId="0" fillId="0" borderId="32" xfId="0" applyBorder="1" applyAlignment="1">
      <alignment horizontal="center"/>
    </xf>
    <xf numFmtId="0" fontId="0" fillId="0" borderId="31" xfId="0" applyBorder="1" applyAlignment="1">
      <alignment horizontal="center"/>
    </xf>
    <xf numFmtId="0" fontId="0" fillId="0" borderId="33" xfId="0" applyBorder="1" applyAlignment="1">
      <alignment horizontal="center"/>
    </xf>
    <xf numFmtId="4" fontId="1" fillId="0" borderId="0" xfId="0" applyNumberFormat="1" applyFont="1" applyAlignment="1">
      <alignment horizontal="center"/>
    </xf>
    <xf numFmtId="4" fontId="1" fillId="0" borderId="18" xfId="0" applyNumberFormat="1" applyFont="1" applyBorder="1" applyAlignment="1">
      <alignment horizontal="center"/>
    </xf>
    <xf numFmtId="4" fontId="0" fillId="0" borderId="12" xfId="0" applyNumberFormat="1"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0" fontId="1" fillId="0" borderId="10" xfId="0" applyFont="1" applyBorder="1" applyAlignment="1">
      <alignment horizontal="center"/>
    </xf>
    <xf numFmtId="0" fontId="1" fillId="0" borderId="55" xfId="0" applyFont="1" applyBorder="1" applyAlignment="1">
      <alignment horizontal="center"/>
    </xf>
    <xf numFmtId="0" fontId="1" fillId="0" borderId="38" xfId="0" applyFont="1" applyBorder="1" applyAlignment="1">
      <alignment horizontal="center"/>
    </xf>
    <xf numFmtId="4" fontId="0" fillId="0" borderId="3" xfId="0" applyNumberFormat="1" applyBorder="1" applyAlignment="1">
      <alignment horizontal="center"/>
    </xf>
    <xf numFmtId="4" fontId="0" fillId="0" borderId="13" xfId="0" applyNumberFormat="1" applyBorder="1" applyAlignment="1">
      <alignment horizontal="center"/>
    </xf>
    <xf numFmtId="4" fontId="0" fillId="0" borderId="121" xfId="0" applyNumberFormat="1" applyBorder="1" applyAlignment="1" applyProtection="1">
      <alignment horizontal="center"/>
      <protection locked="0"/>
    </xf>
    <xf numFmtId="4" fontId="0" fillId="0" borderId="122" xfId="0" applyNumberFormat="1" applyBorder="1" applyAlignment="1" applyProtection="1">
      <alignment horizontal="center"/>
      <protection locked="0"/>
    </xf>
    <xf numFmtId="4" fontId="0" fillId="0" borderId="83" xfId="0" applyNumberFormat="1" applyBorder="1" applyAlignment="1" applyProtection="1">
      <alignment horizontal="center"/>
      <protection locked="0"/>
    </xf>
    <xf numFmtId="0" fontId="0" fillId="0" borderId="38" xfId="0" applyBorder="1" applyAlignment="1">
      <alignment horizontal="center"/>
    </xf>
    <xf numFmtId="0" fontId="2" fillId="0" borderId="0" xfId="0" applyFont="1" applyAlignment="1">
      <alignment horizontal="center"/>
    </xf>
    <xf numFmtId="0" fontId="0" fillId="0" borderId="74" xfId="0" applyBorder="1" applyAlignment="1" applyProtection="1">
      <alignment horizontal="left" vertical="top" wrapText="1"/>
      <protection locked="0"/>
    </xf>
    <xf numFmtId="0" fontId="0" fillId="0" borderId="75" xfId="0" applyBorder="1" applyAlignment="1" applyProtection="1">
      <alignment horizontal="left" vertical="top" wrapText="1"/>
      <protection locked="0"/>
    </xf>
    <xf numFmtId="0" fontId="0" fillId="0" borderId="76" xfId="0" applyBorder="1" applyAlignment="1" applyProtection="1">
      <alignment horizontal="left" vertical="top" wrapText="1"/>
      <protection locked="0"/>
    </xf>
    <xf numFmtId="0" fontId="0" fillId="0" borderId="77"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78" xfId="0" applyBorder="1" applyAlignment="1" applyProtection="1">
      <alignment horizontal="left" vertical="top" wrapText="1"/>
      <protection locked="0"/>
    </xf>
    <xf numFmtId="0" fontId="0" fillId="0" borderId="79" xfId="0" applyBorder="1" applyAlignment="1" applyProtection="1">
      <alignment horizontal="left" vertical="top" wrapText="1"/>
      <protection locked="0"/>
    </xf>
    <xf numFmtId="0" fontId="0" fillId="0" borderId="80" xfId="0" applyBorder="1" applyAlignment="1" applyProtection="1">
      <alignment horizontal="left" vertical="top" wrapText="1"/>
      <protection locked="0"/>
    </xf>
    <xf numFmtId="0" fontId="0" fillId="0" borderId="81" xfId="0" applyBorder="1" applyAlignment="1" applyProtection="1">
      <alignment horizontal="left" vertical="top" wrapText="1"/>
      <protection locked="0"/>
    </xf>
    <xf numFmtId="0" fontId="0" fillId="0" borderId="15" xfId="0" applyBorder="1" applyAlignment="1">
      <alignment horizontal="center" vertical="top" textRotation="180"/>
    </xf>
    <xf numFmtId="0" fontId="0" fillId="0" borderId="0" xfId="0" applyAlignment="1">
      <alignment horizontal="center" vertical="top" textRotation="180"/>
    </xf>
    <xf numFmtId="0" fontId="0" fillId="0" borderId="27" xfId="0" applyBorder="1" applyAlignment="1">
      <alignment horizontal="center" vertical="top" textRotation="180"/>
    </xf>
    <xf numFmtId="0" fontId="0" fillId="3" borderId="15" xfId="0" applyFill="1" applyBorder="1" applyAlignment="1">
      <alignment horizontal="center" vertical="top" textRotation="180"/>
    </xf>
    <xf numFmtId="0" fontId="0" fillId="3" borderId="0" xfId="0" applyFill="1" applyAlignment="1">
      <alignment horizontal="center" vertical="top" textRotation="180"/>
    </xf>
    <xf numFmtId="0" fontId="0" fillId="3" borderId="27" xfId="0" applyFill="1" applyBorder="1" applyAlignment="1">
      <alignment horizontal="center" vertical="top" textRotation="180"/>
    </xf>
    <xf numFmtId="0" fontId="30" fillId="0" borderId="30"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8" xfId="0" applyBorder="1" applyAlignment="1">
      <alignment horizontal="center"/>
    </xf>
    <xf numFmtId="0" fontId="0" fillId="0" borderId="73" xfId="0" applyBorder="1" applyAlignment="1" applyProtection="1">
      <alignment horizontal="center"/>
      <protection locked="0"/>
    </xf>
    <xf numFmtId="0" fontId="0" fillId="3" borderId="73" xfId="0" applyFill="1" applyBorder="1" applyAlignment="1" applyProtection="1">
      <alignment horizontal="center"/>
      <protection locked="0"/>
    </xf>
    <xf numFmtId="0" fontId="0" fillId="0" borderId="0" xfId="0" applyAlignment="1">
      <alignment horizontal="center"/>
    </xf>
    <xf numFmtId="0" fontId="0" fillId="0" borderId="121" xfId="0" applyBorder="1" applyAlignment="1" applyProtection="1">
      <alignment horizontal="center" vertical="top"/>
      <protection locked="0"/>
    </xf>
    <xf numFmtId="0" fontId="0" fillId="0" borderId="122" xfId="0" applyBorder="1" applyAlignment="1" applyProtection="1">
      <alignment horizontal="center" vertical="top"/>
      <protection locked="0"/>
    </xf>
    <xf numFmtId="0" fontId="0" fillId="0" borderId="36" xfId="0" applyBorder="1" applyAlignment="1">
      <alignment horizontal="center" vertical="top" textRotation="180"/>
    </xf>
    <xf numFmtId="0" fontId="0" fillId="0" borderId="6" xfId="0" applyBorder="1" applyAlignment="1">
      <alignment horizontal="center" vertical="top" textRotation="180"/>
    </xf>
    <xf numFmtId="0" fontId="0" fillId="0" borderId="7" xfId="0" applyBorder="1" applyAlignment="1">
      <alignment horizontal="center" vertical="top" textRotation="180"/>
    </xf>
    <xf numFmtId="0" fontId="0" fillId="0" borderId="83" xfId="0" applyBorder="1" applyAlignment="1" applyProtection="1">
      <alignment horizontal="center"/>
      <protection locked="0"/>
    </xf>
    <xf numFmtId="0" fontId="1" fillId="0" borderId="62" xfId="0" applyFont="1" applyBorder="1" applyAlignment="1">
      <alignment horizontal="center"/>
    </xf>
    <xf numFmtId="0" fontId="1" fillId="0" borderId="63" xfId="0" applyFont="1" applyBorder="1" applyAlignment="1">
      <alignment horizontal="center"/>
    </xf>
    <xf numFmtId="3" fontId="0" fillId="3" borderId="47" xfId="0" applyNumberFormat="1" applyFill="1" applyBorder="1" applyAlignment="1">
      <alignment horizontal="center"/>
    </xf>
    <xf numFmtId="3" fontId="0" fillId="3" borderId="49" xfId="0" applyNumberFormat="1" applyFill="1" applyBorder="1" applyAlignment="1">
      <alignment horizontal="center"/>
    </xf>
    <xf numFmtId="0" fontId="1" fillId="0" borderId="44" xfId="0" applyFont="1" applyBorder="1" applyAlignment="1">
      <alignment horizontal="center"/>
    </xf>
    <xf numFmtId="0" fontId="1" fillId="0" borderId="46" xfId="0" applyFont="1" applyBorder="1" applyAlignment="1">
      <alignment horizontal="center"/>
    </xf>
    <xf numFmtId="3" fontId="0" fillId="3" borderId="42" xfId="0" applyNumberFormat="1" applyFill="1" applyBorder="1" applyAlignment="1">
      <alignment horizontal="center"/>
    </xf>
    <xf numFmtId="3" fontId="0" fillId="3" borderId="43" xfId="0" applyNumberFormat="1" applyFill="1" applyBorder="1" applyAlignment="1">
      <alignment horizontal="center"/>
    </xf>
    <xf numFmtId="3" fontId="0" fillId="3" borderId="116" xfId="0" applyNumberFormat="1" applyFill="1" applyBorder="1" applyAlignment="1">
      <alignment horizontal="center"/>
    </xf>
    <xf numFmtId="3" fontId="0" fillId="3" borderId="115" xfId="0" applyNumberFormat="1" applyFill="1" applyBorder="1" applyAlignment="1">
      <alignment horizontal="center"/>
    </xf>
    <xf numFmtId="0" fontId="1" fillId="0" borderId="56" xfId="0" applyFont="1" applyBorder="1" applyAlignment="1">
      <alignment horizontal="center"/>
    </xf>
    <xf numFmtId="3" fontId="0" fillId="3" borderId="40" xfId="0" applyNumberFormat="1" applyFill="1" applyBorder="1" applyAlignment="1">
      <alignment horizontal="center"/>
    </xf>
    <xf numFmtId="3" fontId="0" fillId="3" borderId="114" xfId="0" applyNumberFormat="1" applyFill="1" applyBorder="1" applyAlignment="1">
      <alignment horizontal="center"/>
    </xf>
    <xf numFmtId="0" fontId="1" fillId="0" borderId="113" xfId="0" applyFont="1" applyBorder="1" applyAlignment="1">
      <alignment horizontal="center"/>
    </xf>
    <xf numFmtId="0" fontId="1" fillId="0" borderId="22" xfId="0" applyFont="1" applyBorder="1" applyAlignment="1">
      <alignment horizontal="left"/>
    </xf>
    <xf numFmtId="0" fontId="1" fillId="0" borderId="23" xfId="0" applyFont="1" applyBorder="1" applyAlignment="1">
      <alignment horizontal="left"/>
    </xf>
    <xf numFmtId="0" fontId="1" fillId="0" borderId="112"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3" borderId="17" xfId="0" applyFill="1" applyBorder="1" applyAlignment="1">
      <alignment horizontal="center"/>
    </xf>
    <xf numFmtId="0" fontId="0" fillId="3" borderId="0" xfId="0" applyFill="1" applyAlignment="1">
      <alignment horizontal="center"/>
    </xf>
    <xf numFmtId="0" fontId="0" fillId="3" borderId="78" xfId="0" applyFill="1" applyBorder="1" applyAlignment="1">
      <alignment horizontal="center"/>
    </xf>
    <xf numFmtId="0" fontId="0" fillId="0" borderId="17" xfId="0" applyBorder="1" applyAlignment="1">
      <alignment horizontal="center"/>
    </xf>
    <xf numFmtId="0" fontId="0" fillId="0" borderId="78" xfId="0" applyBorder="1" applyAlignment="1">
      <alignment horizontal="center"/>
    </xf>
    <xf numFmtId="3" fontId="0" fillId="0" borderId="73" xfId="0" applyNumberFormat="1" applyBorder="1" applyAlignment="1" applyProtection="1">
      <alignment horizontal="center"/>
      <protection locked="0"/>
    </xf>
    <xf numFmtId="0" fontId="0" fillId="3" borderId="83" xfId="0" applyFill="1" applyBorder="1" applyAlignment="1" applyProtection="1">
      <alignment horizontal="center"/>
      <protection locked="0"/>
    </xf>
    <xf numFmtId="3" fontId="0" fillId="3" borderId="39" xfId="0" applyNumberFormat="1" applyFill="1" applyBorder="1" applyAlignment="1">
      <alignment horizontal="center"/>
    </xf>
    <xf numFmtId="3" fontId="0" fillId="3" borderId="41" xfId="0" applyNumberFormat="1" applyFill="1" applyBorder="1" applyAlignment="1">
      <alignment horizontal="center"/>
    </xf>
    <xf numFmtId="0" fontId="22" fillId="3" borderId="32" xfId="0" applyFont="1" applyFill="1" applyBorder="1" applyAlignment="1">
      <alignment horizontal="center" shrinkToFit="1"/>
    </xf>
    <xf numFmtId="0" fontId="22" fillId="3" borderId="33" xfId="0" applyFont="1" applyFill="1" applyBorder="1" applyAlignment="1">
      <alignment horizontal="center" shrinkToFit="1"/>
    </xf>
    <xf numFmtId="0" fontId="0" fillId="0" borderId="0" xfId="0" applyAlignment="1">
      <alignment horizontal="center" vertical="center" wrapText="1"/>
    </xf>
    <xf numFmtId="0" fontId="0" fillId="18" borderId="121" xfId="0" applyFill="1" applyBorder="1" applyAlignment="1" applyProtection="1">
      <alignment horizontal="center"/>
      <protection locked="0"/>
    </xf>
    <xf numFmtId="0" fontId="0" fillId="18" borderId="122" xfId="0" applyFill="1" applyBorder="1" applyAlignment="1" applyProtection="1">
      <alignment horizontal="center"/>
      <protection locked="0"/>
    </xf>
    <xf numFmtId="0" fontId="21" fillId="0" borderId="0" xfId="0" applyFont="1" applyAlignment="1">
      <alignment horizontal="center"/>
    </xf>
    <xf numFmtId="0" fontId="1" fillId="2" borderId="0" xfId="0" applyFont="1" applyFill="1" applyAlignment="1" applyProtection="1">
      <alignment horizontal="center"/>
      <protection hidden="1"/>
    </xf>
    <xf numFmtId="0" fontId="1" fillId="2" borderId="18" xfId="0" applyFont="1" applyFill="1" applyBorder="1" applyAlignment="1" applyProtection="1">
      <alignment horizontal="center"/>
      <protection hidden="1"/>
    </xf>
    <xf numFmtId="0" fontId="23" fillId="3" borderId="17" xfId="0" applyFont="1" applyFill="1" applyBorder="1" applyAlignment="1" applyProtection="1">
      <alignment horizontal="center"/>
      <protection hidden="1"/>
    </xf>
    <xf numFmtId="0" fontId="23" fillId="3" borderId="18" xfId="0" applyFont="1" applyFill="1" applyBorder="1" applyAlignment="1" applyProtection="1">
      <alignment horizontal="center"/>
      <protection hidden="1"/>
    </xf>
    <xf numFmtId="0" fontId="23" fillId="3" borderId="35" xfId="0" applyFont="1" applyFill="1" applyBorder="1" applyAlignment="1" applyProtection="1">
      <alignment horizontal="center"/>
      <protection hidden="1"/>
    </xf>
    <xf numFmtId="0" fontId="23" fillId="3" borderId="19" xfId="0" applyFont="1" applyFill="1" applyBorder="1" applyAlignment="1" applyProtection="1">
      <alignment horizontal="center"/>
      <protection hidden="1"/>
    </xf>
    <xf numFmtId="0" fontId="23" fillId="3" borderId="21" xfId="0" applyFont="1" applyFill="1" applyBorder="1" applyAlignment="1" applyProtection="1">
      <alignment horizontal="center"/>
      <protection hidden="1"/>
    </xf>
    <xf numFmtId="0" fontId="1" fillId="9" borderId="14" xfId="0" applyFont="1" applyFill="1" applyBorder="1" applyAlignment="1" applyProtection="1">
      <alignment horizontal="center" vertical="center" wrapText="1"/>
      <protection hidden="1"/>
    </xf>
    <xf numFmtId="0" fontId="1" fillId="9" borderId="16" xfId="0" applyFont="1" applyFill="1" applyBorder="1" applyAlignment="1" applyProtection="1">
      <alignment horizontal="center" vertical="center" wrapText="1"/>
      <protection hidden="1"/>
    </xf>
    <xf numFmtId="0" fontId="1" fillId="9" borderId="17" xfId="0" applyFont="1" applyFill="1" applyBorder="1" applyAlignment="1" applyProtection="1">
      <alignment horizontal="center" vertical="center" wrapText="1"/>
      <protection hidden="1"/>
    </xf>
    <xf numFmtId="0" fontId="1" fillId="9" borderId="18"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1" xfId="0" applyFont="1" applyFill="1" applyBorder="1" applyAlignment="1" applyProtection="1">
      <alignment horizontal="center" vertical="center" wrapText="1"/>
      <protection hidden="1"/>
    </xf>
    <xf numFmtId="0" fontId="25" fillId="0" borderId="20" xfId="0" applyFont="1" applyBorder="1" applyAlignment="1" applyProtection="1">
      <alignment horizontal="center"/>
      <protection hidden="1"/>
    </xf>
    <xf numFmtId="0" fontId="25" fillId="0" borderId="0" xfId="0" applyFont="1" applyAlignment="1" applyProtection="1">
      <alignment horizontal="center"/>
      <protection hidden="1"/>
    </xf>
    <xf numFmtId="0" fontId="0" fillId="0" borderId="0" xfId="0" applyAlignment="1" applyProtection="1">
      <alignment horizontal="center"/>
      <protection hidden="1"/>
    </xf>
    <xf numFmtId="0" fontId="2" fillId="0" borderId="0" xfId="0" applyFont="1" applyAlignment="1" applyProtection="1">
      <alignment horizontal="center"/>
      <protection hidden="1"/>
    </xf>
    <xf numFmtId="0" fontId="1" fillId="0" borderId="0" xfId="0" applyFont="1" applyAlignment="1" applyProtection="1">
      <alignment horizontal="center"/>
      <protection hidden="1"/>
    </xf>
    <xf numFmtId="0" fontId="25" fillId="5" borderId="75" xfId="0" applyFont="1" applyFill="1" applyBorder="1" applyAlignment="1" applyProtection="1">
      <alignment horizontal="center"/>
      <protection hidden="1"/>
    </xf>
    <xf numFmtId="0" fontId="1" fillId="2" borderId="34" xfId="0" applyFont="1" applyFill="1" applyBorder="1" applyAlignment="1" applyProtection="1">
      <alignment horizontal="center" vertical="center" wrapText="1"/>
      <protection hidden="1"/>
    </xf>
    <xf numFmtId="0" fontId="1" fillId="2" borderId="84" xfId="0" applyFont="1" applyFill="1" applyBorder="1" applyAlignment="1" applyProtection="1">
      <alignment horizontal="center" vertical="center" wrapText="1"/>
      <protection hidden="1"/>
    </xf>
    <xf numFmtId="0" fontId="0" fillId="2" borderId="0" xfId="0" applyFill="1" applyAlignment="1" applyProtection="1">
      <alignment horizontal="center" wrapText="1"/>
      <protection hidden="1"/>
    </xf>
    <xf numFmtId="0" fontId="0" fillId="3" borderId="0" xfId="0" applyFill="1" applyAlignment="1" applyProtection="1">
      <alignment horizontal="center" wrapText="1"/>
      <protection hidden="1"/>
    </xf>
    <xf numFmtId="0" fontId="1" fillId="0" borderId="121" xfId="0" applyFont="1" applyBorder="1" applyAlignment="1" applyProtection="1">
      <alignment horizontal="center"/>
      <protection locked="0"/>
    </xf>
    <xf numFmtId="0" fontId="1" fillId="0" borderId="122" xfId="0" applyFont="1" applyBorder="1" applyAlignment="1" applyProtection="1">
      <alignment horizontal="center"/>
      <protection locked="0"/>
    </xf>
    <xf numFmtId="0" fontId="0" fillId="0" borderId="163" xfId="0" applyBorder="1" applyAlignment="1">
      <alignment horizontal="center" textRotation="90"/>
    </xf>
    <xf numFmtId="0" fontId="0" fillId="0" borderId="164" xfId="0" applyBorder="1" applyAlignment="1">
      <alignment horizontal="center" textRotation="90"/>
    </xf>
    <xf numFmtId="0" fontId="0" fillId="0" borderId="167" xfId="0" applyBorder="1" applyAlignment="1">
      <alignment horizontal="center" textRotation="90"/>
    </xf>
    <xf numFmtId="0" fontId="0" fillId="0" borderId="168" xfId="0" applyBorder="1" applyAlignment="1">
      <alignment horizontal="center" textRotation="90"/>
    </xf>
    <xf numFmtId="3" fontId="0" fillId="3" borderId="121" xfId="0" applyNumberFormat="1" applyFill="1" applyBorder="1" applyAlignment="1" applyProtection="1">
      <alignment horizontal="center"/>
      <protection locked="0"/>
    </xf>
    <xf numFmtId="3" fontId="0" fillId="3" borderId="122" xfId="0" applyNumberFormat="1" applyFill="1" applyBorder="1" applyAlignment="1" applyProtection="1">
      <alignment horizontal="center"/>
      <protection locked="0"/>
    </xf>
    <xf numFmtId="3" fontId="0" fillId="0" borderId="121" xfId="0" applyNumberFormat="1" applyBorder="1" applyAlignment="1" applyProtection="1">
      <alignment horizontal="center"/>
      <protection locked="0"/>
    </xf>
    <xf numFmtId="3" fontId="0" fillId="0" borderId="122" xfId="0" applyNumberFormat="1" applyBorder="1" applyAlignment="1" applyProtection="1">
      <alignment horizontal="center"/>
      <protection locked="0"/>
    </xf>
    <xf numFmtId="165" fontId="0" fillId="2" borderId="19" xfId="0" applyNumberFormat="1" applyFill="1" applyBorder="1" applyAlignment="1">
      <alignment horizontal="center"/>
    </xf>
    <xf numFmtId="165" fontId="0" fillId="2" borderId="20" xfId="0" applyNumberFormat="1" applyFill="1" applyBorder="1" applyAlignment="1">
      <alignment horizontal="center"/>
    </xf>
    <xf numFmtId="165" fontId="0" fillId="2" borderId="21" xfId="0" applyNumberFormat="1" applyFill="1" applyBorder="1" applyAlignment="1">
      <alignment horizontal="center"/>
    </xf>
    <xf numFmtId="0" fontId="1" fillId="0" borderId="17" xfId="0" applyFont="1" applyBorder="1" applyAlignment="1">
      <alignment horizontal="center"/>
    </xf>
    <xf numFmtId="4" fontId="0" fillId="0" borderId="140" xfId="0" applyNumberFormat="1" applyBorder="1" applyAlignment="1">
      <alignment horizontal="right"/>
    </xf>
    <xf numFmtId="4" fontId="0" fillId="0" borderId="58" xfId="0" applyNumberFormat="1" applyBorder="1" applyAlignment="1">
      <alignment horizontal="right"/>
    </xf>
    <xf numFmtId="4" fontId="0" fillId="3" borderId="152" xfId="0" applyNumberFormat="1" applyFill="1" applyBorder="1" applyAlignment="1">
      <alignment horizontal="right"/>
    </xf>
    <xf numFmtId="4" fontId="0" fillId="3" borderId="153" xfId="0" applyNumberFormat="1" applyFill="1" applyBorder="1" applyAlignment="1">
      <alignment horizontal="right"/>
    </xf>
    <xf numFmtId="4" fontId="0" fillId="3" borderId="140" xfId="0" applyNumberFormat="1" applyFill="1" applyBorder="1" applyAlignment="1">
      <alignment horizontal="right"/>
    </xf>
    <xf numFmtId="4" fontId="0" fillId="3" borderId="58" xfId="0" applyNumberFormat="1" applyFill="1" applyBorder="1" applyAlignment="1">
      <alignment horizontal="right"/>
    </xf>
    <xf numFmtId="4" fontId="0" fillId="0" borderId="73" xfId="0" applyNumberFormat="1" applyBorder="1" applyAlignment="1" applyProtection="1">
      <alignment horizontal="center"/>
      <protection locked="0"/>
    </xf>
    <xf numFmtId="4" fontId="0" fillId="3" borderId="73" xfId="0" applyNumberFormat="1" applyFill="1" applyBorder="1" applyAlignment="1" applyProtection="1">
      <alignment horizontal="center"/>
      <protection locked="0"/>
    </xf>
    <xf numFmtId="0" fontId="1" fillId="0" borderId="34" xfId="0" applyFont="1" applyBorder="1" applyAlignment="1">
      <alignment horizontal="center"/>
    </xf>
    <xf numFmtId="0" fontId="1" fillId="0" borderId="14" xfId="0" applyFont="1" applyBorder="1" applyAlignment="1">
      <alignment horizontal="center" wrapText="1"/>
    </xf>
    <xf numFmtId="0" fontId="1" fillId="0" borderId="15" xfId="0" applyFont="1" applyBorder="1" applyAlignment="1">
      <alignment horizontal="center" wrapText="1"/>
    </xf>
    <xf numFmtId="0" fontId="1" fillId="0" borderId="16" xfId="0" applyFont="1" applyBorder="1" applyAlignment="1">
      <alignment horizontal="center" wrapText="1"/>
    </xf>
    <xf numFmtId="0" fontId="1" fillId="0" borderId="17" xfId="0" applyFont="1" applyBorder="1" applyAlignment="1">
      <alignment horizontal="center" wrapText="1"/>
    </xf>
    <xf numFmtId="0" fontId="1" fillId="0" borderId="0" xfId="0" applyFont="1" applyAlignment="1">
      <alignment horizontal="center" wrapText="1"/>
    </xf>
    <xf numFmtId="0" fontId="1" fillId="0" borderId="18" xfId="0" applyFont="1" applyBorder="1" applyAlignment="1">
      <alignment horizontal="center" wrapText="1"/>
    </xf>
    <xf numFmtId="0" fontId="1" fillId="0" borderId="21" xfId="0" applyFont="1" applyBorder="1" applyAlignment="1">
      <alignment horizontal="center" wrapText="1"/>
    </xf>
    <xf numFmtId="0" fontId="1" fillId="0" borderId="0" xfId="0" applyFont="1" applyAlignment="1">
      <alignment horizontal="right"/>
    </xf>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8" xfId="0" applyFont="1" applyBorder="1" applyAlignment="1">
      <alignment horizontal="center"/>
    </xf>
    <xf numFmtId="0" fontId="1" fillId="0" borderId="154" xfId="0" applyFont="1" applyBorder="1" applyAlignment="1">
      <alignment horizontal="center"/>
    </xf>
    <xf numFmtId="0" fontId="1" fillId="0" borderId="150" xfId="0" applyFont="1" applyBorder="1" applyAlignment="1">
      <alignment horizontal="center"/>
    </xf>
    <xf numFmtId="0" fontId="1" fillId="0" borderId="58" xfId="0" applyFont="1" applyBorder="1" applyAlignment="1">
      <alignment horizontal="center"/>
    </xf>
    <xf numFmtId="0" fontId="27" fillId="0" borderId="0" xfId="0" applyFont="1" applyAlignment="1">
      <alignment horizontal="center"/>
    </xf>
    <xf numFmtId="0" fontId="1" fillId="0" borderId="80" xfId="0" applyFont="1" applyBorder="1" applyAlignment="1">
      <alignment horizontal="center"/>
    </xf>
    <xf numFmtId="0" fontId="40" fillId="5" borderId="15" xfId="0" applyFont="1" applyFill="1" applyBorder="1" applyAlignment="1">
      <alignment horizontal="center"/>
    </xf>
    <xf numFmtId="0" fontId="0" fillId="0" borderId="32" xfId="0" applyBorder="1" applyAlignment="1">
      <alignment horizontal="right"/>
    </xf>
    <xf numFmtId="0" fontId="0" fillId="0" borderId="31" xfId="0" applyBorder="1" applyAlignment="1">
      <alignment horizontal="right"/>
    </xf>
    <xf numFmtId="0" fontId="0" fillId="0" borderId="33" xfId="0" applyBorder="1" applyAlignment="1">
      <alignment horizontal="right"/>
    </xf>
    <xf numFmtId="0" fontId="17" fillId="0" borderId="55" xfId="0" applyFont="1" applyBorder="1" applyAlignment="1">
      <alignment horizontal="center" shrinkToFit="1"/>
    </xf>
    <xf numFmtId="0" fontId="13" fillId="0" borderId="14" xfId="0" applyFont="1" applyBorder="1" applyAlignment="1">
      <alignment horizontal="center"/>
    </xf>
    <xf numFmtId="0" fontId="13" fillId="0" borderId="16" xfId="0" applyFont="1" applyBorder="1" applyAlignment="1">
      <alignment horizontal="center"/>
    </xf>
    <xf numFmtId="0" fontId="13" fillId="0" borderId="19" xfId="0" applyFont="1" applyBorder="1" applyAlignment="1">
      <alignment horizontal="center"/>
    </xf>
    <xf numFmtId="0" fontId="13" fillId="0" borderId="21" xfId="0" applyFont="1" applyBorder="1" applyAlignment="1">
      <alignment horizontal="center"/>
    </xf>
    <xf numFmtId="0" fontId="13" fillId="0" borderId="14" xfId="0" applyFont="1" applyBorder="1" applyAlignment="1">
      <alignment horizontal="center" shrinkToFit="1"/>
    </xf>
    <xf numFmtId="0" fontId="13" fillId="0" borderId="16" xfId="0" applyFont="1" applyBorder="1" applyAlignment="1">
      <alignment horizontal="center" shrinkToFit="1"/>
    </xf>
    <xf numFmtId="0" fontId="13" fillId="0" borderId="19" xfId="0" applyFont="1" applyBorder="1" applyAlignment="1">
      <alignment horizontal="center" shrinkToFit="1"/>
    </xf>
    <xf numFmtId="0" fontId="13" fillId="0" borderId="21" xfId="0" applyFont="1" applyBorder="1" applyAlignment="1">
      <alignment horizontal="center" shrinkToFit="1"/>
    </xf>
    <xf numFmtId="0" fontId="15" fillId="0" borderId="10" xfId="0" applyFont="1" applyBorder="1" applyAlignment="1">
      <alignment horizontal="center" vertical="center"/>
    </xf>
    <xf numFmtId="0" fontId="12" fillId="0" borderId="55" xfId="0" applyFont="1" applyBorder="1" applyAlignment="1">
      <alignment horizontal="center" vertical="center"/>
    </xf>
    <xf numFmtId="0" fontId="14" fillId="0" borderId="21" xfId="0" applyFont="1" applyBorder="1" applyAlignment="1">
      <alignment horizontal="center" shrinkToFit="1"/>
    </xf>
    <xf numFmtId="0" fontId="14" fillId="0" borderId="35" xfId="0" applyFont="1" applyBorder="1" applyAlignment="1">
      <alignment horizontal="center" shrinkToFit="1"/>
    </xf>
    <xf numFmtId="0" fontId="11" fillId="0" borderId="14" xfId="0" applyFont="1" applyBorder="1" applyAlignment="1">
      <alignment horizontal="center" vertical="center" shrinkToFit="1"/>
    </xf>
    <xf numFmtId="0" fontId="11" fillId="0" borderId="15" xfId="0" applyFont="1" applyBorder="1" applyAlignment="1">
      <alignment horizontal="center" vertical="center" shrinkToFit="1"/>
    </xf>
    <xf numFmtId="0" fontId="11" fillId="0" borderId="16" xfId="0" applyFont="1" applyBorder="1" applyAlignment="1">
      <alignment horizontal="center" vertical="center" shrinkToFit="1"/>
    </xf>
    <xf numFmtId="0" fontId="11" fillId="3" borderId="32" xfId="0" applyFont="1" applyFill="1" applyBorder="1" applyAlignment="1">
      <alignment horizontal="center" vertical="center" shrinkToFit="1"/>
    </xf>
    <xf numFmtId="0" fontId="11" fillId="3" borderId="31" xfId="0" applyFont="1" applyFill="1" applyBorder="1" applyAlignment="1">
      <alignment horizontal="center" vertical="center" shrinkToFit="1"/>
    </xf>
    <xf numFmtId="0" fontId="11" fillId="3" borderId="33" xfId="0" applyFont="1" applyFill="1" applyBorder="1" applyAlignment="1">
      <alignment horizontal="center" vertical="center" shrinkToFit="1"/>
    </xf>
    <xf numFmtId="0" fontId="11" fillId="0" borderId="32" xfId="0" applyFont="1" applyBorder="1" applyAlignment="1">
      <alignment horizontal="center" vertical="center" shrinkToFit="1"/>
    </xf>
    <xf numFmtId="0" fontId="11" fillId="0" borderId="31" xfId="0" applyFont="1" applyBorder="1" applyAlignment="1">
      <alignment horizontal="center" vertical="center" shrinkToFit="1"/>
    </xf>
    <xf numFmtId="0" fontId="11" fillId="0" borderId="33" xfId="0" applyFont="1" applyBorder="1" applyAlignment="1">
      <alignment horizontal="center" vertical="center" shrinkToFit="1"/>
    </xf>
    <xf numFmtId="0" fontId="13" fillId="0" borderId="62" xfId="0" applyFont="1" applyBorder="1" applyAlignment="1">
      <alignment horizontal="center" shrinkToFit="1"/>
    </xf>
    <xf numFmtId="0" fontId="13" fillId="0" borderId="56" xfId="0" applyFont="1" applyBorder="1" applyAlignment="1">
      <alignment horizontal="center" shrinkToFit="1"/>
    </xf>
    <xf numFmtId="0" fontId="17" fillId="3" borderId="57" xfId="0" applyFont="1" applyFill="1" applyBorder="1" applyAlignment="1">
      <alignment horizontal="center" shrinkToFit="1"/>
    </xf>
    <xf numFmtId="0" fontId="17" fillId="3" borderId="31" xfId="0" applyFont="1" applyFill="1" applyBorder="1" applyAlignment="1">
      <alignment horizontal="center" shrinkToFit="1"/>
    </xf>
    <xf numFmtId="0" fontId="17" fillId="0" borderId="57" xfId="0" applyFont="1" applyBorder="1" applyAlignment="1">
      <alignment horizontal="center" shrinkToFit="1"/>
    </xf>
    <xf numFmtId="0" fontId="17" fillId="0" borderId="31" xfId="0" applyFont="1" applyBorder="1" applyAlignment="1">
      <alignment horizontal="center" shrinkToFit="1"/>
    </xf>
    <xf numFmtId="0" fontId="8" fillId="0" borderId="33" xfId="0" applyFont="1" applyBorder="1" applyAlignment="1">
      <alignment horizontal="center" shrinkToFit="1"/>
    </xf>
    <xf numFmtId="0" fontId="8" fillId="0" borderId="37" xfId="0" applyFont="1" applyBorder="1" applyAlignment="1">
      <alignment horizontal="center" shrinkToFit="1"/>
    </xf>
    <xf numFmtId="0" fontId="8" fillId="0" borderId="43" xfId="0" applyFont="1" applyBorder="1" applyAlignment="1">
      <alignment horizontal="center" shrinkToFit="1"/>
    </xf>
    <xf numFmtId="0" fontId="15" fillId="0" borderId="55" xfId="0" applyFont="1" applyBorder="1" applyAlignment="1">
      <alignment horizontal="center" vertical="center"/>
    </xf>
    <xf numFmtId="0" fontId="15" fillId="0" borderId="38" xfId="0" applyFont="1" applyBorder="1" applyAlignment="1">
      <alignment horizontal="center" vertical="center"/>
    </xf>
    <xf numFmtId="0" fontId="11" fillId="3" borderId="58" xfId="0" applyFont="1" applyFill="1" applyBorder="1" applyAlignment="1">
      <alignment horizontal="center" vertical="center" shrinkToFit="1"/>
    </xf>
    <xf numFmtId="0" fontId="11" fillId="0" borderId="58" xfId="0" applyFont="1" applyBorder="1" applyAlignment="1">
      <alignment horizontal="center" vertical="center" shrinkToFit="1"/>
    </xf>
    <xf numFmtId="0" fontId="14" fillId="0" borderId="52" xfId="0" applyFont="1" applyBorder="1" applyAlignment="1">
      <alignment horizontal="center" shrinkToFit="1"/>
    </xf>
    <xf numFmtId="0" fontId="14" fillId="0" borderId="45" xfId="0" applyFont="1" applyBorder="1" applyAlignment="1">
      <alignment horizontal="center" shrinkToFit="1"/>
    </xf>
    <xf numFmtId="0" fontId="14" fillId="0" borderId="46" xfId="0" applyFont="1" applyBorder="1" applyAlignment="1">
      <alignment horizontal="center" shrinkToFit="1"/>
    </xf>
    <xf numFmtId="0" fontId="16" fillId="3" borderId="33" xfId="0" applyFont="1" applyFill="1" applyBorder="1" applyAlignment="1">
      <alignment horizontal="center" shrinkToFit="1"/>
    </xf>
    <xf numFmtId="0" fontId="16" fillId="3" borderId="37" xfId="0" applyFont="1" applyFill="1" applyBorder="1" applyAlignment="1">
      <alignment horizontal="center" shrinkToFit="1"/>
    </xf>
    <xf numFmtId="0" fontId="16" fillId="3" borderId="43" xfId="0" applyFont="1" applyFill="1" applyBorder="1" applyAlignment="1">
      <alignment horizontal="center" shrinkToFit="1"/>
    </xf>
    <xf numFmtId="0" fontId="11" fillId="3" borderId="57" xfId="0" applyFont="1" applyFill="1" applyBorder="1" applyAlignment="1">
      <alignment horizontal="center" vertical="center" shrinkToFit="1"/>
    </xf>
    <xf numFmtId="0" fontId="11" fillId="0" borderId="57" xfId="0" applyFont="1" applyBorder="1" applyAlignment="1">
      <alignment horizontal="center" vertical="center" shrinkToFit="1"/>
    </xf>
    <xf numFmtId="0" fontId="11" fillId="0" borderId="92"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90" xfId="0" applyFont="1" applyBorder="1" applyAlignment="1">
      <alignment horizontal="center" vertical="center" shrinkToFit="1"/>
    </xf>
    <xf numFmtId="0" fontId="0" fillId="0" borderId="57" xfId="0" applyBorder="1" applyAlignment="1">
      <alignment horizontal="center" shrinkToFit="1"/>
    </xf>
    <xf numFmtId="0" fontId="0" fillId="0" borderId="31" xfId="0" applyBorder="1" applyAlignment="1">
      <alignment horizontal="center" shrinkToFit="1"/>
    </xf>
    <xf numFmtId="0" fontId="0" fillId="0" borderId="58" xfId="0" applyBorder="1" applyAlignment="1">
      <alignment horizontal="center" shrinkToFit="1"/>
    </xf>
    <xf numFmtId="0" fontId="0" fillId="3" borderId="57" xfId="0" applyFill="1" applyBorder="1" applyAlignment="1">
      <alignment horizontal="center" shrinkToFit="1"/>
    </xf>
    <xf numFmtId="0" fontId="0" fillId="3" borderId="31" xfId="0" applyFill="1" applyBorder="1" applyAlignment="1">
      <alignment horizontal="center" shrinkToFit="1"/>
    </xf>
    <xf numFmtId="0" fontId="0" fillId="3" borderId="58" xfId="0" applyFill="1" applyBorder="1" applyAlignment="1">
      <alignment horizontal="center" shrinkToFit="1"/>
    </xf>
    <xf numFmtId="0" fontId="14" fillId="0" borderId="54" xfId="0" applyFont="1" applyBorder="1" applyAlignment="1">
      <alignment horizontal="center" shrinkToFit="1"/>
    </xf>
    <xf numFmtId="0" fontId="9" fillId="0" borderId="0" xfId="0" applyFont="1" applyAlignment="1">
      <alignment horizontal="left" vertical="center"/>
    </xf>
    <xf numFmtId="0" fontId="9" fillId="0" borderId="0" xfId="0" applyFont="1" applyAlignment="1">
      <alignment horizontal="center" vertical="center"/>
    </xf>
    <xf numFmtId="0" fontId="1" fillId="0" borderId="3" xfId="0" applyFont="1" applyBorder="1" applyAlignment="1">
      <alignment horizontal="left" vertical="center"/>
    </xf>
    <xf numFmtId="0" fontId="0" fillId="0" borderId="3" xfId="0" applyBorder="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shrinkToFit="1"/>
    </xf>
    <xf numFmtId="0" fontId="0" fillId="0" borderId="8" xfId="0" applyBorder="1" applyAlignment="1">
      <alignment horizontal="center"/>
    </xf>
    <xf numFmtId="0" fontId="11" fillId="3" borderId="57" xfId="0" applyFont="1" applyFill="1" applyBorder="1" applyAlignment="1">
      <alignment horizontal="center"/>
    </xf>
    <xf numFmtId="0" fontId="11" fillId="3" borderId="31" xfId="0" applyFont="1" applyFill="1" applyBorder="1" applyAlignment="1">
      <alignment horizontal="center"/>
    </xf>
    <xf numFmtId="0" fontId="11" fillId="3" borderId="58" xfId="0" applyFont="1" applyFill="1" applyBorder="1" applyAlignment="1">
      <alignment horizontal="center"/>
    </xf>
    <xf numFmtId="0" fontId="11" fillId="0" borderId="57" xfId="0" applyFont="1" applyBorder="1" applyAlignment="1">
      <alignment horizontal="center"/>
    </xf>
    <xf numFmtId="0" fontId="11" fillId="0" borderId="31" xfId="0" applyFont="1" applyBorder="1" applyAlignment="1">
      <alignment horizontal="center"/>
    </xf>
    <xf numFmtId="0" fontId="11" fillId="0" borderId="58" xfId="0" applyFont="1" applyBorder="1" applyAlignment="1">
      <alignment horizontal="center"/>
    </xf>
    <xf numFmtId="0" fontId="11" fillId="3" borderId="64" xfId="0" applyFont="1" applyFill="1" applyBorder="1" applyAlignment="1">
      <alignment horizontal="center" shrinkToFit="1"/>
    </xf>
    <xf numFmtId="0" fontId="11" fillId="3" borderId="65" xfId="0" applyFont="1" applyFill="1" applyBorder="1" applyAlignment="1">
      <alignment horizontal="center" shrinkToFit="1"/>
    </xf>
    <xf numFmtId="0" fontId="11" fillId="3" borderId="66" xfId="0" applyFont="1" applyFill="1" applyBorder="1" applyAlignment="1">
      <alignment horizontal="center" shrinkToFit="1"/>
    </xf>
    <xf numFmtId="0" fontId="11" fillId="0" borderId="57" xfId="0" applyFont="1" applyBorder="1" applyAlignment="1">
      <alignment horizontal="center" shrinkToFit="1"/>
    </xf>
    <xf numFmtId="0" fontId="11" fillId="0" borderId="31" xfId="0" applyFont="1" applyBorder="1" applyAlignment="1">
      <alignment horizontal="center" shrinkToFit="1"/>
    </xf>
    <xf numFmtId="0" fontId="11" fillId="0" borderId="58" xfId="0" applyFont="1" applyBorder="1" applyAlignment="1">
      <alignment horizontal="center" shrinkToFit="1"/>
    </xf>
    <xf numFmtId="0" fontId="11" fillId="3" borderId="57" xfId="0" applyFont="1" applyFill="1" applyBorder="1" applyAlignment="1">
      <alignment horizontal="center" shrinkToFit="1"/>
    </xf>
    <xf numFmtId="0" fontId="11" fillId="3" borderId="31" xfId="0" applyFont="1" applyFill="1" applyBorder="1" applyAlignment="1">
      <alignment horizontal="center" shrinkToFit="1"/>
    </xf>
    <xf numFmtId="0" fontId="11" fillId="3" borderId="58" xfId="0" applyFont="1" applyFill="1" applyBorder="1" applyAlignment="1">
      <alignment horizontal="center" shrinkToFit="1"/>
    </xf>
    <xf numFmtId="0" fontId="1" fillId="0" borderId="42" xfId="0" applyFont="1" applyBorder="1" applyAlignment="1">
      <alignment horizontal="center" shrinkToFit="1"/>
    </xf>
    <xf numFmtId="0" fontId="1" fillId="0" borderId="37" xfId="0" applyFont="1" applyBorder="1" applyAlignment="1">
      <alignment horizontal="center" shrinkToFit="1"/>
    </xf>
    <xf numFmtId="0" fontId="11" fillId="3" borderId="14" xfId="0" applyFont="1" applyFill="1" applyBorder="1" applyAlignment="1">
      <alignment horizontal="center" vertical="center" shrinkToFit="1"/>
    </xf>
    <xf numFmtId="0" fontId="11" fillId="3" borderId="15" xfId="0" applyFont="1" applyFill="1" applyBorder="1" applyAlignment="1">
      <alignment horizontal="center" vertical="center" shrinkToFit="1"/>
    </xf>
    <xf numFmtId="0" fontId="11" fillId="3" borderId="16" xfId="0" applyFont="1" applyFill="1" applyBorder="1" applyAlignment="1">
      <alignment horizontal="center" vertical="center" shrinkToFit="1"/>
    </xf>
    <xf numFmtId="0" fontId="13" fillId="3" borderId="14" xfId="0" applyFont="1" applyFill="1" applyBorder="1" applyAlignment="1">
      <alignment horizontal="center" vertical="center" shrinkToFit="1"/>
    </xf>
    <xf numFmtId="0" fontId="13" fillId="3" borderId="15" xfId="0" applyFont="1" applyFill="1" applyBorder="1" applyAlignment="1">
      <alignment horizontal="center" vertical="center" shrinkToFit="1"/>
    </xf>
    <xf numFmtId="0" fontId="13" fillId="3" borderId="16" xfId="0" applyFont="1" applyFill="1" applyBorder="1" applyAlignment="1">
      <alignment horizontal="center" vertical="center" shrinkToFit="1"/>
    </xf>
    <xf numFmtId="0" fontId="13" fillId="3" borderId="19" xfId="0" applyFont="1" applyFill="1" applyBorder="1" applyAlignment="1">
      <alignment horizontal="center" vertical="center" shrinkToFit="1"/>
    </xf>
    <xf numFmtId="0" fontId="13" fillId="3" borderId="20" xfId="0" applyFont="1" applyFill="1" applyBorder="1" applyAlignment="1">
      <alignment horizontal="center" vertical="center" shrinkToFit="1"/>
    </xf>
    <xf numFmtId="0" fontId="13" fillId="3" borderId="21" xfId="0" applyFont="1" applyFill="1" applyBorder="1" applyAlignment="1">
      <alignment horizontal="center" vertical="center" shrinkToFit="1"/>
    </xf>
    <xf numFmtId="0" fontId="29" fillId="0" borderId="95" xfId="0" applyFont="1" applyBorder="1" applyAlignment="1">
      <alignment horizontal="center" vertical="center" shrinkToFit="1"/>
    </xf>
    <xf numFmtId="0" fontId="29" fillId="0" borderId="96" xfId="0" applyFont="1" applyBorder="1" applyAlignment="1">
      <alignment horizontal="center" vertical="center" shrinkToFit="1"/>
    </xf>
    <xf numFmtId="0" fontId="11" fillId="0" borderId="91" xfId="0" applyFont="1" applyBorder="1" applyAlignment="1">
      <alignment horizontal="center" shrinkToFit="1"/>
    </xf>
    <xf numFmtId="0" fontId="11" fillId="0" borderId="15" xfId="0" applyFont="1" applyBorder="1" applyAlignment="1">
      <alignment horizontal="center" shrinkToFit="1"/>
    </xf>
    <xf numFmtId="0" fontId="11" fillId="0" borderId="92" xfId="0" applyFont="1" applyBorder="1" applyAlignment="1">
      <alignment horizontal="center" shrinkToFit="1"/>
    </xf>
    <xf numFmtId="0" fontId="11" fillId="0" borderId="89" xfId="0" applyFont="1" applyBorder="1" applyAlignment="1">
      <alignment horizontal="center" shrinkToFit="1"/>
    </xf>
    <xf numFmtId="0" fontId="11" fillId="0" borderId="20" xfId="0" applyFont="1" applyBorder="1" applyAlignment="1">
      <alignment horizontal="center" shrinkToFit="1"/>
    </xf>
    <xf numFmtId="0" fontId="11" fillId="0" borderId="90" xfId="0" applyFont="1" applyBorder="1" applyAlignment="1">
      <alignment horizontal="center" shrinkToFit="1"/>
    </xf>
    <xf numFmtId="0" fontId="17" fillId="3" borderId="91" xfId="0" applyFont="1" applyFill="1" applyBorder="1" applyAlignment="1">
      <alignment horizontal="center" shrinkToFit="1"/>
    </xf>
    <xf numFmtId="0" fontId="17" fillId="3" borderId="15" xfId="0" applyFont="1" applyFill="1" applyBorder="1" applyAlignment="1">
      <alignment horizontal="center" shrinkToFit="1"/>
    </xf>
    <xf numFmtId="0" fontId="17" fillId="3" borderId="89" xfId="0" applyFont="1" applyFill="1" applyBorder="1" applyAlignment="1">
      <alignment horizontal="center" shrinkToFit="1"/>
    </xf>
    <xf numFmtId="0" fontId="17" fillId="3" borderId="20" xfId="0" applyFont="1" applyFill="1" applyBorder="1" applyAlignment="1">
      <alignment horizontal="center" shrinkToFit="1"/>
    </xf>
    <xf numFmtId="0" fontId="8" fillId="3" borderId="15" xfId="0" applyFont="1" applyFill="1" applyBorder="1" applyAlignment="1">
      <alignment horizontal="center" shrinkToFit="1"/>
    </xf>
    <xf numFmtId="0" fontId="8" fillId="3" borderId="92" xfId="0" applyFont="1" applyFill="1" applyBorder="1" applyAlignment="1">
      <alignment horizontal="center" shrinkToFit="1"/>
    </xf>
    <xf numFmtId="0" fontId="8" fillId="3" borderId="20" xfId="0" applyFont="1" applyFill="1" applyBorder="1" applyAlignment="1">
      <alignment horizontal="center" shrinkToFit="1"/>
    </xf>
    <xf numFmtId="0" fontId="8" fillId="3" borderId="90" xfId="0" applyFont="1" applyFill="1" applyBorder="1" applyAlignment="1">
      <alignment horizontal="center" shrinkToFit="1"/>
    </xf>
    <xf numFmtId="9" fontId="29" fillId="0" borderId="96" xfId="0" applyNumberFormat="1" applyFont="1" applyBorder="1" applyAlignment="1">
      <alignment horizontal="center" vertical="center" shrinkToFit="1"/>
    </xf>
    <xf numFmtId="0" fontId="17" fillId="0" borderId="91" xfId="0" applyFont="1" applyBorder="1" applyAlignment="1">
      <alignment horizontal="center" shrinkToFit="1"/>
    </xf>
    <xf numFmtId="0" fontId="17" fillId="0" borderId="15" xfId="0" applyFont="1" applyBorder="1" applyAlignment="1">
      <alignment horizontal="center" shrinkToFit="1"/>
    </xf>
    <xf numFmtId="0" fontId="17" fillId="0" borderId="89" xfId="0" applyFont="1" applyBorder="1" applyAlignment="1">
      <alignment horizontal="center" shrinkToFit="1"/>
    </xf>
    <xf numFmtId="0" fontId="17" fillId="0" borderId="20" xfId="0" applyFont="1" applyBorder="1" applyAlignment="1">
      <alignment horizontal="center" shrinkToFit="1"/>
    </xf>
    <xf numFmtId="0" fontId="16" fillId="0" borderId="15" xfId="0" applyFont="1" applyBorder="1" applyAlignment="1">
      <alignment horizontal="center" shrinkToFit="1"/>
    </xf>
    <xf numFmtId="0" fontId="16" fillId="0" borderId="92" xfId="0" applyFont="1" applyBorder="1" applyAlignment="1">
      <alignment horizontal="center" shrinkToFit="1"/>
    </xf>
    <xf numFmtId="0" fontId="16" fillId="0" borderId="20" xfId="0" applyFont="1" applyBorder="1" applyAlignment="1">
      <alignment horizontal="center" shrinkToFit="1"/>
    </xf>
    <xf numFmtId="0" fontId="16" fillId="0" borderId="90" xfId="0" applyFont="1" applyBorder="1" applyAlignment="1">
      <alignment horizontal="center" shrinkToFit="1"/>
    </xf>
    <xf numFmtId="0" fontId="11" fillId="0" borderId="91" xfId="0" applyFont="1" applyBorder="1" applyAlignment="1">
      <alignment horizontal="center" vertical="center" shrinkToFit="1"/>
    </xf>
    <xf numFmtId="0" fontId="11" fillId="0" borderId="89" xfId="0" applyFont="1" applyBorder="1" applyAlignment="1">
      <alignment horizontal="center" vertical="center" shrinkToFit="1"/>
    </xf>
    <xf numFmtId="0" fontId="11" fillId="0" borderId="21" xfId="0" applyFont="1" applyBorder="1" applyAlignment="1">
      <alignment horizontal="center" vertical="center" shrinkToFit="1"/>
    </xf>
    <xf numFmtId="0" fontId="11" fillId="0" borderId="62" xfId="0" applyFont="1" applyBorder="1" applyAlignment="1">
      <alignment horizontal="center" shrinkToFit="1"/>
    </xf>
    <xf numFmtId="0" fontId="11" fillId="0" borderId="56" xfId="0" applyFont="1" applyBorder="1" applyAlignment="1">
      <alignment horizontal="center" shrinkToFit="1"/>
    </xf>
    <xf numFmtId="0" fontId="11" fillId="0" borderId="63" xfId="0" applyFont="1" applyBorder="1" applyAlignment="1">
      <alignment horizontal="center" shrinkToFit="1"/>
    </xf>
    <xf numFmtId="0" fontId="11" fillId="3" borderId="89" xfId="0" applyFont="1" applyFill="1" applyBorder="1" applyAlignment="1">
      <alignment horizontal="center" vertical="center" shrinkToFit="1"/>
    </xf>
    <xf numFmtId="0" fontId="11" fillId="3" borderId="20" xfId="0" applyFont="1" applyFill="1" applyBorder="1" applyAlignment="1">
      <alignment horizontal="center" vertical="center" shrinkToFit="1"/>
    </xf>
    <xf numFmtId="0" fontId="11" fillId="3" borderId="21" xfId="0" applyFont="1" applyFill="1" applyBorder="1" applyAlignment="1">
      <alignment horizontal="center" vertical="center" shrinkToFit="1"/>
    </xf>
    <xf numFmtId="0" fontId="11" fillId="3" borderId="19" xfId="0" applyFont="1" applyFill="1" applyBorder="1" applyAlignment="1">
      <alignment horizontal="center" vertical="center" shrinkToFit="1"/>
    </xf>
    <xf numFmtId="0" fontId="19" fillId="0" borderId="10" xfId="0" applyFont="1" applyBorder="1" applyAlignment="1">
      <alignment horizontal="center" vertical="center"/>
    </xf>
    <xf numFmtId="0" fontId="19" fillId="0" borderId="55" xfId="0" applyFont="1" applyBorder="1" applyAlignment="1">
      <alignment horizontal="center" vertical="center"/>
    </xf>
    <xf numFmtId="0" fontId="19" fillId="0" borderId="38" xfId="0" applyFont="1" applyBorder="1" applyAlignment="1">
      <alignment horizontal="center" vertical="center"/>
    </xf>
    <xf numFmtId="0" fontId="0" fillId="0" borderId="62" xfId="0" applyBorder="1" applyAlignment="1">
      <alignment horizontal="center" shrinkToFit="1"/>
    </xf>
    <xf numFmtId="0" fontId="0" fillId="0" borderId="56" xfId="0" applyBorder="1" applyAlignment="1">
      <alignment horizontal="center" shrinkToFit="1"/>
    </xf>
    <xf numFmtId="0" fontId="0" fillId="0" borderId="63" xfId="0" applyBorder="1" applyAlignment="1">
      <alignment horizontal="center" shrinkToFit="1"/>
    </xf>
    <xf numFmtId="0" fontId="11" fillId="0" borderId="62" xfId="0" applyFont="1" applyBorder="1" applyAlignment="1">
      <alignment horizontal="center"/>
    </xf>
    <xf numFmtId="0" fontId="11" fillId="0" borderId="56" xfId="0" applyFont="1" applyBorder="1" applyAlignment="1">
      <alignment horizontal="center"/>
    </xf>
    <xf numFmtId="0" fontId="11" fillId="0" borderId="63" xfId="0" applyFont="1" applyBorder="1" applyAlignment="1">
      <alignment horizontal="center"/>
    </xf>
    <xf numFmtId="0" fontId="13" fillId="3" borderId="91" xfId="0" applyFont="1" applyFill="1" applyBorder="1" applyAlignment="1">
      <alignment horizontal="center" vertical="center" shrinkToFit="1"/>
    </xf>
    <xf numFmtId="0" fontId="28" fillId="0" borderId="19" xfId="0" applyFont="1" applyBorder="1" applyAlignment="1">
      <alignment horizontal="center" vertical="center" shrinkToFit="1"/>
    </xf>
    <xf numFmtId="0" fontId="28" fillId="0" borderId="20" xfId="0" applyFont="1" applyBorder="1" applyAlignment="1">
      <alignment horizontal="center" vertical="center" shrinkToFit="1"/>
    </xf>
    <xf numFmtId="0" fontId="28" fillId="0" borderId="21" xfId="0" applyFont="1" applyBorder="1" applyAlignment="1">
      <alignment horizontal="center" vertical="center" shrinkToFit="1"/>
    </xf>
    <xf numFmtId="0" fontId="28" fillId="0" borderId="90" xfId="0" applyFont="1" applyBorder="1" applyAlignment="1">
      <alignment horizontal="center" vertical="center" shrinkToFit="1"/>
    </xf>
    <xf numFmtId="0" fontId="0" fillId="3" borderId="14" xfId="0" applyFill="1" applyBorder="1" applyAlignment="1">
      <alignment horizontal="center" vertical="center" shrinkToFit="1"/>
    </xf>
    <xf numFmtId="0" fontId="0" fillId="3" borderId="15" xfId="0" applyFill="1" applyBorder="1" applyAlignment="1">
      <alignment horizontal="center" vertical="center" shrinkToFit="1"/>
    </xf>
    <xf numFmtId="0" fontId="0" fillId="3" borderId="16" xfId="0" applyFill="1" applyBorder="1" applyAlignment="1">
      <alignment horizontal="center" vertical="center" shrinkToFit="1"/>
    </xf>
    <xf numFmtId="0" fontId="0" fillId="3" borderId="19" xfId="0" applyFill="1" applyBorder="1" applyAlignment="1">
      <alignment horizontal="center" vertical="center" shrinkToFit="1"/>
    </xf>
    <xf numFmtId="0" fontId="0" fillId="3" borderId="20" xfId="0" applyFill="1" applyBorder="1" applyAlignment="1">
      <alignment horizontal="center" vertical="center" shrinkToFit="1"/>
    </xf>
    <xf numFmtId="0" fontId="0" fillId="3" borderId="21" xfId="0" applyFill="1" applyBorder="1" applyAlignment="1">
      <alignment horizontal="center" vertical="center" shrinkToFit="1"/>
    </xf>
    <xf numFmtId="0" fontId="0" fillId="3" borderId="91" xfId="0" applyFill="1" applyBorder="1" applyAlignment="1">
      <alignment horizontal="center" shrinkToFit="1"/>
    </xf>
    <xf numFmtId="0" fontId="0" fillId="3" borderId="15" xfId="0" applyFill="1" applyBorder="1" applyAlignment="1">
      <alignment horizontal="center" shrinkToFit="1"/>
    </xf>
    <xf numFmtId="0" fontId="0" fillId="3" borderId="92" xfId="0" applyFill="1" applyBorder="1" applyAlignment="1">
      <alignment horizontal="center" shrinkToFit="1"/>
    </xf>
    <xf numFmtId="0" fontId="0" fillId="3" borderId="89" xfId="0" applyFill="1" applyBorder="1" applyAlignment="1">
      <alignment horizontal="center" shrinkToFit="1"/>
    </xf>
    <xf numFmtId="0" fontId="0" fillId="3" borderId="20" xfId="0" applyFill="1" applyBorder="1" applyAlignment="1">
      <alignment horizontal="center" shrinkToFit="1"/>
    </xf>
    <xf numFmtId="0" fontId="0" fillId="3" borderId="90" xfId="0" applyFill="1" applyBorder="1" applyAlignment="1">
      <alignment horizontal="center" shrinkToFit="1"/>
    </xf>
    <xf numFmtId="0" fontId="11" fillId="3" borderId="91" xfId="0" applyFont="1" applyFill="1" applyBorder="1" applyAlignment="1">
      <alignment horizontal="center"/>
    </xf>
    <xf numFmtId="0" fontId="11" fillId="3" borderId="15" xfId="0" applyFont="1" applyFill="1" applyBorder="1" applyAlignment="1">
      <alignment horizontal="center"/>
    </xf>
    <xf numFmtId="0" fontId="11" fillId="3" borderId="92" xfId="0" applyFont="1" applyFill="1" applyBorder="1" applyAlignment="1">
      <alignment horizontal="center"/>
    </xf>
    <xf numFmtId="0" fontId="11" fillId="3" borderId="89" xfId="0" applyFont="1" applyFill="1" applyBorder="1" applyAlignment="1">
      <alignment horizontal="center"/>
    </xf>
    <xf numFmtId="0" fontId="11" fillId="3" borderId="20" xfId="0" applyFont="1" applyFill="1" applyBorder="1" applyAlignment="1">
      <alignment horizontal="center"/>
    </xf>
    <xf numFmtId="0" fontId="11" fillId="3" borderId="90" xfId="0" applyFont="1" applyFill="1" applyBorder="1" applyAlignment="1">
      <alignment horizontal="center"/>
    </xf>
    <xf numFmtId="0" fontId="11" fillId="3" borderId="91" xfId="0" applyFont="1" applyFill="1" applyBorder="1" applyAlignment="1">
      <alignment horizontal="center" shrinkToFit="1"/>
    </xf>
    <xf numFmtId="0" fontId="11" fillId="3" borderId="15" xfId="0" applyFont="1" applyFill="1" applyBorder="1" applyAlignment="1">
      <alignment horizontal="center" shrinkToFit="1"/>
    </xf>
    <xf numFmtId="0" fontId="11" fillId="3" borderId="92" xfId="0" applyFont="1" applyFill="1" applyBorder="1" applyAlignment="1">
      <alignment horizontal="center" shrinkToFit="1"/>
    </xf>
    <xf numFmtId="0" fontId="11" fillId="3" borderId="89" xfId="0" applyFont="1" applyFill="1" applyBorder="1" applyAlignment="1">
      <alignment horizontal="center" shrinkToFit="1"/>
    </xf>
    <xf numFmtId="0" fontId="11" fillId="3" borderId="20" xfId="0" applyFont="1" applyFill="1" applyBorder="1" applyAlignment="1">
      <alignment horizontal="center" shrinkToFit="1"/>
    </xf>
    <xf numFmtId="0" fontId="11" fillId="3" borderId="90" xfId="0" applyFont="1" applyFill="1" applyBorder="1" applyAlignment="1">
      <alignment horizontal="center" shrinkToFit="1"/>
    </xf>
    <xf numFmtId="0" fontId="11" fillId="0" borderId="91" xfId="0" applyFont="1" applyBorder="1" applyAlignment="1">
      <alignment horizontal="center"/>
    </xf>
    <xf numFmtId="0" fontId="11" fillId="0" borderId="15" xfId="0" applyFont="1" applyBorder="1" applyAlignment="1">
      <alignment horizontal="center"/>
    </xf>
    <xf numFmtId="0" fontId="11" fillId="0" borderId="92" xfId="0" applyFont="1" applyBorder="1" applyAlignment="1">
      <alignment horizontal="center"/>
    </xf>
    <xf numFmtId="0" fontId="11" fillId="0" borderId="89" xfId="0" applyFont="1" applyBorder="1" applyAlignment="1">
      <alignment horizontal="center"/>
    </xf>
    <xf numFmtId="0" fontId="11" fillId="0" borderId="20" xfId="0" applyFont="1" applyBorder="1" applyAlignment="1">
      <alignment horizontal="center"/>
    </xf>
    <xf numFmtId="0" fontId="11" fillId="0" borderId="90" xfId="0" applyFont="1" applyBorder="1" applyAlignment="1">
      <alignment horizontal="center"/>
    </xf>
    <xf numFmtId="0" fontId="0" fillId="3" borderId="92" xfId="0" applyFill="1" applyBorder="1" applyAlignment="1">
      <alignment horizontal="center" vertical="center" shrinkToFit="1"/>
    </xf>
    <xf numFmtId="0" fontId="0" fillId="3" borderId="90" xfId="0" applyFill="1" applyBorder="1" applyAlignment="1">
      <alignment horizontal="center" vertical="center" shrinkToFit="1"/>
    </xf>
    <xf numFmtId="0" fontId="29" fillId="0" borderId="97" xfId="0" applyFont="1" applyBorder="1" applyAlignment="1">
      <alignment horizontal="center" vertical="center" shrinkToFit="1"/>
    </xf>
    <xf numFmtId="0" fontId="29" fillId="3" borderId="19" xfId="0" applyFont="1" applyFill="1" applyBorder="1" applyAlignment="1">
      <alignment horizontal="center" vertical="center" shrinkToFit="1"/>
    </xf>
    <xf numFmtId="0" fontId="29" fillId="3" borderId="20" xfId="0" applyFont="1" applyFill="1" applyBorder="1" applyAlignment="1">
      <alignment horizontal="center" vertical="center" shrinkToFit="1"/>
    </xf>
    <xf numFmtId="0" fontId="29" fillId="3" borderId="21" xfId="0" applyFont="1" applyFill="1" applyBorder="1" applyAlignment="1">
      <alignment horizontal="center" vertical="center" shrinkToFit="1"/>
    </xf>
    <xf numFmtId="0" fontId="0" fillId="0" borderId="91" xfId="0" applyBorder="1" applyAlignment="1">
      <alignment horizontal="center" shrinkToFit="1"/>
    </xf>
    <xf numFmtId="0" fontId="0" fillId="0" borderId="15" xfId="0" applyBorder="1" applyAlignment="1">
      <alignment horizontal="center" shrinkToFit="1"/>
    </xf>
    <xf numFmtId="0" fontId="0" fillId="0" borderId="92" xfId="0" applyBorder="1" applyAlignment="1">
      <alignment horizontal="center" shrinkToFit="1"/>
    </xf>
    <xf numFmtId="0" fontId="0" fillId="0" borderId="89" xfId="0" applyBorder="1" applyAlignment="1">
      <alignment horizontal="center" shrinkToFit="1"/>
    </xf>
    <xf numFmtId="0" fontId="0" fillId="0" borderId="20" xfId="0" applyBorder="1" applyAlignment="1">
      <alignment horizontal="center" shrinkToFit="1"/>
    </xf>
    <xf numFmtId="0" fontId="0" fillId="0" borderId="90" xfId="0" applyBorder="1" applyAlignment="1">
      <alignment horizontal="center" shrinkToFit="1"/>
    </xf>
    <xf numFmtId="0" fontId="1" fillId="0" borderId="31" xfId="0" applyFont="1" applyBorder="1" applyAlignment="1">
      <alignment horizontal="center" shrinkToFit="1"/>
    </xf>
    <xf numFmtId="0" fontId="1" fillId="0" borderId="58" xfId="0" applyFont="1" applyBorder="1" applyAlignment="1">
      <alignment horizontal="center" shrinkToFit="1"/>
    </xf>
    <xf numFmtId="0" fontId="0" fillId="0" borderId="32" xfId="0" applyBorder="1" applyAlignment="1">
      <alignment horizontal="center" vertical="center" shrinkToFit="1"/>
    </xf>
    <xf numFmtId="0" fontId="0" fillId="0" borderId="31" xfId="0" applyBorder="1" applyAlignment="1">
      <alignment horizontal="center" vertical="center" shrinkToFit="1"/>
    </xf>
    <xf numFmtId="0" fontId="0" fillId="0" borderId="58" xfId="0" applyBorder="1" applyAlignment="1">
      <alignment horizontal="center" vertical="center" shrinkToFit="1"/>
    </xf>
    <xf numFmtId="0" fontId="29" fillId="0" borderId="34" xfId="0" applyFont="1" applyBorder="1" applyAlignment="1">
      <alignment horizontal="center" vertical="center" shrinkToFit="1"/>
    </xf>
    <xf numFmtId="0" fontId="29" fillId="0" borderId="94" xfId="0" applyFont="1" applyBorder="1" applyAlignment="1">
      <alignment horizontal="center" vertical="center" shrinkToFit="1"/>
    </xf>
    <xf numFmtId="0" fontId="13" fillId="3" borderId="92" xfId="0" applyFont="1" applyFill="1" applyBorder="1" applyAlignment="1">
      <alignment horizontal="center" vertical="center" shrinkToFit="1"/>
    </xf>
    <xf numFmtId="0" fontId="28" fillId="3" borderId="19" xfId="0" applyFont="1" applyFill="1" applyBorder="1" applyAlignment="1">
      <alignment horizontal="center" vertical="center" shrinkToFit="1"/>
    </xf>
    <xf numFmtId="0" fontId="28" fillId="3" borderId="20" xfId="0" applyFont="1" applyFill="1" applyBorder="1" applyAlignment="1">
      <alignment horizontal="center" vertical="center" shrinkToFit="1"/>
    </xf>
    <xf numFmtId="0" fontId="28" fillId="3" borderId="21" xfId="0" applyFont="1" applyFill="1" applyBorder="1" applyAlignment="1">
      <alignment horizontal="center" vertical="center" shrinkToFit="1"/>
    </xf>
    <xf numFmtId="0" fontId="28" fillId="3" borderId="90" xfId="0" applyFont="1" applyFill="1" applyBorder="1" applyAlignment="1">
      <alignment horizontal="center" vertical="center" shrinkToFit="1"/>
    </xf>
    <xf numFmtId="0" fontId="18" fillId="0" borderId="57" xfId="0" applyFont="1" applyBorder="1" applyAlignment="1">
      <alignment horizontal="center" shrinkToFit="1"/>
    </xf>
    <xf numFmtId="0" fontId="18" fillId="0" borderId="31" xfId="0" applyFont="1" applyBorder="1" applyAlignment="1">
      <alignment horizontal="center" shrinkToFit="1"/>
    </xf>
    <xf numFmtId="0" fontId="0" fillId="0" borderId="33" xfId="0" applyBorder="1" applyAlignment="1">
      <alignment horizontal="center" vertical="center" shrinkToFit="1"/>
    </xf>
    <xf numFmtId="0" fontId="8" fillId="0" borderId="32"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3" xfId="0" applyFont="1" applyBorder="1" applyAlignment="1">
      <alignment horizontal="center" vertical="center" shrinkToFit="1"/>
    </xf>
    <xf numFmtId="0" fontId="0" fillId="0" borderId="42" xfId="0" applyBorder="1" applyAlignment="1">
      <alignment horizontal="center" shrinkToFit="1"/>
    </xf>
    <xf numFmtId="0" fontId="0" fillId="0" borderId="37" xfId="0" applyBorder="1" applyAlignment="1">
      <alignment horizontal="center" shrinkToFit="1"/>
    </xf>
    <xf numFmtId="0" fontId="1" fillId="0" borderId="5" xfId="0" applyFont="1" applyBorder="1" applyAlignment="1">
      <alignment horizontal="center" shrinkToFit="1"/>
    </xf>
    <xf numFmtId="0" fontId="1" fillId="0" borderId="0" xfId="0" applyFont="1" applyAlignment="1">
      <alignment horizontal="center" shrinkToFit="1"/>
    </xf>
    <xf numFmtId="0" fontId="1" fillId="0" borderId="12" xfId="0" applyFont="1" applyBorder="1" applyAlignment="1">
      <alignment horizontal="center" shrinkToFit="1"/>
    </xf>
    <xf numFmtId="0" fontId="0" fillId="0" borderId="43" xfId="0" applyBorder="1" applyAlignment="1">
      <alignment horizontal="center" shrinkToFit="1"/>
    </xf>
    <xf numFmtId="0" fontId="0" fillId="0" borderId="48" xfId="0" applyBorder="1" applyAlignment="1">
      <alignment horizontal="center" shrinkToFit="1"/>
    </xf>
    <xf numFmtId="0" fontId="0" fillId="0" borderId="49" xfId="0" applyBorder="1" applyAlignment="1">
      <alignment horizontal="center" shrinkToFit="1"/>
    </xf>
    <xf numFmtId="0" fontId="0" fillId="0" borderId="35" xfId="0" applyBorder="1" applyAlignment="1">
      <alignment horizontal="center" shrinkToFit="1"/>
    </xf>
    <xf numFmtId="0" fontId="0" fillId="0" borderId="54" xfId="0" applyBorder="1" applyAlignment="1">
      <alignment horizontal="center" shrinkToFit="1"/>
    </xf>
    <xf numFmtId="0" fontId="1" fillId="0" borderId="47" xfId="0" applyFont="1" applyBorder="1" applyAlignment="1">
      <alignment horizontal="center" shrinkToFit="1"/>
    </xf>
    <xf numFmtId="0" fontId="1" fillId="0" borderId="48" xfId="0" applyFont="1" applyBorder="1" applyAlignment="1">
      <alignment horizontal="center" shrinkToFit="1"/>
    </xf>
    <xf numFmtId="0" fontId="1" fillId="0" borderId="1" xfId="0" applyFont="1" applyBorder="1" applyAlignment="1">
      <alignment horizontal="center" shrinkToFit="1"/>
    </xf>
    <xf numFmtId="0" fontId="1" fillId="0" borderId="60" xfId="0" applyFont="1" applyBorder="1" applyAlignment="1">
      <alignment horizontal="center" shrinkToFit="1"/>
    </xf>
    <xf numFmtId="0" fontId="1" fillId="0" borderId="61" xfId="0" applyFont="1" applyBorder="1" applyAlignment="1">
      <alignment horizontal="center" shrinkToFit="1"/>
    </xf>
    <xf numFmtId="0" fontId="0" fillId="0" borderId="45" xfId="0" applyBorder="1" applyAlignment="1">
      <alignment horizontal="center" shrinkToFit="1"/>
    </xf>
    <xf numFmtId="0" fontId="0" fillId="0" borderId="46" xfId="0" applyBorder="1" applyAlignment="1">
      <alignment horizontal="center" shrinkToFit="1"/>
    </xf>
    <xf numFmtId="0" fontId="29" fillId="3" borderId="89" xfId="0" applyFont="1" applyFill="1" applyBorder="1" applyAlignment="1">
      <alignment horizontal="center" vertical="center" shrinkToFit="1"/>
    </xf>
    <xf numFmtId="0" fontId="18" fillId="3" borderId="91" xfId="0" applyFont="1" applyFill="1" applyBorder="1" applyAlignment="1">
      <alignment horizontal="center" shrinkToFit="1"/>
    </xf>
    <xf numFmtId="0" fontId="18" fillId="3" borderId="15" xfId="0" applyFont="1" applyFill="1" applyBorder="1" applyAlignment="1">
      <alignment horizontal="center" shrinkToFit="1"/>
    </xf>
    <xf numFmtId="0" fontId="18" fillId="3" borderId="89" xfId="0" applyFont="1" applyFill="1" applyBorder="1" applyAlignment="1">
      <alignment horizontal="center" shrinkToFit="1"/>
    </xf>
    <xf numFmtId="0" fontId="18" fillId="3" borderId="20" xfId="0" applyFont="1" applyFill="1" applyBorder="1" applyAlignment="1">
      <alignment horizontal="center" shrinkToFit="1"/>
    </xf>
    <xf numFmtId="0" fontId="0" fillId="0" borderId="47" xfId="0" applyBorder="1" applyAlignment="1">
      <alignment horizontal="center" shrinkToFit="1"/>
    </xf>
    <xf numFmtId="0" fontId="0" fillId="0" borderId="37" xfId="0" applyBorder="1" applyAlignment="1">
      <alignment horizontal="center"/>
    </xf>
    <xf numFmtId="0" fontId="0" fillId="0" borderId="48" xfId="0" applyBorder="1" applyAlignment="1">
      <alignment horizontal="center"/>
    </xf>
    <xf numFmtId="0" fontId="0" fillId="0" borderId="57" xfId="0" applyBorder="1" applyAlignment="1">
      <alignment horizontal="center" vertical="center" shrinkToFit="1"/>
    </xf>
    <xf numFmtId="0" fontId="29" fillId="3" borderId="91" xfId="0" applyFont="1" applyFill="1" applyBorder="1" applyAlignment="1">
      <alignment horizontal="center" vertical="center" shrinkToFit="1"/>
    </xf>
    <xf numFmtId="0" fontId="29" fillId="3" borderId="15" xfId="0" applyFont="1" applyFill="1" applyBorder="1" applyAlignment="1">
      <alignment horizontal="center" vertical="center" shrinkToFit="1"/>
    </xf>
    <xf numFmtId="0" fontId="29" fillId="3" borderId="16" xfId="0" applyFont="1" applyFill="1" applyBorder="1" applyAlignment="1">
      <alignment horizontal="center" vertical="center" shrinkToFit="1"/>
    </xf>
    <xf numFmtId="0" fontId="29" fillId="0" borderId="93" xfId="0" applyFont="1" applyBorder="1" applyAlignment="1">
      <alignment horizontal="center" vertical="center" shrinkToFit="1"/>
    </xf>
    <xf numFmtId="0" fontId="1" fillId="0" borderId="55" xfId="0" applyFont="1" applyBorder="1" applyAlignment="1">
      <alignment horizontal="center" shrinkToFit="1"/>
    </xf>
    <xf numFmtId="0" fontId="1" fillId="0" borderId="59" xfId="0" applyFont="1" applyBorder="1" applyAlignment="1">
      <alignment horizontal="center" shrinkToFit="1"/>
    </xf>
    <xf numFmtId="0" fontId="0" fillId="0" borderId="44" xfId="0" applyBorder="1" applyAlignment="1">
      <alignment horizontal="center" shrinkToFit="1"/>
    </xf>
    <xf numFmtId="0" fontId="1" fillId="0" borderId="2" xfId="0" applyFont="1" applyBorder="1" applyAlignment="1">
      <alignment horizontal="center" vertical="center" shrinkToFit="1"/>
    </xf>
    <xf numFmtId="0" fontId="1" fillId="0" borderId="67" xfId="0" applyFont="1" applyBorder="1" applyAlignment="1">
      <alignment horizontal="center" shrinkToFit="1"/>
    </xf>
    <xf numFmtId="0" fontId="1" fillId="0" borderId="35" xfId="0" applyFont="1" applyBorder="1" applyAlignment="1">
      <alignment horizontal="center" shrinkToFit="1"/>
    </xf>
    <xf numFmtId="0" fontId="20" fillId="0" borderId="9" xfId="0" applyFont="1" applyBorder="1" applyAlignment="1">
      <alignment horizontal="center" shrinkToFit="1"/>
    </xf>
    <xf numFmtId="0" fontId="20" fillId="0" borderId="3" xfId="0" applyFont="1" applyBorder="1" applyAlignment="1">
      <alignment horizontal="center" shrinkToFit="1"/>
    </xf>
    <xf numFmtId="0" fontId="13" fillId="0" borderId="19" xfId="0" applyFont="1" applyBorder="1" applyAlignment="1">
      <alignment horizontal="center" vertical="center" shrinkToFit="1"/>
    </xf>
    <xf numFmtId="0" fontId="13" fillId="0" borderId="20" xfId="0" applyFont="1" applyBorder="1" applyAlignment="1">
      <alignment horizontal="center" vertical="center" shrinkToFit="1"/>
    </xf>
    <xf numFmtId="0" fontId="13" fillId="0" borderId="21" xfId="0" applyFont="1" applyBorder="1" applyAlignment="1">
      <alignment horizontal="center" vertical="center" shrinkToFit="1"/>
    </xf>
    <xf numFmtId="4" fontId="0" fillId="0" borderId="9" xfId="0" applyNumberFormat="1" applyBorder="1" applyAlignment="1">
      <alignment horizontal="center" shrinkToFit="1"/>
    </xf>
    <xf numFmtId="0" fontId="0" fillId="0" borderId="3" xfId="0" applyBorder="1" applyAlignment="1">
      <alignment horizontal="center" shrinkToFit="1"/>
    </xf>
    <xf numFmtId="0" fontId="0" fillId="0" borderId="13" xfId="0" applyBorder="1" applyAlignment="1">
      <alignment horizontal="center" shrinkToFit="1"/>
    </xf>
    <xf numFmtId="0" fontId="1" fillId="0" borderId="4" xfId="0" applyFont="1" applyBorder="1" applyAlignment="1">
      <alignment horizontal="center"/>
    </xf>
    <xf numFmtId="0" fontId="1" fillId="0" borderId="2" xfId="0" applyFont="1" applyBorder="1" applyAlignment="1">
      <alignment horizontal="center"/>
    </xf>
    <xf numFmtId="0" fontId="1" fillId="0" borderId="11" xfId="0" applyFont="1" applyBorder="1" applyAlignment="1">
      <alignment horizontal="center"/>
    </xf>
    <xf numFmtId="0" fontId="0" fillId="0" borderId="43" xfId="0" applyBorder="1" applyAlignment="1">
      <alignment horizontal="center"/>
    </xf>
    <xf numFmtId="0" fontId="0" fillId="0" borderId="49" xfId="0" applyBorder="1" applyAlignment="1">
      <alignment horizontal="center"/>
    </xf>
    <xf numFmtId="0" fontId="29" fillId="3" borderId="14" xfId="0" applyFont="1" applyFill="1" applyBorder="1" applyAlignment="1">
      <alignment horizontal="center" vertical="center" shrinkToFit="1"/>
    </xf>
    <xf numFmtId="0" fontId="1" fillId="0" borderId="91" xfId="0" applyFont="1" applyBorder="1" applyAlignment="1">
      <alignment horizontal="center" shrinkToFit="1"/>
    </xf>
    <xf numFmtId="0" fontId="1" fillId="0" borderId="15" xfId="0" applyFont="1" applyBorder="1" applyAlignment="1">
      <alignment horizontal="center" shrinkToFit="1"/>
    </xf>
    <xf numFmtId="0" fontId="1" fillId="0" borderId="9" xfId="0" applyFont="1" applyBorder="1" applyAlignment="1">
      <alignment horizontal="center" shrinkToFit="1"/>
    </xf>
    <xf numFmtId="0" fontId="1" fillId="0" borderId="3" xfId="0" applyFont="1" applyBorder="1" applyAlignment="1">
      <alignment horizontal="center" shrinkToFit="1"/>
    </xf>
    <xf numFmtId="0" fontId="32" fillId="3" borderId="9" xfId="0" applyFont="1" applyFill="1" applyBorder="1" applyAlignment="1">
      <alignment horizontal="center" vertical="center" shrinkToFit="1"/>
    </xf>
    <xf numFmtId="0" fontId="32" fillId="3" borderId="3" xfId="0" applyFont="1" applyFill="1" applyBorder="1" applyAlignment="1">
      <alignment horizontal="center" vertical="center" shrinkToFit="1"/>
    </xf>
    <xf numFmtId="0" fontId="32" fillId="3" borderId="13" xfId="0" applyFont="1" applyFill="1" applyBorder="1" applyAlignment="1">
      <alignment horizontal="center" vertical="center" shrinkToFit="1"/>
    </xf>
    <xf numFmtId="0" fontId="32" fillId="0" borderId="4" xfId="0" applyFont="1" applyBorder="1" applyAlignment="1">
      <alignment horizontal="center" vertical="center" shrinkToFit="1"/>
    </xf>
    <xf numFmtId="0" fontId="32" fillId="0" borderId="2" xfId="0" applyFont="1" applyBorder="1" applyAlignment="1">
      <alignment horizontal="center" vertical="center" shrinkToFit="1"/>
    </xf>
    <xf numFmtId="0" fontId="32" fillId="0" borderId="11" xfId="0" applyFont="1" applyBorder="1" applyAlignment="1">
      <alignment horizontal="center" vertical="center" shrinkToFit="1"/>
    </xf>
    <xf numFmtId="0" fontId="32" fillId="0" borderId="9" xfId="0" applyFont="1" applyBorder="1" applyAlignment="1">
      <alignment horizontal="center" vertical="center" shrinkToFit="1"/>
    </xf>
    <xf numFmtId="0" fontId="32" fillId="0" borderId="3" xfId="0" applyFont="1" applyBorder="1" applyAlignment="1">
      <alignment horizontal="center" vertical="center" shrinkToFit="1"/>
    </xf>
    <xf numFmtId="0" fontId="32" fillId="0" borderId="13" xfId="0" applyFont="1" applyBorder="1" applyAlignment="1">
      <alignment horizontal="center" vertical="center" shrinkToFit="1"/>
    </xf>
    <xf numFmtId="0" fontId="32" fillId="3" borderId="4" xfId="0" applyFont="1" applyFill="1" applyBorder="1" applyAlignment="1">
      <alignment horizontal="center" vertical="center" shrinkToFit="1"/>
    </xf>
    <xf numFmtId="0" fontId="32" fillId="3" borderId="2" xfId="0" applyFont="1" applyFill="1" applyBorder="1" applyAlignment="1">
      <alignment horizontal="center" vertical="center" shrinkToFit="1"/>
    </xf>
    <xf numFmtId="0" fontId="32" fillId="3" borderId="11" xfId="0" applyFont="1" applyFill="1" applyBorder="1" applyAlignment="1">
      <alignment horizontal="center" vertical="center" shrinkToFit="1"/>
    </xf>
    <xf numFmtId="0" fontId="31" fillId="0" borderId="4" xfId="0" applyFont="1" applyBorder="1" applyAlignment="1">
      <alignment horizontal="center" vertical="center" shrinkToFit="1"/>
    </xf>
    <xf numFmtId="0" fontId="31" fillId="0" borderId="2" xfId="0" applyFont="1" applyBorder="1" applyAlignment="1">
      <alignment horizontal="center" vertical="center" shrinkToFit="1"/>
    </xf>
    <xf numFmtId="0" fontId="31" fillId="0" borderId="11" xfId="0" applyFont="1" applyBorder="1" applyAlignment="1">
      <alignment horizontal="center" vertical="center" shrinkToFit="1"/>
    </xf>
    <xf numFmtId="0" fontId="31" fillId="0" borderId="9" xfId="0" applyFont="1" applyBorder="1" applyAlignment="1">
      <alignment horizontal="center" vertical="center" shrinkToFit="1"/>
    </xf>
    <xf numFmtId="0" fontId="31" fillId="0" borderId="3" xfId="0" applyFont="1" applyBorder="1" applyAlignment="1">
      <alignment horizontal="center" vertical="center" shrinkToFit="1"/>
    </xf>
    <xf numFmtId="0" fontId="31" fillId="0" borderId="13" xfId="0" applyFont="1" applyBorder="1" applyAlignment="1">
      <alignment horizontal="center" vertical="center" shrinkToFit="1"/>
    </xf>
    <xf numFmtId="0" fontId="31" fillId="3" borderId="2" xfId="0" applyFont="1" applyFill="1" applyBorder="1" applyAlignment="1">
      <alignment horizontal="center" vertical="center" shrinkToFit="1"/>
    </xf>
    <xf numFmtId="0" fontId="31" fillId="3" borderId="11" xfId="0" applyFont="1" applyFill="1" applyBorder="1" applyAlignment="1">
      <alignment horizontal="center" vertical="center" shrinkToFit="1"/>
    </xf>
    <xf numFmtId="0" fontId="31" fillId="3" borderId="3" xfId="0" applyFont="1" applyFill="1" applyBorder="1" applyAlignment="1">
      <alignment horizontal="center" vertical="center" shrinkToFit="1"/>
    </xf>
    <xf numFmtId="0" fontId="31" fillId="3" borderId="13" xfId="0" applyFont="1" applyFill="1" applyBorder="1" applyAlignment="1">
      <alignment horizontal="center" vertical="center" shrinkToFit="1"/>
    </xf>
    <xf numFmtId="0" fontId="31" fillId="3" borderId="4" xfId="0" applyFont="1" applyFill="1" applyBorder="1" applyAlignment="1">
      <alignment horizontal="center" vertical="center" wrapText="1" shrinkToFit="1"/>
    </xf>
    <xf numFmtId="0" fontId="31" fillId="3" borderId="2" xfId="0" applyFont="1" applyFill="1" applyBorder="1" applyAlignment="1">
      <alignment horizontal="center" vertical="center" wrapText="1" shrinkToFit="1"/>
    </xf>
    <xf numFmtId="0" fontId="31" fillId="3" borderId="11" xfId="0" applyFont="1" applyFill="1" applyBorder="1" applyAlignment="1">
      <alignment horizontal="center" vertical="center" wrapText="1" shrinkToFit="1"/>
    </xf>
    <xf numFmtId="0" fontId="31" fillId="3" borderId="9" xfId="0" applyFont="1" applyFill="1" applyBorder="1" applyAlignment="1">
      <alignment horizontal="center" vertical="center" wrapText="1" shrinkToFit="1"/>
    </xf>
    <xf numFmtId="0" fontId="31" fillId="3" borderId="3" xfId="0" applyFont="1" applyFill="1" applyBorder="1" applyAlignment="1">
      <alignment horizontal="center" vertical="center" wrapText="1" shrinkToFit="1"/>
    </xf>
    <xf numFmtId="0" fontId="31" fillId="3" borderId="13" xfId="0" applyFont="1" applyFill="1" applyBorder="1" applyAlignment="1">
      <alignment horizontal="center" vertical="center" wrapText="1" shrinkToFit="1"/>
    </xf>
    <xf numFmtId="0" fontId="34" fillId="0" borderId="4" xfId="0" applyFont="1" applyBorder="1" applyAlignment="1">
      <alignment horizontal="center" vertical="center" shrinkToFit="1"/>
    </xf>
    <xf numFmtId="0" fontId="34" fillId="0" borderId="2" xfId="0" applyFont="1" applyBorder="1" applyAlignment="1">
      <alignment horizontal="center" vertical="center" shrinkToFit="1"/>
    </xf>
    <xf numFmtId="0" fontId="34" fillId="0" borderId="11" xfId="0" applyFont="1" applyBorder="1" applyAlignment="1">
      <alignment horizontal="center" vertical="center" shrinkToFit="1"/>
    </xf>
    <xf numFmtId="0" fontId="34" fillId="0" borderId="9" xfId="0" applyFont="1" applyBorder="1" applyAlignment="1">
      <alignment horizontal="center" vertical="center" shrinkToFit="1"/>
    </xf>
    <xf numFmtId="0" fontId="34" fillId="0" borderId="3" xfId="0" applyFont="1" applyBorder="1" applyAlignment="1">
      <alignment horizontal="center" vertical="center" shrinkToFit="1"/>
    </xf>
    <xf numFmtId="0" fontId="34" fillId="0" borderId="13" xfId="0" applyFont="1" applyBorder="1" applyAlignment="1">
      <alignment horizontal="center" vertical="center" shrinkToFit="1"/>
    </xf>
    <xf numFmtId="0" fontId="33" fillId="3" borderId="4" xfId="0" applyFont="1" applyFill="1" applyBorder="1" applyAlignment="1">
      <alignment horizontal="center" vertical="center" shrinkToFit="1"/>
    </xf>
    <xf numFmtId="0" fontId="33" fillId="3" borderId="2" xfId="0" applyFont="1" applyFill="1" applyBorder="1" applyAlignment="1">
      <alignment horizontal="center" vertical="center" shrinkToFit="1"/>
    </xf>
    <xf numFmtId="0" fontId="33" fillId="3" borderId="11" xfId="0" applyFont="1" applyFill="1" applyBorder="1" applyAlignment="1">
      <alignment horizontal="center" vertical="center" shrinkToFit="1"/>
    </xf>
    <xf numFmtId="0" fontId="33" fillId="3" borderId="9" xfId="0" applyFont="1" applyFill="1" applyBorder="1" applyAlignment="1">
      <alignment horizontal="center" vertical="center" shrinkToFit="1"/>
    </xf>
    <xf numFmtId="0" fontId="33" fillId="3" borderId="3" xfId="0" applyFont="1" applyFill="1" applyBorder="1" applyAlignment="1">
      <alignment horizontal="center" vertical="center" shrinkToFit="1"/>
    </xf>
    <xf numFmtId="0" fontId="33" fillId="3" borderId="13" xfId="0" applyFont="1" applyFill="1" applyBorder="1" applyAlignment="1">
      <alignment horizontal="center" vertical="center" shrinkToFit="1"/>
    </xf>
    <xf numFmtId="0" fontId="35" fillId="0" borderId="111" xfId="0" applyFont="1" applyBorder="1" applyAlignment="1">
      <alignment horizontal="center" shrinkToFit="1"/>
    </xf>
    <xf numFmtId="0" fontId="35" fillId="3" borderId="111" xfId="0" applyFont="1" applyFill="1" applyBorder="1" applyAlignment="1">
      <alignment horizontal="center" shrinkToFit="1"/>
    </xf>
    <xf numFmtId="0" fontId="36" fillId="0" borderId="111" xfId="0" applyFont="1" applyBorder="1" applyAlignment="1">
      <alignment horizontal="center"/>
    </xf>
    <xf numFmtId="0" fontId="36" fillId="3" borderId="111" xfId="0" applyFont="1" applyFill="1" applyBorder="1" applyAlignment="1">
      <alignment horizontal="center"/>
    </xf>
    <xf numFmtId="0" fontId="0" fillId="0" borderId="5" xfId="0" applyBorder="1" applyAlignment="1" applyProtection="1">
      <alignment horizontal="center"/>
      <protection locked="0"/>
    </xf>
    <xf numFmtId="0" fontId="0" fillId="0" borderId="0" xfId="0" applyAlignment="1" applyProtection="1">
      <alignment horizontal="center"/>
      <protection locked="0"/>
    </xf>
    <xf numFmtId="0" fontId="0" fillId="0" borderId="12" xfId="0" applyBorder="1" applyAlignment="1" applyProtection="1">
      <alignment horizontal="center"/>
      <protection locked="0"/>
    </xf>
    <xf numFmtId="0" fontId="0" fillId="0" borderId="10" xfId="0" applyBorder="1" applyAlignment="1">
      <alignment horizontal="center"/>
    </xf>
    <xf numFmtId="0" fontId="0" fillId="0" borderId="55" xfId="0" applyBorder="1" applyAlignment="1">
      <alignment horizontal="center"/>
    </xf>
    <xf numFmtId="0" fontId="32" fillId="0" borderId="3" xfId="0" applyFont="1" applyBorder="1" applyAlignment="1">
      <alignment horizontal="center"/>
    </xf>
    <xf numFmtId="0" fontId="41" fillId="0" borderId="111" xfId="0" applyFont="1" applyBorder="1" applyAlignment="1">
      <alignment horizontal="center" shrinkToFit="1"/>
    </xf>
    <xf numFmtId="0" fontId="41" fillId="3" borderId="111" xfId="0" applyFont="1" applyFill="1" applyBorder="1" applyAlignment="1">
      <alignment horizontal="center" shrinkToFit="1"/>
    </xf>
    <xf numFmtId="0" fontId="36" fillId="3" borderId="111" xfId="0" applyFont="1" applyFill="1" applyBorder="1" applyAlignment="1">
      <alignment horizontal="center" shrinkToFit="1"/>
    </xf>
    <xf numFmtId="0" fontId="7" fillId="0" borderId="1" xfId="0" applyFont="1" applyBorder="1" applyAlignment="1">
      <alignment horizontal="center" vertical="center"/>
    </xf>
    <xf numFmtId="0" fontId="35" fillId="0" borderId="110" xfId="0" applyFont="1" applyBorder="1" applyAlignment="1">
      <alignment horizontal="center" shrinkToFit="1"/>
    </xf>
    <xf numFmtId="0" fontId="33" fillId="0" borderId="1" xfId="0" applyFont="1" applyBorder="1" applyAlignment="1">
      <alignment horizontal="center" vertical="center"/>
    </xf>
    <xf numFmtId="0" fontId="36" fillId="0" borderId="110" xfId="0" applyFont="1" applyBorder="1" applyAlignment="1">
      <alignment horizontal="center"/>
    </xf>
    <xf numFmtId="0" fontId="36" fillId="0" borderId="111" xfId="0" applyFont="1" applyBorder="1" applyAlignment="1">
      <alignment horizontal="center" shrinkToFit="1"/>
    </xf>
    <xf numFmtId="0" fontId="31" fillId="0" borderId="62" xfId="0" applyFont="1" applyBorder="1" applyAlignment="1">
      <alignment horizontal="center"/>
    </xf>
    <xf numFmtId="0" fontId="31" fillId="0" borderId="56" xfId="0" applyFont="1" applyBorder="1" applyAlignment="1">
      <alignment horizontal="center"/>
    </xf>
    <xf numFmtId="0" fontId="31" fillId="0" borderId="63" xfId="0" applyFont="1" applyBorder="1" applyAlignment="1">
      <alignment horizontal="center"/>
    </xf>
    <xf numFmtId="0" fontId="31" fillId="0" borderId="57" xfId="0" applyFont="1" applyBorder="1" applyAlignment="1">
      <alignment horizontal="center"/>
    </xf>
    <xf numFmtId="0" fontId="31" fillId="0" borderId="31" xfId="0" applyFont="1" applyBorder="1" applyAlignment="1">
      <alignment horizontal="center"/>
    </xf>
    <xf numFmtId="0" fontId="31" fillId="0" borderId="58" xfId="0" applyFont="1" applyBorder="1" applyAlignment="1">
      <alignment horizontal="center"/>
    </xf>
    <xf numFmtId="0" fontId="41" fillId="0" borderId="110" xfId="0" applyFont="1" applyBorder="1" applyAlignment="1">
      <alignment horizontal="center" shrinkToFit="1"/>
    </xf>
    <xf numFmtId="0" fontId="36" fillId="0" borderId="110" xfId="0" applyFont="1" applyBorder="1" applyAlignment="1">
      <alignment horizontal="center" shrinkToFit="1"/>
    </xf>
    <xf numFmtId="0" fontId="36" fillId="3" borderId="57" xfId="0" applyFont="1" applyFill="1" applyBorder="1" applyAlignment="1">
      <alignment horizontal="center" shrinkToFit="1"/>
    </xf>
    <xf numFmtId="0" fontId="36" fillId="3" borderId="31" xfId="0" applyFont="1" applyFill="1" applyBorder="1" applyAlignment="1">
      <alignment horizontal="center" shrinkToFit="1"/>
    </xf>
    <xf numFmtId="0" fontId="36" fillId="3" borderId="58" xfId="0" applyFont="1" applyFill="1" applyBorder="1" applyAlignment="1">
      <alignment horizontal="center" shrinkToFit="1"/>
    </xf>
    <xf numFmtId="0" fontId="32" fillId="0" borderId="57" xfId="0" applyFont="1" applyBorder="1" applyAlignment="1">
      <alignment horizontal="center" shrinkToFit="1"/>
    </xf>
    <xf numFmtId="0" fontId="32" fillId="0" borderId="31" xfId="0" applyFont="1" applyBorder="1" applyAlignment="1">
      <alignment horizontal="center" shrinkToFit="1"/>
    </xf>
    <xf numFmtId="0" fontId="32" fillId="0" borderId="58" xfId="0" applyFont="1" applyBorder="1" applyAlignment="1">
      <alignment horizontal="center" shrinkToFit="1"/>
    </xf>
    <xf numFmtId="0" fontId="32" fillId="0" borderId="107" xfId="0" applyFont="1" applyBorder="1" applyAlignment="1">
      <alignment horizontal="center" shrinkToFit="1"/>
    </xf>
    <xf numFmtId="0" fontId="32" fillId="0" borderId="108" xfId="0" applyFont="1" applyBorder="1" applyAlignment="1">
      <alignment horizontal="center" shrinkToFit="1"/>
    </xf>
    <xf numFmtId="0" fontId="32" fillId="0" borderId="109" xfId="0" applyFont="1" applyBorder="1" applyAlignment="1">
      <alignment horizontal="center" shrinkToFit="1"/>
    </xf>
    <xf numFmtId="0" fontId="32" fillId="0" borderId="62" xfId="0" applyFont="1" applyBorder="1" applyAlignment="1">
      <alignment horizontal="center" shrinkToFit="1"/>
    </xf>
    <xf numFmtId="0" fontId="32" fillId="0" borderId="56" xfId="0" applyFont="1" applyBorder="1" applyAlignment="1">
      <alignment horizontal="center" shrinkToFit="1"/>
    </xf>
    <xf numFmtId="0" fontId="32" fillId="0" borderId="63" xfId="0" applyFont="1" applyBorder="1" applyAlignment="1">
      <alignment horizontal="center" shrinkToFit="1"/>
    </xf>
    <xf numFmtId="0" fontId="32" fillId="0" borderId="57" xfId="0" applyFont="1" applyBorder="1" applyAlignment="1">
      <alignment horizontal="center"/>
    </xf>
    <xf numFmtId="0" fontId="32" fillId="0" borderId="31" xfId="0" applyFont="1" applyBorder="1" applyAlignment="1">
      <alignment horizontal="center"/>
    </xf>
    <xf numFmtId="0" fontId="32" fillId="0" borderId="58" xfId="0" applyFont="1" applyBorder="1" applyAlignment="1">
      <alignment horizontal="center"/>
    </xf>
    <xf numFmtId="0" fontId="31" fillId="0" borderId="107" xfId="0" applyFont="1" applyBorder="1" applyAlignment="1">
      <alignment horizontal="center"/>
    </xf>
    <xf numFmtId="0" fontId="31" fillId="0" borderId="108" xfId="0" applyFont="1" applyBorder="1" applyAlignment="1">
      <alignment horizontal="center"/>
    </xf>
    <xf numFmtId="0" fontId="31" fillId="0" borderId="109" xfId="0" applyFont="1" applyBorder="1" applyAlignment="1">
      <alignment horizontal="center"/>
    </xf>
    <xf numFmtId="0" fontId="35" fillId="3" borderId="106" xfId="0" applyFont="1" applyFill="1" applyBorder="1" applyAlignment="1">
      <alignment horizontal="center" shrinkToFit="1"/>
    </xf>
    <xf numFmtId="0" fontId="41" fillId="3" borderId="106" xfId="0" applyFont="1" applyFill="1" applyBorder="1" applyAlignment="1">
      <alignment horizontal="center" shrinkToFit="1"/>
    </xf>
    <xf numFmtId="0" fontId="36" fillId="3" borderId="106" xfId="0" applyFont="1" applyFill="1" applyBorder="1" applyAlignment="1">
      <alignment horizontal="center" shrinkToFit="1"/>
    </xf>
    <xf numFmtId="0" fontId="35" fillId="0" borderId="8" xfId="0" applyFont="1" applyBorder="1" applyAlignment="1">
      <alignment horizontal="center"/>
    </xf>
    <xf numFmtId="0" fontId="35" fillId="0" borderId="8" xfId="0" applyFont="1" applyBorder="1" applyAlignment="1">
      <alignment horizontal="center" shrinkToFit="1"/>
    </xf>
    <xf numFmtId="0" fontId="1" fillId="0" borderId="0" xfId="0" applyFont="1" applyAlignment="1">
      <alignment horizontal="center" vertical="center" shrinkToFit="1"/>
    </xf>
    <xf numFmtId="0" fontId="31" fillId="0" borderId="0" xfId="0" applyFont="1" applyAlignment="1">
      <alignment horizontal="center" shrinkToFit="1"/>
    </xf>
    <xf numFmtId="9" fontId="31" fillId="0" borderId="3" xfId="0" applyNumberFormat="1" applyFont="1" applyBorder="1" applyAlignment="1">
      <alignment horizontal="center" vertical="center" shrinkToFit="1"/>
    </xf>
    <xf numFmtId="0" fontId="7" fillId="0" borderId="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9"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13" xfId="0" applyFont="1" applyBorder="1" applyAlignment="1">
      <alignment horizontal="center" vertical="center" shrinkToFit="1"/>
    </xf>
    <xf numFmtId="0" fontId="7" fillId="3" borderId="4" xfId="0" applyFont="1" applyFill="1" applyBorder="1" applyAlignment="1">
      <alignment horizontal="center" vertical="center" shrinkToFit="1"/>
    </xf>
    <xf numFmtId="0" fontId="7" fillId="3" borderId="2" xfId="0" applyFont="1" applyFill="1" applyBorder="1" applyAlignment="1">
      <alignment horizontal="center" vertical="center" shrinkToFit="1"/>
    </xf>
    <xf numFmtId="0" fontId="7" fillId="3" borderId="11" xfId="0" applyFont="1" applyFill="1" applyBorder="1" applyAlignment="1">
      <alignment horizontal="center" vertical="center" shrinkToFit="1"/>
    </xf>
    <xf numFmtId="0" fontId="7" fillId="3" borderId="9" xfId="0" applyFont="1" applyFill="1" applyBorder="1" applyAlignment="1">
      <alignment horizontal="center" vertical="center" shrinkToFit="1"/>
    </xf>
    <xf numFmtId="0" fontId="7" fillId="3" borderId="3" xfId="0" applyFont="1" applyFill="1" applyBorder="1" applyAlignment="1">
      <alignment horizontal="center" vertical="center" shrinkToFit="1"/>
    </xf>
    <xf numFmtId="0" fontId="7" fillId="3" borderId="13" xfId="0" applyFont="1" applyFill="1" applyBorder="1" applyAlignment="1">
      <alignment horizontal="center" vertical="center" shrinkToFit="1"/>
    </xf>
    <xf numFmtId="0" fontId="27" fillId="3" borderId="4" xfId="0" applyFont="1" applyFill="1" applyBorder="1" applyAlignment="1">
      <alignment horizontal="center" vertical="center" shrinkToFit="1"/>
    </xf>
    <xf numFmtId="0" fontId="27" fillId="3" borderId="2" xfId="0" applyFont="1" applyFill="1" applyBorder="1" applyAlignment="1">
      <alignment horizontal="center" vertical="center" shrinkToFit="1"/>
    </xf>
    <xf numFmtId="0" fontId="27" fillId="3" borderId="11" xfId="0" applyFont="1" applyFill="1" applyBorder="1" applyAlignment="1">
      <alignment horizontal="center" vertical="center" shrinkToFit="1"/>
    </xf>
    <xf numFmtId="0" fontId="27" fillId="3" borderId="9" xfId="0" applyFont="1" applyFill="1" applyBorder="1" applyAlignment="1">
      <alignment horizontal="center" vertical="center" shrinkToFit="1"/>
    </xf>
    <xf numFmtId="0" fontId="27" fillId="3" borderId="3" xfId="0" applyFont="1" applyFill="1" applyBorder="1" applyAlignment="1">
      <alignment horizontal="center" vertical="center" shrinkToFit="1"/>
    </xf>
    <xf numFmtId="0" fontId="27" fillId="3" borderId="13" xfId="0" applyFont="1" applyFill="1" applyBorder="1" applyAlignment="1">
      <alignment horizontal="center" vertical="center" shrinkToFit="1"/>
    </xf>
    <xf numFmtId="0" fontId="27" fillId="0" borderId="4" xfId="0" applyFont="1" applyBorder="1" applyAlignment="1">
      <alignment horizontal="center" vertical="center" shrinkToFit="1"/>
    </xf>
    <xf numFmtId="0" fontId="27" fillId="0" borderId="2" xfId="0" applyFont="1" applyBorder="1" applyAlignment="1">
      <alignment horizontal="center" vertical="center" shrinkToFit="1"/>
    </xf>
    <xf numFmtId="0" fontId="27" fillId="0" borderId="11" xfId="0" applyFont="1" applyBorder="1" applyAlignment="1">
      <alignment horizontal="center" vertical="center" shrinkToFit="1"/>
    </xf>
    <xf numFmtId="0" fontId="27" fillId="0" borderId="9" xfId="0" applyFont="1" applyBorder="1" applyAlignment="1">
      <alignment horizontal="center" vertical="center" shrinkToFit="1"/>
    </xf>
    <xf numFmtId="0" fontId="27" fillId="0" borderId="3" xfId="0" applyFont="1" applyBorder="1" applyAlignment="1">
      <alignment horizontal="center" vertical="center" shrinkToFit="1"/>
    </xf>
    <xf numFmtId="0" fontId="27" fillId="0" borderId="13" xfId="0" applyFont="1" applyBorder="1" applyAlignment="1">
      <alignment horizontal="center" vertical="center" shrinkToFit="1"/>
    </xf>
    <xf numFmtId="0" fontId="34" fillId="3" borderId="4" xfId="0" applyFont="1" applyFill="1" applyBorder="1" applyAlignment="1">
      <alignment horizontal="center" vertical="center" shrinkToFit="1"/>
    </xf>
    <xf numFmtId="0" fontId="34" fillId="3" borderId="2" xfId="0" applyFont="1" applyFill="1" applyBorder="1" applyAlignment="1">
      <alignment horizontal="center" vertical="center" shrinkToFit="1"/>
    </xf>
    <xf numFmtId="0" fontId="34" fillId="3" borderId="11" xfId="0" applyFont="1" applyFill="1" applyBorder="1" applyAlignment="1">
      <alignment horizontal="center" vertical="center" shrinkToFit="1"/>
    </xf>
    <xf numFmtId="0" fontId="34" fillId="3" borderId="9" xfId="0" applyFont="1" applyFill="1" applyBorder="1" applyAlignment="1">
      <alignment horizontal="center" vertical="center" shrinkToFit="1"/>
    </xf>
    <xf numFmtId="0" fontId="34" fillId="3" borderId="3" xfId="0" applyFont="1" applyFill="1" applyBorder="1" applyAlignment="1">
      <alignment horizontal="center" vertical="center" shrinkToFit="1"/>
    </xf>
    <xf numFmtId="0" fontId="34" fillId="3" borderId="13" xfId="0" applyFont="1" applyFill="1" applyBorder="1" applyAlignment="1">
      <alignment horizontal="center" vertical="center" shrinkToFit="1"/>
    </xf>
    <xf numFmtId="0" fontId="33" fillId="0" borderId="4" xfId="0" applyFont="1" applyBorder="1" applyAlignment="1">
      <alignment horizontal="center" vertical="center" shrinkToFit="1"/>
    </xf>
    <xf numFmtId="0" fontId="33" fillId="0" borderId="2" xfId="0" applyFont="1" applyBorder="1" applyAlignment="1">
      <alignment horizontal="center" vertical="center" shrinkToFit="1"/>
    </xf>
    <xf numFmtId="0" fontId="33" fillId="0" borderId="11" xfId="0" applyFont="1" applyBorder="1" applyAlignment="1">
      <alignment horizontal="center" vertical="center" shrinkToFit="1"/>
    </xf>
    <xf numFmtId="0" fontId="33" fillId="0" borderId="9" xfId="0" applyFont="1" applyBorder="1" applyAlignment="1">
      <alignment horizontal="center" vertical="center" shrinkToFit="1"/>
    </xf>
    <xf numFmtId="0" fontId="33" fillId="0" borderId="3" xfId="0" applyFont="1" applyBorder="1" applyAlignment="1">
      <alignment horizontal="center" vertical="center" shrinkToFit="1"/>
    </xf>
    <xf numFmtId="0" fontId="33" fillId="0" borderId="13" xfId="0" applyFont="1" applyBorder="1" applyAlignment="1">
      <alignment horizontal="center" vertical="center" shrinkToFit="1"/>
    </xf>
    <xf numFmtId="0" fontId="36" fillId="3" borderId="106" xfId="0" applyFont="1" applyFill="1" applyBorder="1" applyAlignment="1">
      <alignment horizontal="center"/>
    </xf>
    <xf numFmtId="0" fontId="35" fillId="0" borderId="0" xfId="0" applyFont="1" applyAlignment="1">
      <alignment horizontal="center" shrinkToFit="1"/>
    </xf>
    <xf numFmtId="0" fontId="14" fillId="0" borderId="55" xfId="0" applyFont="1" applyBorder="1" applyAlignment="1">
      <alignment horizontal="center" shrinkToFit="1"/>
    </xf>
    <xf numFmtId="0" fontId="14" fillId="0" borderId="10" xfId="0" applyFont="1" applyBorder="1" applyAlignment="1">
      <alignment horizontal="center" vertical="center"/>
    </xf>
    <xf numFmtId="0" fontId="14" fillId="0" borderId="55" xfId="0" applyFont="1" applyBorder="1" applyAlignment="1">
      <alignment horizontal="center" vertical="center"/>
    </xf>
    <xf numFmtId="0" fontId="14" fillId="0" borderId="38" xfId="0" applyFont="1" applyBorder="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11" xfId="0" applyFont="1" applyBorder="1" applyAlignment="1">
      <alignment horizontal="center" vertical="center"/>
    </xf>
    <xf numFmtId="0" fontId="14" fillId="0" borderId="10" xfId="0" applyFont="1" applyBorder="1" applyAlignment="1">
      <alignment horizontal="center" shrinkToFit="1"/>
    </xf>
    <xf numFmtId="0" fontId="14" fillId="0" borderId="38" xfId="0" applyFont="1" applyBorder="1" applyAlignment="1">
      <alignment horizontal="center" shrinkToFit="1"/>
    </xf>
    <xf numFmtId="0" fontId="11" fillId="0" borderId="10" xfId="0" applyFont="1" applyBorder="1" applyAlignment="1">
      <alignment horizontal="center" shrinkToFit="1"/>
    </xf>
    <xf numFmtId="0" fontId="11" fillId="0" borderId="55" xfId="0" applyFont="1" applyBorder="1" applyAlignment="1">
      <alignment horizontal="center" shrinkToFit="1"/>
    </xf>
    <xf numFmtId="0" fontId="11" fillId="0" borderId="38" xfId="0" applyFont="1" applyBorder="1" applyAlignment="1">
      <alignment horizontal="center" shrinkToFit="1"/>
    </xf>
    <xf numFmtId="0" fontId="33" fillId="3" borderId="10" xfId="0" applyFont="1" applyFill="1" applyBorder="1" applyAlignment="1">
      <alignment horizontal="center" shrinkToFit="1"/>
    </xf>
    <xf numFmtId="0" fontId="33" fillId="3" borderId="55" xfId="0" applyFont="1" applyFill="1" applyBorder="1" applyAlignment="1">
      <alignment horizontal="center" shrinkToFit="1"/>
    </xf>
    <xf numFmtId="0" fontId="33" fillId="3" borderId="38" xfId="0" applyFont="1" applyFill="1" applyBorder="1" applyAlignment="1">
      <alignment horizontal="center" shrinkToFit="1"/>
    </xf>
    <xf numFmtId="0" fontId="0" fillId="0" borderId="9" xfId="0" applyBorder="1" applyAlignment="1" applyProtection="1">
      <alignment horizontal="center"/>
      <protection locked="0"/>
    </xf>
    <xf numFmtId="0" fontId="0" fillId="0" borderId="3"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4" xfId="0" applyBorder="1" applyAlignment="1" applyProtection="1">
      <alignment horizontal="center"/>
      <protection locked="0"/>
    </xf>
    <xf numFmtId="0" fontId="0" fillId="0" borderId="2" xfId="0" applyBorder="1" applyAlignment="1" applyProtection="1">
      <alignment horizontal="center"/>
      <protection locked="0"/>
    </xf>
    <xf numFmtId="0" fontId="0" fillId="0" borderId="11" xfId="0" applyBorder="1" applyAlignment="1" applyProtection="1">
      <alignment horizontal="center"/>
      <protection locked="0"/>
    </xf>
    <xf numFmtId="0" fontId="11" fillId="0" borderId="2" xfId="0" applyFont="1" applyBorder="1" applyAlignment="1">
      <alignment horizontal="center"/>
    </xf>
  </cellXfs>
  <cellStyles count="4">
    <cellStyle name="Comma" xfId="1" builtinId="3"/>
    <cellStyle name="Comma 2" xfId="3" xr:uid="{1F170453-B272-4474-A53A-B1AF5CDE7B99}"/>
    <cellStyle name="Normal" xfId="0" builtinId="0"/>
    <cellStyle name="Normal 2" xfId="2" xr:uid="{D0CB86D1-8800-4A88-AE31-6794C2F78943}"/>
  </cellStyles>
  <dxfs count="939">
    <dxf>
      <fill>
        <patternFill>
          <bgColor theme="0" tint="-0.499984740745262"/>
        </patternFill>
      </fill>
    </dxf>
    <dxf>
      <fill>
        <patternFill>
          <bgColor theme="0" tint="-0.499984740745262"/>
        </patternFill>
      </fill>
    </dxf>
    <dxf>
      <fill>
        <patternFill>
          <bgColor theme="0" tint="-0.499984740745262"/>
        </patternFill>
      </fill>
    </dxf>
    <dxf>
      <font>
        <u val="double"/>
      </font>
    </dxf>
    <dxf>
      <font>
        <u val="double"/>
      </font>
    </dxf>
    <dxf>
      <font>
        <u val="double"/>
      </font>
    </dxf>
    <dxf>
      <font>
        <u val="double"/>
      </font>
      <border>
        <vertical/>
        <horizontal/>
      </border>
    </dxf>
    <dxf>
      <font>
        <u val="double"/>
      </font>
    </dxf>
    <dxf>
      <font>
        <u val="double"/>
      </font>
    </dxf>
    <dxf>
      <font>
        <u val="double"/>
      </font>
    </dxf>
    <dxf>
      <font>
        <color theme="0" tint="-0.24994659260841701"/>
      </font>
      <fill>
        <patternFill>
          <bgColor theme="0" tint="-0.24994659260841701"/>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theme="0" tint="-0.499984740745262"/>
        </patternFill>
      </fill>
    </dxf>
    <dxf>
      <fill>
        <patternFill>
          <bgColor theme="0" tint="-0.499984740745262"/>
        </patternFill>
      </fill>
    </dxf>
    <dxf>
      <font>
        <color theme="0" tint="-0.24994659260841701"/>
      </font>
      <fill>
        <patternFill>
          <bgColor theme="0" tint="-0.24994659260841701"/>
        </patternFill>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9" tint="0.79998168889431442"/>
        </patternFill>
      </fill>
    </dxf>
    <dxf>
      <fill>
        <patternFill>
          <bgColor theme="9" tint="0.59996337778862885"/>
        </patternFill>
      </fill>
    </dxf>
    <dxf>
      <fill>
        <patternFill>
          <bgColor theme="9" tint="0.79998168889431442"/>
        </patternFill>
      </fill>
    </dxf>
    <dxf>
      <fill>
        <patternFill>
          <bgColor theme="9" tint="0.59996337778862885"/>
        </patternFill>
      </fill>
    </dxf>
    <dxf>
      <fill>
        <patternFill>
          <bgColor theme="9" tint="0.79998168889431442"/>
        </patternFill>
      </fill>
    </dxf>
    <dxf>
      <fill>
        <patternFill>
          <bgColor theme="9" tint="0.59996337778862885"/>
        </patternFill>
      </fill>
    </dxf>
    <dxf>
      <fill>
        <patternFill>
          <bgColor rgb="FFFFFF00"/>
        </patternFill>
      </fill>
    </dxf>
    <dxf>
      <fill>
        <patternFill>
          <bgColor theme="0" tint="-0.499984740745262"/>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9" tint="0.79998168889431442"/>
        </patternFill>
      </fill>
    </dxf>
    <dxf>
      <fill>
        <patternFill>
          <bgColor theme="9" tint="0.59996337778862885"/>
        </patternFill>
      </fill>
    </dxf>
    <dxf>
      <fill>
        <patternFill>
          <bgColor theme="9" tint="0.79998168889431442"/>
        </patternFill>
      </fill>
    </dxf>
    <dxf>
      <fill>
        <patternFill>
          <bgColor theme="9" tint="0.59996337778862885"/>
        </patternFill>
      </fill>
    </dxf>
    <dxf>
      <fill>
        <patternFill>
          <bgColor theme="9" tint="0.79998168889431442"/>
        </patternFill>
      </fill>
    </dxf>
    <dxf>
      <fill>
        <patternFill>
          <bgColor theme="9" tint="0.59996337778862885"/>
        </patternFill>
      </fill>
    </dxf>
    <dxf>
      <fill>
        <patternFill>
          <bgColor theme="0" tint="-0.499984740745262"/>
        </patternFill>
      </fill>
    </dxf>
    <dxf>
      <fill>
        <patternFill>
          <bgColor theme="1" tint="0.499984740745262"/>
        </patternFill>
      </fill>
    </dxf>
    <dxf>
      <fill>
        <patternFill>
          <bgColor theme="0" tint="-0.499984740745262"/>
        </patternFill>
      </fill>
    </dxf>
    <dxf>
      <fill>
        <patternFill>
          <bgColor theme="1" tint="0.499984740745262"/>
        </patternFill>
      </fill>
    </dxf>
    <dxf>
      <fill>
        <patternFill>
          <bgColor theme="0" tint="-0.499984740745262"/>
        </patternFill>
      </fill>
    </dxf>
    <dxf>
      <fill>
        <patternFill>
          <bgColor theme="1" tint="0.499984740745262"/>
        </patternFill>
      </fill>
    </dxf>
    <dxf>
      <font>
        <color theme="1"/>
      </font>
      <fill>
        <patternFill>
          <bgColor rgb="FFFF0000"/>
        </patternFill>
      </fill>
    </dxf>
    <dxf>
      <fill>
        <patternFill>
          <bgColor rgb="FFFFFF00"/>
        </patternFill>
      </fill>
    </dxf>
    <dxf>
      <fill>
        <patternFill>
          <bgColor theme="0" tint="-0.499984740745262"/>
        </patternFill>
      </fill>
    </dxf>
    <dxf>
      <fill>
        <patternFill>
          <bgColor theme="0" tint="-0.499984740745262"/>
        </patternFill>
      </fill>
    </dxf>
    <dxf>
      <font>
        <b/>
        <i val="0"/>
        <u val="none"/>
      </font>
      <fill>
        <patternFill>
          <bgColor rgb="FFFFFF00"/>
        </patternFill>
      </fill>
    </dxf>
    <dxf>
      <fill>
        <patternFill>
          <bgColor theme="0"/>
        </patternFill>
      </fill>
    </dxf>
    <dxf>
      <fill>
        <patternFill>
          <bgColor rgb="FFFF0000"/>
        </patternFill>
      </fill>
    </dxf>
    <dxf>
      <fill>
        <patternFill>
          <bgColor rgb="FFFF0000"/>
        </patternFill>
      </fill>
    </dxf>
    <dxf>
      <fill>
        <patternFill>
          <bgColor theme="9" tint="0.79998168889431442"/>
        </patternFill>
      </fill>
    </dxf>
    <dxf>
      <fill>
        <patternFill>
          <bgColor theme="1" tint="0.499984740745262"/>
        </patternFill>
      </fill>
    </dxf>
    <dxf>
      <font>
        <color theme="1"/>
      </font>
      <fill>
        <patternFill>
          <bgColor theme="0"/>
        </patternFill>
      </fill>
    </dxf>
    <dxf>
      <fill>
        <patternFill>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0"/>
        </patternFill>
      </fill>
    </dxf>
    <dxf>
      <fill>
        <patternFill>
          <bgColor theme="0"/>
        </patternFill>
      </fill>
    </dxf>
    <dxf>
      <fill>
        <patternFill>
          <bgColor theme="7" tint="0.79998168889431442"/>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79998168889431442"/>
        </patternFill>
      </fill>
    </dxf>
    <dxf>
      <fill>
        <patternFill patternType="none">
          <bgColor auto="1"/>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FF00"/>
        </patternFill>
      </fill>
    </dxf>
    <dxf>
      <fill>
        <patternFill>
          <bgColor theme="9" tint="-0.24994659260841701"/>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FF00"/>
        </patternFill>
      </fill>
    </dxf>
    <dxf>
      <fill>
        <patternFill>
          <bgColor theme="9" tint="0.79998168889431442"/>
        </patternFill>
      </fill>
    </dxf>
    <dxf>
      <fill>
        <patternFill>
          <bgColor theme="9" tint="-0.24994659260841701"/>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8" tint="0.79998168889431442"/>
        </patternFill>
      </fill>
    </dxf>
    <dxf>
      <fill>
        <patternFill>
          <bgColor rgb="FFFFFF00"/>
        </patternFill>
      </fill>
    </dxf>
    <dxf>
      <fill>
        <patternFill>
          <bgColor rgb="FFFF0000"/>
        </patternFill>
      </fill>
    </dxf>
    <dxf>
      <font>
        <b/>
        <i val="0"/>
        <color theme="4" tint="-0.24994659260841701"/>
      </font>
      <border>
        <left style="thin">
          <color auto="1"/>
        </left>
        <right style="thin">
          <color auto="1"/>
        </right>
        <top style="thin">
          <color auto="1"/>
        </top>
        <bottom style="thin">
          <color auto="1"/>
        </bottom>
        <vertical/>
        <horizontal/>
      </border>
    </dxf>
    <dxf>
      <font>
        <b/>
        <i val="0"/>
        <color theme="4" tint="-0.24994659260841701"/>
      </font>
      <border>
        <left style="thin">
          <color auto="1"/>
        </left>
        <right style="thin">
          <color auto="1"/>
        </right>
        <top style="thin">
          <color auto="1"/>
        </top>
        <bottom style="thin">
          <color auto="1"/>
        </bottom>
        <vertical/>
        <horizontal/>
      </border>
    </dxf>
    <dxf>
      <font>
        <b/>
        <i val="0"/>
        <color theme="4" tint="-0.24994659260841701"/>
      </font>
      <border>
        <left style="thin">
          <color auto="1"/>
        </left>
        <right style="thin">
          <color auto="1"/>
        </right>
        <top style="thin">
          <color auto="1"/>
        </top>
        <bottom style="thin">
          <color auto="1"/>
        </bottom>
        <vertical/>
        <horizontal/>
      </border>
    </dxf>
    <dxf>
      <fill>
        <patternFill>
          <bgColor rgb="FFFF0000"/>
        </patternFill>
      </fill>
    </dxf>
    <dxf>
      <font>
        <b/>
        <i val="0"/>
        <color theme="4" tint="-0.24994659260841701"/>
      </font>
      <border>
        <left style="thin">
          <color auto="1"/>
        </left>
        <right style="thin">
          <color auto="1"/>
        </right>
        <top style="thin">
          <color auto="1"/>
        </top>
        <bottom style="thin">
          <color auto="1"/>
        </bottom>
        <vertical/>
        <horizontal/>
      </border>
    </dxf>
    <dxf>
      <font>
        <b/>
        <i val="0"/>
        <color theme="4" tint="-0.24994659260841701"/>
      </font>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border>
    </dxf>
    <dxf>
      <font>
        <b/>
        <i val="0"/>
        <color theme="4" tint="-0.24994659260841701"/>
      </font>
      <border>
        <left style="thin">
          <color theme="4" tint="-0.24994659260841701"/>
        </left>
        <right style="thin">
          <color theme="4" tint="-0.24994659260841701"/>
        </right>
        <top style="thin">
          <color theme="4" tint="-0.24994659260841701"/>
        </top>
        <bottom style="thin">
          <color theme="4" tint="-0.24994659260841701"/>
        </bottom>
        <vertical/>
        <horizontal/>
      </border>
    </dxf>
    <dxf>
      <fill>
        <patternFill>
          <bgColor rgb="FFFFFF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dxf>
    <dxf>
      <font>
        <color theme="0"/>
      </font>
    </dxf>
    <dxf>
      <fill>
        <patternFill>
          <bgColor rgb="FFFFFF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none">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theme="4" tint="0.79998168889431442"/>
        </patternFill>
      </fill>
    </dxf>
    <dxf>
      <fill>
        <patternFill>
          <bgColor theme="4"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theme="8" tint="0.79998168889431442"/>
        </patternFill>
      </fill>
    </dxf>
    <dxf>
      <fill>
        <patternFill>
          <bgColor theme="7" tint="0.79998168889431442"/>
        </patternFill>
      </fill>
    </dxf>
    <dxf>
      <fill>
        <patternFill>
          <bgColor rgb="FFFF0000"/>
        </patternFill>
      </fill>
    </dxf>
    <dxf>
      <border>
        <top style="thin">
          <color auto="1"/>
        </top>
        <vertical/>
        <horizontal/>
      </border>
    </dxf>
    <dxf>
      <fill>
        <patternFill>
          <bgColor theme="0" tint="-4.9989318521683403E-2"/>
        </patternFill>
      </fill>
    </dxf>
    <dxf>
      <fill>
        <patternFill>
          <bgColor theme="0" tint="-0.499984740745262"/>
        </patternFill>
      </fill>
    </dxf>
    <dxf>
      <fill>
        <patternFill>
          <bgColor theme="0" tint="-0.499984740745262"/>
        </patternFill>
      </fill>
    </dxf>
    <dxf>
      <fill>
        <patternFill>
          <bgColor theme="9" tint="0.79998168889431442"/>
        </patternFill>
      </fill>
    </dxf>
    <dxf>
      <fill>
        <patternFill>
          <bgColor theme="9" tint="0.79998168889431442"/>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rgb="FFFF0000"/>
        </patternFill>
      </fill>
    </dxf>
    <dxf>
      <fill>
        <patternFill>
          <bgColor theme="1"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4" tint="0.79998168889431442"/>
        </patternFill>
      </fill>
    </dxf>
    <dxf>
      <fill>
        <patternFill>
          <bgColor rgb="FFFF000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bgColor theme="1"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0000"/>
        </patternFill>
      </fill>
    </dxf>
    <dxf>
      <fill>
        <patternFill>
          <bgColor rgb="FFFF0000"/>
        </patternFill>
      </fill>
    </dxf>
    <dxf>
      <fill>
        <patternFill>
          <bgColor theme="0" tint="-0.499984740745262"/>
        </patternFill>
      </fill>
    </dxf>
    <dxf>
      <fill>
        <patternFill>
          <bgColor theme="8" tint="0.7999816888943144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8" tint="0.79998168889431442"/>
        </patternFill>
      </fill>
    </dxf>
    <dxf>
      <fill>
        <patternFill>
          <bgColor rgb="FFFF0000"/>
        </patternFill>
      </fill>
    </dxf>
    <dxf>
      <fill>
        <patternFill>
          <bgColor theme="0" tint="-0.499984740745262"/>
        </patternFill>
      </fill>
    </dxf>
    <dxf>
      <fill>
        <patternFill>
          <bgColor rgb="FFFF0000"/>
        </patternFill>
      </fill>
    </dxf>
    <dxf>
      <fill>
        <patternFill>
          <bgColor theme="8" tint="0.79998168889431442"/>
        </patternFill>
      </fill>
    </dxf>
    <dxf>
      <font>
        <color auto="1"/>
      </font>
      <fill>
        <patternFill>
          <bgColor rgb="FFFFFF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FF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rgb="FFFF0000"/>
        </patternFill>
      </fill>
    </dxf>
    <dxf>
      <font>
        <color theme="1"/>
      </font>
      <fill>
        <patternFill>
          <bgColor rgb="FFFFFF00"/>
        </patternFill>
      </fill>
    </dxf>
    <dxf>
      <fill>
        <patternFill>
          <bgColor theme="8" tint="0.79998168889431442"/>
        </patternFill>
      </fill>
    </dxf>
    <dxf>
      <fill>
        <patternFill>
          <bgColor theme="8" tint="0.79998168889431442"/>
        </patternFill>
      </fill>
    </dxf>
    <dxf>
      <font>
        <color auto="1"/>
      </font>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rgb="FFFF0000"/>
        </patternFill>
      </fill>
    </dxf>
    <dxf>
      <font>
        <color theme="0" tint="-0.499984740745262"/>
      </font>
      <fill>
        <patternFill>
          <bgColor theme="0" tint="-0.499984740745262"/>
        </patternFill>
      </fill>
    </dxf>
    <dxf>
      <fill>
        <patternFill>
          <bgColor theme="0" tint="-0.499984740745262"/>
        </patternFill>
      </fill>
    </dxf>
    <dxf>
      <fill>
        <patternFill>
          <bgColor theme="8" tint="0.59996337778862885"/>
        </patternFill>
      </fill>
    </dxf>
    <dxf>
      <fill>
        <patternFill>
          <bgColor rgb="FFFFFF00"/>
        </patternFill>
      </fill>
    </dxf>
    <dxf>
      <fill>
        <patternFill>
          <bgColor theme="8" tint="0.79998168889431442"/>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rgb="FFFF0000"/>
        </patternFill>
      </fill>
    </dxf>
    <dxf>
      <font>
        <color theme="0" tint="-0.499984740745262"/>
      </font>
      <fill>
        <patternFill>
          <bgColor theme="0" tint="-0.499984740745262"/>
        </patternFill>
      </fill>
    </dxf>
    <dxf>
      <fill>
        <patternFill>
          <bgColor theme="8" tint="0.79998168889431442"/>
        </patternFill>
      </fill>
    </dxf>
    <dxf>
      <fill>
        <patternFill>
          <bgColor rgb="FFFF0000"/>
        </patternFill>
      </fill>
    </dxf>
    <dxf>
      <fill>
        <patternFill>
          <bgColor theme="8" tint="0.79998168889431442"/>
        </patternFill>
      </fill>
    </dxf>
    <dxf>
      <fill>
        <patternFill>
          <bgColor theme="0" tint="-0.499984740745262"/>
        </patternFill>
      </fill>
    </dxf>
    <dxf>
      <fill>
        <patternFill>
          <bgColor theme="8" tint="0.59996337778862885"/>
        </patternFill>
      </fill>
    </dxf>
    <dxf>
      <fill>
        <patternFill>
          <bgColor rgb="FFFF0000"/>
        </patternFill>
      </fill>
    </dxf>
    <dxf>
      <fill>
        <patternFill>
          <bgColor rgb="FFFFFF0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rgb="FFFF000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0" tint="-0.499984740745262"/>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theme="0" tint="-0.499984740745262"/>
        </patternFill>
      </fill>
    </dxf>
    <dxf>
      <font>
        <color theme="1"/>
      </font>
      <fill>
        <patternFill>
          <bgColor rgb="FFFFFF00"/>
        </patternFill>
      </fill>
    </dxf>
    <dxf>
      <fill>
        <patternFill>
          <bgColor rgb="FFFF0000"/>
        </patternFill>
      </fill>
    </dxf>
    <dxf>
      <fill>
        <patternFill>
          <bgColor theme="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0" tint="-0.49998474074526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ont>
        <color auto="1"/>
      </font>
      <fill>
        <patternFill patternType="none">
          <bgColor auto="1"/>
        </patternFill>
      </fill>
    </dxf>
    <dxf>
      <fill>
        <patternFill>
          <bgColor rgb="FFFFFF00"/>
        </patternFill>
      </fill>
    </dxf>
    <dxf>
      <font>
        <color auto="1"/>
      </font>
      <fill>
        <patternFill patternType="none">
          <bgColor auto="1"/>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patternType="none">
          <bgColor auto="1"/>
        </patternFill>
      </fill>
    </dxf>
    <dxf>
      <fill>
        <patternFill patternType="none">
          <bgColor auto="1"/>
        </patternFill>
      </fill>
    </dxf>
    <dxf>
      <fill>
        <patternFill>
          <bgColor theme="0"/>
        </patternFill>
      </fill>
    </dxf>
    <dxf>
      <fill>
        <patternFill>
          <bgColor theme="0" tint="-0.49998474074526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patternType="none">
          <bgColor auto="1"/>
        </patternFill>
      </fill>
    </dxf>
    <dxf>
      <fill>
        <patternFill patternType="none">
          <bgColor auto="1"/>
        </patternFill>
      </fill>
    </dxf>
    <dxf>
      <fill>
        <patternFill>
          <bgColor theme="0" tint="-0.499984740745262"/>
        </patternFill>
      </fill>
    </dxf>
    <dxf>
      <fill>
        <patternFill>
          <bgColor rgb="FFFFFF00"/>
        </patternFill>
      </fill>
    </dxf>
    <dxf>
      <fill>
        <patternFill>
          <bgColor rgb="FFFF0000"/>
        </patternFill>
      </fill>
    </dxf>
    <dxf>
      <font>
        <color theme="1"/>
      </font>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patternFill>
      </fill>
    </dxf>
    <dxf>
      <fill>
        <patternFill>
          <bgColor theme="4" tint="0.79998168889431442"/>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patternType="solid">
          <bgColor rgb="FFFF0000"/>
        </patternFill>
      </fill>
    </dxf>
    <dxf>
      <fill>
        <patternFill>
          <bgColor rgb="FFFFFF00"/>
        </patternFill>
      </fill>
    </dxf>
    <dxf>
      <fill>
        <patternFill>
          <bgColor rgb="FFFF0000"/>
        </patternFill>
      </fill>
    </dxf>
    <dxf>
      <fill>
        <patternFill>
          <bgColor rgb="FFFF0000"/>
        </patternFill>
      </fill>
    </dxf>
    <dxf>
      <font>
        <color auto="1"/>
      </font>
      <fill>
        <patternFill>
          <bgColor rgb="FFFFFF00"/>
        </patternFill>
      </fill>
    </dxf>
    <dxf>
      <font>
        <color theme="0"/>
      </font>
    </dxf>
    <dxf>
      <font>
        <color auto="1"/>
      </font>
      <fill>
        <patternFill>
          <bgColor rgb="FFFF0000"/>
        </patternFill>
      </fill>
    </dxf>
    <dxf>
      <fill>
        <patternFill>
          <bgColor rgb="FFFFFF00"/>
        </patternFill>
      </fill>
    </dxf>
    <dxf>
      <fill>
        <patternFill>
          <bgColor theme="0"/>
        </patternFill>
      </fill>
    </dxf>
    <dxf>
      <fill>
        <patternFill>
          <bgColor rgb="FFFF0000"/>
        </patternFill>
      </fill>
    </dxf>
    <dxf>
      <fill>
        <patternFill>
          <bgColor theme="0" tint="-0.499984740745262"/>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theme="0" tint="-0.499984740745262"/>
        </patternFill>
      </fill>
    </dxf>
    <dxf>
      <fill>
        <patternFill>
          <bgColor theme="0" tint="-0.499984740745262"/>
        </patternFill>
      </fill>
    </dxf>
    <dxf>
      <fill>
        <patternFill>
          <bgColor rgb="FFFF0000"/>
        </patternFill>
      </fill>
    </dxf>
    <dxf>
      <fill>
        <patternFill>
          <bgColor theme="0" tint="-0.499984740745262"/>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theme="0" tint="-0.499984740745262"/>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0000"/>
        </patternFill>
      </fill>
    </dxf>
    <dxf>
      <fill>
        <patternFill>
          <bgColor rgb="FFFF0000"/>
        </patternFill>
      </fill>
    </dxf>
    <dxf>
      <fill>
        <patternFill>
          <bgColor theme="0" tint="-0.499984740745262"/>
        </patternFill>
      </fill>
    </dxf>
    <dxf>
      <fill>
        <patternFill>
          <bgColor theme="0" tint="-0.499984740745262"/>
        </patternFill>
      </fill>
    </dxf>
    <dxf>
      <fill>
        <patternFill>
          <bgColor rgb="FFFF0000"/>
        </patternFill>
      </fill>
    </dxf>
    <dxf>
      <fill>
        <patternFill>
          <bgColor rgb="FFFF0000"/>
        </patternFill>
      </fill>
    </dxf>
    <dxf>
      <fill>
        <patternFill>
          <bgColor theme="4" tint="0.79998168889431442"/>
        </patternFill>
      </fill>
    </dxf>
    <dxf>
      <fill>
        <patternFill>
          <bgColor rgb="FFFFFF00"/>
        </patternFill>
      </fill>
    </dxf>
    <dxf>
      <fill>
        <patternFill>
          <bgColor theme="0"/>
        </patternFill>
      </fill>
    </dxf>
    <dxf>
      <fill>
        <patternFill>
          <bgColor theme="0" tint="-0.499984740745262"/>
        </patternFill>
      </fill>
    </dxf>
    <dxf>
      <fill>
        <patternFill patternType="none">
          <bgColor auto="1"/>
        </patternFill>
      </fill>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rgb="FFFFFF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theme="0"/>
        </patternFill>
      </fill>
    </dxf>
    <dxf>
      <fill>
        <patternFill>
          <bgColor rgb="FFFFFF00"/>
        </patternFill>
      </fill>
    </dxf>
    <dxf>
      <fill>
        <patternFill>
          <bgColor theme="0"/>
        </patternFill>
      </fill>
    </dxf>
    <dxf>
      <fill>
        <patternFill patternType="none">
          <bgColor auto="1"/>
        </patternFill>
      </fill>
    </dxf>
    <dxf>
      <fill>
        <patternFill>
          <bgColor theme="0"/>
        </patternFill>
      </fill>
    </dxf>
    <dxf>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FF00"/>
        </patternFill>
      </fill>
    </dxf>
    <dxf>
      <fill>
        <patternFill>
          <bgColor rgb="FFFFFF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C000"/>
        </patternFill>
      </fill>
    </dxf>
    <dxf>
      <fill>
        <patternFill>
          <bgColor theme="4" tint="0.79998168889431442"/>
        </patternFill>
      </fill>
    </dxf>
    <dxf>
      <fill>
        <patternFill>
          <bgColor rgb="FFFFFF00"/>
        </patternFill>
      </fill>
    </dxf>
    <dxf>
      <font>
        <color theme="1"/>
      </font>
      <fill>
        <patternFill>
          <bgColor rgb="FFFF0000"/>
        </patternFill>
      </fill>
    </dxf>
    <dxf>
      <font>
        <color theme="1"/>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color theme="0"/>
      </font>
    </dxf>
    <dxf>
      <fill>
        <patternFill>
          <bgColor theme="4" tint="0.79998168889431442"/>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theme="0" tint="-0.499984740745262"/>
        </patternFill>
      </fill>
    </dxf>
    <dxf>
      <fill>
        <patternFill>
          <bgColor theme="0"/>
        </patternFill>
      </fill>
    </dxf>
    <dxf>
      <fill>
        <patternFill>
          <bgColor theme="0" tint="-4.9989318521683403E-2"/>
        </patternFill>
      </fill>
    </dxf>
    <dxf>
      <fill>
        <patternFill>
          <bgColor theme="4" tint="0.79998168889431442"/>
        </patternFill>
      </fill>
    </dxf>
    <dxf>
      <fill>
        <patternFill>
          <bgColor theme="0"/>
        </patternFill>
      </fill>
    </dxf>
    <dxf>
      <fill>
        <patternFill>
          <bgColor theme="0" tint="-4.9989318521683403E-2"/>
        </patternFill>
      </fill>
    </dxf>
    <dxf>
      <fill>
        <patternFill>
          <bgColor theme="0" tint="-0.499984740745262"/>
        </patternFill>
      </fill>
    </dxf>
    <dxf>
      <fill>
        <patternFill>
          <bgColor rgb="FFFF0000"/>
        </patternFill>
      </fill>
    </dxf>
    <dxf>
      <fill>
        <patternFill>
          <bgColor theme="4" tint="0.79998168889431442"/>
        </patternFill>
      </fill>
    </dxf>
    <dxf>
      <fill>
        <patternFill>
          <bgColor theme="0"/>
        </patternFill>
      </fill>
    </dxf>
    <dxf>
      <fill>
        <patternFill>
          <bgColor theme="0" tint="-4.9989318521683403E-2"/>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theme="1" tint="0.499984740745262"/>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theme="9"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theme="0" tint="-0.499984740745262"/>
        </patternFill>
      </fill>
    </dxf>
    <dxf>
      <fill>
        <patternFill>
          <bgColor theme="9" tint="0.79998168889431442"/>
        </patternFill>
      </fill>
    </dxf>
    <dxf>
      <fill>
        <patternFill>
          <bgColor theme="9" tint="0.79998168889431442"/>
        </patternFill>
      </fill>
    </dxf>
    <dxf>
      <fill>
        <patternFill>
          <bgColor rgb="FFFF0000"/>
        </patternFill>
      </fill>
    </dxf>
    <dxf>
      <fill>
        <patternFill>
          <bgColor theme="1" tint="0.499984740745262"/>
        </patternFill>
      </fill>
    </dxf>
    <dxf>
      <fill>
        <patternFill>
          <bgColor rgb="FFFF0000"/>
        </patternFill>
      </fill>
    </dxf>
    <dxf>
      <fill>
        <patternFill>
          <bgColor rgb="FFFF00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0000"/>
        </patternFill>
      </fill>
    </dxf>
    <dxf>
      <fill>
        <patternFill>
          <bgColor theme="0" tint="-0.499984740745262"/>
        </patternFill>
      </fill>
    </dxf>
    <dxf>
      <fill>
        <patternFill>
          <bgColor theme="9" tint="0.79998168889431442"/>
        </patternFill>
      </fill>
    </dxf>
    <dxf>
      <font>
        <color theme="1"/>
      </font>
      <fill>
        <patternFill>
          <bgColor rgb="FFFFFF00"/>
        </patternFill>
      </fill>
    </dxf>
    <dxf>
      <font>
        <color theme="1"/>
      </font>
      <fill>
        <patternFill>
          <bgColor rgb="FFFFFF00"/>
        </patternFill>
      </fill>
    </dxf>
    <dxf>
      <fill>
        <patternFill>
          <bgColor theme="9" tint="0.79998168889431442"/>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theme="1" tint="0.499984740745262"/>
        </patternFill>
      </fill>
    </dxf>
    <dxf>
      <fill>
        <patternFill>
          <bgColor theme="9" tint="0.79998168889431442"/>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theme="9" tint="0.79998168889431442"/>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rgb="FFC0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rgb="FFFF0000"/>
        </patternFill>
      </fill>
    </dxf>
    <dxf>
      <font>
        <color theme="1" tint="4.9989318521683403E-2"/>
      </font>
      <fill>
        <patternFill patternType="none">
          <bgColor auto="1"/>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FF00"/>
        </patternFill>
      </fill>
    </dxf>
    <dxf>
      <font>
        <color theme="0" tint="-0.499984740745262"/>
      </font>
      <fill>
        <patternFill>
          <bgColor theme="0" tint="-0.499984740745262"/>
        </patternFill>
      </fill>
      <border>
        <left/>
        <right/>
        <top/>
        <bottom/>
        <vertical/>
        <horizontal/>
      </border>
    </dxf>
    <dxf>
      <fill>
        <patternFill>
          <bgColor theme="8" tint="0.79998168889431442"/>
        </patternFill>
      </fill>
    </dxf>
    <dxf>
      <font>
        <color theme="9"/>
      </font>
    </dxf>
    <dxf>
      <font>
        <color rgb="FFFF0000"/>
      </font>
    </dxf>
    <dxf>
      <font>
        <color theme="9"/>
      </font>
    </dxf>
    <dxf>
      <font>
        <color rgb="FFFF0000"/>
      </font>
    </dxf>
    <dxf>
      <font>
        <color theme="9"/>
      </font>
    </dxf>
    <dxf>
      <font>
        <color rgb="FFFF0000"/>
      </font>
    </dxf>
    <dxf>
      <font>
        <color rgb="FF00B050"/>
      </font>
    </dxf>
    <dxf>
      <fill>
        <patternFill>
          <bgColor rgb="FFFF0000"/>
        </patternFill>
      </fill>
    </dxf>
    <dxf>
      <fill>
        <patternFill>
          <bgColor rgb="FFFF0000"/>
        </patternFill>
      </fill>
    </dxf>
    <dxf>
      <fill>
        <patternFill>
          <bgColor theme="4" tint="0.79998168889431442"/>
        </patternFill>
      </fill>
    </dxf>
    <dxf>
      <font>
        <color rgb="FFFF0000"/>
      </font>
    </dxf>
    <dxf>
      <font>
        <color rgb="FF00B050"/>
      </font>
    </dxf>
    <dxf>
      <font>
        <color rgb="FF00B05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0" tint="-4.9989318521683403E-2"/>
        </patternFill>
      </fill>
    </dxf>
    <dxf>
      <border>
        <top style="thin">
          <color auto="1"/>
        </top>
        <vertical/>
        <horizontal/>
      </border>
    </dxf>
    <dxf>
      <border>
        <left/>
        <right/>
        <top/>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outline="0">
        <left style="thin">
          <color auto="1"/>
        </lef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alignment horizontal="center" vertical="bottom" textRotation="0" wrapText="0" indent="0" justifyLastLine="0" shrinkToFit="0" readingOrder="0"/>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EBFF"/>
      <color rgb="FFFFFFCC"/>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vik\Downloads\Ship%20Designer%20Blank%20v2026.01.22%20-%20Enhanced.xlsx" TargetMode="External"/><Relationship Id="rId1" Type="http://schemas.openxmlformats.org/officeDocument/2006/relationships/externalLinkPath" Target="/Users/Mavik/Downloads/Ship%20Designer%20Blank%20v2026.01.22%20-%20Enhanc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avik\Downloads\Ship%20Designer%20Enhanced.xlsx" TargetMode="External"/><Relationship Id="rId1" Type="http://schemas.openxmlformats.org/officeDocument/2006/relationships/externalLinkPath" Target="/Users/Mavik/Downloads/Ship%20Designer%20Enhanc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Summary"/>
      <sheetName val="Profitability"/>
      <sheetName val="Ship Info"/>
      <sheetName val="1-Hull"/>
      <sheetName val="2-Drives"/>
      <sheetName val="3-Pwr Plant"/>
      <sheetName val="4-Fuel"/>
      <sheetName val="5-Bridge"/>
      <sheetName val="6-Comp"/>
      <sheetName val="7-Sensors"/>
      <sheetName val="8a-Weapons"/>
      <sheetName val="8b-Screens"/>
      <sheetName val="9a-Optional"/>
      <sheetName val="9b-Optional"/>
      <sheetName val="10-Crew"/>
      <sheetName val="11-Staterooms"/>
      <sheetName val="12-Cargo"/>
      <sheetName val="SSD"/>
      <sheetName val="Capital SSD"/>
      <sheetName val="Changelog"/>
    </sheetNames>
    <sheetDataSet>
      <sheetData sheetId="0"/>
      <sheetData sheetId="1"/>
      <sheetData sheetId="2"/>
      <sheetData sheetId="3">
        <row r="2">
          <cell r="F2">
            <v>12</v>
          </cell>
        </row>
      </sheetData>
      <sheetData sheetId="4">
        <row r="4">
          <cell r="B4">
            <v>100</v>
          </cell>
        </row>
        <row r="17">
          <cell r="AA17">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Summary"/>
      <sheetName val="Profitability"/>
      <sheetName val="Jank Build Info"/>
      <sheetName val="Ship Info"/>
      <sheetName val="1-Hull"/>
      <sheetName val="2-Drives"/>
      <sheetName val="3-Pwr Plant"/>
      <sheetName val="4-Fuel"/>
      <sheetName val="5-Bridge"/>
      <sheetName val="6-Comp"/>
      <sheetName val="7-Sensors"/>
      <sheetName val="8a-Weapons"/>
      <sheetName val="8b-Screens"/>
      <sheetName val="9a-Optional"/>
      <sheetName val="9b-Optional"/>
      <sheetName val="10-Crew"/>
      <sheetName val="11-Staterooms"/>
      <sheetName val="12-Cargo"/>
      <sheetName val="SSD"/>
      <sheetName val="Capital SSD"/>
      <sheetName val="Changelog"/>
    </sheetNames>
    <sheetDataSet>
      <sheetData sheetId="0"/>
      <sheetData sheetId="1"/>
      <sheetData sheetId="2"/>
      <sheetData sheetId="3"/>
      <sheetData sheetId="4">
        <row r="2">
          <cell r="F2">
            <v>12</v>
          </cell>
        </row>
      </sheetData>
      <sheetData sheetId="5">
        <row r="4">
          <cell r="B4">
            <v>100</v>
          </cell>
        </row>
        <row r="17">
          <cell r="AA17">
            <v>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E478A8-A38D-4885-B973-BB308FBBB24A}" name="Table1" displayName="Table1" ref="BB1:BN23" totalsRowShown="0">
  <autoFilter ref="BB1:BN23" xr:uid="{98433963-35E7-48FA-9A58-F3D57CB478BD}"/>
  <sortState xmlns:xlrd2="http://schemas.microsoft.com/office/spreadsheetml/2017/richdata2" ref="BB2:BM23">
    <sortCondition ref="BB2:BB23"/>
  </sortState>
  <tableColumns count="13">
    <tableColumn id="1" xr3:uid="{EB087458-4553-4147-9CC1-808F5E1ED093}" name="Hardpoints"/>
    <tableColumn id="2" xr3:uid="{0E5952A5-EB56-43EE-9A09-CA0296A44C2C}" name="TL"/>
    <tableColumn id="3" xr3:uid="{A38C5C9C-24E6-4D82-AA35-8BC92A347CEA}" name="PWR"/>
    <tableColumn id="4" xr3:uid="{AA2423EC-867C-42B8-B3E7-C86399F87FD1}" name="Tons"/>
    <tableColumn id="5" xr3:uid="{0522E758-4DDD-409C-BA96-3F4B946B1B4D}" name="Cost"/>
    <tableColumn id="6" xr3:uid="{9FA3B15B-B9CD-4354-A83A-5042FE5011A1}" name="hardpoints2"/>
    <tableColumn id="7" xr3:uid="{914F0C07-581A-4CBF-80B8-527A0C9206B5}" name="crew"/>
    <tableColumn id="8" xr3:uid="{1905DBBB-F4C5-4CDB-B788-F620B2D0D240}" name="Index"/>
    <tableColumn id="9" xr3:uid="{17B51A2A-FB6D-4C71-867B-3D7F40EB796E}" name="# Weaps"/>
    <tableColumn id="10" xr3:uid="{35D0D4BF-ED8F-46C0-8B10-8DCAA157452F}" name="Dmg Add" dataDxfId="938">
      <calculatedColumnFormula>""</calculatedColumnFormula>
    </tableColumn>
    <tableColumn id="11" xr3:uid="{05E252C8-A9BD-478F-9AC4-66377F1ED30C}" name="PwrMult"/>
    <tableColumn id="12" xr3:uid="{129A3DC1-FC68-4A8E-80FE-AAFED0828AB4}" name="Text"/>
    <tableColumn id="14" xr3:uid="{6A24D953-EFBC-44B7-BE26-908CFDBAD37F}" name="MilCrew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D79D52-CABF-4917-8259-C4867E710F3C}" name="Table2" displayName="Table2" ref="Z1:AK7" totalsRowShown="0">
  <autoFilter ref="Z1:AK7" xr:uid="{167EFAEC-584F-4FA7-899A-3B53D92E4510}"/>
  <sortState xmlns:xlrd2="http://schemas.microsoft.com/office/spreadsheetml/2017/richdata2" ref="Z2:AK7">
    <sortCondition ref="Z1:Z7"/>
  </sortState>
  <tableColumns count="12">
    <tableColumn id="1" xr3:uid="{B2EE4B40-D4E3-41FB-849D-50E9D035EE05}" name="Small Craft Firmpoints"/>
    <tableColumn id="2" xr3:uid="{CB798AE7-26B9-49C4-B4C6-BA820A0C87A4}" name="TL"/>
    <tableColumn id="3" xr3:uid="{F84A5C3C-8239-4F75-A415-9A1F05597C19}" name="PWR"/>
    <tableColumn id="4" xr3:uid="{E869D761-6E45-4717-AFDA-C2E0A73491BD}" name="Tons"/>
    <tableColumn id="5" xr3:uid="{770DEA85-C5AA-4E5F-8AF0-877B51CCF8AE}" name="Cost"/>
    <tableColumn id="6" xr3:uid="{1E99AB94-FA01-47C9-AE0A-D5E2E2383DA0}" name="hardpoints"/>
    <tableColumn id="7" xr3:uid="{657EBCDB-9EB7-420A-A401-C81C145C17A1}" name="crew"/>
    <tableColumn id="8" xr3:uid="{A4A18750-579D-4DED-9648-BE1891DF6D95}" name="Index"/>
    <tableColumn id="9" xr3:uid="{38434858-3977-4E8E-AF77-1AD8FDF24ED7}" name="# Weaps"/>
    <tableColumn id="10" xr3:uid="{5F07E763-3CA3-4831-84D4-8B71AB868DF8}" name="weapon cost" dataDxfId="937"/>
    <tableColumn id="11" xr3:uid="{7229727D-4D81-42B7-8845-24250CAF6C26}" name="PwrMult"/>
    <tableColumn id="12" xr3:uid="{28026E67-DC37-4C91-973F-BA724AF899C9}" name="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FC62FA-5681-4FD4-9845-8AF31BAF5316}" name="Table4" displayName="Table4" ref="W2:X26" totalsRowShown="0" headerRowDxfId="936" dataDxfId="934" headerRowBorderDxfId="935" tableBorderDxfId="933" totalsRowBorderDxfId="932">
  <autoFilter ref="W2:X26" xr:uid="{1AB22D71-6D53-4999-80D8-DEAE85A8DA99}"/>
  <sortState xmlns:xlrd2="http://schemas.microsoft.com/office/spreadsheetml/2017/richdata2" ref="W3:X26">
    <sortCondition ref="W2:W26"/>
  </sortState>
  <tableColumns count="2">
    <tableColumn id="1" xr3:uid="{5710D457-FC98-427E-ABEB-EE63A69460FA}" name="Column1" dataDxfId="931"/>
    <tableColumn id="2" xr3:uid="{3CE29EA1-5B25-44D6-95CF-EECA6D87B3A1}" name="Column2" dataDxfId="93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D100F9-F0FA-4C75-9DC5-F90EDBB145FA}" name="Table3" displayName="Table3" ref="BB27:BT121" totalsRowShown="0" headerRowDxfId="929" dataDxfId="928">
  <autoFilter ref="BB27:BT121" xr:uid="{DEA2FE57-998B-49A1-AFC0-DFA208F24788}"/>
  <sortState xmlns:xlrd2="http://schemas.microsoft.com/office/spreadsheetml/2017/richdata2" ref="BB28:BS121">
    <sortCondition ref="BB28:BB121"/>
  </sortState>
  <tableColumns count="19">
    <tableColumn id="1" xr3:uid="{E259C58A-8725-445F-9DCD-DD100A18AC0E}" name="Weapon" dataDxfId="927"/>
    <tableColumn id="2" xr3:uid="{268F303A-D6B9-4594-8DAC-7EE27FE773FF}" name="TL" dataDxfId="926"/>
    <tableColumn id="3" xr3:uid="{3F0CD468-A0E9-47EF-B11F-CBC1C6E5E384}" name="Range" dataDxfId="925"/>
    <tableColumn id="4" xr3:uid="{70785B22-DC1A-41A8-AE9E-EAF85E518566}" name="Small Range" dataDxfId="924"/>
    <tableColumn id="5" xr3:uid="{2ADCF830-FC1B-4410-8C8C-2D0CD8749F6A}" name="PWR" dataDxfId="923"/>
    <tableColumn id="6" xr3:uid="{7C5266B8-AB92-4FC7-A7D7-162953EAA114}" name="DAM" dataDxfId="922"/>
    <tableColumn id="7" xr3:uid="{3BEA295C-87C1-4A88-BDFD-D1037BF4D55B}" name="Cost" dataDxfId="921"/>
    <tableColumn id="8" xr3:uid="{B058DA95-72D9-4B79-9A62-1B5B131FB0A0}" name="Notes" dataDxfId="920"/>
    <tableColumn id="9" xr3:uid="{96C76D11-7498-48B6-96E5-567415BBE13F}" name="Column1" dataDxfId="919"/>
    <tableColumn id="10" xr3:uid="{A8A41C54-00B9-453E-BDC6-869342696C9E}" name="Missile" dataDxfId="918"/>
    <tableColumn id="11" xr3:uid="{570EE8F4-A84E-4194-B5F2-C4DB12CB26FD}" name="Index" dataDxfId="917"/>
    <tableColumn id="12" xr3:uid="{F281A17A-0734-45B5-BF43-8BECE256C55F}" name="1" dataDxfId="916"/>
    <tableColumn id="13" xr3:uid="{8CE19AFF-4F92-48DD-BACA-F4FB959153E2}" name="2" dataDxfId="915"/>
    <tableColumn id="14" xr3:uid="{E8476A3C-E5C3-4F6B-B4AF-6756108D8EC1}" name="3" dataDxfId="914"/>
    <tableColumn id="15" xr3:uid="{FEAECF50-8FB1-4B0C-AD43-D3D3E0DA0A48}" name="4" dataDxfId="913"/>
    <tableColumn id="16" xr3:uid="{37D54A7B-EE99-4D23-B486-B3219941CDE6}" name="5" dataDxfId="912"/>
    <tableColumn id="17" xr3:uid="{A70BE25E-7F17-433E-9CEB-BB4901D158DD}" name="6" dataDxfId="911"/>
    <tableColumn id="18" xr3:uid="{BB6B7334-175D-4FF1-8C79-0663F693CBBB}" name="7" dataDxfId="910"/>
    <tableColumn id="19" xr3:uid="{473E39B0-338D-44CE-8E02-246D7D58DDA1}" name="Mis/Torp" dataDxfId="90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B72DCE-171E-4DAC-91D4-A48D02268F4D}" name="Table5" displayName="Table5" ref="Z50:AN76" totalsRowShown="0" tableBorderDxfId="908">
  <autoFilter ref="Z50:AN76" xr:uid="{9129DBC3-A5ED-4A88-8610-804A6675FF0B}"/>
  <sortState xmlns:xlrd2="http://schemas.microsoft.com/office/spreadsheetml/2017/richdata2" ref="Z51:AN76">
    <sortCondition ref="Z50:Z76"/>
  </sortState>
  <tableColumns count="15">
    <tableColumn id="1" xr3:uid="{085BB592-7D59-4E1E-B9D6-E008104D8E55}" name="Weapon Modifications"/>
    <tableColumn id="2" xr3:uid="{AD5F8118-162E-4BA4-A9EA-7D097542C8F9}" name="TL"/>
    <tableColumn id="3" xr3:uid="{9388C624-75F0-452B-86C5-81AECA3EFA70}" name="PWR"/>
    <tableColumn id="4" xr3:uid="{6EA68A78-746F-4534-A731-7894B4226C01}" name="Tons"/>
    <tableColumn id="5" xr3:uid="{793AC449-FEFE-4AE7-8DC3-11ADBB1C13E8}" name="Cost"/>
    <tableColumn id="6" xr3:uid="{12BA8B33-346D-4683-B896-1AAD447E5855}" name="Notes"/>
    <tableColumn id="7" xr3:uid="{57F53C81-39EC-42B8-A5F6-C4BBDAA43CB8}" name="Column1"/>
    <tableColumn id="8" xr3:uid="{5E16F2BA-C26D-4B9B-A111-F637936D8217}" name="Column2"/>
    <tableColumn id="9" xr3:uid="{BFE4D1DA-5F5B-49F4-B0B1-D96A209942CE}" name="# Mods" dataDxfId="907"/>
    <tableColumn id="10" xr3:uid="{4F2D57C2-9EB6-4607-8328-38CEC7EDFC17}" name="Mod Name"/>
    <tableColumn id="11" xr3:uid="{ECEEA19E-389B-41FF-96DA-1FFFD73C91DC}" name="Column3"/>
    <tableColumn id="12" xr3:uid="{64EF6091-5CE9-4039-82F7-FD0801B7E5FA}" name="Column4"/>
    <tableColumn id="13" xr3:uid="{40AAEBC5-9836-474C-B0B7-1F5B8F203D3F}" name="Notes5"/>
    <tableColumn id="14" xr3:uid="{93E9008F-7B0D-4C99-AA0C-56E7D8AF265B}" name="Column6"/>
    <tableColumn id="15" xr3:uid="{38203A6F-706C-432A-B479-C0E2D8C5614A}" name="Column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5EA0A8-6DC8-4A7E-B7F3-D6085547366A}" name="Table6" displayName="Table6" ref="Z124:AH151" totalsRowShown="0" dataDxfId="906" tableBorderDxfId="905">
  <autoFilter ref="Z124:AH151" xr:uid="{A85EA0A8-6DC8-4A7E-B7F3-D6085547366A}"/>
  <sortState xmlns:xlrd2="http://schemas.microsoft.com/office/spreadsheetml/2017/richdata2" ref="Z125:AH151">
    <sortCondition ref="Z124:Z151"/>
  </sortState>
  <tableColumns count="9">
    <tableColumn id="1" xr3:uid="{4A4F84DF-F621-4136-A73C-61C5E42749D0}" name="Mod" dataDxfId="904"/>
    <tableColumn id="2" xr3:uid="{1CF94512-B535-4786-8982-F3223044A7E2}" name="TL" dataDxfId="903"/>
    <tableColumn id="3" xr3:uid="{CAF95523-0B5E-4392-85F7-2D332349DBE3}" name="PWR" dataDxfId="902"/>
    <tableColumn id="4" xr3:uid="{270154A6-A49A-415C-922D-C67A3C516C1B}" name="Tons" dataDxfId="901"/>
    <tableColumn id="5" xr3:uid="{DCA0F4F2-A271-4399-A3B4-F23C0EB1FE49}" name="Cost" dataDxfId="900"/>
    <tableColumn id="6" xr3:uid="{CA115E9A-809D-4C8B-9FB6-ADFC805B72EB}" name="Notes" dataDxfId="899"/>
    <tableColumn id="7" xr3:uid="{8A07A007-7B21-43E0-AC38-8AEEF0BB9FA5}" name="#Mods" dataDxfId="898"/>
    <tableColumn id="8" xr3:uid="{E741371F-925E-4CF1-B38E-A4613D251C2D}" name="Mod Name" dataDxfId="897"/>
    <tableColumn id="9" xr3:uid="{95B4E953-CDA9-4925-BDB5-B00256809E16}" name="SSD Notes" dataDxfId="89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743068-5C85-4037-B550-5E9AC84690AB}" name="Table7" displayName="Table7" ref="AZ1:AZ23" totalsRowShown="0" tableBorderDxfId="895">
  <autoFilter ref="AZ1:AZ23" xr:uid="{CA743068-5C85-4037-B550-5E9AC84690AB}"/>
  <tableColumns count="1">
    <tableColumn id="1" xr3:uid="{4643F4B0-5CF4-4174-8548-DF576533C007}" name="H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5412-DFA6-4A0C-8CDA-ECB37A532CC9}">
  <dimension ref="A1:L33"/>
  <sheetViews>
    <sheetView workbookViewId="0">
      <selection activeCell="A2" sqref="A2"/>
    </sheetView>
  </sheetViews>
  <sheetFormatPr defaultRowHeight="14.4" x14ac:dyDescent="0.3"/>
  <sheetData>
    <row r="1" spans="1:12" x14ac:dyDescent="0.3">
      <c r="A1" t="s">
        <v>2758</v>
      </c>
    </row>
    <row r="3" spans="1:12" x14ac:dyDescent="0.3">
      <c r="A3" t="s">
        <v>724</v>
      </c>
    </row>
    <row r="5" spans="1:12" x14ac:dyDescent="0.3">
      <c r="A5" t="s">
        <v>716</v>
      </c>
    </row>
    <row r="7" spans="1:12" x14ac:dyDescent="0.3">
      <c r="A7" t="s">
        <v>717</v>
      </c>
    </row>
    <row r="9" spans="1:12" x14ac:dyDescent="0.3">
      <c r="A9" t="s">
        <v>1127</v>
      </c>
    </row>
    <row r="10" spans="1:12" x14ac:dyDescent="0.3">
      <c r="A10" t="s">
        <v>1448</v>
      </c>
    </row>
    <row r="12" spans="1:12" x14ac:dyDescent="0.3">
      <c r="A12" s="57" t="s">
        <v>2217</v>
      </c>
      <c r="B12" s="57"/>
      <c r="C12" s="57"/>
      <c r="D12" s="57"/>
      <c r="E12" s="57"/>
      <c r="F12" s="57"/>
      <c r="G12" s="57"/>
      <c r="H12" s="57"/>
      <c r="I12" s="57"/>
      <c r="J12" s="57"/>
      <c r="K12" s="57"/>
      <c r="L12" s="57"/>
    </row>
    <row r="14" spans="1:12" x14ac:dyDescent="0.3">
      <c r="A14" t="s">
        <v>721</v>
      </c>
    </row>
    <row r="16" spans="1:12" x14ac:dyDescent="0.3">
      <c r="A16" t="s">
        <v>1713</v>
      </c>
    </row>
    <row r="17" spans="1:1" x14ac:dyDescent="0.3">
      <c r="A17" t="s">
        <v>1129</v>
      </c>
    </row>
    <row r="18" spans="1:1" x14ac:dyDescent="0.3">
      <c r="A18" t="s">
        <v>1128</v>
      </c>
    </row>
    <row r="19" spans="1:1" x14ac:dyDescent="0.3">
      <c r="A19" t="s">
        <v>1581</v>
      </c>
    </row>
    <row r="21" spans="1:1" x14ac:dyDescent="0.3">
      <c r="A21" t="s">
        <v>718</v>
      </c>
    </row>
    <row r="23" spans="1:1" x14ac:dyDescent="0.3">
      <c r="A23" t="s">
        <v>719</v>
      </c>
    </row>
    <row r="25" spans="1:1" x14ac:dyDescent="0.3">
      <c r="A25" t="s">
        <v>728</v>
      </c>
    </row>
    <row r="27" spans="1:1" x14ac:dyDescent="0.3">
      <c r="A27" t="s">
        <v>720</v>
      </c>
    </row>
    <row r="29" spans="1:1" x14ac:dyDescent="0.3">
      <c r="A29" t="s">
        <v>2697</v>
      </c>
    </row>
    <row r="30" spans="1:1" x14ac:dyDescent="0.3">
      <c r="A30" t="s">
        <v>722</v>
      </c>
    </row>
    <row r="32" spans="1:1" x14ac:dyDescent="0.3">
      <c r="A32" t="s">
        <v>1119</v>
      </c>
    </row>
    <row r="33" spans="1:1" x14ac:dyDescent="0.3">
      <c r="A33" t="s">
        <v>1183</v>
      </c>
    </row>
  </sheetData>
  <sheetProtection algorithmName="SHA-512" hashValue="20ypDubHVKGPx+iuXkHJgULom531Ou4WeE9bQKO1gC90xj/VwZ3ApXshj+dtrS5kM4ENZPSgeCj0Qoy5zpg20Q==" saltValue="vucg42ZM2zeWHMp56HRuBg==" spinCount="100000" sheet="1" select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AA55-472A-486A-95B9-2B0AF51E1E20}">
  <dimension ref="A1:N58"/>
  <sheetViews>
    <sheetView tabSelected="1" workbookViewId="0">
      <selection activeCell="A20" sqref="A20"/>
    </sheetView>
  </sheetViews>
  <sheetFormatPr defaultRowHeight="14.4" x14ac:dyDescent="0.3"/>
  <cols>
    <col min="1" max="1" width="30.6640625" customWidth="1"/>
    <col min="2" max="2" width="27" customWidth="1"/>
    <col min="3" max="3" width="21.88671875" customWidth="1"/>
    <col min="4" max="4" width="19" customWidth="1"/>
    <col min="5" max="5" width="18.109375" bestFit="1" customWidth="1"/>
    <col min="6" max="6" width="13.6640625" bestFit="1" customWidth="1"/>
    <col min="7" max="7" width="16" customWidth="1"/>
    <col min="8" max="8" width="18.109375" bestFit="1" customWidth="1"/>
    <col min="9" max="9" width="12.6640625" customWidth="1"/>
    <col min="10" max="10" width="19" bestFit="1" customWidth="1"/>
    <col min="11" max="11" width="19.33203125" bestFit="1" customWidth="1"/>
    <col min="12" max="12" width="18.88671875" bestFit="1" customWidth="1"/>
  </cols>
  <sheetData>
    <row r="1" spans="1:14" ht="18" x14ac:dyDescent="0.35">
      <c r="A1" s="720" t="s">
        <v>3395</v>
      </c>
      <c r="B1" s="721"/>
      <c r="C1" s="721"/>
      <c r="D1" s="721"/>
      <c r="E1" s="721"/>
      <c r="F1" s="721"/>
      <c r="G1" s="721"/>
      <c r="H1" s="721"/>
    </row>
    <row r="3" spans="1:14" ht="15.6" x14ac:dyDescent="0.3">
      <c r="A3" s="692" t="s">
        <v>3394</v>
      </c>
    </row>
    <row r="4" spans="1:14" x14ac:dyDescent="0.3">
      <c r="A4" s="691" t="s">
        <v>3393</v>
      </c>
      <c r="B4" s="691" t="s">
        <v>3392</v>
      </c>
      <c r="C4" s="691" t="s">
        <v>3391</v>
      </c>
      <c r="D4" s="691" t="s">
        <v>3390</v>
      </c>
      <c r="E4" s="691" t="s">
        <v>3389</v>
      </c>
      <c r="F4" s="691" t="s">
        <v>3388</v>
      </c>
      <c r="H4" s="691"/>
      <c r="I4" s="691"/>
      <c r="J4" s="691"/>
      <c r="K4" s="691"/>
      <c r="L4" s="691"/>
      <c r="M4" s="691"/>
      <c r="N4" s="691"/>
    </row>
    <row r="5" spans="1:14" x14ac:dyDescent="0.3">
      <c r="A5" t="s">
        <v>3349</v>
      </c>
      <c r="B5">
        <v>0</v>
      </c>
      <c r="C5">
        <v>0.01</v>
      </c>
      <c r="D5">
        <f>B5*C5</f>
        <v>0</v>
      </c>
      <c r="E5">
        <v>0.1</v>
      </c>
      <c r="F5">
        <f>E5*B5</f>
        <v>0</v>
      </c>
    </row>
    <row r="6" spans="1:14" x14ac:dyDescent="0.3">
      <c r="A6" t="s">
        <v>3387</v>
      </c>
      <c r="B6">
        <v>0</v>
      </c>
      <c r="C6">
        <v>2.5000000000000001E-2</v>
      </c>
      <c r="D6">
        <f>B6*C6</f>
        <v>0</v>
      </c>
      <c r="E6">
        <v>0.01</v>
      </c>
      <c r="F6">
        <f>E6*B6</f>
        <v>0</v>
      </c>
    </row>
    <row r="7" spans="1:14" x14ac:dyDescent="0.3">
      <c r="A7" t="s">
        <v>3386</v>
      </c>
      <c r="B7">
        <v>0</v>
      </c>
      <c r="C7">
        <v>1E-3</v>
      </c>
      <c r="D7">
        <f>B7*C7</f>
        <v>0</v>
      </c>
      <c r="E7">
        <v>0.1</v>
      </c>
      <c r="F7">
        <f>E7*B7</f>
        <v>0</v>
      </c>
    </row>
    <row r="9" spans="1:14" ht="15.6" x14ac:dyDescent="0.3">
      <c r="A9" s="692" t="s">
        <v>3385</v>
      </c>
    </row>
    <row r="10" spans="1:14" x14ac:dyDescent="0.3">
      <c r="A10" s="691" t="s">
        <v>3384</v>
      </c>
      <c r="B10" s="691" t="s">
        <v>3353</v>
      </c>
      <c r="C10" s="691" t="s">
        <v>2</v>
      </c>
      <c r="D10" s="691" t="s">
        <v>3491</v>
      </c>
      <c r="E10" s="691" t="s">
        <v>3379</v>
      </c>
      <c r="F10" s="691" t="s">
        <v>3383</v>
      </c>
      <c r="G10" s="691" t="s">
        <v>3382</v>
      </c>
      <c r="H10" s="691" t="s">
        <v>3381</v>
      </c>
      <c r="I10" s="691" t="s">
        <v>3380</v>
      </c>
      <c r="K10" s="719" t="s">
        <v>3367</v>
      </c>
    </row>
    <row r="11" spans="1:14" x14ac:dyDescent="0.3">
      <c r="K11" t="s">
        <v>3366</v>
      </c>
    </row>
    <row r="12" spans="1:14" x14ac:dyDescent="0.3">
      <c r="K12" t="s">
        <v>3365</v>
      </c>
    </row>
    <row r="13" spans="1:14" x14ac:dyDescent="0.3">
      <c r="K13" t="s">
        <v>880</v>
      </c>
    </row>
    <row r="14" spans="1:14" x14ac:dyDescent="0.3">
      <c r="K14" t="s">
        <v>19</v>
      </c>
    </row>
    <row r="15" spans="1:14" x14ac:dyDescent="0.3">
      <c r="K15" t="s">
        <v>1538</v>
      </c>
    </row>
    <row r="16" spans="1:14" ht="15.6" x14ac:dyDescent="0.3">
      <c r="A16" s="692" t="s">
        <v>3378</v>
      </c>
      <c r="K16" t="s">
        <v>1290</v>
      </c>
    </row>
    <row r="17" spans="1:11" x14ac:dyDescent="0.3">
      <c r="A17" t="s">
        <v>3377</v>
      </c>
      <c r="B17" t="s">
        <v>3376</v>
      </c>
      <c r="C17" t="s">
        <v>3375</v>
      </c>
      <c r="D17" t="s">
        <v>3374</v>
      </c>
    </row>
    <row r="18" spans="1:11" x14ac:dyDescent="0.3">
      <c r="A18" t="s">
        <v>3373</v>
      </c>
      <c r="B18" t="s">
        <v>3485</v>
      </c>
      <c r="C18" t="s">
        <v>3487</v>
      </c>
      <c r="D18" t="s">
        <v>3489</v>
      </c>
    </row>
    <row r="19" spans="1:11" x14ac:dyDescent="0.3">
      <c r="A19" t="s">
        <v>3492</v>
      </c>
      <c r="B19" t="s">
        <v>3486</v>
      </c>
      <c r="C19" t="s">
        <v>3488</v>
      </c>
      <c r="D19" t="s">
        <v>3490</v>
      </c>
    </row>
    <row r="21" spans="1:11" ht="15.6" x14ac:dyDescent="0.3">
      <c r="A21" s="692" t="s">
        <v>3372</v>
      </c>
    </row>
    <row r="22" spans="1:11" x14ac:dyDescent="0.3">
      <c r="A22" s="691" t="s">
        <v>3371</v>
      </c>
      <c r="B22" s="691" t="s">
        <v>3370</v>
      </c>
      <c r="C22" s="691" t="s">
        <v>3369</v>
      </c>
      <c r="D22" s="691" t="s">
        <v>3397</v>
      </c>
      <c r="E22" s="691"/>
    </row>
    <row r="23" spans="1:11" x14ac:dyDescent="0.3">
      <c r="A23" t="s">
        <v>3368</v>
      </c>
      <c r="B23" s="693">
        <v>0</v>
      </c>
      <c r="C23" t="s">
        <v>3396</v>
      </c>
      <c r="D23">
        <v>0.1</v>
      </c>
    </row>
    <row r="24" spans="1:11" x14ac:dyDescent="0.3">
      <c r="A24" t="s">
        <v>3367</v>
      </c>
      <c r="B24" s="693">
        <v>0.15</v>
      </c>
      <c r="C24">
        <v>-4</v>
      </c>
      <c r="D24">
        <v>0.25</v>
      </c>
      <c r="H24">
        <v>0.1</v>
      </c>
      <c r="I24">
        <v>0.3</v>
      </c>
      <c r="J24">
        <v>0.6</v>
      </c>
      <c r="K24">
        <v>0.8</v>
      </c>
    </row>
    <row r="25" spans="1:11" x14ac:dyDescent="0.3">
      <c r="A25" t="s">
        <v>3366</v>
      </c>
      <c r="B25" s="693">
        <v>0.4</v>
      </c>
      <c r="C25">
        <v>-3</v>
      </c>
      <c r="D25">
        <v>0.5</v>
      </c>
      <c r="H25">
        <v>0.11</v>
      </c>
      <c r="I25">
        <v>0.31</v>
      </c>
      <c r="J25">
        <v>0.61</v>
      </c>
      <c r="K25">
        <v>0.81</v>
      </c>
    </row>
    <row r="26" spans="1:11" x14ac:dyDescent="0.3">
      <c r="A26" t="s">
        <v>3365</v>
      </c>
      <c r="B26" s="693">
        <v>0.65</v>
      </c>
      <c r="C26">
        <v>-2</v>
      </c>
      <c r="D26">
        <v>0.75</v>
      </c>
      <c r="H26">
        <v>0.12</v>
      </c>
      <c r="I26">
        <v>0.32</v>
      </c>
      <c r="J26">
        <v>0.62</v>
      </c>
      <c r="K26">
        <v>0.82</v>
      </c>
    </row>
    <row r="27" spans="1:11" x14ac:dyDescent="0.3">
      <c r="A27" t="s">
        <v>880</v>
      </c>
      <c r="B27" s="693">
        <v>0.85</v>
      </c>
      <c r="C27">
        <v>-1</v>
      </c>
      <c r="D27">
        <v>1</v>
      </c>
      <c r="H27">
        <v>0.13</v>
      </c>
      <c r="I27">
        <v>0.33</v>
      </c>
      <c r="J27">
        <v>0.63</v>
      </c>
      <c r="K27">
        <v>0.83</v>
      </c>
    </row>
    <row r="28" spans="1:11" x14ac:dyDescent="0.3">
      <c r="A28" t="s">
        <v>19</v>
      </c>
      <c r="B28" s="693">
        <v>1</v>
      </c>
      <c r="C28">
        <v>0</v>
      </c>
      <c r="D28">
        <v>1.5</v>
      </c>
      <c r="H28">
        <v>0.14000000000000001</v>
      </c>
      <c r="I28">
        <v>0.34</v>
      </c>
      <c r="J28">
        <v>0.64</v>
      </c>
      <c r="K28">
        <v>0.84</v>
      </c>
    </row>
    <row r="29" spans="1:11" x14ac:dyDescent="0.3">
      <c r="A29" t="s">
        <v>1538</v>
      </c>
      <c r="B29" s="693">
        <v>1.2</v>
      </c>
      <c r="C29">
        <v>1</v>
      </c>
      <c r="D29">
        <v>2.5</v>
      </c>
      <c r="H29">
        <v>0.15</v>
      </c>
      <c r="I29">
        <v>0.35</v>
      </c>
      <c r="J29">
        <v>0.65</v>
      </c>
      <c r="K29">
        <v>0.85</v>
      </c>
    </row>
    <row r="30" spans="1:11" x14ac:dyDescent="0.3">
      <c r="A30" t="s">
        <v>3363</v>
      </c>
      <c r="B30" s="693">
        <v>1.5</v>
      </c>
      <c r="C30">
        <v>2</v>
      </c>
      <c r="H30">
        <v>0.16</v>
      </c>
      <c r="I30">
        <v>0.36</v>
      </c>
      <c r="J30">
        <v>0.66</v>
      </c>
      <c r="K30">
        <v>0.86</v>
      </c>
    </row>
    <row r="31" spans="1:11" x14ac:dyDescent="0.3">
      <c r="H31">
        <v>0.17</v>
      </c>
      <c r="I31">
        <v>0.37</v>
      </c>
      <c r="J31">
        <v>0.67</v>
      </c>
      <c r="K31">
        <v>0.87</v>
      </c>
    </row>
    <row r="32" spans="1:11" x14ac:dyDescent="0.3">
      <c r="A32" t="s">
        <v>3362</v>
      </c>
      <c r="B32" t="s">
        <v>3361</v>
      </c>
      <c r="H32">
        <v>0.18</v>
      </c>
      <c r="I32">
        <v>0.38</v>
      </c>
      <c r="J32">
        <v>0.68</v>
      </c>
      <c r="K32">
        <v>0.88</v>
      </c>
    </row>
    <row r="33" spans="1:11" x14ac:dyDescent="0.3">
      <c r="A33" t="s">
        <v>3360</v>
      </c>
      <c r="B33" t="s">
        <v>3359</v>
      </c>
      <c r="H33">
        <v>0.19</v>
      </c>
      <c r="I33">
        <v>0.39</v>
      </c>
      <c r="J33">
        <v>0.69</v>
      </c>
      <c r="K33">
        <v>0.89</v>
      </c>
    </row>
    <row r="34" spans="1:11" x14ac:dyDescent="0.3">
      <c r="H34">
        <v>0.2</v>
      </c>
      <c r="I34">
        <v>0.4</v>
      </c>
      <c r="J34">
        <v>0.7</v>
      </c>
      <c r="K34">
        <v>0.9</v>
      </c>
    </row>
    <row r="35" spans="1:11" x14ac:dyDescent="0.3">
      <c r="I35">
        <v>0.41</v>
      </c>
    </row>
    <row r="36" spans="1:11" ht="15.6" x14ac:dyDescent="0.3">
      <c r="A36" s="690" t="s">
        <v>3358</v>
      </c>
      <c r="I36">
        <v>0.42</v>
      </c>
    </row>
    <row r="37" spans="1:11" x14ac:dyDescent="0.3">
      <c r="A37" s="3" t="s">
        <v>3353</v>
      </c>
      <c r="B37" s="3" t="s">
        <v>3352</v>
      </c>
      <c r="C37" s="3" t="s">
        <v>3351</v>
      </c>
      <c r="D37" s="3" t="s">
        <v>3350</v>
      </c>
      <c r="I37">
        <v>0.43</v>
      </c>
    </row>
    <row r="38" spans="1:11" x14ac:dyDescent="0.3">
      <c r="A38" t="s">
        <v>3349</v>
      </c>
      <c r="B38" t="s">
        <v>3348</v>
      </c>
      <c r="C38" t="s">
        <v>1104</v>
      </c>
      <c r="D38" t="s">
        <v>317</v>
      </c>
      <c r="I38">
        <v>0.44</v>
      </c>
    </row>
    <row r="39" spans="1:11" x14ac:dyDescent="0.3">
      <c r="A39" t="s">
        <v>3347</v>
      </c>
      <c r="B39" t="s">
        <v>3346</v>
      </c>
      <c r="C39" t="s">
        <v>1104</v>
      </c>
      <c r="D39" t="s">
        <v>317</v>
      </c>
      <c r="I39">
        <v>0.45</v>
      </c>
    </row>
    <row r="40" spans="1:11" x14ac:dyDescent="0.3">
      <c r="A40" t="s">
        <v>3344</v>
      </c>
      <c r="B40" t="s">
        <v>71</v>
      </c>
      <c r="C40" t="s">
        <v>317</v>
      </c>
      <c r="D40" t="s">
        <v>3357</v>
      </c>
      <c r="I40">
        <v>0.46</v>
      </c>
    </row>
    <row r="41" spans="1:11" x14ac:dyDescent="0.3">
      <c r="A41" t="s">
        <v>3343</v>
      </c>
      <c r="B41" t="s">
        <v>63</v>
      </c>
      <c r="C41" t="s">
        <v>3356</v>
      </c>
      <c r="D41" t="s">
        <v>323</v>
      </c>
      <c r="I41">
        <v>0.47</v>
      </c>
    </row>
    <row r="42" spans="1:11" x14ac:dyDescent="0.3">
      <c r="A42" t="s">
        <v>939</v>
      </c>
      <c r="B42" t="s">
        <v>805</v>
      </c>
      <c r="C42" t="s">
        <v>1488</v>
      </c>
      <c r="D42" t="s">
        <v>319</v>
      </c>
      <c r="I42">
        <v>0.48</v>
      </c>
    </row>
    <row r="43" spans="1:11" x14ac:dyDescent="0.3">
      <c r="I43">
        <v>0.49</v>
      </c>
    </row>
    <row r="44" spans="1:11" ht="15.6" x14ac:dyDescent="0.3">
      <c r="A44" s="690" t="s">
        <v>3355</v>
      </c>
      <c r="I44">
        <v>0.5</v>
      </c>
    </row>
    <row r="45" spans="1:11" x14ac:dyDescent="0.3">
      <c r="A45" s="3" t="s">
        <v>3353</v>
      </c>
      <c r="B45" s="3" t="s">
        <v>3352</v>
      </c>
      <c r="C45" s="3" t="s">
        <v>3351</v>
      </c>
      <c r="D45" s="3" t="s">
        <v>3350</v>
      </c>
    </row>
    <row r="46" spans="1:11" x14ac:dyDescent="0.3">
      <c r="A46" t="s">
        <v>3349</v>
      </c>
      <c r="B46" t="s">
        <v>3348</v>
      </c>
      <c r="C46">
        <v>0</v>
      </c>
      <c r="D46">
        <v>0</v>
      </c>
    </row>
    <row r="47" spans="1:11" x14ac:dyDescent="0.3">
      <c r="A47" t="s">
        <v>3347</v>
      </c>
      <c r="B47" t="s">
        <v>3346</v>
      </c>
      <c r="C47">
        <v>0</v>
      </c>
      <c r="D47">
        <v>0</v>
      </c>
    </row>
    <row r="48" spans="1:11" x14ac:dyDescent="0.3">
      <c r="A48" t="s">
        <v>3344</v>
      </c>
      <c r="B48" t="s">
        <v>71</v>
      </c>
      <c r="C48" t="s">
        <v>323</v>
      </c>
      <c r="D48" t="s">
        <v>317</v>
      </c>
    </row>
    <row r="49" spans="1:4" x14ac:dyDescent="0.3">
      <c r="A49" t="s">
        <v>3343</v>
      </c>
      <c r="B49" t="s">
        <v>63</v>
      </c>
      <c r="C49" t="s">
        <v>319</v>
      </c>
      <c r="D49" t="s">
        <v>323</v>
      </c>
    </row>
    <row r="50" spans="1:4" x14ac:dyDescent="0.3">
      <c r="A50" t="s">
        <v>939</v>
      </c>
      <c r="B50" t="s">
        <v>805</v>
      </c>
      <c r="C50" t="s">
        <v>1488</v>
      </c>
      <c r="D50" t="s">
        <v>319</v>
      </c>
    </row>
    <row r="52" spans="1:4" ht="15.6" x14ac:dyDescent="0.3">
      <c r="A52" s="690" t="s">
        <v>3354</v>
      </c>
    </row>
    <row r="53" spans="1:4" x14ac:dyDescent="0.3">
      <c r="A53" s="3" t="s">
        <v>3353</v>
      </c>
      <c r="B53" s="3" t="s">
        <v>3352</v>
      </c>
      <c r="C53" s="3" t="s">
        <v>3351</v>
      </c>
      <c r="D53" s="3" t="s">
        <v>3350</v>
      </c>
    </row>
    <row r="54" spans="1:4" x14ac:dyDescent="0.3">
      <c r="A54" t="s">
        <v>3349</v>
      </c>
      <c r="B54" t="s">
        <v>3348</v>
      </c>
      <c r="C54">
        <v>0</v>
      </c>
      <c r="D54">
        <v>0</v>
      </c>
    </row>
    <row r="55" spans="1:4" x14ac:dyDescent="0.3">
      <c r="A55" t="s">
        <v>3347</v>
      </c>
      <c r="B55" t="s">
        <v>3346</v>
      </c>
      <c r="C55" t="s">
        <v>3345</v>
      </c>
      <c r="D55" t="s">
        <v>323</v>
      </c>
    </row>
    <row r="56" spans="1:4" x14ac:dyDescent="0.3">
      <c r="A56" t="s">
        <v>3344</v>
      </c>
      <c r="B56" t="s">
        <v>71</v>
      </c>
      <c r="C56" t="s">
        <v>323</v>
      </c>
      <c r="D56" t="s">
        <v>317</v>
      </c>
    </row>
    <row r="57" spans="1:4" x14ac:dyDescent="0.3">
      <c r="A57" t="s">
        <v>3343</v>
      </c>
      <c r="B57" t="s">
        <v>63</v>
      </c>
      <c r="C57" t="s">
        <v>1104</v>
      </c>
      <c r="D57" t="s">
        <v>317</v>
      </c>
    </row>
    <row r="58" spans="1:4" x14ac:dyDescent="0.3">
      <c r="A58" t="s">
        <v>939</v>
      </c>
      <c r="B58" t="s">
        <v>805</v>
      </c>
      <c r="C58">
        <v>0</v>
      </c>
      <c r="D58">
        <v>0</v>
      </c>
    </row>
  </sheetData>
  <mergeCells count="1">
    <mergeCell ref="A1:H1"/>
  </mergeCells>
  <dataValidations count="5">
    <dataValidation type="list" allowBlank="1" showInputMessage="1" showErrorMessage="1" sqref="B24" xr:uid="{F8D75E2B-B426-46CA-BE0D-63467C025D49}">
      <formula1>$H$24:$H$34</formula1>
    </dataValidation>
    <dataValidation type="list" allowBlank="1" showInputMessage="1" showErrorMessage="1" sqref="B25" xr:uid="{DCBE98DE-8E70-44B6-8751-8AC4C04C1453}">
      <formula1>$I$24:$I$44</formula1>
    </dataValidation>
    <dataValidation type="list" allowBlank="1" showInputMessage="1" showErrorMessage="1" sqref="B26" xr:uid="{F7C8996E-996D-4042-8CFF-6036EDF99F78}">
      <formula1>$J$24:$J$34</formula1>
    </dataValidation>
    <dataValidation type="list" allowBlank="1" showInputMessage="1" showErrorMessage="1" sqref="B27" xr:uid="{0FC102EE-B43C-4935-BD36-93B1096480E7}">
      <formula1>$K$24:$K$34</formula1>
    </dataValidation>
    <dataValidation type="list" allowBlank="1" showInputMessage="1" showErrorMessage="1" sqref="D11:E14" xr:uid="{941DF207-74FA-4D19-9F54-332E8F67F673}">
      <formula1>$K$10:$K$16</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45A0-7984-4DAC-8A6C-2DE74DB7A316}">
  <dimension ref="A1:Q65"/>
  <sheetViews>
    <sheetView workbookViewId="0">
      <selection activeCell="B40" sqref="B40"/>
    </sheetView>
  </sheetViews>
  <sheetFormatPr defaultRowHeight="14.4" x14ac:dyDescent="0.3"/>
  <cols>
    <col min="1" max="1" width="25" customWidth="1"/>
    <col min="2" max="2" width="15" customWidth="1"/>
    <col min="3" max="3" width="18" customWidth="1"/>
    <col min="4" max="4" width="35" customWidth="1"/>
    <col min="5" max="5" width="18" customWidth="1"/>
  </cols>
  <sheetData>
    <row r="1" spans="1:17" ht="18" x14ac:dyDescent="0.3">
      <c r="A1" s="722" t="s">
        <v>3479</v>
      </c>
      <c r="B1" s="721"/>
      <c r="C1" s="721"/>
      <c r="D1" s="721"/>
      <c r="E1" s="721"/>
      <c r="F1" s="721"/>
      <c r="G1" s="721"/>
      <c r="H1" s="721"/>
      <c r="I1" s="721"/>
      <c r="J1" s="721"/>
      <c r="K1" s="721"/>
    </row>
    <row r="2" spans="1:17" x14ac:dyDescent="0.3">
      <c r="A2" s="727" t="s">
        <v>3478</v>
      </c>
      <c r="B2" s="721"/>
      <c r="C2" s="721"/>
      <c r="D2" s="721"/>
      <c r="E2" s="721"/>
      <c r="F2" s="721"/>
      <c r="G2" s="721"/>
      <c r="H2" s="721"/>
      <c r="I2" s="721"/>
      <c r="J2" s="721"/>
      <c r="K2" s="721"/>
    </row>
    <row r="4" spans="1:17" x14ac:dyDescent="0.3">
      <c r="A4" s="725" t="s">
        <v>3477</v>
      </c>
      <c r="B4" s="721"/>
      <c r="C4" s="721"/>
      <c r="D4" s="721"/>
      <c r="E4" s="721"/>
      <c r="F4" s="721"/>
      <c r="G4" s="721"/>
      <c r="H4" s="721"/>
      <c r="I4" s="721"/>
      <c r="J4" s="721"/>
      <c r="K4" s="721"/>
    </row>
    <row r="5" spans="1:17" x14ac:dyDescent="0.3">
      <c r="A5" s="718" t="s">
        <v>3393</v>
      </c>
      <c r="B5" s="718" t="s">
        <v>3476</v>
      </c>
      <c r="C5" s="718" t="s">
        <v>3475</v>
      </c>
      <c r="D5" s="718" t="s">
        <v>3474</v>
      </c>
      <c r="E5" s="718" t="s">
        <v>3473</v>
      </c>
    </row>
    <row r="6" spans="1:17" x14ac:dyDescent="0.3">
      <c r="A6" s="717" t="s">
        <v>3349</v>
      </c>
      <c r="B6" s="716">
        <v>0</v>
      </c>
      <c r="C6" s="715">
        <v>10000</v>
      </c>
      <c r="D6" s="714">
        <v>0.1</v>
      </c>
      <c r="E6" s="713">
        <f>B6*C6</f>
        <v>0</v>
      </c>
    </row>
    <row r="7" spans="1:17" x14ac:dyDescent="0.3">
      <c r="A7" s="717" t="s">
        <v>3387</v>
      </c>
      <c r="B7" s="716">
        <v>0</v>
      </c>
      <c r="C7" s="715">
        <v>25000</v>
      </c>
      <c r="D7" s="714">
        <v>0.01</v>
      </c>
      <c r="E7" s="713">
        <f>B7*C7</f>
        <v>0</v>
      </c>
    </row>
    <row r="8" spans="1:17" x14ac:dyDescent="0.3">
      <c r="A8" s="717" t="s">
        <v>3386</v>
      </c>
      <c r="B8" s="716">
        <v>0</v>
      </c>
      <c r="C8" s="715">
        <v>1000</v>
      </c>
      <c r="D8" s="714">
        <v>0.1</v>
      </c>
      <c r="E8" s="713">
        <f>B8*C8</f>
        <v>0</v>
      </c>
    </row>
    <row r="9" spans="1:17" x14ac:dyDescent="0.3">
      <c r="A9" s="723" t="s">
        <v>3472</v>
      </c>
      <c r="B9" s="721"/>
      <c r="C9" s="721"/>
      <c r="D9" s="721"/>
      <c r="E9" s="712">
        <f>SUM(E6:E8)</f>
        <v>0</v>
      </c>
    </row>
    <row r="11" spans="1:17" x14ac:dyDescent="0.3">
      <c r="A11" s="728" t="s">
        <v>3471</v>
      </c>
      <c r="B11" s="721"/>
      <c r="C11" s="721"/>
      <c r="D11" s="721"/>
      <c r="E11" s="721"/>
      <c r="F11" s="721"/>
      <c r="G11" s="721"/>
      <c r="H11" s="721"/>
      <c r="I11" s="721"/>
      <c r="J11" s="721"/>
      <c r="K11" s="721"/>
      <c r="M11" t="s">
        <v>3349</v>
      </c>
      <c r="O11" t="s">
        <v>3367</v>
      </c>
      <c r="Q11" t="s">
        <v>3481</v>
      </c>
    </row>
    <row r="12" spans="1:17" x14ac:dyDescent="0.3">
      <c r="A12" s="696" t="s">
        <v>3470</v>
      </c>
      <c r="B12" s="695" t="s">
        <v>3349</v>
      </c>
      <c r="D12" s="694" t="s">
        <v>3469</v>
      </c>
      <c r="M12" t="s">
        <v>3347</v>
      </c>
      <c r="O12" t="s">
        <v>3366</v>
      </c>
      <c r="Q12" t="s">
        <v>3482</v>
      </c>
    </row>
    <row r="13" spans="1:17" x14ac:dyDescent="0.3">
      <c r="A13" s="696" t="s">
        <v>3468</v>
      </c>
      <c r="B13" s="711">
        <v>10</v>
      </c>
      <c r="D13" t="s">
        <v>521</v>
      </c>
      <c r="M13" t="s">
        <v>3344</v>
      </c>
      <c r="O13" t="s">
        <v>3365</v>
      </c>
    </row>
    <row r="14" spans="1:17" x14ac:dyDescent="0.3">
      <c r="A14" s="696" t="s">
        <v>3467</v>
      </c>
      <c r="B14" s="695" t="s">
        <v>3365</v>
      </c>
      <c r="D14" s="694" t="s">
        <v>3466</v>
      </c>
      <c r="M14" t="s">
        <v>3343</v>
      </c>
      <c r="O14" t="s">
        <v>880</v>
      </c>
    </row>
    <row r="15" spans="1:17" x14ac:dyDescent="0.3">
      <c r="A15" s="696" t="s">
        <v>3480</v>
      </c>
      <c r="B15" s="695" t="s">
        <v>3481</v>
      </c>
      <c r="D15" s="694"/>
      <c r="M15" t="s">
        <v>939</v>
      </c>
      <c r="O15" t="s">
        <v>19</v>
      </c>
    </row>
    <row r="16" spans="1:17" x14ac:dyDescent="0.3">
      <c r="O16" t="s">
        <v>1538</v>
      </c>
    </row>
    <row r="17" spans="1:15" x14ac:dyDescent="0.3">
      <c r="A17" s="703" t="s">
        <v>3465</v>
      </c>
      <c r="B17" s="695" t="s">
        <v>503</v>
      </c>
      <c r="C17" t="s">
        <v>3483</v>
      </c>
      <c r="D17" s="694" t="s">
        <v>505</v>
      </c>
      <c r="O17" t="s">
        <v>1290</v>
      </c>
    </row>
    <row r="18" spans="1:15" x14ac:dyDescent="0.3">
      <c r="A18" s="702" t="s">
        <v>3464</v>
      </c>
      <c r="B18" s="700" t="e">
        <f>B12*10</f>
        <v>#VALUE!</v>
      </c>
      <c r="C18" s="700">
        <f t="shared" ref="C18:D18" si="0">C12*10</f>
        <v>0</v>
      </c>
      <c r="D18" s="700" t="e">
        <f t="shared" si="0"/>
        <v>#VALUE!</v>
      </c>
    </row>
    <row r="19" spans="1:15" x14ac:dyDescent="0.3">
      <c r="A19" s="702" t="s">
        <v>3463</v>
      </c>
      <c r="B19" s="700" t="e">
        <f>B12*5</f>
        <v>#VALUE!</v>
      </c>
      <c r="C19" s="700">
        <f t="shared" ref="C19:D19" si="1">C12*5</f>
        <v>0</v>
      </c>
      <c r="D19" s="700" t="e">
        <f t="shared" si="1"/>
        <v>#VALUE!</v>
      </c>
    </row>
    <row r="20" spans="1:15" x14ac:dyDescent="0.3">
      <c r="A20" s="702" t="s">
        <v>3462</v>
      </c>
      <c r="B20" s="700" t="e">
        <f>B12*2</f>
        <v>#VALUE!</v>
      </c>
      <c r="C20" s="700">
        <f t="shared" ref="C20:D20" si="2">C12*2</f>
        <v>0</v>
      </c>
      <c r="D20" s="700" t="e">
        <f t="shared" si="2"/>
        <v>#VALUE!</v>
      </c>
    </row>
    <row r="21" spans="1:15" x14ac:dyDescent="0.3">
      <c r="A21" s="696" t="s">
        <v>3461</v>
      </c>
      <c r="B21" s="701" t="e">
        <f>(B18*10000)+(B19*25000)+(B20*1000)</f>
        <v>#VALUE!</v>
      </c>
      <c r="C21" s="701">
        <f t="shared" ref="C21:D21" si="3">(C18*10000)+(C19*25000)+(C20*1000)</f>
        <v>0</v>
      </c>
      <c r="D21" s="701" t="e">
        <f t="shared" si="3"/>
        <v>#VALUE!</v>
      </c>
    </row>
    <row r="22" spans="1:15" x14ac:dyDescent="0.3">
      <c r="A22" s="696" t="s">
        <v>3460</v>
      </c>
      <c r="B22" s="710" t="s">
        <v>3459</v>
      </c>
    </row>
    <row r="24" spans="1:15" x14ac:dyDescent="0.3">
      <c r="A24" s="723" t="s">
        <v>3458</v>
      </c>
      <c r="B24" s="721"/>
      <c r="C24" s="721"/>
      <c r="D24" s="721"/>
      <c r="E24" s="721"/>
      <c r="F24" s="721"/>
      <c r="G24" s="721"/>
      <c r="H24" s="721"/>
      <c r="I24" s="721"/>
      <c r="J24" s="721"/>
      <c r="K24" s="721"/>
      <c r="M24" t="s">
        <v>3376</v>
      </c>
    </row>
    <row r="25" spans="1:15" x14ac:dyDescent="0.3">
      <c r="A25" s="696" t="s">
        <v>3457</v>
      </c>
      <c r="B25" s="695" t="s">
        <v>3375</v>
      </c>
      <c r="D25" s="724" t="s">
        <v>3456</v>
      </c>
      <c r="E25" s="721"/>
      <c r="F25" s="721"/>
      <c r="M25" t="s">
        <v>3484</v>
      </c>
    </row>
    <row r="26" spans="1:15" x14ac:dyDescent="0.3">
      <c r="A26" s="696" t="s">
        <v>3455</v>
      </c>
      <c r="B26" s="700">
        <f>(3*3+3)*10</f>
        <v>120</v>
      </c>
      <c r="D26" s="694" t="s">
        <v>3454</v>
      </c>
      <c r="M26" t="s">
        <v>3375</v>
      </c>
    </row>
    <row r="27" spans="1:15" x14ac:dyDescent="0.3">
      <c r="A27" s="696" t="s">
        <v>3453</v>
      </c>
      <c r="B27" s="709">
        <v>5</v>
      </c>
      <c r="D27" t="s">
        <v>3452</v>
      </c>
      <c r="M27" t="s">
        <v>3374</v>
      </c>
    </row>
    <row r="28" spans="1:15" x14ac:dyDescent="0.3">
      <c r="A28" s="696" t="s">
        <v>3451</v>
      </c>
      <c r="B28" s="708">
        <f>B26/(B27*2)</f>
        <v>12</v>
      </c>
      <c r="D28" s="694" t="s">
        <v>3450</v>
      </c>
    </row>
    <row r="29" spans="1:15" x14ac:dyDescent="0.3">
      <c r="A29" s="696" t="s">
        <v>3449</v>
      </c>
      <c r="B29" s="704">
        <v>2</v>
      </c>
      <c r="D29" t="s">
        <v>3448</v>
      </c>
    </row>
    <row r="31" spans="1:15" x14ac:dyDescent="0.3">
      <c r="A31" s="723" t="s">
        <v>3447</v>
      </c>
      <c r="B31" s="721"/>
      <c r="C31" s="721"/>
      <c r="D31" s="721"/>
      <c r="E31" s="721"/>
      <c r="F31" s="721"/>
      <c r="G31" s="721"/>
      <c r="H31" s="721"/>
      <c r="I31" s="721"/>
      <c r="J31" s="721"/>
      <c r="K31" s="721"/>
    </row>
    <row r="32" spans="1:15" x14ac:dyDescent="0.3">
      <c r="A32" s="696" t="s">
        <v>3446</v>
      </c>
      <c r="B32" s="704">
        <v>7</v>
      </c>
      <c r="D32" s="694" t="s">
        <v>3445</v>
      </c>
    </row>
    <row r="33" spans="1:11" x14ac:dyDescent="0.3">
      <c r="A33" s="696" t="s">
        <v>3444</v>
      </c>
      <c r="B33" s="705" t="str">
        <f>B25</f>
        <v>Basic Rig</v>
      </c>
      <c r="D33" s="694" t="s">
        <v>3443</v>
      </c>
    </row>
    <row r="34" spans="1:11" x14ac:dyDescent="0.3">
      <c r="A34" s="696" t="s">
        <v>3442</v>
      </c>
      <c r="B34" s="707" t="e">
        <f>B32+B33</f>
        <v>#VALUE!</v>
      </c>
    </row>
    <row r="35" spans="1:11" x14ac:dyDescent="0.3">
      <c r="A35" s="696" t="s">
        <v>3441</v>
      </c>
      <c r="B35" s="706" t="s">
        <v>3365</v>
      </c>
      <c r="D35" s="694" t="s">
        <v>3440</v>
      </c>
    </row>
    <row r="36" spans="1:11" x14ac:dyDescent="0.3">
      <c r="A36" s="696" t="s">
        <v>3439</v>
      </c>
      <c r="B36" s="698" t="s">
        <v>3364</v>
      </c>
      <c r="D36" s="694" t="s">
        <v>3438</v>
      </c>
    </row>
    <row r="37" spans="1:11" x14ac:dyDescent="0.3">
      <c r="A37" s="696" t="s">
        <v>3437</v>
      </c>
      <c r="B37" s="705">
        <v>-2</v>
      </c>
      <c r="D37" s="694" t="s">
        <v>3436</v>
      </c>
    </row>
    <row r="39" spans="1:11" x14ac:dyDescent="0.3">
      <c r="A39" s="723" t="s">
        <v>3435</v>
      </c>
      <c r="B39" s="721"/>
      <c r="C39" s="721"/>
      <c r="D39" s="721"/>
      <c r="E39" s="721"/>
      <c r="F39" s="721"/>
      <c r="G39" s="721"/>
      <c r="H39" s="721"/>
      <c r="I39" s="721"/>
      <c r="J39" s="721"/>
      <c r="K39" s="721"/>
    </row>
    <row r="40" spans="1:11" x14ac:dyDescent="0.3">
      <c r="A40" s="696" t="s">
        <v>3434</v>
      </c>
      <c r="B40" s="695" t="s">
        <v>3433</v>
      </c>
      <c r="D40" s="694" t="s">
        <v>3432</v>
      </c>
    </row>
    <row r="41" spans="1:11" x14ac:dyDescent="0.3">
      <c r="A41" s="696" t="s">
        <v>3431</v>
      </c>
      <c r="B41" s="704">
        <v>7</v>
      </c>
    </row>
    <row r="42" spans="1:11" x14ac:dyDescent="0.3">
      <c r="A42" s="696" t="s">
        <v>3430</v>
      </c>
      <c r="B42" s="698" t="s">
        <v>3366</v>
      </c>
      <c r="D42" s="694" t="s">
        <v>3429</v>
      </c>
    </row>
    <row r="43" spans="1:11" x14ac:dyDescent="0.3">
      <c r="A43" s="696" t="s">
        <v>3428</v>
      </c>
      <c r="B43" s="698" t="s">
        <v>3365</v>
      </c>
      <c r="D43" s="694" t="s">
        <v>3427</v>
      </c>
    </row>
    <row r="45" spans="1:11" x14ac:dyDescent="0.3">
      <c r="A45" s="723" t="s">
        <v>3426</v>
      </c>
      <c r="B45" s="721"/>
      <c r="C45" s="721"/>
      <c r="D45" s="721"/>
      <c r="E45" s="721"/>
      <c r="F45" s="721"/>
      <c r="G45" s="721"/>
      <c r="H45" s="721"/>
      <c r="I45" s="721"/>
      <c r="J45" s="721"/>
      <c r="K45" s="721"/>
    </row>
    <row r="46" spans="1:11" x14ac:dyDescent="0.3">
      <c r="A46" s="696" t="s">
        <v>3425</v>
      </c>
      <c r="B46" s="695" t="s">
        <v>3365</v>
      </c>
    </row>
    <row r="47" spans="1:11" x14ac:dyDescent="0.3">
      <c r="A47" s="696" t="s">
        <v>3424</v>
      </c>
      <c r="B47" s="695" t="s">
        <v>880</v>
      </c>
      <c r="D47" s="694" t="s">
        <v>3423</v>
      </c>
    </row>
    <row r="49" spans="1:11" x14ac:dyDescent="0.3">
      <c r="A49" s="703" t="s">
        <v>3422</v>
      </c>
    </row>
    <row r="50" spans="1:11" x14ac:dyDescent="0.3">
      <c r="A50" s="702" t="s">
        <v>3421</v>
      </c>
      <c r="B50" s="698">
        <v>50</v>
      </c>
    </row>
    <row r="51" spans="1:11" x14ac:dyDescent="0.3">
      <c r="A51" s="702" t="s">
        <v>3420</v>
      </c>
      <c r="B51" s="698">
        <v>25</v>
      </c>
    </row>
    <row r="52" spans="1:11" x14ac:dyDescent="0.3">
      <c r="A52" s="702" t="s">
        <v>3419</v>
      </c>
      <c r="B52" s="698">
        <v>10</v>
      </c>
    </row>
    <row r="53" spans="1:11" x14ac:dyDescent="0.3">
      <c r="A53" s="696" t="s">
        <v>3418</v>
      </c>
      <c r="B53" s="701">
        <f>(B50*10000)+(B51*25000)+(B52*1000)</f>
        <v>1135000</v>
      </c>
    </row>
    <row r="54" spans="1:11" x14ac:dyDescent="0.3">
      <c r="A54" s="696" t="s">
        <v>3417</v>
      </c>
      <c r="B54" s="700">
        <v>120</v>
      </c>
      <c r="D54" t="s">
        <v>3416</v>
      </c>
    </row>
    <row r="56" spans="1:11" x14ac:dyDescent="0.3">
      <c r="A56" s="723" t="s">
        <v>3415</v>
      </c>
      <c r="B56" s="721"/>
      <c r="C56" s="721"/>
      <c r="D56" s="721"/>
      <c r="E56" s="721"/>
      <c r="F56" s="721"/>
      <c r="G56" s="721"/>
      <c r="H56" s="721"/>
      <c r="I56" s="721"/>
      <c r="J56" s="721"/>
      <c r="K56" s="721"/>
    </row>
    <row r="57" spans="1:11" x14ac:dyDescent="0.3">
      <c r="A57" s="696" t="s">
        <v>3414</v>
      </c>
      <c r="B57" s="695" t="s">
        <v>3365</v>
      </c>
      <c r="D57" s="694" t="s">
        <v>3413</v>
      </c>
    </row>
    <row r="58" spans="1:11" x14ac:dyDescent="0.3">
      <c r="A58" s="696" t="s">
        <v>3412</v>
      </c>
      <c r="B58" s="698" t="s">
        <v>3411</v>
      </c>
      <c r="D58" s="694" t="s">
        <v>3410</v>
      </c>
    </row>
    <row r="59" spans="1:11" x14ac:dyDescent="0.3">
      <c r="A59" s="696" t="s">
        <v>3409</v>
      </c>
      <c r="B59" s="699" t="s">
        <v>3408</v>
      </c>
    </row>
    <row r="60" spans="1:11" x14ac:dyDescent="0.3">
      <c r="A60" s="696" t="s">
        <v>3407</v>
      </c>
      <c r="B60" s="698" t="s">
        <v>63</v>
      </c>
      <c r="D60" s="694" t="s">
        <v>3406</v>
      </c>
    </row>
    <row r="61" spans="1:11" x14ac:dyDescent="0.3">
      <c r="A61" s="696" t="s">
        <v>3405</v>
      </c>
      <c r="B61" s="697" t="s">
        <v>3404</v>
      </c>
      <c r="D61" s="694" t="s">
        <v>3403</v>
      </c>
    </row>
    <row r="63" spans="1:11" x14ac:dyDescent="0.3">
      <c r="A63" s="726" t="s">
        <v>3402</v>
      </c>
      <c r="B63" s="721"/>
      <c r="C63" s="721"/>
      <c r="D63" s="721"/>
      <c r="E63" s="721"/>
      <c r="F63" s="721"/>
      <c r="G63" s="721"/>
      <c r="H63" s="721"/>
      <c r="I63" s="721"/>
      <c r="J63" s="721"/>
      <c r="K63" s="721"/>
    </row>
    <row r="64" spans="1:11" x14ac:dyDescent="0.3">
      <c r="A64" s="696" t="s">
        <v>3362</v>
      </c>
      <c r="B64" s="695" t="s">
        <v>3401</v>
      </c>
      <c r="D64" s="694" t="s">
        <v>3400</v>
      </c>
    </row>
    <row r="65" spans="1:4" x14ac:dyDescent="0.3">
      <c r="A65" s="696" t="s">
        <v>3399</v>
      </c>
      <c r="B65" s="695" t="s">
        <v>504</v>
      </c>
      <c r="D65" s="694" t="s">
        <v>3398</v>
      </c>
    </row>
  </sheetData>
  <mergeCells count="12">
    <mergeCell ref="A63:K63"/>
    <mergeCell ref="A31:K31"/>
    <mergeCell ref="A56:K56"/>
    <mergeCell ref="A39:K39"/>
    <mergeCell ref="A2:K2"/>
    <mergeCell ref="A11:K11"/>
    <mergeCell ref="A45:K45"/>
    <mergeCell ref="A1:K1"/>
    <mergeCell ref="A24:K24"/>
    <mergeCell ref="D25:F25"/>
    <mergeCell ref="A9:D9"/>
    <mergeCell ref="A4:K4"/>
  </mergeCells>
  <dataValidations count="4">
    <dataValidation type="list" allowBlank="1" showInputMessage="1" showErrorMessage="1" sqref="B12" xr:uid="{39C07528-1B50-418E-9D4A-491A9AAF6E03}">
      <formula1>$M$11:$M$15</formula1>
    </dataValidation>
    <dataValidation type="list" allowBlank="1" showInputMessage="1" showErrorMessage="1" sqref="B14" xr:uid="{34D339AE-4901-4C54-9C54-9D4CB08125E6}">
      <formula1>$O$11:$O$17</formula1>
    </dataValidation>
    <dataValidation type="list" allowBlank="1" showInputMessage="1" showErrorMessage="1" sqref="B15" xr:uid="{3C20AA28-4AAC-4AFA-99E2-3C1667A9E4D1}">
      <formula1>$Q$11:$Q$12</formula1>
    </dataValidation>
    <dataValidation type="list" allowBlank="1" showInputMessage="1" showErrorMessage="1" sqref="B25" xr:uid="{68A68EDD-CDBF-4743-9B82-DCFB58D21B57}">
      <formula1>$M$24:$M$27</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252E-D5B9-4F63-AE00-306F5E605A89}">
  <dimension ref="A1:K596"/>
  <sheetViews>
    <sheetView view="pageLayout" zoomScaleNormal="100" workbookViewId="0">
      <selection activeCell="K558" sqref="E1:K1048576"/>
    </sheetView>
  </sheetViews>
  <sheetFormatPr defaultColWidth="9.109375" defaultRowHeight="14.4" x14ac:dyDescent="0.3"/>
  <cols>
    <col min="1" max="1" width="12.5546875" style="388" customWidth="1"/>
    <col min="2" max="2" width="56" style="441" customWidth="1"/>
    <col min="3" max="3" width="16" style="4" customWidth="1"/>
    <col min="4" max="4" width="18.33203125" customWidth="1"/>
    <col min="5" max="5" width="5.109375" style="73" hidden="1" customWidth="1"/>
    <col min="6" max="6" width="4.5546875" style="73" hidden="1" customWidth="1"/>
    <col min="7" max="7" width="14.44140625" style="388" hidden="1" customWidth="1"/>
    <col min="8" max="8" width="49.5546875" style="12" hidden="1" customWidth="1"/>
    <col min="9" max="9" width="11.109375" style="4" hidden="1" customWidth="1"/>
    <col min="10" max="10" width="18.33203125" style="4" hidden="1" customWidth="1"/>
    <col min="11" max="11" width="9.109375" hidden="1" customWidth="1"/>
  </cols>
  <sheetData>
    <row r="1" spans="1:11" x14ac:dyDescent="0.3">
      <c r="A1" s="729" t="str">
        <f>"Class: "&amp;'Ship Info'!B1&amp;IF(OR('Ship Info'!B2=0,'Ship Info'!B2)="",""," - "&amp;'Ship Info'!B2)</f>
        <v xml:space="preserve">Class:  - </v>
      </c>
      <c r="B1" s="729"/>
      <c r="C1" s="395">
        <f>Tonnage</f>
        <v>100</v>
      </c>
      <c r="D1" s="281" t="str">
        <f>" Tons "&amp;I1&amp;"     TL "&amp;Tech_Level</f>
        <v xml:space="preserve"> Tons Ship     TL 12</v>
      </c>
      <c r="E1" s="377"/>
      <c r="F1" s="377"/>
      <c r="G1" s="382"/>
      <c r="I1" s="4" t="str">
        <f>IF(AND('Ship Info'!F7,'Ship Info'!I6="Yes"),"Pod",'Ship Info'!E6)</f>
        <v>Ship</v>
      </c>
      <c r="K1" t="str">
        <f>""</f>
        <v/>
      </c>
    </row>
    <row r="2" spans="1:11" x14ac:dyDescent="0.3">
      <c r="A2" s="730" t="s">
        <v>1588</v>
      </c>
      <c r="B2" s="731"/>
      <c r="C2" s="390" t="s">
        <v>110</v>
      </c>
      <c r="D2" s="193" t="s">
        <v>1044</v>
      </c>
      <c r="E2" s="378">
        <v>1</v>
      </c>
      <c r="F2" s="378">
        <v>1</v>
      </c>
      <c r="G2" s="383" t="s">
        <v>553</v>
      </c>
      <c r="H2" s="379" t="str">
        <f>'1-Hull'!$B$6&amp;IF('1-Hull'!$B$7="","","-"&amp;'1-Hull'!$B$7)&amp;IF('1-Hull'!$B$6="Streamlined","",", "&amp;'1-Hull'!$B$8)&amp;", "&amp;IF('1-Hull'!$D$5="Yes",""," Non-Gravitic ")&amp;'1-Hull'!$D$6&amp;": "&amp;TEXT('1-Hull'!$D$7,"#,###")</f>
        <v>Standard, Partial, Standard Hull: 40</v>
      </c>
      <c r="I2" s="234" t="str">
        <f>""</f>
        <v/>
      </c>
      <c r="J2" s="375">
        <f>'1-Hull'!F6</f>
        <v>5000000</v>
      </c>
      <c r="K2" t="str">
        <f>'Ship Info'!C33</f>
        <v>On</v>
      </c>
    </row>
    <row r="3" spans="1:11" x14ac:dyDescent="0.3">
      <c r="A3" s="388" t="s">
        <v>553</v>
      </c>
      <c r="B3" s="441" t="str">
        <f>H2</f>
        <v>Standard, Partial, Standard Hull: 40</v>
      </c>
      <c r="D3" s="4">
        <f>J2</f>
        <v>5000000</v>
      </c>
      <c r="E3" s="73">
        <f t="shared" ref="E3" si="0">IF(H3="",E2,E2+1)</f>
        <v>1</v>
      </c>
      <c r="F3" s="73" t="str">
        <f t="shared" ref="F3" si="1">IF(E3=E2,"",E3)</f>
        <v/>
      </c>
      <c r="G3" s="384"/>
      <c r="H3" s="12" t="str">
        <f>IF('1-Hull'!$C$9="No","","Military Hull")</f>
        <v/>
      </c>
      <c r="I3" s="4">
        <v>0</v>
      </c>
      <c r="J3" s="262">
        <f>'1-Hull'!$F$9</f>
        <v>0</v>
      </c>
      <c r="K3">
        <v>1</v>
      </c>
    </row>
    <row r="4" spans="1:11" ht="15" customHeight="1" x14ac:dyDescent="0.3">
      <c r="A4" s="388" t="str">
        <f>IF(INDEX(F:J,MATCH(2,F:F,0),2)=0,"",INDEX(F:J,MATCH(2,F:F,0),2))</f>
        <v>Power Plant</v>
      </c>
      <c r="B4" s="441" t="str">
        <f>INDEX(F:J,MATCH(2,F:F,0),3)</f>
        <v xml:space="preserve">TL 12 Fusion Output: 20 </v>
      </c>
      <c r="C4" s="4">
        <f>INDEX(F:J,MATCH(2,F:F,0),4)</f>
        <v>1.3333333333333333</v>
      </c>
      <c r="D4" s="4">
        <f>INDEX(F:J,MATCH(2,F:F,0),5)</f>
        <v>1333333.3333333333</v>
      </c>
      <c r="E4" s="73">
        <f t="shared" ref="E4" si="2">IF(H4="",E3,E3+1)</f>
        <v>1</v>
      </c>
      <c r="F4" s="73" t="str">
        <f t="shared" ref="F4" si="3">IF(E4=E3,"",E4)</f>
        <v/>
      </c>
      <c r="G4" s="385"/>
      <c r="H4" s="12" t="str">
        <f>IF('1-Hull'!C36=0,"","Secondary Hull "&amp;'1-Hull'!C36&amp;" Tons, "&amp;'1-Hull'!D38&amp;" "&amp;INDEX('1-Hull'!S2:T8,MATCH('1-Hull'!D38,'1-Hull'!S2:S8,0),2)&amp;", "&amp;'1-Hull'!D39)</f>
        <v/>
      </c>
      <c r="J4" s="262"/>
      <c r="K4">
        <f>IF(B4="","",IF(A4="",K3,K3+1))</f>
        <v>2</v>
      </c>
    </row>
    <row r="5" spans="1:11" ht="15" customHeight="1" x14ac:dyDescent="0.3">
      <c r="A5" s="388" t="str">
        <f>IF(INDEX(F:J,MATCH(3,F:F,0),2)=0,"",INDEX(F:J,MATCH(3,F:F,0),2))</f>
        <v>Fuel</v>
      </c>
      <c r="B5" s="441" t="str">
        <f>INDEX(F:J,MATCH(3,F:F,0),3)</f>
        <v>4 Weeks of Operation*</v>
      </c>
      <c r="C5" s="4">
        <f>INDEX(F:J,MATCH(3,F:F,0),4)</f>
        <v>0.13333333333333333</v>
      </c>
      <c r="D5" s="4" t="str">
        <f>INDEX(F:J,MATCH(3,F:F,0),5)</f>
        <v/>
      </c>
      <c r="E5" s="73">
        <f t="shared" ref="E5:E68" si="4">IF(H5="",E4,E4+1)</f>
        <v>1</v>
      </c>
      <c r="F5" s="73" t="str">
        <f t="shared" ref="F5:F68" si="5">IF(E5=E4,"",E5)</f>
        <v/>
      </c>
      <c r="H5" s="12" t="str">
        <f>IF(J5=0,"",'1-Hull'!B28&amp;": "&amp;'1-Hull'!B29)</f>
        <v/>
      </c>
      <c r="I5" s="4">
        <f>'1-Hull'!H28</f>
        <v>0</v>
      </c>
      <c r="J5" s="4">
        <f>'1-Hull'!F28</f>
        <v>0</v>
      </c>
      <c r="K5">
        <f t="shared" ref="K5:K68" si="6">IF(B5="","",IF(A5="",K4,K4+1))</f>
        <v>3</v>
      </c>
    </row>
    <row r="6" spans="1:11" x14ac:dyDescent="0.3">
      <c r="A6" s="388" t="str">
        <f>IF(MAX(F:F)&lt;4,"",IF(INDEX(F:J,MATCH(4,F:F,0),2)=0,"",INDEX(F:J,MATCH(4,F:F,0),2)))</f>
        <v>Bridge</v>
      </c>
      <c r="B6" s="441" t="str">
        <f>IF(MAX(F:F)&lt;4,"",INDEX(F:J,MATCH(4,F:F,0),3))</f>
        <v>Standard Bridge</v>
      </c>
      <c r="C6" s="4">
        <f>IF(MAX(F:F)&lt;4,"",INDEX(F:J,MATCH(4,F:F,0),4))</f>
        <v>6</v>
      </c>
      <c r="D6" s="4">
        <f>IF(MAX(F:F)&lt;4,"",INDEX(F:J,MATCH(4,F:F,0),5))</f>
        <v>500000</v>
      </c>
      <c r="E6" s="73">
        <f t="shared" si="4"/>
        <v>1</v>
      </c>
      <c r="F6" s="73" t="str">
        <f t="shared" si="5"/>
        <v/>
      </c>
      <c r="G6" s="385"/>
      <c r="H6" s="12" t="str">
        <f>IF('1-Hull'!A$14&lt;&gt;'1-Hull'!S$25,IF('1-Hull'!C36=0,"","Combined Hull: ")&amp;'1-Hull'!S$26,IF('1-Hull'!C36=0,"",IF('1-Hull'!D14='1-Hull'!S25,"","Secondary Hull Only: "&amp;'1-Hull'!S26)))</f>
        <v/>
      </c>
      <c r="I6" s="4">
        <f>'1-Hull'!H$14</f>
        <v>0</v>
      </c>
      <c r="J6" s="262">
        <f>'1-Hull'!F$14</f>
        <v>0</v>
      </c>
      <c r="K6">
        <f t="shared" si="6"/>
        <v>4</v>
      </c>
    </row>
    <row r="7" spans="1:11" x14ac:dyDescent="0.3">
      <c r="A7" s="388" t="str">
        <f>IF(MAX(F:F)&lt;5,"",IF(INDEX(F:J,MATCH(5,F:F,0),2)=0,"",INDEX(F:J,MATCH(5,F:F,0),2)))</f>
        <v>Computer</v>
      </c>
      <c r="B7" s="441" t="str">
        <f>IF(MAX(F:F)&lt;5,"",INDEX(F:J,MATCH(5,F:F,0),3))</f>
        <v>Comp/ 5</v>
      </c>
      <c r="C7" s="4">
        <f>IF(MAX(F:F)&lt;5,"",INDEX(F:J,MATCH(5,F:F,0),4))</f>
        <v>0</v>
      </c>
      <c r="D7" s="4">
        <f>IF(MAX(F:F)&lt;5,"",INDEX(F:J,MATCH(5,F:F,0),5))</f>
        <v>30000</v>
      </c>
      <c r="E7" s="73">
        <f t="shared" si="4"/>
        <v>1</v>
      </c>
      <c r="F7" s="73" t="str">
        <f t="shared" si="5"/>
        <v/>
      </c>
      <c r="G7" s="385"/>
      <c r="H7" s="12" t="str">
        <f>IF('1-Hull'!A$15&lt;&gt;'1-Hull'!S$27,IF('1-Hull'!C36=0,"","Combined Hull: ")&amp;'1-Hull'!S$28,IF('1-Hull'!C36=0,"",IF('1-Hull'!D15='1-Hull'!S$27,"","Secondary Hull Only: "&amp;'1-Hull'!S$28)))</f>
        <v/>
      </c>
      <c r="I7" s="4">
        <f>'1-Hull'!H$15</f>
        <v>0</v>
      </c>
      <c r="J7" s="262">
        <f>'1-Hull'!F$15</f>
        <v>0</v>
      </c>
      <c r="K7">
        <f t="shared" si="6"/>
        <v>5</v>
      </c>
    </row>
    <row r="8" spans="1:11" x14ac:dyDescent="0.3">
      <c r="A8" s="388" t="str">
        <f>IF(MAX(F:F)&lt;6,"",IF(INDEX(F:J,MATCH(6,F:F,0),2)=0,"",INDEX(F:J,MATCH(6,F:F,0),2)))</f>
        <v>Software</v>
      </c>
      <c r="B8" s="441" t="str">
        <f>IF(MAX(F:F)&lt;6,"",INDEX(F:J,MATCH(6,F:F,0),3))</f>
        <v>Library</v>
      </c>
      <c r="C8" s="4">
        <f>IF(MAX(F:F)&lt;6,"",INDEX(F:J,MATCH(6,F:F,0),4))</f>
        <v>0</v>
      </c>
      <c r="D8" s="4">
        <f>IF(MAX(F:F)&lt;6,"",INDEX(F:J,MATCH(6,F:F,0),5))</f>
        <v>0</v>
      </c>
      <c r="E8" s="73">
        <f t="shared" si="4"/>
        <v>1</v>
      </c>
      <c r="F8" s="73" t="str">
        <f t="shared" si="5"/>
        <v/>
      </c>
      <c r="G8" s="385"/>
      <c r="H8" s="12" t="str">
        <f>IF('1-Hull'!A$16&lt;&gt;'1-Hull'!S$29,IF('1-Hull'!C36=0,"","Combined Hull: ")&amp;'1-Hull'!S$30,IF('1-Hull'!C36=0,"",IF('1-Hull'!D$16='1-Hull'!S$29,"","Secondary Hull Only: "&amp;'1-Hull'!S$30)))</f>
        <v/>
      </c>
      <c r="I8" s="4">
        <f>'1-Hull'!H$16</f>
        <v>0</v>
      </c>
      <c r="J8" s="262">
        <f>'1-Hull'!F$16</f>
        <v>0</v>
      </c>
      <c r="K8">
        <f t="shared" si="6"/>
        <v>6</v>
      </c>
    </row>
    <row r="9" spans="1:11" x14ac:dyDescent="0.3">
      <c r="A9" s="388" t="str">
        <f>IF(MAX(F:F)&lt;7,"",IF(INDEX(F:J,MATCH(7,F:F,0),2)=0,"",INDEX(F:J,MATCH(7,F:F,0),2)))</f>
        <v/>
      </c>
      <c r="B9" s="441" t="str">
        <f>IF(MAX(F:F)&lt;7,"",INDEX(F:J,MATCH(7,F:F,0),3))</f>
        <v>Manoeuvre/0</v>
      </c>
      <c r="C9" s="4">
        <f>IF(MAX(F:F)&lt;7,"",INDEX(F:J,MATCH(7,F:F,0),4))</f>
        <v>0</v>
      </c>
      <c r="D9" s="4">
        <f>IF(MAX(F:F)&lt;7,"",INDEX(F:J,MATCH(7,F:F,0),5))</f>
        <v>0</v>
      </c>
      <c r="E9" s="73">
        <f t="shared" si="4"/>
        <v>1</v>
      </c>
      <c r="F9" s="73" t="str">
        <f t="shared" si="5"/>
        <v/>
      </c>
      <c r="G9" s="385"/>
      <c r="H9" s="12" t="str">
        <f>IF('1-Hull'!$A$17&lt;&gt;'1-Hull'!$S$48,IF('1-Hull'!C36=0,"","Combined Hull: ")&amp;'1-Hull'!$S$49,IF('1-Hull'!C36=0,"",IF('1-Hull'!D$17='1-Hull'!S$48,"","Secondary Hull Only: "&amp;'1-Hull'!S$49)))</f>
        <v/>
      </c>
      <c r="I9" s="4">
        <f>'1-Hull'!H$17</f>
        <v>0</v>
      </c>
      <c r="J9" s="262">
        <f>'1-Hull'!F$17</f>
        <v>0</v>
      </c>
      <c r="K9">
        <f t="shared" si="6"/>
        <v>6</v>
      </c>
    </row>
    <row r="10" spans="1:11" x14ac:dyDescent="0.3">
      <c r="A10" s="388" t="str">
        <f>IF(MAX(F:F)&lt;8,"",IF(INDEX(F:J,MATCH(8,F:F,0),2)=0,"",INDEX(F:J,MATCH(8,F:F,0),2)))</f>
        <v/>
      </c>
      <c r="B10" s="441" t="str">
        <f>IF(MAX(F:F)&lt;8,"",INDEX(F:J,MATCH(8,F:F,0),3))</f>
        <v>Intellect</v>
      </c>
      <c r="C10" s="4">
        <f>IF(MAX(F:F)&lt;8,"",INDEX(F:J,MATCH(8,F:F,0),4))</f>
        <v>0</v>
      </c>
      <c r="D10" s="4">
        <f>IF(MAX(F:F)&lt;8,"",INDEX(F:J,MATCH(8,F:F,0),5))</f>
        <v>0</v>
      </c>
      <c r="E10" s="73">
        <f t="shared" si="4"/>
        <v>1</v>
      </c>
      <c r="F10" s="73" t="str">
        <f t="shared" si="5"/>
        <v/>
      </c>
      <c r="G10" s="385"/>
      <c r="H10" s="12" t="str">
        <f>IF('1-Hull'!$A$18&lt;&gt;'1-Hull'!$S$31,IF('1-Hull'!C36=0,"","Combined Hull: ")&amp;'1-Hull'!$A$18,IF('1-Hull'!C36=0,"",IF('1-Hull'!$D$18='1-Hull'!$S$31,"","Secondary Hull Only: "&amp;'1-Hull'!$D$18)))</f>
        <v/>
      </c>
      <c r="I10" s="4">
        <f>'1-Hull'!H$18</f>
        <v>0</v>
      </c>
      <c r="J10" s="262">
        <f>'1-Hull'!F$18</f>
        <v>0</v>
      </c>
      <c r="K10">
        <f t="shared" si="6"/>
        <v>6</v>
      </c>
    </row>
    <row r="11" spans="1:11" x14ac:dyDescent="0.3">
      <c r="A11" s="388" t="str">
        <f>IF(MAX(F:F)&lt;9,"",IF(INDEX(F:J,MATCH(9,F:F,0),2)=0,"",INDEX(F:J,MATCH(9,F:F,0),2)))</f>
        <v>Sensors</v>
      </c>
      <c r="B11" s="441" t="str">
        <f>IF(MAX(F:F)&lt;9,"",INDEX(F:J,MATCH(9,F:F,0),3))</f>
        <v>Main Sensor Array: Basic x1</v>
      </c>
      <c r="C11" s="4">
        <f>IF(MAX(F:F)&lt;9,"",INDEX(F:J,MATCH(9,F:F,0),4))</f>
        <v>0</v>
      </c>
      <c r="D11" s="4">
        <f>IF(MAX(F:F)&lt;9,"",INDEX(F:J,MATCH(9,F:F,0),5))</f>
        <v>0</v>
      </c>
      <c r="E11" s="73">
        <f t="shared" si="4"/>
        <v>1</v>
      </c>
      <c r="F11" s="73" t="str">
        <f t="shared" si="5"/>
        <v/>
      </c>
      <c r="G11" s="385"/>
      <c r="H11" s="12" t="str">
        <f>IF('1-Hull'!$A$19&lt;&gt;'1-Hull'!$S$33,IF('1-Hull'!C36=0,"","Combined Hull: ")&amp;'1-Hull'!$A$19,IF('1-Hull'!C36=0,"",IF('1-Hull'!$D$19='1-Hull'!$S$33,"","Secondary Hull Only: "&amp;'1-Hull'!$D$19)))</f>
        <v/>
      </c>
      <c r="I11" s="4">
        <f>'1-Hull'!H$19</f>
        <v>0</v>
      </c>
      <c r="J11" s="262">
        <f>'1-Hull'!F$19</f>
        <v>0</v>
      </c>
      <c r="K11">
        <f t="shared" si="6"/>
        <v>7</v>
      </c>
    </row>
    <row r="12" spans="1:11" x14ac:dyDescent="0.3">
      <c r="A12" s="388" t="str">
        <f>IF(MAX(F:F)&lt;10,"",IF(INDEX(F:J,MATCH(10,F:F,0),2)=0,"",INDEX(F:J,MATCH(10,F:F,0),2)))</f>
        <v>Systems</v>
      </c>
      <c r="B12" s="441" t="str">
        <f>IF(MAX(F:F)&lt;10,"",INDEX(F:J,MATCH(10,F:F,0),3))</f>
        <v xml:space="preserve">1x 2 ton Airlock </v>
      </c>
      <c r="C12" s="4">
        <f>IF(MAX(F:F)&lt;10,"",INDEX(F:J,MATCH(10,F:F,0),4))</f>
        <v>0</v>
      </c>
      <c r="D12" s="4">
        <f>IF(MAX(F:F)&lt;10,"",INDEX(F:J,MATCH(10,F:F,0),5))</f>
        <v>0</v>
      </c>
      <c r="E12" s="73">
        <f t="shared" si="4"/>
        <v>1</v>
      </c>
      <c r="F12" s="73" t="str">
        <f t="shared" si="5"/>
        <v/>
      </c>
      <c r="G12" s="385"/>
      <c r="H12" s="12" t="str">
        <f>IF('1-Hull'!$A$20&lt;&gt;'1-Hull'!$S$38,IF('1-Hull'!C36=0,"","Combined Hull: ")&amp;'1-Hull'!$A$20,IF('1-Hull'!C36=0,"",IF('1-Hull'!$D$20='1-Hull'!$S$38,"","Secondary Hull Only: "&amp;'1-Hull'!$D$20)))</f>
        <v/>
      </c>
      <c r="I12" s="4">
        <f>'1-Hull'!H$20</f>
        <v>0</v>
      </c>
      <c r="J12" s="262">
        <f>'1-Hull'!F$20</f>
        <v>0</v>
      </c>
      <c r="K12">
        <f t="shared" si="6"/>
        <v>8</v>
      </c>
    </row>
    <row r="13" spans="1:11" x14ac:dyDescent="0.3">
      <c r="A13" s="388" t="str">
        <f>IF(MAX(F:F)&lt;11,"",IF(INDEX(F:J,MATCH(11,F:F,0),2)=0,"",INDEX(F:J,MATCH(11,F:F,0),2)))</f>
        <v>Total</v>
      </c>
      <c r="B13" s="441">
        <f>IF(MAX(F:F)&lt;11,"",INDEX(F:J,MATCH(11,F:F,0),3))</f>
        <v>6863333.333333333</v>
      </c>
      <c r="C13" s="4" t="str">
        <f>IF(MAX(F:F)&lt;11,"",INDEX(F:J,MATCH(11,F:F,0),4))</f>
        <v>CR</v>
      </c>
      <c r="D13" s="4" t="str">
        <f>IF(MAX(F:F)&lt;11,"",INDEX(F:J,MATCH(11,F:F,0),5))</f>
        <v/>
      </c>
      <c r="E13" s="73">
        <f t="shared" si="4"/>
        <v>1</v>
      </c>
      <c r="F13" s="73" t="str">
        <f t="shared" si="5"/>
        <v/>
      </c>
      <c r="G13" s="385"/>
      <c r="H13" s="12" t="str">
        <f>IF('1-Hull'!$A$21&lt;&gt;'1-Hull'!$S$41,IF('1-Hull'!C36=0,"","Combined Hull: ")&amp;'1-Hull'!$A$21,IF('1-Hull'!C36=0,"",IF('1-Hull'!$D$21='1-Hull'!$S$41,"","Secondary Hull Only: "&amp;'1-Hull'!$D$21)))</f>
        <v/>
      </c>
      <c r="I13" s="4">
        <f>'1-Hull'!H$21</f>
        <v>0</v>
      </c>
      <c r="J13" s="262">
        <f>'1-Hull'!F$21</f>
        <v>0</v>
      </c>
      <c r="K13">
        <f t="shared" si="6"/>
        <v>9</v>
      </c>
    </row>
    <row r="14" spans="1:11" x14ac:dyDescent="0.3">
      <c r="A14" s="388" t="str">
        <f>IF(MAX(F:F)&lt;12,"",IF(INDEX(F:J,MATCH(12,F:F,0),2)=0,"",INDEX(F:J,MATCH(12,F:F,0),2)))</f>
        <v/>
      </c>
      <c r="B14" s="441" t="str">
        <f>IF(MAX(F:F)&lt;12,"",INDEX(F:J,MATCH(12,F:F,0),3))</f>
        <v xml:space="preserve">Purchase Price: </v>
      </c>
      <c r="C14" s="4" t="str">
        <f>IF(MAX(F:F)&lt;12,"",INDEX(F:J,MATCH(12,F:F,0),4))</f>
        <v/>
      </c>
      <c r="D14" s="4">
        <f>IF(MAX(F:F)&lt;12,"",INDEX(F:J,MATCH(12,F:F,0),5))</f>
        <v>6177000</v>
      </c>
      <c r="E14" s="73">
        <f t="shared" si="4"/>
        <v>1</v>
      </c>
      <c r="F14" s="73" t="str">
        <f t="shared" si="5"/>
        <v/>
      </c>
      <c r="G14" s="385"/>
      <c r="H14" s="12" t="str">
        <f>IF('1-Hull'!$A$22&lt;&gt;'1-Hull'!$S$46,IF('1-Hull'!C36=0,"","Combined Hull: ")&amp;'1-Hull'!$A$22&amp;": "&amp;'1-Hull'!B22,IF('1-Hull'!C36=0,"",IF('1-Hull'!$D$22='1-Hull'!$S$46,"","Secondary Only: "&amp;'1-Hull'!$D$22&amp;": "&amp;INDEX('1-Hull'!S46:AA47,MATCH('1-Hull'!D22,'1-Hull'!S46:S47,0),9))))</f>
        <v/>
      </c>
      <c r="I14" s="4">
        <f>'1-Hull'!H$22</f>
        <v>0</v>
      </c>
      <c r="J14" s="262">
        <f>'1-Hull'!F$22</f>
        <v>0</v>
      </c>
      <c r="K14">
        <f t="shared" si="6"/>
        <v>9</v>
      </c>
    </row>
    <row r="15" spans="1:11" x14ac:dyDescent="0.3">
      <c r="A15" s="388" t="str">
        <f>IF(MAX(F:F)&lt;13,"",IF(INDEX(F:J,MATCH(13,F:F,0),2)=0,"",INDEX(F:J,MATCH(13,F:F,0),2)))</f>
        <v>Ship Expenses</v>
      </c>
      <c r="B15" s="441" t="str">
        <f>IF(MAX(F:F)&lt;13,"",INDEX(F:J,MATCH(13,F:F,0),3))</f>
        <v>Mortgage:</v>
      </c>
      <c r="C15" s="4" t="str">
        <f>IF(MAX(F:F)&lt;13,"",INDEX(F:J,MATCH(13,F:F,0),4))</f>
        <v/>
      </c>
      <c r="D15" s="4">
        <f>IF(MAX(F:F)&lt;13,"",INDEX(F:J,MATCH(13,F:F,0),5))</f>
        <v>25737.5</v>
      </c>
      <c r="E15" s="73">
        <f t="shared" si="4"/>
        <v>1</v>
      </c>
      <c r="F15" s="73" t="str">
        <f t="shared" si="5"/>
        <v/>
      </c>
      <c r="H15" s="12" t="str">
        <f>IF('1-Hull'!$A$23&lt;&gt;'1-Hull'!$S$50,IF('1-Hull'!C36=0,"","Combined Hull: ")&amp;'1-Hull'!$A$23&amp;": "&amp;'1-Hull'!B23,IF('1-Hull'!C36=0,"",IF('1-Hull'!$D$23='1-Hull'!$S$50,"","Secondary Only: "&amp;'1-Hull'!$D$23&amp;": "&amp;INDEX('1-Hull'!S50:AA51,MATCH('1-Hull'!D23,'1-Hull'!S50:S51,0),9))))</f>
        <v/>
      </c>
      <c r="I15" s="4">
        <f>'1-Hull'!H$23</f>
        <v>0</v>
      </c>
      <c r="J15" s="4">
        <f>'1-Hull'!F$23</f>
        <v>0</v>
      </c>
      <c r="K15">
        <f t="shared" si="6"/>
        <v>10</v>
      </c>
    </row>
    <row r="16" spans="1:11" x14ac:dyDescent="0.3">
      <c r="A16" s="388" t="str">
        <f>IF(MAX(F:F)&lt;14,"",IF(INDEX(F:J,MATCH(14,F:F,0),2)=0,"",INDEX(F:J,MATCH(14,F:F,0),2)))</f>
        <v/>
      </c>
      <c r="B16" s="441" t="str">
        <f>IF(MAX(F:F)&lt;14,"",INDEX(F:J,MATCH(14,F:F,0),3))</f>
        <v>Maintenance Cost</v>
      </c>
      <c r="C16" s="4" t="str">
        <f>IF(MAX(F:F)&lt;14,"",INDEX(F:J,MATCH(14,F:F,0),4))</f>
        <v/>
      </c>
      <c r="D16" s="4">
        <f>IF(MAX(F:F)&lt;14,"",INDEX(F:J,MATCH(14,F:F,0),5))</f>
        <v>515</v>
      </c>
      <c r="E16" s="73">
        <f t="shared" si="4"/>
        <v>1</v>
      </c>
      <c r="F16" s="73" t="str">
        <f t="shared" si="5"/>
        <v/>
      </c>
      <c r="G16" s="385"/>
      <c r="H16" s="12" t="str">
        <f>IF('1-Hull'!$A$24='1-Hull'!$S$43,"",'1-Hull'!$A$24&amp;" "&amp;'1-Hull'!$D$24&amp;"% Coverage Power:"&amp;'1-Hull'!$K24*-1)</f>
        <v/>
      </c>
      <c r="I16" s="4">
        <f>'1-Hull'!H$24</f>
        <v>0</v>
      </c>
      <c r="J16" s="262">
        <f>'1-Hull'!F$24</f>
        <v>0</v>
      </c>
      <c r="K16">
        <f t="shared" si="6"/>
        <v>10</v>
      </c>
    </row>
    <row r="17" spans="1:11" x14ac:dyDescent="0.3">
      <c r="A17" s="388" t="str">
        <f>IF(MAX(F:F)&lt;15,"",IF(INDEX(F:J,MATCH(15,F:F,0),2)=0,"",INDEX(F:J,MATCH(15,F:F,0),2)))</f>
        <v/>
      </c>
      <c r="B17" s="441" t="str">
        <f>IF(MAX(F:F)&lt;15,"",INDEX(F:J,MATCH(15,F:F,0),3))</f>
        <v>Life Support:</v>
      </c>
      <c r="C17" s="4" t="str">
        <f>IF(MAX(F:F)&lt;15,"",INDEX(F:J,MATCH(15,F:F,0),4))</f>
        <v/>
      </c>
      <c r="D17" s="4">
        <f>IF(MAX(F:F)&lt;15,"",INDEX(F:J,MATCH(15,F:F,0),5))</f>
        <v>0</v>
      </c>
      <c r="E17" s="73">
        <f t="shared" si="4"/>
        <v>1</v>
      </c>
      <c r="F17" s="73" t="str">
        <f t="shared" si="5"/>
        <v/>
      </c>
      <c r="G17" s="385"/>
      <c r="H17" s="12" t="str">
        <f>IF('1-Hull'!$C$32=0,"",TEXT('1-Hull'!$C$32,"#,##0.00")&amp;" Tons of Modular Sections")</f>
        <v/>
      </c>
      <c r="I17" s="4">
        <v>0</v>
      </c>
      <c r="J17" s="262">
        <f>SUM('1-Hull'!F$32:F$34)</f>
        <v>0</v>
      </c>
      <c r="K17">
        <f t="shared" si="6"/>
        <v>10</v>
      </c>
    </row>
    <row r="18" spans="1:11" x14ac:dyDescent="0.3">
      <c r="A18" s="388" t="str">
        <f>IF(MAX(F:F)&lt;16,"",IF(INDEX(F:J,MATCH(16,F:F,0),2)=0,"",INDEX(F:J,MATCH(16,F:F,0),2)))</f>
        <v/>
      </c>
      <c r="B18" s="441" t="str">
        <f>IF(MAX(F:F)&lt;16,"",INDEX(F:J,MATCH(16,F:F,0),3))</f>
        <v>Crew Salaries:</v>
      </c>
      <c r="C18" s="4" t="str">
        <f>IF(MAX(F:F)&lt;16,"",INDEX(F:J,MATCH(16,F:F,0),4))</f>
        <v/>
      </c>
      <c r="D18" s="4">
        <f>IF(MAX(F:F)&lt;16,"",INDEX(F:J,MATCH(16,F:F,0),5))</f>
        <v>19000</v>
      </c>
      <c r="E18" s="73">
        <f t="shared" si="4"/>
        <v>1</v>
      </c>
      <c r="F18" s="73" t="str">
        <f t="shared" si="5"/>
        <v/>
      </c>
      <c r="G18" s="385"/>
      <c r="H18" s="12" t="str">
        <f>IF('1-Hull'!$C$36=0,"",TEXT('1-Hull'!$C$36,"#,##0.00")&amp;" Dtons of Breakaway Hull(s)")</f>
        <v/>
      </c>
      <c r="I18" s="4">
        <f>'1-Hull'!H$36</f>
        <v>0</v>
      </c>
      <c r="J18" s="262">
        <f>'1-Hull'!F$36</f>
        <v>0</v>
      </c>
      <c r="K18">
        <f t="shared" si="6"/>
        <v>10</v>
      </c>
    </row>
    <row r="19" spans="1:11" ht="15" customHeight="1" x14ac:dyDescent="0.3">
      <c r="A19" s="388" t="str">
        <f>IF(MAX(F:F)&lt;17,"",IF(INDEX(F:J,MATCH(17,F:F,0),2)=0,"",INDEX(F:J,MATCH(17,F:F,0),2)))</f>
        <v/>
      </c>
      <c r="B19" s="441" t="str">
        <f>IF(MAX(F:F)&lt;17,"",INDEX(F:J,MATCH(17,F:F,0),3))</f>
        <v>Fuel:</v>
      </c>
      <c r="C19" s="4" t="str">
        <f>IF(MAX(F:F)&lt;17,"",INDEX(F:J,MATCH(17,F:F,0),4))</f>
        <v/>
      </c>
      <c r="D19" s="4">
        <f>IF(MAX(F:F)&lt;17,"",INDEX(F:J,MATCH(17,F:F,0),5))</f>
        <v>0</v>
      </c>
      <c r="E19" s="73">
        <f t="shared" si="4"/>
        <v>1</v>
      </c>
      <c r="F19" s="73" t="str">
        <f t="shared" si="5"/>
        <v/>
      </c>
      <c r="G19" s="385"/>
      <c r="H19" s="12" t="str">
        <f>IF('1-Hull'!$A$44='1-Hull'!$AC$58,"",'1-Hull'!$A$43&amp;": "&amp;TEXT('1-Hull'!$C$43,"#,##0.00")&amp;" Dton Outer Hull")</f>
        <v/>
      </c>
      <c r="I19" s="4">
        <f>'1-Hull'!H$43</f>
        <v>0</v>
      </c>
      <c r="J19" s="262">
        <f>'1-Hull'!F$46</f>
        <v>0</v>
      </c>
      <c r="K19">
        <f t="shared" si="6"/>
        <v>10</v>
      </c>
    </row>
    <row r="20" spans="1:11" x14ac:dyDescent="0.3">
      <c r="A20" s="388" t="str">
        <f>IF(MAX(F:F)&lt;18,"",IF(INDEX(F:J,MATCH(18,F:F,0),2)=0,"",INDEX(F:J,MATCH(18,F:F,0),2)))</f>
        <v/>
      </c>
      <c r="B20" s="441" t="str">
        <f>IF(MAX(F:F)&lt;18,"",INDEX(F:J,MATCH(18,F:F,0),3))</f>
        <v>Total Expenses:</v>
      </c>
      <c r="C20" s="4" t="str">
        <f>IF(MAX(F:F)&lt;18,"",INDEX(F:J,MATCH(18,F:F,0),4))</f>
        <v/>
      </c>
      <c r="D20" s="4">
        <f>IF(MAX(F:F)&lt;18,"",INDEX(F:J,MATCH(18,F:F,0),5))</f>
        <v>45252.5</v>
      </c>
      <c r="E20" s="73">
        <f t="shared" si="4"/>
        <v>1</v>
      </c>
      <c r="F20" s="73" t="str">
        <f t="shared" si="5"/>
        <v/>
      </c>
      <c r="G20" s="386"/>
      <c r="H20" s="380" t="str">
        <f>IF('1-Hull'!$C$46=0,"",TEXT('1-Hull'!$C$46,"#,##0.00")&amp;" Dtons of Hamster Cage(s)")</f>
        <v/>
      </c>
      <c r="I20" s="391">
        <f>'1-Hull'!H$46</f>
        <v>0</v>
      </c>
      <c r="J20" s="263">
        <f>'1-Hull'!F$46</f>
        <v>0</v>
      </c>
      <c r="K20">
        <f t="shared" si="6"/>
        <v>10</v>
      </c>
    </row>
    <row r="21" spans="1:11" x14ac:dyDescent="0.3">
      <c r="A21" s="388" t="str">
        <f>IF(MAX(F:F)&lt;19,"",IF(INDEX(F:J,MATCH(19,F:F,0),2)=0,"",INDEX(F:J,MATCH(19,F:F,0),2)))</f>
        <v>Ship Income</v>
      </c>
      <c r="B21" s="441" t="str">
        <f>IF(MAX(F:F)&lt;19,"",INDEX(F:J,MATCH(19,F:F,0),3))</f>
        <v>Total Income:</v>
      </c>
      <c r="C21" s="4" t="str">
        <f>IF(MAX(F:F)&lt;19,"",INDEX(F:J,MATCH(19,F:F,0),4))</f>
        <v/>
      </c>
      <c r="D21" s="4">
        <f>IF(MAX(F:F)&lt;19,"",INDEX(F:J,MATCH(19,F:F,0),5))</f>
        <v>0</v>
      </c>
      <c r="E21" s="73">
        <f t="shared" si="4"/>
        <v>1</v>
      </c>
      <c r="F21" s="73" t="str">
        <f t="shared" si="5"/>
        <v/>
      </c>
      <c r="G21" s="387" t="str">
        <f>IF(J21=0,"","Armor")</f>
        <v/>
      </c>
      <c r="H21" s="381" t="str">
        <f>IF('1-Hull'!$D$11=0,"",IF('1-Hull'!$B$10='1-Hull'!$S$18,"Intrinsic Armor",'1-Hull'!$B$10)&amp;": "&amp;'1-Hull'!$D$11)&amp;IF('1-Hull'!C36=0,"",", 2ry "&amp;IF('1-Hull'!D40='1-Hull'!S18,"",'1-Hull'!D40)&amp;": "&amp;'1-Hull'!G41)</f>
        <v/>
      </c>
      <c r="I21" s="405">
        <f>'1-Hull'!$H$10</f>
        <v>0</v>
      </c>
      <c r="J21" s="376">
        <f>'1-Hull'!$F$10</f>
        <v>0</v>
      </c>
      <c r="K21">
        <f t="shared" si="6"/>
        <v>11</v>
      </c>
    </row>
    <row r="22" spans="1:11" x14ac:dyDescent="0.3">
      <c r="A22" s="388" t="str">
        <f>IF(MAX(F:F)&lt;20,"",IF(INDEX(F:J,MATCH(20,F:F,0),2)=0,"",INDEX(F:J,MATCH(20,F:F,0),2)))</f>
        <v/>
      </c>
      <c r="B22" s="441" t="str">
        <f>IF(MAX(F:F)&lt;20,"",INDEX(F:J,MATCH(20,F:F,0),3))</f>
        <v>Total Loss:</v>
      </c>
      <c r="C22" s="4" t="str">
        <f>IF(MAX(F:F)&lt;20,"",INDEX(F:J,MATCH(20,F:F,0),4))</f>
        <v/>
      </c>
      <c r="D22" s="4">
        <f>IF(MAX(F:F)&lt;20,"",INDEX(F:J,MATCH(20,F:F,0),5))</f>
        <v>-45252.5</v>
      </c>
      <c r="E22" s="73">
        <f t="shared" si="4"/>
        <v>1</v>
      </c>
      <c r="F22" s="73" t="str">
        <f t="shared" si="5"/>
        <v/>
      </c>
      <c r="G22" s="389" t="str">
        <f>IF(H22="","","M-Drive")</f>
        <v/>
      </c>
      <c r="H22" s="379" t="str">
        <f>IF('2-Drives'!$B$14='2-Drives'!$S$2,"",'2-Drives'!$S$91&amp;" "&amp;IF('2-Drives'!C11="No",""," @ "&amp;TEXT('2-Drives'!BF25,"#,###")&amp;" Tons"))</f>
        <v/>
      </c>
      <c r="I22" s="234">
        <f>SUM('2-Drives'!H14:H21)</f>
        <v>0</v>
      </c>
      <c r="J22" s="375">
        <f>SUM('2-Drives'!F14:F21)</f>
        <v>0</v>
      </c>
      <c r="K22">
        <f t="shared" si="6"/>
        <v>11</v>
      </c>
    </row>
    <row r="23" spans="1:11" x14ac:dyDescent="0.3">
      <c r="A23" s="388" t="str">
        <f>IF(MAX(F:F)&lt;21,"",IF(INDEX(F:J,MATCH(21,F:F,0),2)=0,"",INDEX(F:J,MATCH(21,F:F,0),2)))</f>
        <v>Crew</v>
      </c>
      <c r="B23" s="441" t="str">
        <f>IF(MAX(F:F)&lt;21,"",INDEX(F:J,MATCH(21,F:F,0),3))</f>
        <v>1x PILOT</v>
      </c>
      <c r="C23" s="4" t="str">
        <f>IF(MAX(F:F)&lt;21,"",INDEX(F:J,MATCH(21,F:F,0),4))</f>
        <v/>
      </c>
      <c r="D23" s="4">
        <f>IF(MAX(F:F)&lt;21,"",INDEX(F:J,MATCH(21,F:F,0),5))</f>
        <v>6000</v>
      </c>
      <c r="E23" s="73">
        <f t="shared" si="4"/>
        <v>1</v>
      </c>
      <c r="F23" s="73" t="str">
        <f t="shared" si="5"/>
        <v/>
      </c>
      <c r="G23" s="386" t="str">
        <f>IF(H23="","",IF(G22="","M-Drive",""))</f>
        <v/>
      </c>
      <c r="H23" s="380" t="str">
        <f>IF('2-Drives'!$B$46='2-Drives'!$S$69,"",RIGHT('2-Drives'!$S$92,(LEN('2-Drives'!$S$92)-2))&amp;IF('2-Drives'!C11="No",""," @ "&amp;TEXT('2-Drives'!BF29,"#,###")&amp;" Tons"))&amp;IF('2-Drives'!C50="No","",", SDM")</f>
        <v/>
      </c>
      <c r="I23" s="391">
        <f>SUM('2-Drives'!H46:H54)</f>
        <v>0</v>
      </c>
      <c r="J23" s="263">
        <f>SUM('2-Drives'!F46:F54)</f>
        <v>0</v>
      </c>
      <c r="K23">
        <f t="shared" si="6"/>
        <v>12</v>
      </c>
    </row>
    <row r="24" spans="1:11" x14ac:dyDescent="0.3">
      <c r="A24" s="388" t="str">
        <f>IF(MAX(F:F)&lt;22,"",IF(INDEX(F:J,MATCH(22,F:F,0),2)=0,"",INDEX(F:J,MATCH(22,F:F,0),2)))</f>
        <v/>
      </c>
      <c r="B24" s="441" t="str">
        <f>IF(MAX(F:F)&lt;22,"",INDEX(F:J,MATCH(22,F:F,0),3))</f>
        <v>1x ENGINEER</v>
      </c>
      <c r="C24" s="4" t="str">
        <f>IF(MAX(F:F)&lt;22,"",INDEX(F:J,MATCH(22,F:F,0),4))</f>
        <v/>
      </c>
      <c r="D24" s="4">
        <f>IF(MAX(F:F)&lt;22,"",INDEX(F:J,MATCH(22,F:F,0),5))</f>
        <v>4000</v>
      </c>
      <c r="E24" s="73">
        <f t="shared" si="4"/>
        <v>1</v>
      </c>
      <c r="F24" s="73" t="str">
        <f t="shared" si="5"/>
        <v/>
      </c>
      <c r="H24" s="12" t="str">
        <f>IF('2-Drives'!BJ25="N/A","","Combined M-Drive Rating: "&amp;'2-Drives'!BJ25&amp;"G")</f>
        <v/>
      </c>
      <c r="K24">
        <f t="shared" si="6"/>
        <v>12</v>
      </c>
    </row>
    <row r="25" spans="1:11" x14ac:dyDescent="0.3">
      <c r="A25" s="388" t="str">
        <f>IF(MAX(F:F)&lt;23,"",IF(INDEX(F:J,MATCH(23,F:F,0),2)=0,"",INDEX(F:J,MATCH(23,F:F,0),2)))</f>
        <v/>
      </c>
      <c r="B25" s="441" t="str">
        <f>IF(MAX(F:F)&lt;23,"",INDEX(F:J,MATCH(23,F:F,0),3))</f>
        <v>1x MAINTENANCE</v>
      </c>
      <c r="C25" s="4" t="str">
        <f>IF(MAX(F:F)&lt;23,"",INDEX(F:J,MATCH(23,F:F,0),4))</f>
        <v/>
      </c>
      <c r="D25" s="4">
        <f>IF(MAX(F:F)&lt;23,"",INDEX(F:J,MATCH(23,F:F,0),5))</f>
        <v>1000</v>
      </c>
      <c r="E25" s="73">
        <f t="shared" si="4"/>
        <v>1</v>
      </c>
      <c r="F25" s="73" t="str">
        <f t="shared" si="5"/>
        <v/>
      </c>
      <c r="G25" s="389" t="str">
        <f>IF(H25="","","Reaction Drive")</f>
        <v/>
      </c>
      <c r="H25" s="379" t="str">
        <f>IF('2-Drives'!$B$23='2-Drives'!$T$12,"",RIGHT('2-Drives'!$S$95,(LEN('2-Drives'!$S$95)-2))&amp;IF('2-Drives'!C11="No",""," @ "&amp;TEXT('2-Drives'!BF26,"#,###")&amp;" Tons"))</f>
        <v/>
      </c>
      <c r="I25" s="234">
        <f>SUM('2-Drives'!H23:H27)</f>
        <v>0</v>
      </c>
      <c r="J25" s="375">
        <f>SUM('2-Drives'!F23:F27)</f>
        <v>0</v>
      </c>
      <c r="K25">
        <f t="shared" si="6"/>
        <v>12</v>
      </c>
    </row>
    <row r="26" spans="1:11" ht="15" customHeight="1" x14ac:dyDescent="0.3">
      <c r="A26" s="388" t="str">
        <f>IF(MAX(F:F)&lt;24,"",IF(INDEX(F:J,MATCH(24,F:F,0),2)=0,"",INDEX(F:J,MATCH(24,F:F,0),2)))</f>
        <v/>
      </c>
      <c r="B26" s="441" t="str">
        <f>IF(MAX(F:F)&lt;24,"",INDEX(F:J,MATCH(24,F:F,0),3))</f>
        <v>1x MEDIC</v>
      </c>
      <c r="C26" s="4" t="str">
        <f>IF(MAX(F:F)&lt;24,"",INDEX(F:J,MATCH(24,F:F,0),4))</f>
        <v/>
      </c>
      <c r="D26" s="4">
        <f>IF(MAX(F:F)&lt;24,"",INDEX(F:J,MATCH(24,F:F,0),5))</f>
        <v>4000</v>
      </c>
      <c r="E26" s="73">
        <f t="shared" si="4"/>
        <v>1</v>
      </c>
      <c r="F26" s="73" t="str">
        <f t="shared" si="5"/>
        <v/>
      </c>
      <c r="G26" s="385" t="str">
        <f>IF(H26="","","High Burn Thruster")</f>
        <v/>
      </c>
      <c r="H26" s="12" t="str">
        <f>IF('2-Drives'!$B$37='2-Drives'!$S$14,"",RIGHT('2-Drives'!$S$96,(LEN('2-Drives'!$S$96)-2))&amp;IF('2-Drives'!C11="No",""," @ "&amp;TEXT('2-Drives'!BF30,"#,###")&amp;" Tons"))</f>
        <v/>
      </c>
      <c r="I26" s="4">
        <f>SUM('2-Drives'!H37:H41)</f>
        <v>0</v>
      </c>
      <c r="J26" s="262">
        <f>SUM('2-Drives'!F37:F41)</f>
        <v>0</v>
      </c>
      <c r="K26">
        <f t="shared" si="6"/>
        <v>12</v>
      </c>
    </row>
    <row r="27" spans="1:11" x14ac:dyDescent="0.3">
      <c r="A27" s="388" t="str">
        <f>IF(MAX(F:F)&lt;25,"",IF(INDEX(F:J,MATCH(25,F:F,0),2)=0,"",INDEX(F:J,MATCH(25,F:F,0),2)))</f>
        <v/>
      </c>
      <c r="B27" s="441" t="str">
        <f>IF(MAX(F:F)&lt;25,"",INDEX(F:J,MATCH(25,F:F,0),3))</f>
        <v>1x SENSOP, 1 Sensor Actions per Round</v>
      </c>
      <c r="C27" s="4" t="str">
        <f>IF(MAX(F:F)&lt;25,"",INDEX(F:J,MATCH(25,F:F,0),4))</f>
        <v/>
      </c>
      <c r="D27" s="4">
        <f>IF(MAX(F:F)&lt;25,"",INDEX(F:J,MATCH(25,F:F,0),5))</f>
        <v>4000</v>
      </c>
      <c r="E27" s="73">
        <f t="shared" si="4"/>
        <v>1</v>
      </c>
      <c r="F27" s="73" t="str">
        <f t="shared" si="5"/>
        <v/>
      </c>
      <c r="G27" s="386" t="str">
        <f>IF(H27="","","Sails")</f>
        <v/>
      </c>
      <c r="H27" s="380" t="str">
        <f>IF('2-Drives'!$H$44=0,"",'2-Drives'!$S$17 &amp;" Thrust 0")</f>
        <v/>
      </c>
      <c r="I27" s="391">
        <f>'2-Drives'!H44</f>
        <v>0</v>
      </c>
      <c r="J27" s="263">
        <f>'2-Drives'!F44</f>
        <v>0</v>
      </c>
      <c r="K27">
        <f t="shared" si="6"/>
        <v>12</v>
      </c>
    </row>
    <row r="28" spans="1:11" x14ac:dyDescent="0.3">
      <c r="A28" s="388" t="str">
        <f>IF(MAX(F:F)&lt;26,"",IF(INDEX(F:J,MATCH(26,F:F,0),2)=0,"",INDEX(F:J,MATCH(26,F:F,0),2)))</f>
        <v/>
      </c>
      <c r="B28" s="441" t="str">
        <f>IF(MAX(F:F)&lt;26,"",INDEX(F:J,MATCH(26,F:F,0),3))</f>
        <v>5 TOTAL SOPHONT CREW</v>
      </c>
      <c r="C28" s="4" t="str">
        <f>IF(MAX(F:F)&lt;26,"",INDEX(F:J,MATCH(26,F:F,0),4))</f>
        <v/>
      </c>
      <c r="D28" s="4" t="str">
        <f>IF(MAX(F:F)&lt;26,"",INDEX(F:J,MATCH(26,F:F,0),5))</f>
        <v/>
      </c>
      <c r="E28" s="73">
        <f t="shared" si="4"/>
        <v>1</v>
      </c>
      <c r="F28" s="73" t="str">
        <f t="shared" si="5"/>
        <v/>
      </c>
      <c r="H28" s="12" t="str">
        <f>IF('2-Drives'!BJ26="N/A","","Combined Reaction Drive Rating: "&amp;'2-Drives'!BJ26&amp;"G")</f>
        <v/>
      </c>
      <c r="K28">
        <f t="shared" si="6"/>
        <v>12</v>
      </c>
    </row>
    <row r="29" spans="1:11" x14ac:dyDescent="0.3">
      <c r="A29" s="388" t="str">
        <f>IF(MAX(F:F)&lt;27,"",IF(INDEX(F:J,MATCH(27,F:F,0),2)=0,"",INDEX(F:J,MATCH(27,F:F,0),2)))</f>
        <v>Power</v>
      </c>
      <c r="B29" s="441" t="str">
        <f>IF(MAX(F:F)&lt;27,"",INDEX(F:J,MATCH(27,F:F,0),3))</f>
        <v>Power Distribution: Normal (Battle Load)</v>
      </c>
      <c r="C29" s="4" t="str">
        <f>IF(MAX(F:F)&lt;27,"",INDEX(F:J,MATCH(27,F:F,0),4))</f>
        <v>Available:</v>
      </c>
      <c r="D29" s="4" t="str">
        <f>IF(MAX(F:F)&lt;27,"",INDEX(F:J,MATCH(27,F:F,0),5))</f>
        <v>20 PP</v>
      </c>
      <c r="E29" s="73">
        <f t="shared" si="4"/>
        <v>1</v>
      </c>
      <c r="F29" s="73" t="str">
        <f t="shared" si="5"/>
        <v/>
      </c>
      <c r="G29" s="389" t="str">
        <f>IF(H29="","","FTL")</f>
        <v/>
      </c>
      <c r="H29" s="379" t="str">
        <f>IF('2-Drives'!$B$29='2-Drives'!$S$5,"",'2-Drives'!$S$101&amp;IF('2-Drives'!C11="No",""," @ "&amp;TEXT('2-Drives'!BF27,"#,###")&amp;" Tons"))</f>
        <v/>
      </c>
      <c r="I29" s="234">
        <f>SUM('2-Drives'!H29:H34)</f>
        <v>0</v>
      </c>
      <c r="J29" s="375">
        <f>SUM('2-Drives'!F29:F34)</f>
        <v>0</v>
      </c>
      <c r="K29">
        <f t="shared" si="6"/>
        <v>13</v>
      </c>
    </row>
    <row r="30" spans="1:11" x14ac:dyDescent="0.3">
      <c r="A30" s="388" t="str">
        <f>IF(MAX(F:F)&lt;28,"",IF(INDEX(F:J,MATCH(28,F:F,0),2)=0,"",INDEX(F:J,MATCH(28,F:F,0),2)))</f>
        <v/>
      </c>
      <c r="B30" s="441" t="str">
        <f>IF(MAX(F:F)&lt;28,"",INDEX(F:J,MATCH(28,F:F,0),3))</f>
        <v>Basic/Hull</v>
      </c>
      <c r="C30" s="4" t="str">
        <f>IF(MAX(F:F)&lt;28,"",INDEX(F:J,MATCH(28,F:F,0),4))</f>
        <v/>
      </c>
      <c r="D30" s="4" t="str">
        <f>IF(MAX(F:F)&lt;28,"",INDEX(F:J,MATCH(28,F:F,0),5))</f>
        <v>20/ (10) PP</v>
      </c>
      <c r="E30" s="73">
        <f t="shared" si="4"/>
        <v>1</v>
      </c>
      <c r="F30" s="73" t="str">
        <f t="shared" si="5"/>
        <v/>
      </c>
      <c r="G30" s="386" t="str">
        <f>IF(H30="","",IF(G29="","FTL",""))</f>
        <v/>
      </c>
      <c r="H30" s="380" t="str">
        <f>IF('2-Drives'!$B$56='2-Drives'!$S$5,"",RIGHT('2-Drives'!$S$102,(LEN('2-Drives'!$S$102)-2))&amp;IF('2-Drives'!C11="No",""," @ "&amp;TEXT('2-Drives'!BF31,"#,###")&amp;" Tons"))</f>
        <v/>
      </c>
      <c r="I30" s="391">
        <f>SUM('2-Drives'!H56:H59)</f>
        <v>0</v>
      </c>
      <c r="J30" s="263">
        <f>SUM('2-Drives'!F56:F61)</f>
        <v>0</v>
      </c>
      <c r="K30">
        <f t="shared" si="6"/>
        <v>13</v>
      </c>
    </row>
    <row r="31" spans="1:11" x14ac:dyDescent="0.3">
      <c r="A31" s="388" t="str">
        <f>IF(MAX(F:F)&lt;29,"",IF(INDEX(F:J,MATCH(29,F:F,0),2)=0,"",INDEX(F:J,MATCH(29,F:F,0),2)))</f>
        <v/>
      </c>
      <c r="B31" s="441" t="str">
        <f>IF(MAX(F:F)&lt;29,"",INDEX(F:J,MATCH(29,F:F,0),3))</f>
        <v>Maximum Load (Battle Load)</v>
      </c>
      <c r="C31" s="4" t="str">
        <f>IF(MAX(F:F)&lt;29,"",INDEX(F:J,MATCH(29,F:F,0),4))</f>
        <v/>
      </c>
      <c r="D31" s="4" t="str">
        <f>IF(MAX(F:F)&lt;29,"",INDEX(F:J,MATCH(29,F:F,0),5))</f>
        <v>20 (10)</v>
      </c>
      <c r="E31" s="73">
        <f t="shared" si="4"/>
        <v>1</v>
      </c>
      <c r="F31" s="73" t="str">
        <f t="shared" si="5"/>
        <v/>
      </c>
      <c r="H31" s="12" t="str">
        <f>IF('2-Drives'!BJ27="N/A","","Combined J-Drive Rating: J"&amp;'2-Drives'!BJ27&amp;IF('2-Drives'!BK27="","",", "&amp;'2-Drives'!BK27))</f>
        <v/>
      </c>
      <c r="K31">
        <f t="shared" si="6"/>
        <v>13</v>
      </c>
    </row>
    <row r="32" spans="1:11" x14ac:dyDescent="0.3">
      <c r="A32" s="388" t="str">
        <f>IF(MAX(F:F)&lt;30,"",IF(INDEX(F:J,MATCH(30,F:F,0),2)=0,"",INDEX(F:J,MATCH(30,F:F,0),2)))</f>
        <v>ERROR</v>
      </c>
      <c r="B32" s="441" t="str">
        <f>IF(MAX(F:F)&lt;30,"",INDEX(F:J,MATCH(30,F:F,0),3))</f>
        <v>CREW/STATEROOMS ERROR</v>
      </c>
      <c r="C32" s="4" t="str">
        <f>IF(MAX(F:F)&lt;30,"",INDEX(F:J,MATCH(30,F:F,0),4))</f>
        <v/>
      </c>
      <c r="D32" s="4" t="str">
        <f>IF(MAX(F:F)&lt;30,"",INDEX(F:J,MATCH(30,F:F,0),5))</f>
        <v/>
      </c>
      <c r="E32" s="73">
        <f t="shared" si="4"/>
        <v>2</v>
      </c>
      <c r="F32" s="73">
        <f t="shared" si="5"/>
        <v>2</v>
      </c>
      <c r="G32" s="389" t="str">
        <f>IF(H32="","","Power Plant")</f>
        <v>Power Plant</v>
      </c>
      <c r="H32" s="379" t="str">
        <f>IF('3-Pwr Plant'!$D$11=0,"",IF(AND('3-Pwr Plant'!C7='3-Pwr Plant'!S17,'Ship Info'!E6="Module"),"*","")&amp;'3-Pwr Plant'!$B$11&amp;" Output: "&amp;TEXT('3-Pwr Plant'!$D$11+'3-Pwr Plant'!$L$12&amp;" ","#,### ")&amp;'3-Pwr Plant'!$Z$12)&amp;IF(INDEX('3-Pwr Plant'!S2:Y10,MATCH('3-Pwr Plant'!B11,'3-Pwr Plant'!S2:S10,0),7)=0,"",", "&amp;INDEX('3-Pwr Plant'!S2:Y10,MATCH('3-Pwr Plant'!B11,'3-Pwr Plant'!S2:S10,0),7)&amp;" Year Life")</f>
        <v xml:space="preserve">TL 12 Fusion Output: 20 </v>
      </c>
      <c r="I32" s="234">
        <f>SUM('3-Pwr Plant'!H11:H14)</f>
        <v>1.3333333333333333</v>
      </c>
      <c r="J32" s="375">
        <f>SUM('3-Pwr Plant'!F11:F14)</f>
        <v>1333333.3333333333</v>
      </c>
      <c r="K32">
        <f t="shared" si="6"/>
        <v>14</v>
      </c>
    </row>
    <row r="33" spans="1:11" x14ac:dyDescent="0.3">
      <c r="A33" s="388" t="str">
        <f>IF(MAX(F:F)&lt;31,"",IF(INDEX(F:J,MATCH(31,F:F,0),2)=0,"",INDEX(F:J,MATCH(31,F:F,0),2)))</f>
        <v/>
      </c>
      <c r="B33" s="441" t="str">
        <f>IF(MAX(F:F)&lt;31,"",INDEX(F:J,MATCH(31,F:F,0),3))</f>
        <v/>
      </c>
      <c r="C33" s="4" t="str">
        <f>IF(MAX(F:F)&lt;31,"",INDEX(F:J,MATCH(31,F:F,0),4))</f>
        <v/>
      </c>
      <c r="D33" s="4" t="str">
        <f>IF(MAX(F:F)&lt;31,"",INDEX(F:J,MATCH(31,F:F,0),5))</f>
        <v/>
      </c>
      <c r="E33" s="73">
        <f t="shared" si="4"/>
        <v>2</v>
      </c>
      <c r="F33" s="73" t="str">
        <f t="shared" si="5"/>
        <v/>
      </c>
      <c r="G33" s="385"/>
      <c r="H33" s="12" t="str">
        <f>IF(OR('3-Pwr Plant'!$H$15=0,'3-Pwr Plant'!$H$15=""),"","Emergency Power System")</f>
        <v/>
      </c>
      <c r="I33" s="4" t="str">
        <f>'3-Pwr Plant'!H15</f>
        <v/>
      </c>
      <c r="J33" s="262" t="str">
        <f>'3-Pwr Plant'!F15</f>
        <v xml:space="preserve"> </v>
      </c>
      <c r="K33" t="str">
        <f t="shared" si="6"/>
        <v/>
      </c>
    </row>
    <row r="34" spans="1:11" ht="15" customHeight="1" x14ac:dyDescent="0.3">
      <c r="A34" s="388" t="str">
        <f>IF(MAX(F:F)&lt;32,"",IF(INDEX(F:J,MATCH(32,F:F,0),2)=0,"",INDEX(F:J,MATCH(32,F:F,0),2)))</f>
        <v/>
      </c>
      <c r="B34" s="441" t="str">
        <f>IF(MAX(F:F)&lt;32,"",INDEX(F:J,MATCH(32,F:F,0),3))</f>
        <v/>
      </c>
      <c r="C34" s="4" t="str">
        <f>IF(MAX(F:F)&lt;32,"",INDEX(F:J,MATCH(32,F:F,0),4))</f>
        <v/>
      </c>
      <c r="D34" s="4" t="str">
        <f>IF(MAX(F:F)&lt;32,"",INDEX(F:J,MATCH(32,F:F,0),5))</f>
        <v/>
      </c>
      <c r="E34" s="73">
        <f t="shared" si="4"/>
        <v>2</v>
      </c>
      <c r="F34" s="73" t="str">
        <f t="shared" si="5"/>
        <v/>
      </c>
      <c r="G34" s="385" t="str">
        <f>IF(G32="",IF(H34="","","Power Plant"),"")</f>
        <v/>
      </c>
      <c r="H34" s="12" t="str">
        <f>IF('3-Pwr Plant'!$H$18=0,"",TEXT('3-Pwr Plant'!$D$18,"#,###")&amp;"x "&amp;'3-Pwr Plant'!$C$18&amp;" Batteries - Power: "&amp;TEXT('3-Pwr Plant'!$L$18,"#,###"))</f>
        <v/>
      </c>
      <c r="I34" s="4">
        <f>'3-Pwr Plant'!H18</f>
        <v>0</v>
      </c>
      <c r="J34" s="262">
        <f>'3-Pwr Plant'!F18</f>
        <v>0</v>
      </c>
      <c r="K34" t="str">
        <f t="shared" si="6"/>
        <v/>
      </c>
    </row>
    <row r="35" spans="1:11" x14ac:dyDescent="0.3">
      <c r="A35" s="388" t="str">
        <f>IF(MAX(F:F)&lt;33,"",IF(INDEX(F:J,MATCH(33,F:F,0),2)=0,"",INDEX(F:J,MATCH(33,F:F,0),2)))</f>
        <v/>
      </c>
      <c r="B35" s="441" t="str">
        <f>IF(MAX(F:F)&lt;33,"",INDEX(F:J,MATCH(33,F:F,0),3))</f>
        <v/>
      </c>
      <c r="C35" s="4" t="str">
        <f>IF(MAX(F:F)&lt;33,"",INDEX(F:J,MATCH(33,F:F,0),4))</f>
        <v/>
      </c>
      <c r="D35" s="4" t="str">
        <f>IF(MAX(F:F)&lt;33,"",INDEX(F:J,MATCH(33,F:F,0),5))</f>
        <v/>
      </c>
      <c r="E35" s="73">
        <f t="shared" si="4"/>
        <v>2</v>
      </c>
      <c r="F35" s="73" t="str">
        <f t="shared" si="5"/>
        <v/>
      </c>
      <c r="G35" s="385" t="str">
        <f>IF(AND(G32="",G34=""),IF(H35="","","Power Plant"),"")</f>
        <v/>
      </c>
      <c r="H35" s="12" t="str">
        <f>IF('3-Pwr Plant'!$H$20=0,"",TEXT('3-Pwr Plant'!$D$20,"#,###")&amp;"x Jump Collectors")</f>
        <v/>
      </c>
      <c r="I35" s="4">
        <f>'3-Pwr Plant'!H20</f>
        <v>0</v>
      </c>
      <c r="J35" s="262">
        <f>'3-Pwr Plant'!F20</f>
        <v>0</v>
      </c>
      <c r="K35" t="str">
        <f t="shared" si="6"/>
        <v/>
      </c>
    </row>
    <row r="36" spans="1:11" x14ac:dyDescent="0.3">
      <c r="A36" s="388" t="str">
        <f>IF(MAX(F:F)&lt;34,"",IF(INDEX(F:J,MATCH(34,F:F,0),2)=0,"",INDEX(F:J,MATCH(34,F:F,0),2)))</f>
        <v/>
      </c>
      <c r="B36" s="441" t="str">
        <f>IF(MAX(F:F)&lt;34,"",INDEX(F:J,MATCH(34,F:F,0),3))</f>
        <v/>
      </c>
      <c r="C36" s="4" t="str">
        <f>IF(MAX(F:F)&lt;34,"",INDEX(F:J,MATCH(34,F:F,0),4))</f>
        <v/>
      </c>
      <c r="D36" s="4" t="str">
        <f>IF(MAX(F:F)&lt;34,"",INDEX(F:J,MATCH(34,F:F,0),5))</f>
        <v/>
      </c>
      <c r="E36" s="73">
        <f t="shared" si="4"/>
        <v>2</v>
      </c>
      <c r="F36" s="73" t="str">
        <f t="shared" si="5"/>
        <v/>
      </c>
      <c r="G36" s="385" t="str">
        <f>IF(AND(G32="",G35="",G34=""),IF(H36="","","Power Plant"),"")</f>
        <v/>
      </c>
      <c r="H36" s="12" t="str">
        <f>IF('3-Pwr Plant'!$H$22=0,"",TEXT('3-Pwr Plant'!$D$22,"#,###")&amp;" Units of "&amp;'3-Pwr Plant'!$C$22&amp;" Solar Panels - Power: "&amp;TEXT('3-Pwr Plant'!$L$22,"#,###"))</f>
        <v/>
      </c>
      <c r="I36" s="4">
        <f>'3-Pwr Plant'!H22</f>
        <v>0</v>
      </c>
      <c r="J36" s="262">
        <f>'3-Pwr Plant'!F22</f>
        <v>0</v>
      </c>
      <c r="K36" t="str">
        <f t="shared" si="6"/>
        <v/>
      </c>
    </row>
    <row r="37" spans="1:11" x14ac:dyDescent="0.3">
      <c r="A37" s="388" t="str">
        <f>IF(MAX(F:F)&lt;35,"",IF(INDEX(F:J,MATCH(35,F:F,0),2)=0,"",INDEX(F:J,MATCH(35,F:F,0),2)))</f>
        <v/>
      </c>
      <c r="B37" s="441" t="str">
        <f>IF(MAX(F:F)&lt;35,"",INDEX(F:J,MATCH(35,F:F,0),3))</f>
        <v/>
      </c>
      <c r="C37" s="4" t="str">
        <f>IF(MAX(F:F)&lt;35,"",INDEX(F:J,MATCH(35,F:F,0),4))</f>
        <v/>
      </c>
      <c r="D37" s="4" t="str">
        <f>IF(MAX(F:F)&lt;35,"",INDEX(F:J,MATCH(35,F:F,0),5))</f>
        <v/>
      </c>
      <c r="E37" s="73">
        <f t="shared" si="4"/>
        <v>2</v>
      </c>
      <c r="F37" s="73" t="str">
        <f t="shared" si="5"/>
        <v/>
      </c>
      <c r="G37" s="386"/>
      <c r="H37" s="380" t="str">
        <f>IF(OR('3-Pwr Plant'!$H$16=0,'3-Pwr Plant'!$H$16=""),"","Armored Bulkheads")</f>
        <v/>
      </c>
      <c r="I37" s="391" t="str">
        <f>'3-Pwr Plant'!H16</f>
        <v/>
      </c>
      <c r="J37" s="263" t="str">
        <f>'3-Pwr Plant'!F16</f>
        <v/>
      </c>
      <c r="K37" t="str">
        <f t="shared" si="6"/>
        <v/>
      </c>
    </row>
    <row r="38" spans="1:11" ht="15.75" customHeight="1" x14ac:dyDescent="0.3">
      <c r="A38" s="388" t="str">
        <f>IF(MAX(F:F)&lt;36,"",IF(INDEX(F:J,MATCH(36,F:F,0),2)=0,"",INDEX(F:J,MATCH(36,F:F,0),2)))</f>
        <v/>
      </c>
      <c r="B38" s="441" t="str">
        <f>IF(MAX(F:F)&lt;36,"",INDEX(F:J,MATCH(36,F:F,0),3))</f>
        <v/>
      </c>
      <c r="C38" s="4" t="str">
        <f>IF(MAX(F:F)&lt;36,"",INDEX(F:J,MATCH(36,F:F,0),4))</f>
        <v/>
      </c>
      <c r="D38" s="4" t="str">
        <f>IF(MAX(F:F)&lt;36,"",INDEX(F:J,MATCH(36,F:F,0),5))</f>
        <v/>
      </c>
      <c r="E38" s="73">
        <f t="shared" si="4"/>
        <v>3</v>
      </c>
      <c r="F38" s="73">
        <f t="shared" si="5"/>
        <v>3</v>
      </c>
      <c r="G38" s="389" t="str">
        <f>IF(H38="","","Fuel")</f>
        <v>Fuel</v>
      </c>
      <c r="H38" s="379" t="str">
        <f>IF('4-Fuel'!$H$10=0,"",IF('4-Fuel'!$B$9=0,"",'4-Fuel'!$B$9&amp;" "&amp;'4-Fuel'!A9&amp;", ")&amp;'4-Fuel'!$C$10&amp;" Weeks of Operation"&amp;IF('4-Fuel'!$C$5="Yes","*","")&amp;IF('4-Fuel'!$B$8=0,"",", "&amp;"Reaction Hours: "&amp;'4-Fuel'!$B$8)&amp;IF('4-Fuel'!C30='4-Fuel'!T9,"",", F/C Bay"))</f>
        <v>4 Weeks of Operation*</v>
      </c>
      <c r="I38" s="234">
        <f>SUM('4-Fuel'!H8:H10)</f>
        <v>0.13333333333333333</v>
      </c>
      <c r="J38" s="375" t="str">
        <f>""</f>
        <v/>
      </c>
      <c r="K38" t="str">
        <f t="shared" si="6"/>
        <v/>
      </c>
    </row>
    <row r="39" spans="1:11" x14ac:dyDescent="0.3">
      <c r="A39" s="388" t="str">
        <f>IF(MAX(F:F)&lt;37,"",IF(INDEX(F:J,MATCH(37,F:F,0),2)=0,"",INDEX(F:J,MATCH(37,F:F,0),2)))</f>
        <v/>
      </c>
      <c r="B39" s="441" t="str">
        <f>IF(MAX(F:F)&lt;37,"",INDEX(F:J,MATCH(37,F:F,0),3))</f>
        <v/>
      </c>
      <c r="C39" s="4" t="str">
        <f>IF(MAX(F:F)&lt;37,"",INDEX(F:J,MATCH(37,F:F,0),4))</f>
        <v/>
      </c>
      <c r="D39" s="4" t="str">
        <f>IF(MAX(F:F)&lt;37,"",INDEX(F:J,MATCH(37,F:F,0),5))</f>
        <v/>
      </c>
      <c r="E39" s="73">
        <f t="shared" si="4"/>
        <v>3</v>
      </c>
      <c r="F39" s="73" t="str">
        <f t="shared" si="5"/>
        <v/>
      </c>
      <c r="G39" s="385" t="str">
        <f>IF(G38="",IF(H39="","","Fuel"),"")</f>
        <v/>
      </c>
      <c r="H39" s="12" t="str">
        <f>IF('4-Fuel'!$H$11=0,"","Additional Tons of Fuel")</f>
        <v/>
      </c>
      <c r="I39" s="4">
        <f>'4-Fuel'!H11</f>
        <v>0</v>
      </c>
      <c r="J39" s="262" t="str">
        <f>""</f>
        <v/>
      </c>
      <c r="K39" t="str">
        <f t="shared" si="6"/>
        <v/>
      </c>
    </row>
    <row r="40" spans="1:11" x14ac:dyDescent="0.3">
      <c r="A40" s="388" t="str">
        <f>IF(MAX(F:F)&lt;38,"",IF(INDEX(F:J,MATCH(38,F:F,0),2)=0,"",INDEX(F:J,MATCH(38,F:F,0),2)))</f>
        <v/>
      </c>
      <c r="B40" s="441" t="str">
        <f>IF(MAX(F:F)&lt;38,"",INDEX(F:J,MATCH(38,F:F,0),3))</f>
        <v/>
      </c>
      <c r="C40" s="4" t="str">
        <f>IF(MAX(F:F)&lt;38,"",INDEX(F:J,MATCH(38,F:F,0),4))</f>
        <v/>
      </c>
      <c r="D40" s="4" t="str">
        <f>IF(MAX(F:F)&lt;38,"",INDEX(F:J,MATCH(38,F:F,0),5))</f>
        <v/>
      </c>
      <c r="E40" s="73">
        <f t="shared" si="4"/>
        <v>3</v>
      </c>
      <c r="F40" s="73" t="str">
        <f t="shared" si="5"/>
        <v/>
      </c>
      <c r="G40" s="385" t="str">
        <f>IF(AND(G38="",G39=""),IF(H40="","","Fuel"),"")</f>
        <v/>
      </c>
      <c r="H40" s="12" t="str">
        <f>IF('4-Fuel'!$A$23='4-Fuel'!$S$15,"",TEXT('4-Fuel'!$C$23,"#,##0.00")&amp;" Tons "&amp;'4-Fuel'!$A$22&amp;" (Min Cargo: "&amp;TEXT('4-Fuel'!$C$23/100,"#,##0.00")&amp;" Tons)")</f>
        <v/>
      </c>
      <c r="J40" s="262">
        <f>'4-Fuel'!F23</f>
        <v>0</v>
      </c>
      <c r="K40" t="str">
        <f t="shared" si="6"/>
        <v/>
      </c>
    </row>
    <row r="41" spans="1:11" x14ac:dyDescent="0.3">
      <c r="A41" s="388" t="str">
        <f>IF(MAX(F:F)&lt;39,"",IF(INDEX(F:J,MATCH(39,F:F,0),2)=0,"",INDEX(F:J,MATCH(39,F:F,0),2)))</f>
        <v/>
      </c>
      <c r="B41" s="441" t="str">
        <f>IF(MAX(F:F)&lt;39,"",INDEX(F:J,MATCH(39,F:F,0),3))</f>
        <v/>
      </c>
      <c r="C41" s="4" t="str">
        <f>IF(MAX(F:F)&lt;39,"",INDEX(F:J,MATCH(39,F:F,0),4))</f>
        <v/>
      </c>
      <c r="D41" s="4" t="str">
        <f>IF(MAX(F:F)&lt;39,"",INDEX(F:J,MATCH(39,F:F,0),5))</f>
        <v/>
      </c>
      <c r="E41" s="73">
        <f t="shared" si="4"/>
        <v>3</v>
      </c>
      <c r="F41" s="73" t="str">
        <f t="shared" si="5"/>
        <v/>
      </c>
      <c r="G41" s="385" t="str">
        <f>IF(AND(G38="",G39="",G40=""),IF(H41="","","Fuel"),"")</f>
        <v/>
      </c>
      <c r="H41" s="12" t="str">
        <f>IF('4-Fuel'!$A$26='4-Fuel'!$S$15,"",TEXT('4-Fuel'!$C$26,"#,###")&amp;" "&amp;'4-Fuel'!$C$25&amp;" "&amp;'4-Fuel'!$A$25)</f>
        <v/>
      </c>
      <c r="J41" s="262">
        <f>'4-Fuel'!F26</f>
        <v>0</v>
      </c>
      <c r="K41" t="str">
        <f t="shared" si="6"/>
        <v/>
      </c>
    </row>
    <row r="42" spans="1:11" x14ac:dyDescent="0.3">
      <c r="A42" s="388" t="str">
        <f>IF(MAX(F:F)&lt;40,"",IF(INDEX(F:J,MATCH(40,F:F,0),2)=0,"",INDEX(F:J,MATCH(40,F:F,0),2)))</f>
        <v/>
      </c>
      <c r="B42" s="441" t="str">
        <f>IF(MAX(F:F)&lt;40,"",INDEX(F:J,MATCH(40,F:F,0),3))</f>
        <v/>
      </c>
      <c r="C42" s="4" t="str">
        <f>IF(MAX(F:F)&lt;40,"",INDEX(F:J,MATCH(40,F:F,0),4))</f>
        <v/>
      </c>
      <c r="D42" s="4" t="str">
        <f>IF(MAX(F:F)&lt;40,"",INDEX(F:J,MATCH(40,F:F,0),5))</f>
        <v/>
      </c>
      <c r="E42" s="73">
        <f t="shared" si="4"/>
        <v>3</v>
      </c>
      <c r="F42" s="73" t="str">
        <f t="shared" si="5"/>
        <v/>
      </c>
      <c r="G42" s="385" t="str">
        <f>IF(AND(G38="",G39="",G40="",G41=""),IF(H42="","","Fuel"),"")</f>
        <v/>
      </c>
      <c r="H42" s="12" t="str">
        <f>IF('4-Fuel'!$B$29*'4-Fuel'!$C$29=0,"",'4-Fuel'!$A$28&amp;" "&amp;'4-Fuel'!$B$29&amp;"x "&amp;TEXT('4-Fuel'!$C$29,"#,##0.00")&amp;" Ton Bay(s)")</f>
        <v/>
      </c>
      <c r="I42" s="4">
        <f>'4-Fuel'!H29</f>
        <v>0</v>
      </c>
      <c r="J42" s="262">
        <f>'4-Fuel'!F29</f>
        <v>0</v>
      </c>
      <c r="K42" t="str">
        <f t="shared" si="6"/>
        <v/>
      </c>
    </row>
    <row r="43" spans="1:11" x14ac:dyDescent="0.3">
      <c r="A43" s="388" t="str">
        <f>IF(MAX(F:F)&lt;41,"",IF(INDEX(F:J,MATCH(41,F:F,0),2)=0,"",INDEX(F:J,MATCH(41,F:F,0),2)))</f>
        <v/>
      </c>
      <c r="B43" s="441" t="str">
        <f>IF(MAX(F:F)&lt;41,"",INDEX(F:J,MATCH(41,F:F,0),3))</f>
        <v/>
      </c>
      <c r="C43" s="4" t="str">
        <f>IF(MAX(F:F)&lt;41,"",INDEX(F:J,MATCH(41,F:F,0),4))</f>
        <v/>
      </c>
      <c r="D43" s="4" t="str">
        <f>IF(MAX(F:F)&lt;41,"",INDEX(F:J,MATCH(41,F:F,0),5))</f>
        <v/>
      </c>
      <c r="E43" s="73">
        <f t="shared" si="4"/>
        <v>3</v>
      </c>
      <c r="F43" s="73" t="str">
        <f t="shared" si="5"/>
        <v/>
      </c>
      <c r="G43" s="385"/>
      <c r="H43" s="12" t="str">
        <f>IF('4-Fuel'!C31='4-Fuel'!$S$48,"",'4-Fuel'!A28&amp;" "&amp;'4-Fuel'!B31)</f>
        <v/>
      </c>
      <c r="I43" s="4">
        <f>'4-Fuel'!H31</f>
        <v>0</v>
      </c>
      <c r="J43" s="262">
        <f>'4-Fuel'!F31</f>
        <v>0</v>
      </c>
      <c r="K43" t="str">
        <f t="shared" si="6"/>
        <v/>
      </c>
    </row>
    <row r="44" spans="1:11" x14ac:dyDescent="0.3">
      <c r="A44" s="388" t="str">
        <f>IF(MAX(F:F)&lt;42,"",IF(INDEX(F:J,MATCH(42,F:F,0),2)=0,"",INDEX(F:J,MATCH(42,F:F,0),2)))</f>
        <v/>
      </c>
      <c r="B44" s="441" t="str">
        <f>IF(MAX(F:F)&lt;42,"",INDEX(F:J,MATCH(42,F:F,0),3))</f>
        <v/>
      </c>
      <c r="C44" s="4" t="str">
        <f>IF(MAX(F:F)&lt;42,"",INDEX(F:J,MATCH(42,F:F,0),4))</f>
        <v/>
      </c>
      <c r="D44" s="4" t="str">
        <f>IF(MAX(F:F)&lt;42,"",INDEX(F:J,MATCH(42,F:F,0),5))</f>
        <v/>
      </c>
      <c r="E44" s="73">
        <f t="shared" si="4"/>
        <v>3</v>
      </c>
      <c r="F44" s="73" t="str">
        <f t="shared" si="5"/>
        <v/>
      </c>
      <c r="G44" s="385"/>
      <c r="H44" s="12" t="str">
        <f>IF('4-Fuel'!C32='4-Fuel'!$S$48,"",'4-Fuel'!A28&amp;" "&amp;'4-Fuel'!B32)</f>
        <v/>
      </c>
      <c r="I44" s="4">
        <f>'4-Fuel'!H32</f>
        <v>0</v>
      </c>
      <c r="J44" s="262">
        <f>'4-Fuel'!F32</f>
        <v>0</v>
      </c>
      <c r="K44" t="str">
        <f t="shared" si="6"/>
        <v/>
      </c>
    </row>
    <row r="45" spans="1:11" x14ac:dyDescent="0.3">
      <c r="A45" s="388" t="str">
        <f>IF(MAX(F:F)&lt;43,"",IF(INDEX(F:J,MATCH(43,F:F,0),2)=0,"",INDEX(F:J,MATCH(43,F:F,0),2)))</f>
        <v/>
      </c>
      <c r="B45" s="441" t="str">
        <f>IF(MAX(F:F)&lt;43,"",INDEX(F:J,MATCH(43,F:F,0),3))</f>
        <v/>
      </c>
      <c r="C45" s="4" t="str">
        <f>IF(MAX(F:F)&lt;43,"",INDEX(F:J,MATCH(43,F:F,0),4))</f>
        <v/>
      </c>
      <c r="D45" s="4" t="str">
        <f>IF(MAX(F:F)&lt;43,"",INDEX(F:J,MATCH(43,F:F,0),5))</f>
        <v/>
      </c>
      <c r="E45" s="73">
        <f t="shared" si="4"/>
        <v>3</v>
      </c>
      <c r="F45" s="73" t="str">
        <f t="shared" si="5"/>
        <v/>
      </c>
      <c r="G45" s="385"/>
      <c r="H45" s="12" t="str">
        <f>IF('4-Fuel'!$A$36='4-Fuel'!$S$15,"",TEXT('4-Fuel'!$C$36,"#,##0.00")&amp;" Ton "&amp;'4-Fuel'!$A$35)</f>
        <v/>
      </c>
      <c r="I45" s="4">
        <f>'4-Fuel'!H36</f>
        <v>0</v>
      </c>
      <c r="J45" s="262">
        <f>'4-Fuel'!F36</f>
        <v>0</v>
      </c>
      <c r="K45" t="str">
        <f t="shared" si="6"/>
        <v/>
      </c>
    </row>
    <row r="46" spans="1:11" x14ac:dyDescent="0.3">
      <c r="A46" s="388" t="str">
        <f>IF(MAX(F:F)&lt;44,"",IF(INDEX(F:J,MATCH(44,F:F,0),2)=0,"",INDEX(F:J,MATCH(44,F:F,0),2)))</f>
        <v/>
      </c>
      <c r="B46" s="441" t="str">
        <f>IF(MAX(F:F)&lt;44,"",INDEX(F:J,MATCH(44,F:F,0),3))</f>
        <v/>
      </c>
      <c r="C46" s="4" t="str">
        <f>IF(MAX(F:F)&lt;44,"",INDEX(F:J,MATCH(44,F:F,0),4))</f>
        <v/>
      </c>
      <c r="D46" s="4" t="str">
        <f>IF(MAX(F:F)&lt;44,"",INDEX(F:J,MATCH(44,F:F,0),5))</f>
        <v/>
      </c>
      <c r="E46" s="73">
        <f t="shared" si="4"/>
        <v>3</v>
      </c>
      <c r="F46" s="73" t="str">
        <f t="shared" si="5"/>
        <v/>
      </c>
      <c r="G46" s="385"/>
      <c r="H46" s="12" t="str">
        <f>IF('4-Fuel'!$H$40=0,"",'4-Fuel'!$B$40)</f>
        <v/>
      </c>
      <c r="I46" s="4">
        <f>'4-Fuel'!H40</f>
        <v>0</v>
      </c>
      <c r="J46" s="262">
        <f>'4-Fuel'!F40</f>
        <v>0</v>
      </c>
      <c r="K46" t="str">
        <f t="shared" si="6"/>
        <v/>
      </c>
    </row>
    <row r="47" spans="1:11" x14ac:dyDescent="0.3">
      <c r="A47" s="388" t="str">
        <f>IF(MAX(F:F)&lt;45,"",IF(INDEX(F:J,MATCH(45,F:F,0),2)=0,"",INDEX(F:J,MATCH(45,F:F,0),2)))</f>
        <v/>
      </c>
      <c r="B47" s="441" t="str">
        <f>IF(MAX(F:F)&lt;45,"",INDEX(F:J,MATCH(45,F:F,0),3))</f>
        <v/>
      </c>
      <c r="C47" s="4" t="str">
        <f>IF(MAX(F:F)&lt;45,"",INDEX(F:J,MATCH(45,F:F,0),4))</f>
        <v/>
      </c>
      <c r="D47" s="4" t="str">
        <f>IF(MAX(F:F)&lt;45,"",INDEX(F:J,MATCH(45,F:F,0),5))</f>
        <v/>
      </c>
      <c r="E47" s="73">
        <f t="shared" si="4"/>
        <v>3</v>
      </c>
      <c r="F47" s="73" t="str">
        <f t="shared" si="5"/>
        <v/>
      </c>
      <c r="G47" s="385"/>
      <c r="H47" s="12" t="str">
        <f>IF('4-Fuel'!$C$12='4-Fuel'!$T$9,"","Armored Bulkheads")</f>
        <v/>
      </c>
      <c r="I47" s="4">
        <f>'4-Fuel'!H12</f>
        <v>0</v>
      </c>
      <c r="J47" s="262" t="str">
        <f>'4-Fuel'!F12</f>
        <v xml:space="preserve"> </v>
      </c>
      <c r="K47" t="str">
        <f t="shared" si="6"/>
        <v/>
      </c>
    </row>
    <row r="48" spans="1:11" x14ac:dyDescent="0.3">
      <c r="A48" s="388" t="str">
        <f>IF(MAX(F:F)&lt;46,"",IF(INDEX(F:J,MATCH(46,F:F,0),2)=0,"",INDEX(F:J,MATCH(46,F:F,0),2)))</f>
        <v/>
      </c>
      <c r="B48" s="441" t="str">
        <f>IF(MAX(F:F)&lt;46,"",INDEX(F:J,MATCH(46,F:F,0),3))</f>
        <v/>
      </c>
      <c r="C48" s="4" t="str">
        <f>IF(MAX(F:F)&lt;46,"",INDEX(F:J,MATCH(46,F:F,0),4))</f>
        <v/>
      </c>
      <c r="D48" s="4" t="str">
        <f>IF(MAX(F:F)&lt;46,"",INDEX(F:J,MATCH(46,F:F,0),5))</f>
        <v/>
      </c>
      <c r="E48" s="73">
        <f t="shared" si="4"/>
        <v>3</v>
      </c>
      <c r="F48" s="73" t="str">
        <f t="shared" si="5"/>
        <v/>
      </c>
      <c r="G48" s="386"/>
      <c r="H48" s="380" t="str">
        <f>IF('4-Fuel'!C47=0,"","Custom: "&amp;'4-Fuel'!B47&amp;": "&amp;'4-Fuel'!C47&amp;"Tons/"&amp;'4-Fuel'!C49+('4-Fuel'!C47*'4-Fuel'!B49)&amp;" Cargo Used" )</f>
        <v/>
      </c>
      <c r="I48" s="391">
        <f>'4-Fuel'!H47</f>
        <v>0</v>
      </c>
      <c r="J48" s="263">
        <f>'4-Fuel'!F47</f>
        <v>0</v>
      </c>
      <c r="K48" t="str">
        <f t="shared" si="6"/>
        <v/>
      </c>
    </row>
    <row r="49" spans="1:11" x14ac:dyDescent="0.3">
      <c r="A49" s="388" t="str">
        <f>IF(MAX(F:F)&lt;47,"",IF(INDEX(F:J,MATCH(47,F:F,0),2)=0,"",INDEX(F:J,MATCH(47,F:F,0),2)))</f>
        <v/>
      </c>
      <c r="B49" s="441" t="str">
        <f>IF(MAX(F:F)&lt;47,"",INDEX(F:J,MATCH(47,F:F,0),3))</f>
        <v/>
      </c>
      <c r="C49" s="4" t="str">
        <f>IF(MAX(F:F)&lt;47,"",INDEX(F:J,MATCH(47,F:F,0),4))</f>
        <v/>
      </c>
      <c r="D49" s="4" t="str">
        <f>IF(MAX(F:F)&lt;47,"",INDEX(F:J,MATCH(47,F:F,0),5))</f>
        <v/>
      </c>
      <c r="E49" s="73">
        <f t="shared" si="4"/>
        <v>4</v>
      </c>
      <c r="F49" s="73">
        <f t="shared" si="5"/>
        <v>4</v>
      </c>
      <c r="G49" s="389" t="s">
        <v>71</v>
      </c>
      <c r="H49" s="379" t="str">
        <f>'5-Bridge'!$A$9</f>
        <v>Standard Bridge</v>
      </c>
      <c r="I49" s="234">
        <f>'5-Bridge'!H9</f>
        <v>6</v>
      </c>
      <c r="J49" s="375">
        <f>'5-Bridge'!F9</f>
        <v>500000</v>
      </c>
      <c r="K49" t="str">
        <f t="shared" si="6"/>
        <v/>
      </c>
    </row>
    <row r="50" spans="1:11" x14ac:dyDescent="0.3">
      <c r="A50" s="388" t="str">
        <f>IF(MAX(F:F)&lt;48,"",IF(INDEX(F:J,MATCH(48,F:F,0),2)=0,"",INDEX(F:J,MATCH(48,F:F,0),2)))</f>
        <v/>
      </c>
      <c r="B50" s="441" t="str">
        <f>IF(MAX(F:F)&lt;48,"",INDEX(F:J,MATCH(48,F:F,0),3))</f>
        <v/>
      </c>
      <c r="C50" s="4" t="str">
        <f>IF(MAX(F:F)&lt;48,"",INDEX(F:J,MATCH(48,F:F,0),4))</f>
        <v/>
      </c>
      <c r="D50" s="4" t="str">
        <f>IF(MAX(F:F)&lt;48,"",INDEX(F:J,MATCH(48,F:F,0),5))</f>
        <v/>
      </c>
      <c r="E50" s="73">
        <f t="shared" si="4"/>
        <v>4</v>
      </c>
      <c r="F50" s="73" t="str">
        <f t="shared" si="5"/>
        <v/>
      </c>
      <c r="G50" s="385"/>
      <c r="H50" s="12" t="str">
        <f>IF('5-Bridge'!$A$10='5-Bridge'!$S$16,'5-Bridge'!$A$8&amp;" "&amp;'5-Bridge'!$A$10,"")</f>
        <v/>
      </c>
      <c r="J50" s="262">
        <f>'5-Bridge'!F10</f>
        <v>0</v>
      </c>
      <c r="K50" t="str">
        <f t="shared" si="6"/>
        <v/>
      </c>
    </row>
    <row r="51" spans="1:11" x14ac:dyDescent="0.3">
      <c r="A51" s="388" t="str">
        <f>IF(MAX(F:F)&lt;49,"",IF(INDEX(F:J,MATCH(49,F:F,0),2)=0,"",INDEX(F:J,MATCH(49,F:F,0),2)))</f>
        <v/>
      </c>
      <c r="B51" s="441" t="str">
        <f>IF(MAX(F:F)&lt;49,"",INDEX(F:J,MATCH(49,F:F,0),3))</f>
        <v/>
      </c>
      <c r="C51" s="4" t="str">
        <f>IF(MAX(F:F)&lt;49,"",INDEX(F:J,MATCH(49,F:F,0),4))</f>
        <v/>
      </c>
      <c r="D51" s="4" t="str">
        <f>IF(MAX(F:F)&lt;49,"",INDEX(F:J,MATCH(49,F:F,0),5))</f>
        <v/>
      </c>
      <c r="E51" s="73">
        <f t="shared" si="4"/>
        <v>4</v>
      </c>
      <c r="F51" s="73" t="str">
        <f t="shared" si="5"/>
        <v/>
      </c>
      <c r="G51" s="385"/>
      <c r="H51" s="12" t="str">
        <f>IF('5-Bridge'!$C$17=0,"","Aux Con: "&amp;'5-Bridge'!$A$17&amp;" x"&amp;'5-Bridge'!$C$17&amp;IF('5-Bridge'!C20=0,"",", "&amp;'5-Bridge'!C20&amp;"x set as SCC's"))</f>
        <v/>
      </c>
      <c r="I51" s="4">
        <f>'5-Bridge'!H17</f>
        <v>0</v>
      </c>
      <c r="J51" s="262">
        <f>'5-Bridge'!F17</f>
        <v>0</v>
      </c>
      <c r="K51" t="str">
        <f t="shared" si="6"/>
        <v/>
      </c>
    </row>
    <row r="52" spans="1:11" x14ac:dyDescent="0.3">
      <c r="A52" s="388" t="str">
        <f>IF(MAX(F:F)&lt;50,"",IF(INDEX(F:J,MATCH(50,F:F,0),2)=0,"",INDEX(F:J,MATCH(50,F:F,0),2)))</f>
        <v/>
      </c>
      <c r="B52" s="441" t="str">
        <f>IF(MAX(F:F)&lt;50,"",INDEX(F:J,MATCH(50,F:F,0),3))</f>
        <v/>
      </c>
      <c r="C52" s="4" t="str">
        <f>IF(MAX(F:F)&lt;50,"",INDEX(F:J,MATCH(50,F:F,0),4))</f>
        <v/>
      </c>
      <c r="D52" s="4" t="str">
        <f>IF(MAX(F:F)&lt;50,"",INDEX(F:J,MATCH(50,F:F,0),5))</f>
        <v/>
      </c>
      <c r="E52" s="73">
        <f t="shared" si="4"/>
        <v>4</v>
      </c>
      <c r="F52" s="73" t="str">
        <f t="shared" si="5"/>
        <v/>
      </c>
      <c r="G52" s="385"/>
      <c r="H52" s="12" t="str">
        <f>IF('5-Bridge'!$A$18='5-Bridge'!$S$17,"","Aux Con: "&amp;'5-Bridge'!$A$18)</f>
        <v/>
      </c>
      <c r="J52" s="262">
        <f>'5-Bridge'!F18</f>
        <v>0</v>
      </c>
      <c r="K52" t="str">
        <f t="shared" si="6"/>
        <v/>
      </c>
    </row>
    <row r="53" spans="1:11" x14ac:dyDescent="0.3">
      <c r="A53" s="388" t="str">
        <f>IF(MAX(F:F)&lt;51,"",IF(INDEX(F:J,MATCH(51,F:F,0),2)=0,"",INDEX(F:J,MATCH(51,F:F,0),2)))</f>
        <v/>
      </c>
      <c r="B53" s="441" t="str">
        <f>IF(MAX(F:F)&lt;51,"",INDEX(F:J,MATCH(51,F:F,0),3))</f>
        <v/>
      </c>
      <c r="C53" s="4" t="str">
        <f>IF(MAX(F:F)&lt;51,"",INDEX(F:J,MATCH(51,F:F,0),4))</f>
        <v/>
      </c>
      <c r="D53" s="4" t="str">
        <f>IF(MAX(F:F)&lt;51,"",INDEX(F:J,MATCH(51,F:F,0),5))</f>
        <v/>
      </c>
      <c r="E53" s="73">
        <f t="shared" si="4"/>
        <v>4</v>
      </c>
      <c r="F53" s="73" t="str">
        <f t="shared" si="5"/>
        <v/>
      </c>
      <c r="G53" s="385"/>
      <c r="H53" s="12" t="str">
        <f>IF('5-Bridge'!$A$13='5-Bridge'!$AA$5,"",IF('5-Bridge'!$C$13=0,"",'5-Bridge'!$C$13&amp;"x "&amp;'5-Bridge'!$A$13))</f>
        <v/>
      </c>
      <c r="I53" s="4">
        <f>'5-Bridge'!H13</f>
        <v>0</v>
      </c>
      <c r="J53" s="262">
        <f>'5-Bridge'!F13</f>
        <v>0</v>
      </c>
      <c r="K53" t="str">
        <f t="shared" si="6"/>
        <v/>
      </c>
    </row>
    <row r="54" spans="1:11" x14ac:dyDescent="0.3">
      <c r="A54" s="388" t="str">
        <f>IF(MAX(F:F)&lt;52,"",IF(INDEX(F:J,MATCH(52,F:F,0),2)=0,"",INDEX(F:J,MATCH(52,F:F,0),2)))</f>
        <v/>
      </c>
      <c r="B54" s="441" t="str">
        <f>IF(MAX(F:F)&lt;52,"",INDEX(F:J,MATCH(52,F:F,0),3))</f>
        <v/>
      </c>
      <c r="C54" s="4" t="str">
        <f>IF(MAX(F:F)&lt;52,"",INDEX(F:J,MATCH(52,F:F,0),4))</f>
        <v/>
      </c>
      <c r="D54" s="4" t="str">
        <f>IF(MAX(F:F)&lt;52,"",INDEX(F:J,MATCH(52,F:F,0),5))</f>
        <v/>
      </c>
      <c r="E54" s="73">
        <f t="shared" si="4"/>
        <v>4</v>
      </c>
      <c r="F54" s="73" t="str">
        <f t="shared" si="5"/>
        <v/>
      </c>
      <c r="G54" s="385"/>
      <c r="H54" s="12" t="str">
        <f>IF('5-Bridge'!$A$18='5-Bridge'!$S$17,"","Command Bridge: "&amp;'5-Bridge'!$A$18)</f>
        <v/>
      </c>
      <c r="J54" s="262">
        <f>'5-Bridge'!F14</f>
        <v>0</v>
      </c>
      <c r="K54" t="str">
        <f t="shared" si="6"/>
        <v/>
      </c>
    </row>
    <row r="55" spans="1:11" x14ac:dyDescent="0.3">
      <c r="A55" s="388" t="str">
        <f>IF(MAX(F:F)&lt;53,"",IF(INDEX(F:J,MATCH(53,F:F,0),2)=0,"",INDEX(F:J,MATCH(53,F:F,0),2)))</f>
        <v/>
      </c>
      <c r="B55" s="441" t="str">
        <f>IF(MAX(F:F)&lt;53,"",INDEX(F:J,MATCH(53,F:F,0),3))</f>
        <v/>
      </c>
      <c r="C55" s="4" t="str">
        <f>IF(MAX(F:F)&lt;53,"",INDEX(F:J,MATCH(53,F:F,0),4))</f>
        <v/>
      </c>
      <c r="D55" s="4" t="str">
        <f>IF(MAX(F:F)&lt;53,"",INDEX(F:J,MATCH(53,F:F,0),5))</f>
        <v/>
      </c>
      <c r="E55" s="73">
        <f t="shared" si="4"/>
        <v>4</v>
      </c>
      <c r="F55" s="73" t="str">
        <f t="shared" si="5"/>
        <v/>
      </c>
      <c r="G55" s="385"/>
      <c r="H55" s="12" t="str">
        <f>IF('5-Bridge'!$A$24='5-Bridge'!$S$50,"",'5-Bridge'!$A$24)</f>
        <v/>
      </c>
      <c r="J55" s="262">
        <f>'5-Bridge'!F24</f>
        <v>0</v>
      </c>
      <c r="K55" t="str">
        <f t="shared" si="6"/>
        <v/>
      </c>
    </row>
    <row r="56" spans="1:11" x14ac:dyDescent="0.3">
      <c r="A56" s="388" t="str">
        <f>IF(MAX(F:F)&lt;54,"",IF(INDEX(F:J,MATCH(54,F:F,0),2)=0,"",INDEX(F:J,MATCH(54,F:F,0),2)))</f>
        <v/>
      </c>
      <c r="B56" s="441" t="str">
        <f>IF(MAX(F:F)&lt;54,"",INDEX(F:J,MATCH(54,F:F,0),3))</f>
        <v/>
      </c>
      <c r="C56" s="4" t="str">
        <f>IF(MAX(F:F)&lt;54,"",INDEX(F:J,MATCH(54,F:F,0),4))</f>
        <v/>
      </c>
      <c r="D56" s="4" t="str">
        <f>IF(MAX(F:F)&lt;54,"",INDEX(F:J,MATCH(54,F:F,0),5))</f>
        <v/>
      </c>
      <c r="E56" s="73">
        <f t="shared" si="4"/>
        <v>4</v>
      </c>
      <c r="F56" s="73" t="str">
        <f t="shared" si="5"/>
        <v/>
      </c>
      <c r="G56" s="385"/>
      <c r="H56" s="12" t="str">
        <f>'5-Bridge'!$S$61</f>
        <v/>
      </c>
      <c r="J56" s="262">
        <f>SUM('5-Bridge'!F27,'5-Bridge'!F30)</f>
        <v>0</v>
      </c>
      <c r="K56" t="str">
        <f t="shared" si="6"/>
        <v/>
      </c>
    </row>
    <row r="57" spans="1:11" x14ac:dyDescent="0.3">
      <c r="A57" s="388" t="str">
        <f>IF(MAX(F:F)&lt;55,"",IF(INDEX(F:J,MATCH(55,F:F,0),2)=0,"",INDEX(F:J,MATCH(55,F:F,0),2)))</f>
        <v/>
      </c>
      <c r="B57" s="441" t="str">
        <f>IF(MAX(F:F)&lt;55,"",INDEX(F:J,MATCH(55,F:F,0),3))</f>
        <v/>
      </c>
      <c r="C57" s="4" t="str">
        <f>IF(MAX(F:F)&lt;55,"",INDEX(F:J,MATCH(55,F:F,0),4))</f>
        <v/>
      </c>
      <c r="D57" s="4" t="str">
        <f>IF(MAX(F:F)&lt;55,"",INDEX(F:J,MATCH(55,F:F,0),5))</f>
        <v/>
      </c>
      <c r="E57" s="73">
        <f t="shared" si="4"/>
        <v>4</v>
      </c>
      <c r="F57" s="73" t="str">
        <f t="shared" si="5"/>
        <v/>
      </c>
      <c r="G57" s="385"/>
      <c r="H57" s="12" t="str">
        <f>IF(OR('5-Bridge'!$C$22='5-Bridge'!$S$29,'5-Bridge'!A9='5-Bridge'!S12),"Armored Bulkheads","")</f>
        <v/>
      </c>
      <c r="I57" s="4">
        <f>'5-Bridge'!H22</f>
        <v>0</v>
      </c>
      <c r="J57" s="262">
        <f>'5-Bridge'!F22</f>
        <v>0</v>
      </c>
      <c r="K57" t="str">
        <f t="shared" si="6"/>
        <v/>
      </c>
    </row>
    <row r="58" spans="1:11" x14ac:dyDescent="0.3">
      <c r="A58" s="388" t="str">
        <f>IF(MAX(F:F)&lt;56,"",IF(INDEX(F:J,MATCH(56,F:F,0),2)=0,"",INDEX(F:J,MATCH(56,F:F,0),2)))</f>
        <v/>
      </c>
      <c r="B58" s="441" t="str">
        <f>IF(MAX(F:F)&lt;56,"",INDEX(F:J,MATCH(56,F:F,0),3))</f>
        <v/>
      </c>
      <c r="C58" s="4" t="str">
        <f>IF(MAX(F:F)&lt;56,"",INDEX(F:J,MATCH(56,F:F,0),4))</f>
        <v/>
      </c>
      <c r="D58" s="4" t="str">
        <f>IF(MAX(F:F)&lt;56,"",INDEX(F:J,MATCH(56,F:F,0),5))</f>
        <v/>
      </c>
      <c r="E58" s="73">
        <f t="shared" si="4"/>
        <v>4</v>
      </c>
      <c r="F58" s="73" t="str">
        <f t="shared" si="5"/>
        <v/>
      </c>
      <c r="G58" s="386"/>
      <c r="H58" s="380" t="str">
        <f>IF('7-Sensors'!$C$12=0,"",'7-Sensors'!$C$12&amp;"x "&amp;"Additional "&amp;IF('7-Sensors'!$E$13="No","","Armored ")&amp;"Sensor Stations")</f>
        <v/>
      </c>
      <c r="I58" s="391">
        <f>'7-Sensors'!$H$12</f>
        <v>0</v>
      </c>
      <c r="J58" s="263">
        <f>'7-Sensors'!$F$12</f>
        <v>0</v>
      </c>
      <c r="K58" t="str">
        <f t="shared" si="6"/>
        <v/>
      </c>
    </row>
    <row r="59" spans="1:11" x14ac:dyDescent="0.3">
      <c r="A59" s="388" t="str">
        <f>IF(MAX(F:F)&lt;57,"",IF(INDEX(F:J,MATCH(57,F:F,0),2)=0,"",INDEX(F:J,MATCH(57,F:F,0),2)))</f>
        <v/>
      </c>
      <c r="B59" s="441" t="str">
        <f>IF(MAX(F:F)&lt;57,"",INDEX(F:J,MATCH(57,F:F,0),3))</f>
        <v/>
      </c>
      <c r="C59" s="4" t="str">
        <f>IF(MAX(F:F)&lt;57,"",INDEX(F:J,MATCH(57,F:F,0),4))</f>
        <v/>
      </c>
      <c r="D59" s="4" t="str">
        <f>IF(MAX(F:F)&lt;57,"",INDEX(F:J,MATCH(57,F:F,0),5))</f>
        <v/>
      </c>
      <c r="E59" s="73">
        <f t="shared" si="4"/>
        <v>5</v>
      </c>
      <c r="F59" s="73">
        <f t="shared" si="5"/>
        <v>5</v>
      </c>
      <c r="G59" s="389" t="str">
        <f>IF(H59="","","Computer")</f>
        <v>Computer</v>
      </c>
      <c r="H59" s="379" t="str">
        <f>'6-Comp'!$B$9&amp;IF('6-Comp'!$B$10='6-Comp'!$S$21,""," /bis")&amp;IF('6-Comp'!$B$11='6-Comp'!$S$21,"","/fib")&amp;IF('6-Comp'!$B$9="","",'6-Comp'!AB12)</f>
        <v>Comp/ 5</v>
      </c>
      <c r="I59" s="234"/>
      <c r="J59" s="375">
        <f>SUM('6-Comp'!F9:F11)</f>
        <v>30000</v>
      </c>
      <c r="K59" t="str">
        <f t="shared" si="6"/>
        <v/>
      </c>
    </row>
    <row r="60" spans="1:11" x14ac:dyDescent="0.3">
      <c r="A60" s="388" t="str">
        <f>IF(MAX(F:F)&lt;58,"",IF(INDEX(F:J,MATCH(58,F:F,0),2)=0,"",INDEX(F:J,MATCH(58,F:F,0),2)))</f>
        <v/>
      </c>
      <c r="B60" s="441" t="str">
        <f>IF(MAX(F:F)&lt;58,"",INDEX(F:J,MATCH(58,F:F,0),3))</f>
        <v/>
      </c>
      <c r="C60" s="4" t="str">
        <f>IF(MAX(F:F)&lt;58,"",INDEX(F:J,MATCH(58,F:F,0),4))</f>
        <v/>
      </c>
      <c r="D60" s="4" t="str">
        <f>IF(MAX(F:F)&lt;58,"",INDEX(F:J,MATCH(58,F:F,0),5))</f>
        <v/>
      </c>
      <c r="E60" s="73">
        <f t="shared" si="4"/>
        <v>5</v>
      </c>
      <c r="F60" s="73" t="str">
        <f t="shared" si="5"/>
        <v/>
      </c>
      <c r="G60" s="386"/>
      <c r="H60" s="380" t="str">
        <f>IF('6-Comp'!$B$13="","","B/U "&amp;'6-Comp'!$B$13&amp;IF('6-Comp'!$B$14='6-Comp'!$S$21,""," /bis")&amp;IF('6-Comp'!$B$15='6-Comp'!$S$21,"","/fib")&amp;'6-Comp'!AB12)</f>
        <v/>
      </c>
      <c r="I60" s="391"/>
      <c r="J60" s="263">
        <f>SUM('6-Comp'!F13:F15)</f>
        <v>0</v>
      </c>
      <c r="K60" t="str">
        <f t="shared" si="6"/>
        <v/>
      </c>
    </row>
    <row r="61" spans="1:11" x14ac:dyDescent="0.3">
      <c r="A61" s="388" t="str">
        <f>IF(MAX(F:F)&lt;59,"",IF(INDEX(F:J,MATCH(59,F:F,0),2)=0,"",INDEX(F:J,MATCH(59,F:F,0),2)))</f>
        <v/>
      </c>
      <c r="B61" s="441" t="str">
        <f>IF(MAX(F:F)&lt;59,"",INDEX(F:J,MATCH(59,F:F,0),3))</f>
        <v/>
      </c>
      <c r="C61" s="4" t="str">
        <f>IF(MAX(F:F)&lt;59,"",INDEX(F:J,MATCH(59,F:F,0),4))</f>
        <v/>
      </c>
      <c r="D61" s="4" t="str">
        <f>IF(MAX(F:F)&lt;59,"",INDEX(F:J,MATCH(59,F:F,0),5))</f>
        <v/>
      </c>
      <c r="E61" s="73">
        <f t="shared" si="4"/>
        <v>6</v>
      </c>
      <c r="F61" s="73">
        <f t="shared" si="5"/>
        <v>6</v>
      </c>
      <c r="G61" s="389" t="str">
        <f>IF(H61="","","Software")</f>
        <v>Software</v>
      </c>
      <c r="H61" s="379" t="str">
        <f>'6-Comp'!B34&amp;IF(Tech_Level&gt;7,""," Prototype")</f>
        <v>Library</v>
      </c>
      <c r="I61" s="234"/>
      <c r="J61" s="375">
        <v>0</v>
      </c>
      <c r="K61" t="str">
        <f t="shared" si="6"/>
        <v/>
      </c>
    </row>
    <row r="62" spans="1:11" x14ac:dyDescent="0.3">
      <c r="A62" s="388" t="str">
        <f>IF(MAX(F:F)&lt;60,"",IF(INDEX(F:J,MATCH(60,F:F,0),2)=0,"",INDEX(F:J,MATCH(60,F:F,0),2)))</f>
        <v/>
      </c>
      <c r="B62" s="441" t="str">
        <f>IF(MAX(F:F)&lt;60,"",INDEX(F:J,MATCH(60,F:F,0),3))</f>
        <v/>
      </c>
      <c r="C62" s="4" t="str">
        <f>IF(MAX(F:F)&lt;60,"",INDEX(F:J,MATCH(60,F:F,0),4))</f>
        <v/>
      </c>
      <c r="D62" s="4" t="str">
        <f>IF(MAX(F:F)&lt;60,"",INDEX(F:J,MATCH(60,F:F,0),5))</f>
        <v/>
      </c>
      <c r="E62" s="73">
        <f t="shared" si="4"/>
        <v>7</v>
      </c>
      <c r="F62" s="73">
        <f t="shared" si="5"/>
        <v>7</v>
      </c>
      <c r="G62" s="385"/>
      <c r="H62" s="12" t="str">
        <f>'6-Comp'!B35</f>
        <v>Manoeuvre/0</v>
      </c>
      <c r="J62" s="262"/>
      <c r="K62" t="str">
        <f t="shared" si="6"/>
        <v/>
      </c>
    </row>
    <row r="63" spans="1:11" x14ac:dyDescent="0.3">
      <c r="A63" s="388" t="str">
        <f>IF(MAX(F:F)&lt;61,"",IF(INDEX(F:J,MATCH(61,F:F,0),2)=0,"",INDEX(F:J,MATCH(61,F:F,0),2)))</f>
        <v/>
      </c>
      <c r="B63" s="441" t="str">
        <f>IF(MAX(F:F)&lt;61,"",INDEX(F:J,MATCH(61,F:F,0),3))</f>
        <v/>
      </c>
      <c r="C63" s="4" t="str">
        <f>IF(MAX(F:F)&lt;61,"",INDEX(F:J,MATCH(61,F:F,0),4))</f>
        <v/>
      </c>
      <c r="D63" s="4" t="str">
        <f>IF(MAX(F:F)&lt;61,"",INDEX(F:J,MATCH(61,F:F,0),5))</f>
        <v/>
      </c>
      <c r="E63" s="73">
        <f t="shared" si="4"/>
        <v>8</v>
      </c>
      <c r="F63" s="73">
        <f t="shared" si="5"/>
        <v>8</v>
      </c>
      <c r="G63" s="385"/>
      <c r="H63" s="12" t="str">
        <f>'6-Comp'!B31</f>
        <v>Intellect</v>
      </c>
      <c r="J63" s="262"/>
      <c r="K63" t="str">
        <f t="shared" si="6"/>
        <v/>
      </c>
    </row>
    <row r="64" spans="1:11" x14ac:dyDescent="0.3">
      <c r="A64" s="388" t="str">
        <f>IF(MAX(F:F)&lt;62,"",IF(INDEX(F:J,MATCH(62,F:F,0),2)=0,"",INDEX(F:J,MATCH(62,F:F,0),2)))</f>
        <v/>
      </c>
      <c r="B64" s="441" t="str">
        <f>IF(MAX(F:F)&lt;62,"",INDEX(F:J,MATCH(62,F:F,0),3))</f>
        <v/>
      </c>
      <c r="C64" s="4" t="str">
        <f>IF(MAX(F:F)&lt;62,"",INDEX(F:J,MATCH(62,F:F,0),4))</f>
        <v/>
      </c>
      <c r="D64" s="4" t="str">
        <f>IF(MAX(F:F)&lt;62,"",INDEX(F:J,MATCH(62,F:F,0),5))</f>
        <v/>
      </c>
      <c r="E64" s="73">
        <f t="shared" si="4"/>
        <v>8</v>
      </c>
      <c r="F64" s="73" t="str">
        <f t="shared" si="5"/>
        <v/>
      </c>
      <c r="G64" s="385"/>
      <c r="H64" s="12" t="str">
        <f>'6-Comp'!B21</f>
        <v/>
      </c>
      <c r="J64" s="262">
        <f>'6-Comp'!F21</f>
        <v>0</v>
      </c>
      <c r="K64" t="str">
        <f t="shared" si="6"/>
        <v/>
      </c>
    </row>
    <row r="65" spans="1:11" x14ac:dyDescent="0.3">
      <c r="A65" s="388" t="str">
        <f>IF(MAX(F:F)&lt;63,"",IF(INDEX(F:J,MATCH(63,F:F,0),2)=0,"",INDEX(F:J,MATCH(63,F:F,0),2)))</f>
        <v/>
      </c>
      <c r="B65" s="441" t="str">
        <f>IF(MAX(F:F)&lt;63,"",INDEX(F:J,MATCH(63,F:F,0),3))</f>
        <v/>
      </c>
      <c r="C65" s="4" t="str">
        <f>IF(MAX(F:F)&lt;63,"",INDEX(F:J,MATCH(63,F:F,0),4))</f>
        <v/>
      </c>
      <c r="D65" s="4" t="str">
        <f>IF(MAX(F:F)&lt;63,"",INDEX(F:J,MATCH(63,F:F,0),5))</f>
        <v/>
      </c>
      <c r="E65" s="73">
        <f t="shared" si="4"/>
        <v>8</v>
      </c>
      <c r="F65" s="73" t="str">
        <f t="shared" si="5"/>
        <v/>
      </c>
      <c r="G65" s="385"/>
      <c r="H65" s="12" t="str">
        <f>'6-Comp'!B22</f>
        <v/>
      </c>
      <c r="J65" s="262">
        <f>'6-Comp'!F22</f>
        <v>0</v>
      </c>
      <c r="K65" t="str">
        <f t="shared" si="6"/>
        <v/>
      </c>
    </row>
    <row r="66" spans="1:11" x14ac:dyDescent="0.3">
      <c r="A66" s="388" t="str">
        <f>IF(MAX(F:F)&lt;64,"",IF(INDEX(F:J,MATCH(64,F:F,0),2)=0,"",INDEX(F:J,MATCH(64,F:F,0),2)))</f>
        <v/>
      </c>
      <c r="B66" s="441" t="str">
        <f>IF(MAX(F:F)&lt;64,"",INDEX(F:J,MATCH(64,F:F,0),3))</f>
        <v/>
      </c>
      <c r="C66" s="4" t="str">
        <f>IF(MAX(F:F)&lt;64,"",INDEX(F:J,MATCH(64,F:F,0),4))</f>
        <v/>
      </c>
      <c r="D66" s="4" t="str">
        <f>IF(MAX(F:F)&lt;64,"",INDEX(F:J,MATCH(64,F:F,0),5))</f>
        <v/>
      </c>
      <c r="E66" s="73">
        <f t="shared" si="4"/>
        <v>8</v>
      </c>
      <c r="F66" s="73" t="str">
        <f t="shared" si="5"/>
        <v/>
      </c>
      <c r="G66" s="385"/>
      <c r="H66" s="12" t="str">
        <f>'6-Comp'!B23</f>
        <v/>
      </c>
      <c r="J66" s="262">
        <f>'6-Comp'!F23</f>
        <v>0</v>
      </c>
      <c r="K66" t="str">
        <f t="shared" si="6"/>
        <v/>
      </c>
    </row>
    <row r="67" spans="1:11" x14ac:dyDescent="0.3">
      <c r="A67" s="388" t="str">
        <f>IF(MAX(F:F)&lt;65,"",IF(INDEX(F:J,MATCH(65,F:F,0),2)=0,"",INDEX(F:J,MATCH(65,F:F,0),2)))</f>
        <v/>
      </c>
      <c r="B67" s="441" t="str">
        <f>IF(MAX(F:F)&lt;65,"",INDEX(F:J,MATCH(65,F:F,0),3))</f>
        <v/>
      </c>
      <c r="C67" s="4" t="str">
        <f>IF(MAX(F:F)&lt;65,"",INDEX(F:J,MATCH(65,F:F,0),4))</f>
        <v/>
      </c>
      <c r="D67" s="4" t="str">
        <f>IF(MAX(F:F)&lt;65,"",INDEX(F:J,MATCH(65,F:F,0),5))</f>
        <v/>
      </c>
      <c r="E67" s="73">
        <f t="shared" si="4"/>
        <v>8</v>
      </c>
      <c r="F67" s="73" t="str">
        <f t="shared" si="5"/>
        <v/>
      </c>
      <c r="G67" s="385"/>
      <c r="H67" s="12" t="str">
        <f>'6-Comp'!B24</f>
        <v/>
      </c>
      <c r="J67" s="262">
        <f>'6-Comp'!F24</f>
        <v>0</v>
      </c>
      <c r="K67" t="str">
        <f t="shared" si="6"/>
        <v/>
      </c>
    </row>
    <row r="68" spans="1:11" x14ac:dyDescent="0.3">
      <c r="A68" s="388" t="str">
        <f>IF(MAX(F:F)&lt;66,"",IF(INDEX(F:J,MATCH(66,F:F,0),2)=0,"",INDEX(F:J,MATCH(66,F:F,0),2)))</f>
        <v/>
      </c>
      <c r="B68" s="441" t="str">
        <f>IF(MAX(F:F)&lt;66,"",INDEX(F:J,MATCH(66,F:F,0),3))</f>
        <v/>
      </c>
      <c r="C68" s="4" t="str">
        <f>IF(MAX(F:F)&lt;66,"",INDEX(F:J,MATCH(66,F:F,0),4))</f>
        <v/>
      </c>
      <c r="D68" s="4" t="str">
        <f>IF(MAX(F:F)&lt;66,"",INDEX(F:J,MATCH(66,F:F,0),5))</f>
        <v/>
      </c>
      <c r="E68" s="73">
        <f t="shared" si="4"/>
        <v>8</v>
      </c>
      <c r="F68" s="73" t="str">
        <f t="shared" si="5"/>
        <v/>
      </c>
      <c r="G68" s="385"/>
      <c r="H68" s="12" t="str">
        <f>'6-Comp'!B25</f>
        <v/>
      </c>
      <c r="J68" s="262">
        <f>'6-Comp'!F25</f>
        <v>0</v>
      </c>
      <c r="K68" t="str">
        <f t="shared" si="6"/>
        <v/>
      </c>
    </row>
    <row r="69" spans="1:11" x14ac:dyDescent="0.3">
      <c r="A69" s="388" t="str">
        <f>IF(MAX(F:F)&lt;67,"",IF(INDEX(F:J,MATCH(67,F:F,0),2)=0,"",INDEX(F:J,MATCH(67,F:F,0),2)))</f>
        <v/>
      </c>
      <c r="B69" s="441" t="str">
        <f>IF(MAX(F:F)&lt;67,"",INDEX(F:J,MATCH(67,F:F,0),3))</f>
        <v/>
      </c>
      <c r="C69" s="4" t="str">
        <f>IF(MAX(F:F)&lt;67,"",INDEX(F:J,MATCH(67,F:F,0),4))</f>
        <v/>
      </c>
      <c r="D69" s="4" t="str">
        <f>IF(MAX(F:F)&lt;67,"",INDEX(F:J,MATCH(67,F:F,0),5))</f>
        <v/>
      </c>
      <c r="E69" s="73">
        <f t="shared" ref="E69:E132" si="7">IF(H69="",E68,E68+1)</f>
        <v>8</v>
      </c>
      <c r="F69" s="73" t="str">
        <f t="shared" ref="F69:F132" si="8">IF(E69=E68,"",E69)</f>
        <v/>
      </c>
      <c r="G69" s="385"/>
      <c r="H69" s="12" t="str">
        <f>'6-Comp'!B26</f>
        <v/>
      </c>
      <c r="J69" s="262">
        <f>'6-Comp'!F26</f>
        <v>0</v>
      </c>
      <c r="K69" t="str">
        <f t="shared" ref="K69:K132" si="9">IF(B69="","",IF(A69="",K68,K68+1))</f>
        <v/>
      </c>
    </row>
    <row r="70" spans="1:11" x14ac:dyDescent="0.3">
      <c r="A70" s="388" t="str">
        <f>IF(MAX(F:F)&lt;68,"",IF(INDEX(F:J,MATCH(68,F:F,0),2)=0,"",INDEX(F:J,MATCH(68,F:F,0),2)))</f>
        <v/>
      </c>
      <c r="B70" s="441" t="str">
        <f>IF(MAX(F:F)&lt;68,"",INDEX(F:J,MATCH(68,F:F,0),3))</f>
        <v/>
      </c>
      <c r="C70" s="4" t="str">
        <f>IF(MAX(F:F)&lt;68,"",INDEX(F:J,MATCH(68,F:F,0),4))</f>
        <v/>
      </c>
      <c r="D70" s="4" t="str">
        <f>IF(MAX(F:F)&lt;68,"",INDEX(F:J,MATCH(68,F:F,0),5))</f>
        <v/>
      </c>
      <c r="E70" s="73">
        <f t="shared" si="7"/>
        <v>8</v>
      </c>
      <c r="F70" s="73" t="str">
        <f t="shared" si="8"/>
        <v/>
      </c>
      <c r="G70" s="385"/>
      <c r="H70" s="12" t="str">
        <f>'6-Comp'!B27</f>
        <v/>
      </c>
      <c r="J70" s="262">
        <f>'6-Comp'!F27</f>
        <v>0</v>
      </c>
      <c r="K70" t="str">
        <f t="shared" si="9"/>
        <v/>
      </c>
    </row>
    <row r="71" spans="1:11" x14ac:dyDescent="0.3">
      <c r="A71" s="388" t="str">
        <f>IF(MAX(F:F)&lt;69,"",IF(INDEX(F:J,MATCH(69,F:F,0),2)=0,"",INDEX(F:J,MATCH(69,F:F,0),2)))</f>
        <v/>
      </c>
      <c r="B71" s="441" t="str">
        <f>IF(MAX(F:F)&lt;69,"",INDEX(F:J,MATCH(69,F:F,0),3))</f>
        <v/>
      </c>
      <c r="C71" s="4" t="str">
        <f>IF(MAX(F:F)&lt;69,"",INDEX(F:J,MATCH(69,F:F,0),4))</f>
        <v/>
      </c>
      <c r="D71" s="4" t="str">
        <f>IF(MAX(F:F)&lt;69,"",INDEX(F:J,MATCH(69,F:F,0),5))</f>
        <v/>
      </c>
      <c r="E71" s="73">
        <f t="shared" si="7"/>
        <v>8</v>
      </c>
      <c r="F71" s="73" t="str">
        <f t="shared" si="8"/>
        <v/>
      </c>
      <c r="G71" s="385"/>
      <c r="H71" s="12" t="str">
        <f>'6-Comp'!B28</f>
        <v/>
      </c>
      <c r="J71" s="262">
        <f>'6-Comp'!F28</f>
        <v>0</v>
      </c>
      <c r="K71" t="str">
        <f t="shared" si="9"/>
        <v/>
      </c>
    </row>
    <row r="72" spans="1:11" x14ac:dyDescent="0.3">
      <c r="A72" s="388" t="str">
        <f>IF(MAX(F:F)&lt;70,"",IF(INDEX(F:J,MATCH(70,F:F,0),2)=0,"",INDEX(F:J,MATCH(70,F:F,0),2)))</f>
        <v/>
      </c>
      <c r="B72" s="441" t="str">
        <f>IF(MAX(F:F)&lt;70,"",INDEX(F:J,MATCH(70,F:F,0),3))</f>
        <v/>
      </c>
      <c r="C72" s="4" t="str">
        <f>IF(MAX(F:F)&lt;70,"",INDEX(F:J,MATCH(70,F:F,0),4))</f>
        <v/>
      </c>
      <c r="D72" s="4" t="str">
        <f>IF(MAX(F:F)&lt;70,"",INDEX(F:J,MATCH(70,F:F,0),5))</f>
        <v/>
      </c>
      <c r="E72" s="73">
        <f t="shared" si="7"/>
        <v>8</v>
      </c>
      <c r="F72" s="73" t="str">
        <f t="shared" si="8"/>
        <v/>
      </c>
      <c r="G72" s="385"/>
      <c r="H72" s="12" t="str">
        <f>'6-Comp'!B29</f>
        <v/>
      </c>
      <c r="J72" s="262">
        <f>'6-Comp'!F29</f>
        <v>0</v>
      </c>
      <c r="K72" t="str">
        <f t="shared" si="9"/>
        <v/>
      </c>
    </row>
    <row r="73" spans="1:11" x14ac:dyDescent="0.3">
      <c r="A73" s="388" t="str">
        <f>IF(MAX(F:F)&lt;71,"",IF(INDEX(F:J,MATCH(71,F:F,0),2)=0,"",INDEX(F:J,MATCH(71,F:F,0),2)))</f>
        <v/>
      </c>
      <c r="B73" s="441" t="str">
        <f>IF(MAX(F:F)&lt;71,"",INDEX(F:J,MATCH(71,F:F,0),3))</f>
        <v/>
      </c>
      <c r="C73" s="4" t="str">
        <f>IF(MAX(F:F)&lt;71,"",INDEX(F:J,MATCH(71,F:F,0),4))</f>
        <v/>
      </c>
      <c r="D73" s="4" t="str">
        <f>IF(MAX(F:F)&lt;71,"",INDEX(F:J,MATCH(71,F:F,0),5))</f>
        <v/>
      </c>
      <c r="E73" s="73">
        <f t="shared" si="7"/>
        <v>8</v>
      </c>
      <c r="F73" s="73" t="str">
        <f t="shared" si="8"/>
        <v/>
      </c>
      <c r="G73" s="385"/>
      <c r="H73" s="12" t="str">
        <f>'6-Comp'!B30</f>
        <v/>
      </c>
      <c r="J73" s="262">
        <f>'6-Comp'!F30</f>
        <v>0</v>
      </c>
      <c r="K73" t="str">
        <f t="shared" si="9"/>
        <v/>
      </c>
    </row>
    <row r="74" spans="1:11" x14ac:dyDescent="0.3">
      <c r="A74" s="388" t="str">
        <f>IF(MAX(F:F)&lt;72,"",IF(INDEX(F:J,MATCH(72,F:F,0),2)=0,"",INDEX(F:J,MATCH(72,F:F,0),2)))</f>
        <v/>
      </c>
      <c r="B74" s="441" t="str">
        <f>IF(MAX(F:F)&lt;72,"",INDEX(F:J,MATCH(72,F:F,0),3))</f>
        <v/>
      </c>
      <c r="C74" s="4" t="str">
        <f>IF(MAX(F:F)&lt;72,"",INDEX(F:J,MATCH(72,F:F,0),4))</f>
        <v/>
      </c>
      <c r="D74" s="4" t="str">
        <f>IF(MAX(F:F)&lt;72,"",INDEX(F:J,MATCH(72,F:F,0),5))</f>
        <v/>
      </c>
      <c r="E74" s="73">
        <f t="shared" si="7"/>
        <v>8</v>
      </c>
      <c r="F74" s="73" t="str">
        <f t="shared" si="8"/>
        <v/>
      </c>
      <c r="G74" s="385"/>
      <c r="H74" s="12" t="str">
        <f>'6-Comp'!B32&amp;IF(SUM('2-Drives'!E32:E34)&lt;0," Prototype","")</f>
        <v/>
      </c>
      <c r="J74" s="262">
        <f>'6-Comp'!F32</f>
        <v>0</v>
      </c>
      <c r="K74" t="str">
        <f t="shared" si="9"/>
        <v/>
      </c>
    </row>
    <row r="75" spans="1:11" x14ac:dyDescent="0.3">
      <c r="A75" s="388" t="str">
        <f>IF(MAX(F:F)&lt;73,"",IF(INDEX(F:J,MATCH(73,F:F,0),2)=0,"",INDEX(F:J,MATCH(73,F:F,0),2)))</f>
        <v/>
      </c>
      <c r="B75" s="441" t="str">
        <f>IF(MAX(F:F)&lt;73,"",INDEX(F:J,MATCH(73,F:F,0),3))</f>
        <v/>
      </c>
      <c r="C75" s="4" t="str">
        <f>IF(MAX(F:F)&lt;73,"",INDEX(F:J,MATCH(73,F:F,0),4))</f>
        <v/>
      </c>
      <c r="D75" s="4" t="str">
        <f>IF(MAX(F:F)&lt;73,"",INDEX(F:J,MATCH(73,F:F,0),5))</f>
        <v/>
      </c>
      <c r="E75" s="73">
        <f t="shared" si="7"/>
        <v>8</v>
      </c>
      <c r="F75" s="73" t="str">
        <f t="shared" si="8"/>
        <v/>
      </c>
      <c r="G75" s="385"/>
      <c r="H75" s="12" t="str">
        <f>'6-Comp'!B33</f>
        <v/>
      </c>
      <c r="J75" s="262">
        <f>'6-Comp'!F33</f>
        <v>0</v>
      </c>
      <c r="K75" t="str">
        <f t="shared" si="9"/>
        <v/>
      </c>
    </row>
    <row r="76" spans="1:11" x14ac:dyDescent="0.3">
      <c r="A76" s="388" t="str">
        <f>IF(MAX(F:F)&lt;74,"",IF(INDEX(F:J,MATCH(74,F:F,0),2)=0,"",INDEX(F:J,MATCH(74,F:F,0),2)))</f>
        <v/>
      </c>
      <c r="B76" s="441" t="str">
        <f>IF(MAX(F:F)&lt;74,"",INDEX(F:J,MATCH(74,F:F,0),3))</f>
        <v/>
      </c>
      <c r="C76" s="4" t="str">
        <f>IF(MAX(F:F)&lt;74,"",INDEX(F:J,MATCH(74,F:F,0),4))</f>
        <v/>
      </c>
      <c r="D76" s="4" t="str">
        <f>IF(MAX(F:F)&lt;74,"",INDEX(F:J,MATCH(74,F:F,0),5))</f>
        <v/>
      </c>
      <c r="E76" s="73">
        <f t="shared" si="7"/>
        <v>8</v>
      </c>
      <c r="F76" s="73" t="str">
        <f t="shared" si="8"/>
        <v/>
      </c>
      <c r="G76" s="385"/>
      <c r="H76" s="12" t="str">
        <f>'6-Comp'!B36</f>
        <v/>
      </c>
      <c r="J76" s="262">
        <f>'6-Comp'!F36</f>
        <v>0</v>
      </c>
      <c r="K76" t="str">
        <f t="shared" si="9"/>
        <v/>
      </c>
    </row>
    <row r="77" spans="1:11" x14ac:dyDescent="0.3">
      <c r="A77" s="388" t="str">
        <f>IF(MAX(F:F)&lt;75,"",IF(INDEX(F:J,MATCH(75,F:F,0),2)=0,"",INDEX(F:J,MATCH(75,F:F,0),2)))</f>
        <v/>
      </c>
      <c r="B77" s="441" t="str">
        <f>IF(MAX(F:F)&lt;75,"",INDEX(F:J,MATCH(75,F:F,0),3))</f>
        <v/>
      </c>
      <c r="C77" s="4" t="str">
        <f>IF(MAX(F:F)&lt;75,"",INDEX(F:J,MATCH(75,F:F,0),4))</f>
        <v/>
      </c>
      <c r="D77" s="4" t="str">
        <f>IF(MAX(F:F)&lt;75,"",INDEX(F:J,MATCH(75,F:F,0),5))</f>
        <v/>
      </c>
      <c r="E77" s="73">
        <f t="shared" si="7"/>
        <v>8</v>
      </c>
      <c r="F77" s="73" t="str">
        <f t="shared" si="8"/>
        <v/>
      </c>
      <c r="G77" s="385"/>
      <c r="H77" s="12" t="str">
        <f>'6-Comp'!B37</f>
        <v/>
      </c>
      <c r="J77" s="262">
        <f>'6-Comp'!F37</f>
        <v>0</v>
      </c>
      <c r="K77" t="str">
        <f t="shared" si="9"/>
        <v/>
      </c>
    </row>
    <row r="78" spans="1:11" x14ac:dyDescent="0.3">
      <c r="A78" s="388" t="str">
        <f>IF(MAX(F:F)&lt;76,"",IF(INDEX(F:J,MATCH(76,F:F,0),2)=0,"",INDEX(F:J,MATCH(76,F:F,0),2)))</f>
        <v/>
      </c>
      <c r="B78" s="441" t="str">
        <f>IF(MAX(F:F)&lt;76,"",INDEX(F:J,MATCH(76,F:F,0),3))</f>
        <v/>
      </c>
      <c r="C78" s="4" t="str">
        <f>IF(MAX(F:F)&lt;76,"",INDEX(F:J,MATCH(76,F:F,0),4))</f>
        <v/>
      </c>
      <c r="D78" s="4" t="str">
        <f>IF(MAX(F:F)&lt;76,"",INDEX(F:J,MATCH(76,F:F,0),5))</f>
        <v/>
      </c>
      <c r="E78" s="73">
        <f t="shared" si="7"/>
        <v>8</v>
      </c>
      <c r="F78" s="73" t="str">
        <f t="shared" si="8"/>
        <v/>
      </c>
      <c r="G78" s="385"/>
      <c r="H78" s="12" t="str">
        <f>IF('6-Comp'!B39=0,"",'6-Comp'!B38&amp;" Crew: "&amp;'6-Comp'!B39)</f>
        <v/>
      </c>
      <c r="J78" s="262">
        <f>IF('6-Comp'!B39=0,0,'6-Comp'!F38)</f>
        <v>0</v>
      </c>
      <c r="K78" t="str">
        <f t="shared" si="9"/>
        <v/>
      </c>
    </row>
    <row r="79" spans="1:11" x14ac:dyDescent="0.3">
      <c r="A79" s="388" t="str">
        <f>IF(MAX(F:F)&lt;77,"",IF(INDEX(F:J,MATCH(77,F:F,0),2)=0,"",INDEX(F:J,MATCH(77,F:F,0),2)))</f>
        <v/>
      </c>
      <c r="B79" s="441" t="str">
        <f>IF(MAX(F:F)&lt;77,"",INDEX(F:J,MATCH(77,F:F,0),3))</f>
        <v/>
      </c>
      <c r="C79" s="4" t="str">
        <f>IF(MAX(F:F)&lt;77,"",INDEX(F:J,MATCH(77,F:F,0),4))</f>
        <v/>
      </c>
      <c r="D79" s="4" t="str">
        <f>IF(MAX(F:F)&lt;77,"",INDEX(F:J,MATCH(77,F:F,0),5))</f>
        <v/>
      </c>
      <c r="E79" s="73">
        <f t="shared" si="7"/>
        <v>8</v>
      </c>
      <c r="F79" s="73" t="str">
        <f t="shared" si="8"/>
        <v/>
      </c>
      <c r="G79" s="385"/>
      <c r="H79" s="12" t="str">
        <f>IF('6-Comp'!B41=0,"",'6-Comp'!B40&amp;" Gunners: "&amp;'6-Comp'!B41)</f>
        <v/>
      </c>
      <c r="J79" s="262">
        <f>IF('6-Comp'!B41=0,0,'6-Comp'!F40)</f>
        <v>0</v>
      </c>
      <c r="K79" t="str">
        <f t="shared" si="9"/>
        <v/>
      </c>
    </row>
    <row r="80" spans="1:11" x14ac:dyDescent="0.3">
      <c r="A80" s="388" t="str">
        <f>IF(MAX(F:F)&lt;78,"",IF(INDEX(F:J,MATCH(78,F:F,0),2)=0,"",INDEX(F:J,MATCH(78,F:F,0),2)))</f>
        <v/>
      </c>
      <c r="B80" s="441" t="str">
        <f>IF(MAX(F:F)&lt;78,"",INDEX(F:J,MATCH(78,F:F,0),3))</f>
        <v/>
      </c>
      <c r="C80" s="4" t="str">
        <f>IF(MAX(F:F)&lt;78,"",INDEX(F:J,MATCH(78,F:F,0),4))</f>
        <v/>
      </c>
      <c r="D80" s="4" t="str">
        <f>IF(MAX(F:F)&lt;78,"",INDEX(F:J,MATCH(78,F:F,0),5))</f>
        <v/>
      </c>
      <c r="E80" s="73">
        <f t="shared" si="7"/>
        <v>8</v>
      </c>
      <c r="F80" s="73" t="str">
        <f t="shared" si="8"/>
        <v/>
      </c>
      <c r="G80" s="385"/>
      <c r="H80" s="12" t="str">
        <f>IF('6-Comp'!C42=0,"",'6-Comp'!A42&amp;" "&amp;'6-Comp'!I42)</f>
        <v/>
      </c>
      <c r="J80" s="262">
        <f>'6-Comp'!F42</f>
        <v>0</v>
      </c>
      <c r="K80" t="str">
        <f t="shared" si="9"/>
        <v/>
      </c>
    </row>
    <row r="81" spans="1:11" x14ac:dyDescent="0.3">
      <c r="A81" s="388" t="str">
        <f>IF(MAX(F:F)&lt;79,"",IF(INDEX(F:J,MATCH(79,F:F,0),2)=0,"",INDEX(F:J,MATCH(79,F:F,0),2)))</f>
        <v/>
      </c>
      <c r="B81" s="441" t="str">
        <f>IF(MAX(F:F)&lt;79,"",INDEX(F:J,MATCH(79,F:F,0),3))</f>
        <v/>
      </c>
      <c r="C81" s="4" t="str">
        <f>IF(MAX(F:F)&lt;79,"",INDEX(F:J,MATCH(79,F:F,0),4))</f>
        <v/>
      </c>
      <c r="D81" s="4" t="str">
        <f>IF(MAX(F:F)&lt;79,"",INDEX(F:J,MATCH(79,F:F,0),5))</f>
        <v/>
      </c>
      <c r="E81" s="73">
        <f t="shared" si="7"/>
        <v>8</v>
      </c>
      <c r="F81" s="73" t="str">
        <f t="shared" si="8"/>
        <v/>
      </c>
      <c r="G81" s="385"/>
      <c r="H81" s="12" t="str">
        <f>IF('6-Comp'!B44='6-Comp'!S97,"",'6-Comp'!A44)</f>
        <v/>
      </c>
      <c r="J81" s="262">
        <f>'6-Comp'!F44</f>
        <v>0</v>
      </c>
      <c r="K81" t="str">
        <f t="shared" si="9"/>
        <v/>
      </c>
    </row>
    <row r="82" spans="1:11" x14ac:dyDescent="0.3">
      <c r="A82" s="388" t="str">
        <f>IF(MAX(F:F)&lt;80,"",IF(INDEX(F:J,MATCH(80,F:F,0),2)=0,"",INDEX(F:J,MATCH(80,F:F,0),2)))</f>
        <v/>
      </c>
      <c r="B82" s="441" t="str">
        <f>IF(MAX(F:F)&lt;80,"",INDEX(F:J,MATCH(80,F:F,0),3))</f>
        <v/>
      </c>
      <c r="C82" s="4" t="str">
        <f>IF(MAX(F:F)&lt;80,"",INDEX(F:J,MATCH(80,F:F,0),4))</f>
        <v/>
      </c>
      <c r="D82" s="4" t="str">
        <f>IF(MAX(F:F)&lt;80,"",INDEX(F:J,MATCH(80,F:F,0),5))</f>
        <v/>
      </c>
      <c r="E82" s="73">
        <f t="shared" si="7"/>
        <v>8</v>
      </c>
      <c r="F82" s="73" t="str">
        <f t="shared" si="8"/>
        <v/>
      </c>
      <c r="G82" s="385"/>
      <c r="H82" s="12" t="str">
        <f>IF('6-Comp'!B48="","",'6-Comp'!B48)</f>
        <v/>
      </c>
      <c r="J82" s="262">
        <f>'6-Comp'!F48</f>
        <v>0</v>
      </c>
      <c r="K82" t="str">
        <f t="shared" si="9"/>
        <v/>
      </c>
    </row>
    <row r="83" spans="1:11" x14ac:dyDescent="0.3">
      <c r="A83" s="388" t="str">
        <f>IF(MAX(F:F)&lt;81,"",IF(INDEX(F:J,MATCH(81,F:F,0),2)=0,"",INDEX(F:J,MATCH(81,F:F,0),2)))</f>
        <v/>
      </c>
      <c r="B83" s="441" t="str">
        <f>IF(MAX(F:F)&lt;81,"",INDEX(F:J,MATCH(81,F:F,0),3))</f>
        <v/>
      </c>
      <c r="C83" s="4" t="str">
        <f>IF(MAX(F:F)&lt;81,"",INDEX(F:J,MATCH(81,F:F,0),4))</f>
        <v/>
      </c>
      <c r="D83" s="4" t="str">
        <f>IF(MAX(F:F)&lt;81,"",INDEX(F:J,MATCH(81,F:F,0),5))</f>
        <v/>
      </c>
      <c r="E83" s="73">
        <f t="shared" si="7"/>
        <v>8</v>
      </c>
      <c r="F83" s="73" t="str">
        <f t="shared" si="8"/>
        <v/>
      </c>
      <c r="G83" s="385"/>
      <c r="H83" s="12" t="str">
        <f>IF('6-Comp'!B49="","",'6-Comp'!B49&amp;", "&amp;'6-Comp'!C49&amp;" Iteration(s)")</f>
        <v/>
      </c>
      <c r="J83" s="262">
        <f>'6-Comp'!F49</f>
        <v>0</v>
      </c>
      <c r="K83" t="str">
        <f t="shared" si="9"/>
        <v/>
      </c>
    </row>
    <row r="84" spans="1:11" x14ac:dyDescent="0.3">
      <c r="A84" s="388" t="str">
        <f>IF(MAX(F:F)&lt;82,"",IF(INDEX(F:J,MATCH(82,F:F,0),2)=0,"",INDEX(F:J,MATCH(82,F:F,0),2)))</f>
        <v/>
      </c>
      <c r="B84" s="441" t="str">
        <f>IF(MAX(F:F)&lt;82,"",INDEX(F:J,MATCH(82,F:F,0),3))</f>
        <v/>
      </c>
      <c r="C84" s="4" t="str">
        <f>IF(MAX(F:F)&lt;82,"",INDEX(F:J,MATCH(82,F:F,0),4))</f>
        <v/>
      </c>
      <c r="D84" s="4" t="str">
        <f>IF(MAX(F:F)&lt;82,"",INDEX(F:J,MATCH(82,F:F,0),5))</f>
        <v/>
      </c>
      <c r="E84" s="73">
        <f t="shared" si="7"/>
        <v>8</v>
      </c>
      <c r="F84" s="73" t="str">
        <f t="shared" si="8"/>
        <v/>
      </c>
      <c r="G84" s="385"/>
      <c r="H84" s="12" t="str">
        <f>IF('6-Comp'!B50="","",'6-Comp'!B50&amp;", "&amp;'6-Comp'!C50&amp;" Iteration(s)")</f>
        <v/>
      </c>
      <c r="J84" s="262">
        <f>'6-Comp'!F50</f>
        <v>0</v>
      </c>
      <c r="K84" t="str">
        <f t="shared" si="9"/>
        <v/>
      </c>
    </row>
    <row r="85" spans="1:11" x14ac:dyDescent="0.3">
      <c r="A85" s="388" t="str">
        <f>IF(MAX(F:F)&lt;83,"",IF(INDEX(F:J,MATCH(83,F:F,0),2)=0,"",INDEX(F:J,MATCH(83,F:F,0),2)))</f>
        <v/>
      </c>
      <c r="B85" s="441" t="str">
        <f>IF(MAX(F:F)&lt;83,"",INDEX(F:J,MATCH(83,F:F,0),3))</f>
        <v/>
      </c>
      <c r="C85" s="4" t="str">
        <f>IF(MAX(F:F)&lt;83,"",INDEX(F:J,MATCH(83,F:F,0),4))</f>
        <v/>
      </c>
      <c r="D85" s="4" t="str">
        <f>IF(MAX(F:F)&lt;83,"",INDEX(F:J,MATCH(83,F:F,0),5))</f>
        <v/>
      </c>
      <c r="E85" s="73">
        <f t="shared" si="7"/>
        <v>8</v>
      </c>
      <c r="F85" s="73" t="str">
        <f t="shared" si="8"/>
        <v/>
      </c>
      <c r="G85" s="385"/>
      <c r="H85" s="12" t="str">
        <f>IF('6-Comp'!B51="","",'6-Comp'!B51&amp;", "&amp;'6-Comp'!C51&amp;" Iteration(s)")</f>
        <v/>
      </c>
      <c r="J85" s="262">
        <f>'6-Comp'!F51</f>
        <v>0</v>
      </c>
      <c r="K85" t="str">
        <f t="shared" si="9"/>
        <v/>
      </c>
    </row>
    <row r="86" spans="1:11" x14ac:dyDescent="0.3">
      <c r="A86" s="388" t="str">
        <f>IF(MAX(F:F)&lt;84,"",IF(INDEX(F:J,MATCH(84,F:F,0),2)=0,"",INDEX(F:J,MATCH(84,F:F,0),2)))</f>
        <v/>
      </c>
      <c r="B86" s="441" t="str">
        <f>IF(MAX(F:F)&lt;84,"",INDEX(F:J,MATCH(84,F:F,0),3))</f>
        <v/>
      </c>
      <c r="C86" s="4" t="str">
        <f>IF(MAX(F:F)&lt;84,"",INDEX(F:J,MATCH(84,F:F,0),4))</f>
        <v/>
      </c>
      <c r="D86" s="4" t="str">
        <f>IF(MAX(F:F)&lt;84,"",INDEX(F:J,MATCH(84,F:F,0),5))</f>
        <v/>
      </c>
      <c r="E86" s="73">
        <f t="shared" si="7"/>
        <v>8</v>
      </c>
      <c r="F86" s="73" t="str">
        <f t="shared" si="8"/>
        <v/>
      </c>
      <c r="G86" s="385"/>
      <c r="H86" s="12" t="str">
        <f>IF('6-Comp'!B52="","",'6-Comp'!B52&amp;", "&amp;'6-Comp'!C52&amp;" Iteration(s)")</f>
        <v/>
      </c>
      <c r="J86" s="262">
        <f>'6-Comp'!F52</f>
        <v>0</v>
      </c>
      <c r="K86" t="str">
        <f t="shared" si="9"/>
        <v/>
      </c>
    </row>
    <row r="87" spans="1:11" x14ac:dyDescent="0.3">
      <c r="A87" s="388" t="str">
        <f>IF(MAX(F:F)&lt;85,"",IF(INDEX(F:J,MATCH(85,F:F,0),2)=0,"",INDEX(F:J,MATCH(85,F:F,0),2)))</f>
        <v/>
      </c>
      <c r="B87" s="441" t="str">
        <f>IF(MAX(F:F)&lt;85,"",INDEX(F:J,MATCH(85,F:F,0),3))</f>
        <v/>
      </c>
      <c r="C87" s="4" t="str">
        <f>IF(MAX(F:F)&lt;85,"",INDEX(F:J,MATCH(85,F:F,0),4))</f>
        <v/>
      </c>
      <c r="D87" s="4" t="str">
        <f>IF(MAX(F:F)&lt;85,"",INDEX(F:J,MATCH(85,F:F,0),5))</f>
        <v/>
      </c>
      <c r="E87" s="73">
        <f t="shared" si="7"/>
        <v>8</v>
      </c>
      <c r="F87" s="73" t="str">
        <f t="shared" si="8"/>
        <v/>
      </c>
      <c r="G87" s="385"/>
      <c r="H87" s="12" t="str">
        <f>IF('6-Comp'!B53="","",'6-Comp'!B53)</f>
        <v/>
      </c>
      <c r="J87" s="262">
        <f>'6-Comp'!F53</f>
        <v>0</v>
      </c>
      <c r="K87" t="str">
        <f t="shared" si="9"/>
        <v/>
      </c>
    </row>
    <row r="88" spans="1:11" x14ac:dyDescent="0.3">
      <c r="A88" s="388" t="str">
        <f>IF(MAX(F:F)&lt;86,"",IF(INDEX(F:J,MATCH(86,F:F,0),2)=0,"",INDEX(F:J,MATCH(86,F:F,0),2)))</f>
        <v/>
      </c>
      <c r="B88" s="441" t="str">
        <f>IF(MAX(F:F)&lt;86,"",INDEX(F:J,MATCH(86,F:F,0),3))</f>
        <v/>
      </c>
      <c r="C88" s="4" t="str">
        <f>IF(MAX(F:F)&lt;86,"",INDEX(F:J,MATCH(86,F:F,0),4))</f>
        <v/>
      </c>
      <c r="D88" s="4" t="str">
        <f>IF(MAX(F:F)&lt;86,"",INDEX(F:J,MATCH(86,F:F,0),5))</f>
        <v/>
      </c>
      <c r="E88" s="73">
        <f t="shared" si="7"/>
        <v>8</v>
      </c>
      <c r="F88" s="73" t="str">
        <f t="shared" si="8"/>
        <v/>
      </c>
      <c r="G88" s="386"/>
      <c r="H88" s="380" t="str">
        <f>IF('6-Comp'!F55=0,"",'6-Comp'!A55)</f>
        <v/>
      </c>
      <c r="I88" s="391"/>
      <c r="J88" s="263">
        <f>'6-Comp'!F55</f>
        <v>0</v>
      </c>
      <c r="K88" t="str">
        <f t="shared" si="9"/>
        <v/>
      </c>
    </row>
    <row r="89" spans="1:11" x14ac:dyDescent="0.3">
      <c r="A89" s="388" t="str">
        <f>IF(MAX(F:F)&lt;87,"",IF(INDEX(F:J,MATCH(87,F:F,0),2)=0,"",INDEX(F:J,MATCH(87,F:F,0),2)))</f>
        <v/>
      </c>
      <c r="B89" s="441" t="str">
        <f>IF(MAX(F:F)&lt;87,"",INDEX(F:J,MATCH(87,F:F,0),3))</f>
        <v/>
      </c>
      <c r="C89" s="4" t="str">
        <f>IF(MAX(F:F)&lt;87,"",INDEX(F:J,MATCH(87,F:F,0),4))</f>
        <v/>
      </c>
      <c r="D89" s="4" t="str">
        <f>IF(MAX(F:F)&lt;87,"",INDEX(F:J,MATCH(87,F:F,0),5))</f>
        <v/>
      </c>
      <c r="E89" s="73">
        <f t="shared" si="7"/>
        <v>9</v>
      </c>
      <c r="F89" s="73">
        <f t="shared" si="8"/>
        <v>9</v>
      </c>
      <c r="G89" s="389" t="str">
        <f>IF(H89="","","Sensors")</f>
        <v>Sensors</v>
      </c>
      <c r="H89" s="379" t="str">
        <f>IF('7-Sensors'!C8=0,"","Main Sensor Array: "&amp;'7-Sensors'!B8&amp;" x"&amp;'7-Sensors'!C8)&amp;IF(Tech_Level=7," Prototype","")</f>
        <v>Main Sensor Array: Basic x1</v>
      </c>
      <c r="I89" s="234">
        <f>'7-Sensors'!H8</f>
        <v>0</v>
      </c>
      <c r="J89" s="375">
        <f>'7-Sensors'!F8</f>
        <v>0</v>
      </c>
      <c r="K89" t="str">
        <f t="shared" si="9"/>
        <v/>
      </c>
    </row>
    <row r="90" spans="1:11" x14ac:dyDescent="0.3">
      <c r="A90" s="388" t="str">
        <f>IF(MAX(F:F)&lt;88,"",IF(INDEX(F:J,MATCH(88,F:F,0),2)=0,"",INDEX(F:J,MATCH(88,F:F,0),2)))</f>
        <v/>
      </c>
      <c r="B90" s="441" t="str">
        <f>IF(MAX(F:F)&lt;88,"",INDEX(F:J,MATCH(88,F:F,0),3))</f>
        <v/>
      </c>
      <c r="C90" s="4" t="str">
        <f>IF(MAX(F:F)&lt;88,"",INDEX(F:J,MATCH(88,F:F,0),4))</f>
        <v/>
      </c>
      <c r="D90" s="4" t="str">
        <f>IF(MAX(F:F)&lt;88,"",INDEX(F:J,MATCH(88,F:F,0),5))</f>
        <v/>
      </c>
      <c r="E90" s="73">
        <f t="shared" si="7"/>
        <v>9</v>
      </c>
      <c r="F90" s="73" t="str">
        <f t="shared" si="8"/>
        <v/>
      </c>
      <c r="G90" s="385" t="str">
        <f>IF(H90="","",IF(G89="","Sensors",""))</f>
        <v/>
      </c>
      <c r="H90" s="12" t="str">
        <f>IF(OR('7-Sensors'!B11="None",'7-Sensors'!C11=0),"","Aux Sensor Array: "&amp;'7-Sensors'!B11&amp;" x"&amp;'7-Sensors'!C11)</f>
        <v/>
      </c>
      <c r="I90" s="4">
        <f>'7-Sensors'!H11</f>
        <v>0</v>
      </c>
      <c r="J90" s="262">
        <f>'7-Sensors'!F11</f>
        <v>0</v>
      </c>
      <c r="K90" t="str">
        <f t="shared" si="9"/>
        <v/>
      </c>
    </row>
    <row r="91" spans="1:11" x14ac:dyDescent="0.3">
      <c r="A91" s="388" t="str">
        <f>IF(MAX(F:F)&lt;89,"",IF(INDEX(F:J,MATCH(89,F:F,0),2)=0,"",INDEX(F:J,MATCH(89,F:F,0),2)))</f>
        <v/>
      </c>
      <c r="B91" s="441" t="str">
        <f>IF(MAX(F:F)&lt;89,"",INDEX(F:J,MATCH(89,F:F,0),3))</f>
        <v/>
      </c>
      <c r="C91" s="4" t="str">
        <f>IF(MAX(F:F)&lt;89,"",INDEX(F:J,MATCH(89,F:F,0),4))</f>
        <v/>
      </c>
      <c r="D91" s="4" t="str">
        <f>IF(MAX(F:F)&lt;89,"",INDEX(F:J,MATCH(89,F:F,0),5))</f>
        <v/>
      </c>
      <c r="E91" s="73">
        <f t="shared" si="7"/>
        <v>9</v>
      </c>
      <c r="F91" s="73" t="str">
        <f t="shared" si="8"/>
        <v/>
      </c>
      <c r="G91" s="385" t="str">
        <f>IF(H91="","",IF(AND(G89="",,G90=""),"Sensors",""))</f>
        <v/>
      </c>
      <c r="H91" s="12" t="str">
        <f>IF('7-Sensors'!B16=0,"",'7-Sensors'!B16&amp;"x "&amp;'7-Sensors'!A16)</f>
        <v/>
      </c>
      <c r="I91" s="4">
        <f>'7-Sensors'!H16</f>
        <v>0</v>
      </c>
      <c r="J91" s="262">
        <f>'7-Sensors'!F16</f>
        <v>0</v>
      </c>
      <c r="K91" t="str">
        <f t="shared" si="9"/>
        <v/>
      </c>
    </row>
    <row r="92" spans="1:11" x14ac:dyDescent="0.3">
      <c r="A92" s="388" t="str">
        <f>IF(MAX(F:F)&lt;90,"",IF(INDEX(F:J,MATCH(90,F:F,0),2)=0,"",INDEX(F:J,MATCH(90,F:F,0),2)))</f>
        <v/>
      </c>
      <c r="B92" s="441" t="str">
        <f>IF(MAX(F:F)&lt;90,"",INDEX(F:J,MATCH(90,F:F,0),3))</f>
        <v/>
      </c>
      <c r="C92" s="4" t="str">
        <f>IF(MAX(F:F)&lt;90,"",INDEX(F:J,MATCH(90,F:F,0),4))</f>
        <v/>
      </c>
      <c r="D92" s="4" t="str">
        <f>IF(MAX(F:F)&lt;90,"",INDEX(F:J,MATCH(90,F:F,0),5))</f>
        <v/>
      </c>
      <c r="E92" s="73">
        <f t="shared" si="7"/>
        <v>9</v>
      </c>
      <c r="F92" s="73" t="str">
        <f t="shared" si="8"/>
        <v/>
      </c>
      <c r="G92" s="385" t="str">
        <f>IF(H92="","",IF(AND(G89="",G90="",G91=""),"Sensors",""))</f>
        <v/>
      </c>
      <c r="H92" s="12" t="str">
        <f>IF('7-Sensors'!B17=0,"",'7-Sensors'!B17&amp;"x "&amp;'7-Sensors'!A17)</f>
        <v/>
      </c>
      <c r="I92" s="4">
        <f>'7-Sensors'!H17</f>
        <v>0</v>
      </c>
      <c r="J92" s="262">
        <f>'7-Sensors'!F17</f>
        <v>0</v>
      </c>
      <c r="K92" t="str">
        <f t="shared" si="9"/>
        <v/>
      </c>
    </row>
    <row r="93" spans="1:11" x14ac:dyDescent="0.3">
      <c r="A93" s="388" t="str">
        <f>IF(MAX(F:F)&lt;91,"",IF(INDEX(F:J,MATCH(91,F:F,0),2)=0,"",INDEX(F:J,MATCH(91,F:F,0),2)))</f>
        <v/>
      </c>
      <c r="B93" s="441" t="str">
        <f>IF(MAX(F:F)&lt;91,"",INDEX(F:J,MATCH(91,F:F,0),3))</f>
        <v/>
      </c>
      <c r="C93" s="4" t="str">
        <f>IF(MAX(F:F)&lt;91,"",INDEX(F:J,MATCH(91,F:F,0),4))</f>
        <v/>
      </c>
      <c r="D93" s="4" t="str">
        <f>IF(MAX(F:F)&lt;91,"",INDEX(F:J,MATCH(91,F:F,0),5))</f>
        <v/>
      </c>
      <c r="E93" s="73">
        <f t="shared" si="7"/>
        <v>9</v>
      </c>
      <c r="F93" s="73" t="str">
        <f t="shared" si="8"/>
        <v/>
      </c>
      <c r="G93" s="385" t="str">
        <f>IF(H93="","",IF(AND(G89="",G90="",G92="",G91=""),"Sensors",""))</f>
        <v/>
      </c>
      <c r="H93" s="12" t="str">
        <f>IF('7-Sensors'!B18=0,"",'7-Sensors'!B18&amp;"x "&amp;'7-Sensors'!A18)</f>
        <v/>
      </c>
      <c r="I93" s="4">
        <f>'7-Sensors'!H18</f>
        <v>0</v>
      </c>
      <c r="J93" s="262">
        <f>'7-Sensors'!F18</f>
        <v>0</v>
      </c>
      <c r="K93" t="str">
        <f t="shared" si="9"/>
        <v/>
      </c>
    </row>
    <row r="94" spans="1:11" x14ac:dyDescent="0.3">
      <c r="A94" s="388" t="str">
        <f>IF(MAX(F:F)&lt;92,"",IF(INDEX(F:J,MATCH(92,F:F,0),2)=0,"",INDEX(F:J,MATCH(92,F:F,0),2)))</f>
        <v/>
      </c>
      <c r="B94" s="441" t="str">
        <f>IF(MAX(F:F)&lt;92,"",INDEX(F:J,MATCH(92,F:F,0),3))</f>
        <v/>
      </c>
      <c r="C94" s="4" t="str">
        <f>IF(MAX(F:F)&lt;92,"",INDEX(F:J,MATCH(92,F:F,0),4))</f>
        <v/>
      </c>
      <c r="D94" s="4" t="str">
        <f>IF(MAX(F:F)&lt;92,"",INDEX(F:J,MATCH(92,F:F,0),5))</f>
        <v/>
      </c>
      <c r="E94" s="73">
        <f t="shared" si="7"/>
        <v>9</v>
      </c>
      <c r="F94" s="73" t="str">
        <f t="shared" si="8"/>
        <v/>
      </c>
      <c r="G94" s="385" t="str">
        <f>IF(H94="","",IF(AND(G89="",G90="",G91="",G93="",G92=""),"Sensors",""))</f>
        <v/>
      </c>
      <c r="H94" s="12" t="str">
        <f>IF('7-Sensors'!B19=0,"",'7-Sensors'!B19&amp;"x "&amp;'7-Sensors'!A19)</f>
        <v/>
      </c>
      <c r="I94" s="4">
        <f>'7-Sensors'!H19</f>
        <v>0</v>
      </c>
      <c r="J94" s="262">
        <f>'7-Sensors'!F19</f>
        <v>0</v>
      </c>
      <c r="K94" t="str">
        <f t="shared" si="9"/>
        <v/>
      </c>
    </row>
    <row r="95" spans="1:11" x14ac:dyDescent="0.3">
      <c r="A95" s="388" t="str">
        <f>IF(MAX(F:F)&lt;93,"",IF(INDEX(F:J,MATCH(93,F:F,0),2)=0,"",INDEX(F:J,MATCH(93,F:F,0),2)))</f>
        <v/>
      </c>
      <c r="B95" s="441" t="str">
        <f>IF(MAX(F:F)&lt;93,"",INDEX(F:J,MATCH(93,F:F,0),3))</f>
        <v/>
      </c>
      <c r="C95" s="4" t="str">
        <f>IF(MAX(F:F)&lt;93,"",INDEX(F:J,MATCH(93,F:F,0),4))</f>
        <v/>
      </c>
      <c r="D95" s="4" t="str">
        <f>IF(MAX(F:F)&lt;93,"",INDEX(F:J,MATCH(93,F:F,0),5))</f>
        <v/>
      </c>
      <c r="E95" s="73">
        <f t="shared" si="7"/>
        <v>9</v>
      </c>
      <c r="F95" s="73" t="str">
        <f t="shared" si="8"/>
        <v/>
      </c>
      <c r="G95" s="385" t="str">
        <f>IF(H95="","",IF(AND(G89="",G90="",G91="",G92="",G94="",G93=""),"Sensors",""))</f>
        <v/>
      </c>
      <c r="H95" s="12" t="str">
        <f>IF('7-Sensors'!B20=0,"",'7-Sensors'!B20&amp;"x "&amp;'7-Sensors'!A20)</f>
        <v/>
      </c>
      <c r="I95" s="4">
        <f>'7-Sensors'!H20</f>
        <v>0</v>
      </c>
      <c r="J95" s="262">
        <f>'7-Sensors'!F20</f>
        <v>0</v>
      </c>
      <c r="K95" t="str">
        <f t="shared" si="9"/>
        <v/>
      </c>
    </row>
    <row r="96" spans="1:11" x14ac:dyDescent="0.3">
      <c r="A96" s="388" t="str">
        <f>IF(MAX(F:F)&lt;94,"",IF(INDEX(F:J,MATCH(94,F:F,0),2)=0,"",INDEX(F:J,MATCH(94,F:F,0),2)))</f>
        <v/>
      </c>
      <c r="B96" s="441" t="str">
        <f>IF(MAX(F:F)&lt;94,"",INDEX(F:J,MATCH(94,F:F,0),3))</f>
        <v/>
      </c>
      <c r="C96" s="4" t="str">
        <f>IF(MAX(F:F)&lt;94,"",INDEX(F:J,MATCH(94,F:F,0),4))</f>
        <v/>
      </c>
      <c r="D96" s="4" t="str">
        <f>IF(MAX(F:F)&lt;94,"",INDEX(F:J,MATCH(94,F:F,0),5))</f>
        <v/>
      </c>
      <c r="E96" s="73">
        <f t="shared" si="7"/>
        <v>9</v>
      </c>
      <c r="F96" s="73" t="str">
        <f t="shared" si="8"/>
        <v/>
      </c>
      <c r="G96" s="385" t="str">
        <f>IF(H96="","",IF(AND(G89="",G90="",G91="",G92="",G93="",G95="",G94=""),"Sensors",""))</f>
        <v/>
      </c>
      <c r="H96" s="12" t="str">
        <f>IF('7-Sensors'!B21=0,"",'7-Sensors'!B21&amp;"x "&amp;'7-Sensors'!A21)</f>
        <v/>
      </c>
      <c r="I96" s="4">
        <f>'7-Sensors'!H21</f>
        <v>0</v>
      </c>
      <c r="J96" s="262">
        <f>'7-Sensors'!F21</f>
        <v>0</v>
      </c>
      <c r="K96" t="str">
        <f t="shared" si="9"/>
        <v/>
      </c>
    </row>
    <row r="97" spans="1:11" x14ac:dyDescent="0.3">
      <c r="A97" s="388" t="str">
        <f>IF(MAX(F:F)&lt;95,"",IF(INDEX(F:J,MATCH(95,F:F,0),2)=0,"",INDEX(F:J,MATCH(95,F:F,0),2)))</f>
        <v/>
      </c>
      <c r="B97" s="441" t="str">
        <f>IF(MAX(F:F)&lt;95,"",INDEX(F:J,MATCH(95,F:F,0),3))</f>
        <v/>
      </c>
      <c r="C97" s="4" t="str">
        <f>IF(MAX(F:F)&lt;95,"",INDEX(F:J,MATCH(95,F:F,0),4))</f>
        <v/>
      </c>
      <c r="D97" s="4" t="str">
        <f>IF(MAX(F:F)&lt;95,"",INDEX(F:J,MATCH(95,F:F,0),5))</f>
        <v/>
      </c>
      <c r="E97" s="73">
        <f t="shared" si="7"/>
        <v>9</v>
      </c>
      <c r="F97" s="73" t="str">
        <f t="shared" si="8"/>
        <v/>
      </c>
      <c r="G97" s="385" t="str">
        <f>IF(H97="","",IF(AND(G89="",G90="",G91="",G92="",G93="",G94="",G96="",G95=""),"Sensors",""))</f>
        <v/>
      </c>
      <c r="H97" s="12" t="str">
        <f>IF('7-Sensors'!B22=0,"",'7-Sensors'!B22&amp;"x "&amp;'7-Sensors'!A22)</f>
        <v/>
      </c>
      <c r="I97" s="4">
        <f>'7-Sensors'!H22</f>
        <v>0</v>
      </c>
      <c r="J97" s="262">
        <f>'7-Sensors'!F22</f>
        <v>0</v>
      </c>
      <c r="K97" t="str">
        <f t="shared" si="9"/>
        <v/>
      </c>
    </row>
    <row r="98" spans="1:11" x14ac:dyDescent="0.3">
      <c r="A98" s="388" t="str">
        <f>IF(MAX(F:F)&lt;96,"",IF(INDEX(F:J,MATCH(96,F:F,0),2)=0,"",INDEX(F:J,MATCH(96,F:F,0),2)))</f>
        <v/>
      </c>
      <c r="B98" s="441" t="str">
        <f>IF(MAX(F:F)&lt;96,"",INDEX(F:J,MATCH(96,F:F,0),3))</f>
        <v/>
      </c>
      <c r="C98" s="4" t="str">
        <f>IF(MAX(F:F)&lt;96,"",INDEX(F:J,MATCH(96,F:F,0),4))</f>
        <v/>
      </c>
      <c r="D98" s="4" t="str">
        <f>IF(MAX(F:F)&lt;96,"",INDEX(F:J,MATCH(96,F:F,0),5))</f>
        <v/>
      </c>
      <c r="E98" s="73">
        <f t="shared" si="7"/>
        <v>9</v>
      </c>
      <c r="F98" s="73" t="str">
        <f t="shared" si="8"/>
        <v/>
      </c>
      <c r="G98" s="385" t="str">
        <f>IF(H98="","",IF(AND(G89="",G90="",G91="",G92="",G93="",G94="",G95="",G97="",G96=""),"Sensors",""))</f>
        <v/>
      </c>
      <c r="H98" s="12" t="str">
        <f>IF('7-Sensors'!B23=0,"",'7-Sensors'!B23&amp;"x "&amp;'7-Sensors'!A23)</f>
        <v/>
      </c>
      <c r="I98" s="4">
        <f>'7-Sensors'!H23</f>
        <v>0</v>
      </c>
      <c r="J98" s="262">
        <f>'7-Sensors'!F23</f>
        <v>0</v>
      </c>
      <c r="K98" t="str">
        <f t="shared" si="9"/>
        <v/>
      </c>
    </row>
    <row r="99" spans="1:11" x14ac:dyDescent="0.3">
      <c r="A99" s="388" t="str">
        <f>IF(MAX(F:F)&lt;97,"",IF(INDEX(F:J,MATCH(97,F:F,0),2)=0,"",INDEX(F:J,MATCH(97,F:F,0),2)))</f>
        <v/>
      </c>
      <c r="B99" s="441" t="str">
        <f>IF(MAX(F:F)&lt;97,"",INDEX(F:J,MATCH(97,F:F,0),3))</f>
        <v/>
      </c>
      <c r="C99" s="4" t="str">
        <f>IF(MAX(F:F)&lt;97,"",INDEX(F:J,MATCH(97,F:F,0),4))</f>
        <v/>
      </c>
      <c r="D99" s="4" t="str">
        <f>IF(MAX(F:F)&lt;97,"",INDEX(F:J,MATCH(97,F:F,0),5))</f>
        <v/>
      </c>
      <c r="E99" s="73">
        <f t="shared" si="7"/>
        <v>9</v>
      </c>
      <c r="F99" s="73" t="str">
        <f t="shared" si="8"/>
        <v/>
      </c>
      <c r="G99" s="385" t="str">
        <f>IF(H99="","",IF(AND(G89="",G90="",G91="",G92="",G93="",G94="",G95="",G96="",G98="",G97=""),"Sensors",""))</f>
        <v/>
      </c>
      <c r="H99" s="12" t="str">
        <f>IF('7-Sensors'!B24=0,"",'7-Sensors'!B24&amp;"x "&amp;'7-Sensors'!A24)</f>
        <v/>
      </c>
      <c r="I99" s="4">
        <f>'7-Sensors'!H24</f>
        <v>0</v>
      </c>
      <c r="J99" s="262">
        <f>'7-Sensors'!F24</f>
        <v>0</v>
      </c>
      <c r="K99" t="str">
        <f t="shared" si="9"/>
        <v/>
      </c>
    </row>
    <row r="100" spans="1:11" x14ac:dyDescent="0.3">
      <c r="A100" s="388" t="str">
        <f>IF(MAX(F:F)&lt;98,"",IF(INDEX(F:J,MATCH(98,F:F,0),2)=0,"",INDEX(F:J,MATCH(98,F:F,0),2)))</f>
        <v/>
      </c>
      <c r="B100" s="441" t="str">
        <f>IF(MAX(F:F)&lt;98,"",INDEX(F:J,MATCH(98,F:F,0),3))</f>
        <v/>
      </c>
      <c r="C100" s="4" t="str">
        <f>IF(MAX(F:F)&lt;98,"",INDEX(F:J,MATCH(98,F:F,0),4))</f>
        <v/>
      </c>
      <c r="D100" s="4" t="str">
        <f>IF(MAX(F:F)&lt;98,"",INDEX(F:J,MATCH(98,F:F,0),5))</f>
        <v/>
      </c>
      <c r="E100" s="73">
        <f t="shared" si="7"/>
        <v>9</v>
      </c>
      <c r="F100" s="73" t="str">
        <f t="shared" si="8"/>
        <v/>
      </c>
      <c r="G100" s="385" t="str">
        <f>IF(H100="","",IF(AND(G89="",G90="",G91="",G92="",G93="",G94="",G95="",G96="",G97="",G99="",G98=""),"Sensors",""))</f>
        <v/>
      </c>
      <c r="H100" s="12" t="str">
        <f>IF('7-Sensors'!B25=0,"",'7-Sensors'!B25&amp;"x "&amp;'7-Sensors'!A25)</f>
        <v/>
      </c>
      <c r="I100" s="4">
        <f>'7-Sensors'!H25</f>
        <v>0</v>
      </c>
      <c r="J100" s="262">
        <f>'7-Sensors'!F25</f>
        <v>0</v>
      </c>
      <c r="K100" t="str">
        <f t="shared" si="9"/>
        <v/>
      </c>
    </row>
    <row r="101" spans="1:11" x14ac:dyDescent="0.3">
      <c r="A101" s="388" t="str">
        <f>IF(MAX(F:F)&lt;99,"",IF(INDEX(F:J,MATCH(99,F:F,0),2)=0,"",INDEX(F:J,MATCH(99,F:F,0),2)))</f>
        <v/>
      </c>
      <c r="B101" s="441" t="str">
        <f>IF(MAX(F:F)&lt;99,"",INDEX(F:J,MATCH(99,F:F,0),3))</f>
        <v/>
      </c>
      <c r="C101" s="4" t="str">
        <f>IF(MAX(F:F)&lt;99,"",INDEX(F:J,MATCH(99,F:F,0),4))</f>
        <v/>
      </c>
      <c r="D101" s="4" t="str">
        <f>IF(MAX(F:F)&lt;99,"",INDEX(F:J,MATCH(99,F:F,0),5))</f>
        <v/>
      </c>
      <c r="E101" s="73">
        <f t="shared" si="7"/>
        <v>9</v>
      </c>
      <c r="F101" s="73" t="str">
        <f t="shared" si="8"/>
        <v/>
      </c>
      <c r="G101" s="385" t="str">
        <f>IF(H101="","",IF(AND(G89="",G90="",G91="",G92="",G93="",G94="",G95="",G96="",G97="",G98="",G100="",G99=""),"Sensors",""))</f>
        <v/>
      </c>
      <c r="H101" s="12" t="str">
        <f>IF('7-Sensors'!B26=0,"",'7-Sensors'!B26&amp;"x "&amp;'7-Sensors'!A26)</f>
        <v/>
      </c>
      <c r="I101" s="4">
        <f>'7-Sensors'!H26</f>
        <v>0</v>
      </c>
      <c r="J101" s="262">
        <f>'7-Sensors'!F26</f>
        <v>0</v>
      </c>
      <c r="K101" t="str">
        <f t="shared" si="9"/>
        <v/>
      </c>
    </row>
    <row r="102" spans="1:11" ht="15" customHeight="1" x14ac:dyDescent="0.3">
      <c r="A102" s="388" t="str">
        <f>IF(MAX(F:F)&lt;100,"",IF(INDEX(F:J,MATCH(100,F:F,0),2)=0,"",INDEX(F:J,MATCH(100,F:F,0),2)))</f>
        <v/>
      </c>
      <c r="B102" s="441" t="str">
        <f>IF(MAX(F:F)&lt;100,"",INDEX(F:J,MATCH(100,F:F,0),3))</f>
        <v/>
      </c>
      <c r="C102" s="4" t="str">
        <f>IF(MAX(F:F)&lt;100,"",INDEX(F:J,MATCH(100,F:F,0),4))</f>
        <v/>
      </c>
      <c r="D102" s="4" t="str">
        <f>IF(MAX(F:F)&lt;100,"",INDEX(F:J,MATCH(100,F:F,0),5))</f>
        <v/>
      </c>
      <c r="E102" s="73">
        <f t="shared" si="7"/>
        <v>9</v>
      </c>
      <c r="F102" s="73" t="str">
        <f t="shared" si="8"/>
        <v/>
      </c>
      <c r="G102" s="385" t="str">
        <f>IF(H102="","",IF(AND(G89="",G90="",G91="",G92="",G93="",G94="",G95="",G96="",G97="",G98="",G99="",G101="",G100=""),"Sensors",""))</f>
        <v/>
      </c>
      <c r="H102" s="12" t="str">
        <f>IF('7-Sensors'!B27=0,"",'7-Sensors'!B27&amp;"x "&amp;'7-Sensors'!A27)</f>
        <v/>
      </c>
      <c r="I102" s="4">
        <f>'7-Sensors'!H27</f>
        <v>0</v>
      </c>
      <c r="J102" s="262">
        <f>'7-Sensors'!F27</f>
        <v>0</v>
      </c>
      <c r="K102" t="str">
        <f t="shared" si="9"/>
        <v/>
      </c>
    </row>
    <row r="103" spans="1:11" x14ac:dyDescent="0.3">
      <c r="A103" s="388" t="str">
        <f>IF(MAX(F:F)&lt;101,"",IF(INDEX(F:J,MATCH(101,F:F,0),2)=0,"",INDEX(F:J,MATCH(101,F:F,0),2)))</f>
        <v/>
      </c>
      <c r="B103" s="441" t="str">
        <f>IF(MAX(F:F)&lt;101,"",INDEX(F:J,MATCH(101,F:F,0),3))</f>
        <v/>
      </c>
      <c r="C103" s="4" t="str">
        <f>IF(MAX(F:F)&lt;101,"",INDEX(F:J,MATCH(101,F:F,0),4))</f>
        <v/>
      </c>
      <c r="D103" s="4" t="str">
        <f>IF(MAX(F:F)&lt;101,"",INDEX(F:J,MATCH(101,F:F,0),5))</f>
        <v/>
      </c>
      <c r="E103" s="73">
        <f t="shared" si="7"/>
        <v>9</v>
      </c>
      <c r="F103" s="73" t="str">
        <f t="shared" si="8"/>
        <v/>
      </c>
      <c r="G103" s="385" t="str">
        <f>IF(H103="","",IF(AND(G89="",G90="",G91="",G92="",G93="",G94="",G95="",G96="",G97="",G98="",G99="",G100="",G102="",G101=""),"Sensors",""))</f>
        <v/>
      </c>
      <c r="H103" s="12" t="str">
        <f>IF('7-Sensors'!B28=0,"",'7-Sensors'!B28&amp;"x "&amp;'7-Sensors'!A28)</f>
        <v/>
      </c>
      <c r="I103" s="4">
        <f>'7-Sensors'!H28</f>
        <v>0</v>
      </c>
      <c r="J103" s="262">
        <f>'7-Sensors'!F28</f>
        <v>0</v>
      </c>
      <c r="K103" t="str">
        <f t="shared" si="9"/>
        <v/>
      </c>
    </row>
    <row r="104" spans="1:11" ht="15" customHeight="1" x14ac:dyDescent="0.3">
      <c r="A104" s="388" t="str">
        <f>IF(MAX(F:F)&lt;102,"",IF(INDEX(F:J,MATCH(102,F:F,0),2)=0,"",INDEX(F:J,MATCH(102,F:F,0),2)))</f>
        <v/>
      </c>
      <c r="B104" s="441" t="str">
        <f>IF(MAX(F:F)&lt;102,"",INDEX(F:J,MATCH(102,F:F,0),3))</f>
        <v/>
      </c>
      <c r="C104" s="4" t="str">
        <f>IF(MAX(F:F)&lt;102,"",INDEX(F:J,MATCH(102,F:F,0),4))</f>
        <v/>
      </c>
      <c r="D104" s="4" t="str">
        <f>IF(MAX(F:F)&lt;102,"",INDEX(F:J,MATCH(102,F:F,0),5))</f>
        <v/>
      </c>
      <c r="E104" s="73">
        <f t="shared" si="7"/>
        <v>9</v>
      </c>
      <c r="F104" s="73" t="str">
        <f t="shared" si="8"/>
        <v/>
      </c>
      <c r="G104" s="385" t="str">
        <f>IF(H104="","",IF(AND(G89="",G90="",G91="",G92="",G93="",G94="",G95="",G96="",G97="",G98="",G99="",G100="",G101="",G103="",G102=""),"Sensors",""))</f>
        <v/>
      </c>
      <c r="H104" s="12" t="str">
        <f>IF('7-Sensors'!B29=0,"",'7-Sensors'!B29&amp;"x "&amp;'7-Sensors'!A29)</f>
        <v/>
      </c>
      <c r="I104" s="4">
        <f>'7-Sensors'!H29</f>
        <v>0</v>
      </c>
      <c r="J104" s="262">
        <f>'7-Sensors'!F29</f>
        <v>0</v>
      </c>
      <c r="K104" t="str">
        <f t="shared" si="9"/>
        <v/>
      </c>
    </row>
    <row r="105" spans="1:11" x14ac:dyDescent="0.3">
      <c r="A105" s="388" t="str">
        <f>IF(MAX(F:F)&lt;103,"",IF(INDEX(F:J,MATCH(103,F:F,0),2)=0,"",INDEX(F:J,MATCH(103,F:F,0),2)))</f>
        <v/>
      </c>
      <c r="B105" s="441" t="str">
        <f>IF(MAX(F:F)&lt;103,"",INDEX(F:J,MATCH(103,F:F,0),3))</f>
        <v/>
      </c>
      <c r="C105" s="4" t="str">
        <f>IF(MAX(F:F)&lt;103,"",INDEX(F:J,MATCH(103,F:F,0),4))</f>
        <v/>
      </c>
      <c r="D105" s="4" t="str">
        <f>IF(MAX(F:F)&lt;103,"",INDEX(F:J,MATCH(103,F:F,0),5))</f>
        <v/>
      </c>
      <c r="E105" s="73">
        <f t="shared" si="7"/>
        <v>9</v>
      </c>
      <c r="F105" s="73" t="str">
        <f t="shared" si="8"/>
        <v/>
      </c>
      <c r="G105" s="385" t="str">
        <f>IF(H105="","",IF(AND(G89="",G90="",G91="",G92="",G93="",G94="",G95="",G96="",G97="",G98="",G99="",G100="",G101="",G102="",G104="",G103=""),"Sensors",""))</f>
        <v/>
      </c>
      <c r="H105" s="12" t="str">
        <f>IF('7-Sensors'!B30=0,"",'7-Sensors'!B30&amp;"x "&amp;'7-Sensors'!A30)</f>
        <v/>
      </c>
      <c r="I105" s="4">
        <f>'7-Sensors'!H30</f>
        <v>0</v>
      </c>
      <c r="J105" s="262">
        <f>'7-Sensors'!F30</f>
        <v>0</v>
      </c>
      <c r="K105" t="str">
        <f t="shared" si="9"/>
        <v/>
      </c>
    </row>
    <row r="106" spans="1:11" x14ac:dyDescent="0.3">
      <c r="A106" s="388" t="str">
        <f>IF(MAX(F:F)&lt;104,"",IF(INDEX(F:J,MATCH(104,F:F,0),2)=0,"",INDEX(F:J,MATCH(104,F:F,0),2)))</f>
        <v/>
      </c>
      <c r="B106" s="441" t="str">
        <f>IF(MAX(F:F)&lt;104,"",INDEX(F:J,MATCH(104,F:F,0),3))</f>
        <v/>
      </c>
      <c r="C106" s="4" t="str">
        <f>IF(MAX(F:F)&lt;104,"",INDEX(F:J,MATCH(104,F:F,0),4))</f>
        <v/>
      </c>
      <c r="D106" s="4" t="str">
        <f>IF(MAX(F:F)&lt;104,"",INDEX(F:J,MATCH(104,F:F,0),5))</f>
        <v/>
      </c>
      <c r="E106" s="73">
        <f t="shared" si="7"/>
        <v>9</v>
      </c>
      <c r="F106" s="73" t="str">
        <f t="shared" si="8"/>
        <v/>
      </c>
      <c r="G106" s="385" t="str">
        <f>IF(H106="","",IF(AND(G89="",G90="",G91="",G92="",G93="",G94="",G95="",G96="",G97="",G98="",G99="",G100="",G101="",G102="",G103="",G105="",G104=""),"Sensors",""))</f>
        <v/>
      </c>
      <c r="H106" s="12" t="str">
        <f>IF('7-Sensors'!B31=0,"",'7-Sensors'!B31&amp;"x "&amp;'7-Sensors'!A31)</f>
        <v/>
      </c>
      <c r="I106" s="4">
        <f>'7-Sensors'!H31</f>
        <v>0</v>
      </c>
      <c r="J106" s="262">
        <f>'7-Sensors'!F31</f>
        <v>0</v>
      </c>
      <c r="K106" t="str">
        <f t="shared" si="9"/>
        <v/>
      </c>
    </row>
    <row r="107" spans="1:11" x14ac:dyDescent="0.3">
      <c r="A107" s="388" t="str">
        <f>IF(MAX(F:F)&lt;105,"",IF(INDEX(F:J,MATCH(105,F:F,0),2)=0,"",INDEX(F:J,MATCH(105,F:F,0),2)))</f>
        <v/>
      </c>
      <c r="B107" s="441" t="str">
        <f>IF(MAX(F:F)&lt;105,"",INDEX(F:J,MATCH(105,F:F,0),3))</f>
        <v/>
      </c>
      <c r="C107" s="4" t="str">
        <f>IF(MAX(F:F)&lt;105,"",INDEX(F:J,MATCH(105,F:F,0),4))</f>
        <v/>
      </c>
      <c r="D107" s="4" t="str">
        <f>IF(MAX(F:F)&lt;105,"",INDEX(F:J,MATCH(105,F:F,0),5))</f>
        <v/>
      </c>
      <c r="E107" s="73">
        <f t="shared" si="7"/>
        <v>9</v>
      </c>
      <c r="F107" s="73" t="str">
        <f t="shared" si="8"/>
        <v/>
      </c>
      <c r="G107" s="385" t="str">
        <f>IF(H107="","",IF(AND(G89="",G90="",G91="",G92="",G93="",G94="",G95="",G96="",G97="",G98="",G99="",G100="",G101="",G102="",G103="",G104="",G106="",G105=""),"Sensors",""))</f>
        <v/>
      </c>
      <c r="H107" s="12" t="str">
        <f>IF('7-Sensors'!B33="Installed",'7-Sensors'!A33,"")</f>
        <v/>
      </c>
      <c r="I107" s="4">
        <f>'7-Sensors'!H33</f>
        <v>0</v>
      </c>
      <c r="J107" s="262">
        <f>'7-Sensors'!F33</f>
        <v>0</v>
      </c>
      <c r="K107" t="str">
        <f t="shared" si="9"/>
        <v/>
      </c>
    </row>
    <row r="108" spans="1:11" x14ac:dyDescent="0.3">
      <c r="A108" s="388" t="str">
        <f>IF(MAX(F:F)&lt;106,"",IF(INDEX(F:J,MATCH(106,F:F,0),2)=0,"",INDEX(F:J,MATCH(106,F:F,0),2)))</f>
        <v/>
      </c>
      <c r="B108" s="441" t="str">
        <f>IF(MAX(F:F)&lt;106,"",INDEX(F:J,MATCH(106,F:F,0),3))</f>
        <v/>
      </c>
      <c r="C108" s="4" t="str">
        <f>IF(MAX(F:F)&lt;106,"",INDEX(F:J,MATCH(106,F:F,0),4))</f>
        <v/>
      </c>
      <c r="D108" s="4" t="str">
        <f>IF(MAX(F:F)&lt;106,"",INDEX(F:J,MATCH(106,F:F,0),5))</f>
        <v/>
      </c>
      <c r="E108" s="73">
        <f t="shared" si="7"/>
        <v>9</v>
      </c>
      <c r="F108" s="73" t="str">
        <f t="shared" si="8"/>
        <v/>
      </c>
      <c r="G108" s="385" t="str">
        <f>IF(H108="","",IF(AND(G89="",G90="",G91="",G92="",G93="",G94="",G95="",G96="",G97="",G98="",G99="",G100="",G101="",G102="",G103="",G104="",G105="",G107="",G106=""),"Sensors",""))</f>
        <v/>
      </c>
      <c r="H108" s="380" t="str">
        <f>IF('7-Sensors'!B34="Installed",'7-Sensors'!A34,"")</f>
        <v/>
      </c>
      <c r="I108" s="391">
        <f>'7-Sensors'!H34</f>
        <v>0</v>
      </c>
      <c r="J108" s="263">
        <f>'7-Sensors'!F34</f>
        <v>0</v>
      </c>
      <c r="K108" t="str">
        <f t="shared" si="9"/>
        <v/>
      </c>
    </row>
    <row r="109" spans="1:11" x14ac:dyDescent="0.3">
      <c r="A109" s="388" t="str">
        <f>IF(MAX(F:F)&lt;107,"",IF(INDEX(F:J,MATCH(107,F:F,0),2)=0,"",INDEX(F:J,MATCH(107,F:F,0),2)))</f>
        <v/>
      </c>
      <c r="B109" s="441" t="str">
        <f>IF(MAX(F:F)&lt;107,"",INDEX(F:J,MATCH(107,F:F,0),3))</f>
        <v/>
      </c>
      <c r="C109" s="4" t="str">
        <f>IF(MAX(F:F)&lt;107,"",INDEX(F:J,MATCH(107,F:F,0),4))</f>
        <v/>
      </c>
      <c r="D109" s="4" t="str">
        <f>IF(MAX(F:F)&lt;107,"",INDEX(F:J,MATCH(107,F:F,0),5))</f>
        <v/>
      </c>
      <c r="E109" s="73">
        <f t="shared" si="7"/>
        <v>9</v>
      </c>
      <c r="F109" s="73" t="str">
        <f t="shared" si="8"/>
        <v/>
      </c>
      <c r="G109" s="389" t="str">
        <f>IF(H109="","","Weapons")</f>
        <v/>
      </c>
      <c r="H109" s="379" t="str">
        <f>'8a-Weapons'!AM113</f>
        <v/>
      </c>
      <c r="I109" s="234">
        <f>'8a-Weapons'!N12</f>
        <v>0</v>
      </c>
      <c r="J109" s="375">
        <f>'8a-Weapons'!L12</f>
        <v>0</v>
      </c>
      <c r="K109" t="str">
        <f t="shared" si="9"/>
        <v/>
      </c>
    </row>
    <row r="110" spans="1:11" x14ac:dyDescent="0.3">
      <c r="A110" s="388" t="str">
        <f>IF(MAX(F:F)&lt;108,"",IF(INDEX(F:J,MATCH(108,F:F,0),2)=0,"",INDEX(F:J,MATCH(108,F:F,0),2)))</f>
        <v/>
      </c>
      <c r="B110" s="441" t="str">
        <f>IF(MAX(F:F)&lt;108,"",INDEX(F:J,MATCH(108,F:F,0),3))</f>
        <v/>
      </c>
      <c r="C110" s="4" t="str">
        <f>IF(MAX(F:F)&lt;108,"",INDEX(F:J,MATCH(108,F:F,0),4))</f>
        <v/>
      </c>
      <c r="D110" s="4" t="str">
        <f>IF(MAX(F:F)&lt;108,"",INDEX(F:J,MATCH(108,F:F,0),5))</f>
        <v/>
      </c>
      <c r="E110" s="73">
        <f t="shared" si="7"/>
        <v>9</v>
      </c>
      <c r="F110" s="73" t="str">
        <f t="shared" si="8"/>
        <v/>
      </c>
      <c r="G110" s="385" t="str">
        <f>IF(H110="","",IF(G109="","Weapons",""))</f>
        <v/>
      </c>
      <c r="H110" s="12" t="str">
        <f>'8a-Weapons'!AM114</f>
        <v/>
      </c>
      <c r="I110" s="4">
        <f>'8a-Weapons'!N13</f>
        <v>0</v>
      </c>
      <c r="J110" s="262">
        <f>'8a-Weapons'!L13</f>
        <v>0</v>
      </c>
      <c r="K110" t="str">
        <f t="shared" si="9"/>
        <v/>
      </c>
    </row>
    <row r="111" spans="1:11" x14ac:dyDescent="0.3">
      <c r="A111" s="388" t="str">
        <f>IF(MAX(F:F)&lt;109,"",IF(INDEX(F:J,MATCH(109,F:F,0),2)=0,"",INDEX(F:J,MATCH(109,F:F,0),2)))</f>
        <v/>
      </c>
      <c r="B111" s="441" t="str">
        <f>IF(MAX(F:F)&lt;109,"",INDEX(F:J,MATCH(109,F:F,0),3))</f>
        <v/>
      </c>
      <c r="C111" s="4" t="str">
        <f>IF(MAX(F:F)&lt;109,"",INDEX(F:J,MATCH(109,F:F,0),4))</f>
        <v/>
      </c>
      <c r="D111" s="4" t="str">
        <f>IF(MAX(F:F)&lt;109,"",INDEX(F:J,MATCH(109,F:F,0),5))</f>
        <v/>
      </c>
      <c r="E111" s="73">
        <f t="shared" si="7"/>
        <v>9</v>
      </c>
      <c r="F111" s="73" t="str">
        <f t="shared" si="8"/>
        <v/>
      </c>
      <c r="G111" s="385" t="str">
        <f>IF(H111="","",IF(AND(G110="",G109=""),"Weapons",""))</f>
        <v/>
      </c>
      <c r="H111" s="12" t="str">
        <f>'8a-Weapons'!AM115</f>
        <v/>
      </c>
      <c r="I111" s="4">
        <f>'8a-Weapons'!N14</f>
        <v>0</v>
      </c>
      <c r="J111" s="262">
        <f>'8a-Weapons'!L14</f>
        <v>0</v>
      </c>
      <c r="K111" t="str">
        <f t="shared" si="9"/>
        <v/>
      </c>
    </row>
    <row r="112" spans="1:11" x14ac:dyDescent="0.3">
      <c r="A112" s="388" t="str">
        <f>IF(MAX(F:F)&lt;110,"",IF(INDEX(F:J,MATCH(110,F:F,0),2)=0,"",INDEX(F:J,MATCH(110,F:F,0),2)))</f>
        <v/>
      </c>
      <c r="B112" s="441" t="str">
        <f>IF(MAX(F:F)&lt;110,"",INDEX(F:J,MATCH(110,F:F,0),3))</f>
        <v/>
      </c>
      <c r="C112" s="4" t="str">
        <f>IF(MAX(F:F)&lt;110,"",INDEX(F:J,MATCH(110,F:F,0),4))</f>
        <v/>
      </c>
      <c r="D112" s="4" t="str">
        <f>IF(MAX(F:F)&lt;110,"",INDEX(F:J,MATCH(110,F:F,0),5))</f>
        <v/>
      </c>
      <c r="E112" s="73">
        <f t="shared" si="7"/>
        <v>9</v>
      </c>
      <c r="F112" s="73" t="str">
        <f t="shared" si="8"/>
        <v/>
      </c>
      <c r="G112" s="385" t="str">
        <f>IF(H112="","",IF(AND(G111="",G110="",G109=""),"Weapons",""))</f>
        <v/>
      </c>
      <c r="H112" s="12" t="str">
        <f>'8a-Weapons'!AM116</f>
        <v/>
      </c>
      <c r="I112" s="4">
        <f>'8a-Weapons'!N15</f>
        <v>0</v>
      </c>
      <c r="J112" s="262">
        <f>'8a-Weapons'!L15</f>
        <v>0</v>
      </c>
      <c r="K112" t="str">
        <f t="shared" si="9"/>
        <v/>
      </c>
    </row>
    <row r="113" spans="1:11" x14ac:dyDescent="0.3">
      <c r="A113" s="388" t="str">
        <f>IF(MAX(F:F)&lt;111,"",IF(INDEX(F:J,MATCH(111,F:F,0),2)=0,"",INDEX(F:J,MATCH(111,F:F,0),2)))</f>
        <v/>
      </c>
      <c r="B113" s="441" t="str">
        <f>IF(MAX(F:F)&lt;111,"",INDEX(F:J,MATCH(111,F:F,0),3))</f>
        <v/>
      </c>
      <c r="C113" s="4" t="str">
        <f>IF(MAX(F:F)&lt;111,"",INDEX(F:J,MATCH(111,F:F,0),4))</f>
        <v/>
      </c>
      <c r="D113" s="4" t="str">
        <f>IF(MAX(F:F)&lt;111,"",INDEX(F:J,MATCH(111,F:F,0),5))</f>
        <v/>
      </c>
      <c r="E113" s="73">
        <f t="shared" si="7"/>
        <v>9</v>
      </c>
      <c r="F113" s="73" t="str">
        <f t="shared" si="8"/>
        <v/>
      </c>
      <c r="G113" s="385" t="str">
        <f>IF(H113="","",IF(AND(G112="",G111="",G110="",G109=""),"Weapons",""))</f>
        <v/>
      </c>
      <c r="H113" s="12" t="str">
        <f>'8a-Weapons'!AM117</f>
        <v/>
      </c>
      <c r="I113" s="4">
        <f>'8a-Weapons'!N16</f>
        <v>0</v>
      </c>
      <c r="J113" s="262">
        <f>'8a-Weapons'!L16</f>
        <v>0</v>
      </c>
      <c r="K113" t="str">
        <f t="shared" si="9"/>
        <v/>
      </c>
    </row>
    <row r="114" spans="1:11" x14ac:dyDescent="0.3">
      <c r="A114" s="388" t="str">
        <f>IF(MAX(F:F)&lt;112,"",IF(INDEX(F:J,MATCH(112,F:F,0),2)=0,"",INDEX(F:J,MATCH(112,F:F,0),2)))</f>
        <v/>
      </c>
      <c r="B114" s="441" t="str">
        <f>IF(MAX(F:F)&lt;112,"",INDEX(F:J,MATCH(112,F:F,0),3))</f>
        <v/>
      </c>
      <c r="C114" s="4" t="str">
        <f>IF(MAX(F:F)&lt;112,"",INDEX(F:J,MATCH(112,F:F,0),4))</f>
        <v/>
      </c>
      <c r="D114" s="4" t="str">
        <f>IF(MAX(F:F)&lt;112,"",INDEX(F:J,MATCH(112,F:F,0),5))</f>
        <v/>
      </c>
      <c r="E114" s="73">
        <f t="shared" si="7"/>
        <v>9</v>
      </c>
      <c r="F114" s="73" t="str">
        <f t="shared" si="8"/>
        <v/>
      </c>
      <c r="G114" s="385" t="str">
        <f>IF(H114="","",IF(AND(G113="",G112="",G111="",G110="",G109=""),"Weapons",""))</f>
        <v/>
      </c>
      <c r="H114" s="12" t="str">
        <f>'8a-Weapons'!AM118</f>
        <v/>
      </c>
      <c r="I114" s="4">
        <f>'8a-Weapons'!N17</f>
        <v>0</v>
      </c>
      <c r="J114" s="262">
        <f>'8a-Weapons'!L17</f>
        <v>0</v>
      </c>
      <c r="K114" t="str">
        <f t="shared" si="9"/>
        <v/>
      </c>
    </row>
    <row r="115" spans="1:11" x14ac:dyDescent="0.3">
      <c r="A115" s="388" t="str">
        <f>IF(MAX(F:F)&lt;113,"",IF(INDEX(F:J,MATCH(113,F:F,0),2)=0,"",INDEX(F:J,MATCH(113,F:F,0),2)))</f>
        <v/>
      </c>
      <c r="B115" s="441" t="str">
        <f>IF(MAX(F:F)&lt;113,"",INDEX(F:J,MATCH(113,F:F,0),3))</f>
        <v/>
      </c>
      <c r="C115" s="4" t="str">
        <f>IF(MAX(F:F)&lt;113,"",INDEX(F:J,MATCH(113,F:F,0),4))</f>
        <v/>
      </c>
      <c r="D115" s="4" t="str">
        <f>IF(MAX(F:F)&lt;113,"",INDEX(F:J,MATCH(113,F:F,0),5))</f>
        <v/>
      </c>
      <c r="E115" s="73">
        <f t="shared" si="7"/>
        <v>9</v>
      </c>
      <c r="F115" s="73" t="str">
        <f t="shared" si="8"/>
        <v/>
      </c>
      <c r="G115" s="385" t="str">
        <f>IF(H115="","",IF(AND(G114="",G113="",G112="",G111="",G110="",G109=""),"Weapons",""))</f>
        <v/>
      </c>
      <c r="H115" s="12" t="str">
        <f>'8a-Weapons'!AM119</f>
        <v/>
      </c>
      <c r="I115" s="4">
        <f>'8a-Weapons'!N18</f>
        <v>0</v>
      </c>
      <c r="J115" s="262">
        <f>'8a-Weapons'!L18</f>
        <v>0</v>
      </c>
      <c r="K115" t="str">
        <f t="shared" si="9"/>
        <v/>
      </c>
    </row>
    <row r="116" spans="1:11" x14ac:dyDescent="0.3">
      <c r="A116" s="388" t="str">
        <f>IF(MAX(F:F)&lt;114,"",IF(INDEX(F:J,MATCH(114,F:F,0),2)=0,"",INDEX(F:J,MATCH(114,F:F,0),2)))</f>
        <v/>
      </c>
      <c r="B116" s="441" t="str">
        <f>IF(MAX(F:F)&lt;114,"",INDEX(F:J,MATCH(114,F:F,0),3))</f>
        <v/>
      </c>
      <c r="C116" s="4" t="str">
        <f>IF(MAX(F:F)&lt;114,"",INDEX(F:J,MATCH(114,F:F,0),4))</f>
        <v/>
      </c>
      <c r="D116" s="4" t="str">
        <f>IF(MAX(F:F)&lt;114,"",INDEX(F:J,MATCH(114,F:F,0),5))</f>
        <v/>
      </c>
      <c r="E116" s="73">
        <f t="shared" si="7"/>
        <v>9</v>
      </c>
      <c r="F116" s="73" t="str">
        <f t="shared" si="8"/>
        <v/>
      </c>
      <c r="G116" s="385" t="str">
        <f>IF(H116="","",IF(AND(G115="",G114="",G113="",G112="",G111="",G110="",G109=""),"Weapons",""))</f>
        <v/>
      </c>
      <c r="H116" s="12" t="str">
        <f>'8a-Weapons'!AM120</f>
        <v/>
      </c>
      <c r="I116" s="4">
        <f>'8a-Weapons'!N19</f>
        <v>0</v>
      </c>
      <c r="J116" s="262">
        <f>'8a-Weapons'!L19</f>
        <v>0</v>
      </c>
      <c r="K116" t="str">
        <f t="shared" si="9"/>
        <v/>
      </c>
    </row>
    <row r="117" spans="1:11" x14ac:dyDescent="0.3">
      <c r="A117" s="388" t="str">
        <f>IF(MAX(F:F)&lt;115,"",IF(INDEX(F:J,MATCH(115,F:F,0),2)=0,"",INDEX(F:J,MATCH(115,F:F,0),2)))</f>
        <v/>
      </c>
      <c r="B117" s="441" t="str">
        <f>IF(MAX(F:F)&lt;115,"",INDEX(F:J,MATCH(115,F:F,0),3))</f>
        <v/>
      </c>
      <c r="C117" s="4" t="str">
        <f>IF(MAX(F:F)&lt;115,"",INDEX(F:J,MATCH(115,F:F,0),4))</f>
        <v/>
      </c>
      <c r="D117" s="4" t="str">
        <f>IF(MAX(F:F)&lt;115,"",INDEX(F:J,MATCH(115,F:F,0),5))</f>
        <v/>
      </c>
      <c r="E117" s="73">
        <f t="shared" si="7"/>
        <v>9</v>
      </c>
      <c r="F117" s="73" t="str">
        <f t="shared" si="8"/>
        <v/>
      </c>
      <c r="G117" s="385" t="str">
        <f>IF(H117="","",IF(AND(G116="",G115="",G114="",G113="",G112="",G111="",G110="",G109=""),"Weapons",""))</f>
        <v/>
      </c>
      <c r="H117" s="12" t="str">
        <f>'8a-Weapons'!AM121</f>
        <v/>
      </c>
      <c r="I117" s="4">
        <f>'8a-Weapons'!N20</f>
        <v>0</v>
      </c>
      <c r="J117" s="262">
        <f>'8a-Weapons'!L20</f>
        <v>0</v>
      </c>
      <c r="K117" t="str">
        <f t="shared" si="9"/>
        <v/>
      </c>
    </row>
    <row r="118" spans="1:11" x14ac:dyDescent="0.3">
      <c r="A118" s="388" t="str">
        <f>IF(MAX(F:F)&lt;116,"",IF(INDEX(F:J,MATCH(116,F:F,0),2)=0,"",INDEX(F:J,MATCH(116,F:F,0),2)))</f>
        <v/>
      </c>
      <c r="B118" s="441" t="str">
        <f>IF(MAX(F:F)&lt;116,"",INDEX(F:J,MATCH(116,F:F,0),3))</f>
        <v/>
      </c>
      <c r="C118" s="4" t="str">
        <f>IF(MAX(F:F)&lt;116,"",INDEX(F:J,MATCH(116,F:F,0),4))</f>
        <v/>
      </c>
      <c r="D118" s="4" t="str">
        <f>IF(MAX(F:F)&lt;116,"",INDEX(F:J,MATCH(116,F:F,0),5))</f>
        <v/>
      </c>
      <c r="E118" s="73">
        <f t="shared" si="7"/>
        <v>9</v>
      </c>
      <c r="F118" s="73" t="str">
        <f t="shared" si="8"/>
        <v/>
      </c>
      <c r="G118" s="385" t="str">
        <f>IF(H118="","",IF(AND(G117="",G116="",G115="",G114="",G113="",G112="",G111="",G110="",G109=""),"Weapons",""))</f>
        <v/>
      </c>
      <c r="H118" s="12" t="str">
        <f>'8a-Weapons'!AM122</f>
        <v/>
      </c>
      <c r="I118" s="4">
        <f>'8a-Weapons'!N21</f>
        <v>0</v>
      </c>
      <c r="J118" s="262">
        <f>'8a-Weapons'!L21</f>
        <v>0</v>
      </c>
      <c r="K118" t="str">
        <f t="shared" si="9"/>
        <v/>
      </c>
    </row>
    <row r="119" spans="1:11" x14ac:dyDescent="0.3">
      <c r="A119" s="388" t="str">
        <f>IF(MAX(F:F)&lt;117,"",IF(INDEX(F:J,MATCH(117,F:F,0),2)=0,"",INDEX(F:J,MATCH(117,F:F,0),2)))</f>
        <v/>
      </c>
      <c r="B119" s="441" t="str">
        <f>IF(MAX(F:F)&lt;117,"",INDEX(F:J,MATCH(117,F:F,0),3))</f>
        <v/>
      </c>
      <c r="C119" s="4" t="str">
        <f>IF(MAX(F:F)&lt;117,"",INDEX(F:J,MATCH(117,F:F,0),4))</f>
        <v/>
      </c>
      <c r="D119" s="4" t="str">
        <f>IF(MAX(F:F)&lt;117,"",INDEX(F:J,MATCH(117,F:F,0),5))</f>
        <v/>
      </c>
      <c r="E119" s="73">
        <f t="shared" si="7"/>
        <v>9</v>
      </c>
      <c r="F119" s="73" t="str">
        <f t="shared" si="8"/>
        <v/>
      </c>
      <c r="G119" s="385" t="str">
        <f>IF(H119="","",IF(AND(G118="",G117="",G116="",G115="",G114="",G113="",G112="",G111="",G110="",G109=""),"Weapons",""))</f>
        <v/>
      </c>
      <c r="H119" s="12" t="str">
        <f>'8a-Weapons'!AM123</f>
        <v/>
      </c>
      <c r="I119" s="4">
        <f>'8a-Weapons'!N22</f>
        <v>0</v>
      </c>
      <c r="J119" s="262">
        <f>'8a-Weapons'!L22</f>
        <v>0</v>
      </c>
      <c r="K119" t="str">
        <f t="shared" si="9"/>
        <v/>
      </c>
    </row>
    <row r="120" spans="1:11" x14ac:dyDescent="0.3">
      <c r="A120" s="388" t="str">
        <f>IF(MAX(F:F)&lt;118,"",IF(INDEX(F:J,MATCH(118,F:F,0),2)=0,"",INDEX(F:J,MATCH(118,F:F,0),2)))</f>
        <v/>
      </c>
      <c r="B120" s="441" t="str">
        <f>IF(MAX(F:F)&lt;118,"",INDEX(F:J,MATCH(118,F:F,0),3))</f>
        <v/>
      </c>
      <c r="C120" s="4" t="str">
        <f>IF(MAX(F:F)&lt;118,"",INDEX(F:J,MATCH(118,F:F,0),4))</f>
        <v/>
      </c>
      <c r="D120" s="4" t="str">
        <f>IF(MAX(F:F)&lt;118,"",INDEX(F:J,MATCH(118,F:F,0),5))</f>
        <v/>
      </c>
      <c r="E120" s="73">
        <f t="shared" si="7"/>
        <v>9</v>
      </c>
      <c r="F120" s="73" t="str">
        <f t="shared" si="8"/>
        <v/>
      </c>
      <c r="G120" s="385" t="str">
        <f>IF(H120="","",IF(AND(G119="",G118="",G117="",G116="",G115="",G114="",G113="",G112="",G111="",G110="",G109=""),"Weapons",""))</f>
        <v/>
      </c>
      <c r="H120" s="12" t="str">
        <f>'8a-Weapons'!AM124</f>
        <v/>
      </c>
      <c r="I120" s="4">
        <f>'8a-Weapons'!N23</f>
        <v>0</v>
      </c>
      <c r="J120" s="262">
        <f>'8a-Weapons'!L23</f>
        <v>0</v>
      </c>
      <c r="K120" t="str">
        <f t="shared" si="9"/>
        <v/>
      </c>
    </row>
    <row r="121" spans="1:11" x14ac:dyDescent="0.3">
      <c r="A121" s="388" t="str">
        <f>IF(MAX(F:F)&lt;119,"",IF(INDEX(F:J,MATCH(119,F:F,0),2)=0,"",INDEX(F:J,MATCH(119,F:F,0),2)))</f>
        <v/>
      </c>
      <c r="B121" s="441" t="str">
        <f>IF(MAX(F:F)&lt;119,"",INDEX(F:J,MATCH(119,F:F,0),3))</f>
        <v/>
      </c>
      <c r="C121" s="4" t="str">
        <f>IF(MAX(F:F)&lt;119,"",INDEX(F:J,MATCH(119,F:F,0),4))</f>
        <v/>
      </c>
      <c r="D121" s="4" t="str">
        <f>IF(MAX(F:F)&lt;119,"",INDEX(F:J,MATCH(119,F:F,0),5))</f>
        <v/>
      </c>
      <c r="E121" s="73">
        <f t="shared" si="7"/>
        <v>9</v>
      </c>
      <c r="F121" s="73" t="str">
        <f t="shared" si="8"/>
        <v/>
      </c>
      <c r="G121" s="385" t="str">
        <f>IF(H121="","",IF(AND(G120="",G119="",G118="",G117="",G116="",G115="",G114="",G113="",G112="",G111="",G110="",G109=""),"Weapons",""))</f>
        <v/>
      </c>
      <c r="H121" s="12" t="str">
        <f>'8a-Weapons'!AM125</f>
        <v/>
      </c>
      <c r="I121" s="4">
        <f>'8a-Weapons'!N24</f>
        <v>0</v>
      </c>
      <c r="J121" s="262">
        <f>'8a-Weapons'!L24</f>
        <v>0</v>
      </c>
      <c r="K121" t="str">
        <f t="shared" si="9"/>
        <v/>
      </c>
    </row>
    <row r="122" spans="1:11" x14ac:dyDescent="0.3">
      <c r="A122" s="388" t="str">
        <f>IF(MAX(F:F)&lt;120,"",IF(INDEX(F:J,MATCH(120,F:F,0),2)=0,"",INDEX(F:J,MATCH(120,F:F,0),2)))</f>
        <v/>
      </c>
      <c r="B122" s="441" t="str">
        <f>IF(MAX(F:F)&lt;120,"",INDEX(F:J,MATCH(120,F:F,0),3))</f>
        <v/>
      </c>
      <c r="C122" s="4" t="str">
        <f>IF(MAX(F:F)&lt;120,"",INDEX(F:J,MATCH(120,F:F,0),4))</f>
        <v/>
      </c>
      <c r="D122" s="4" t="str">
        <f>IF(MAX(F:F)&lt;120,"",INDEX(F:J,MATCH(120,F:F,0),5))</f>
        <v/>
      </c>
      <c r="E122" s="73">
        <f t="shared" si="7"/>
        <v>9</v>
      </c>
      <c r="F122" s="73" t="str">
        <f t="shared" si="8"/>
        <v/>
      </c>
      <c r="G122" s="385" t="str">
        <f>IF(H122="","",IF(AND(G121="",G120="",G119="",G118="",G117="",G116="",G115="",G114="",G113="",G112="",G111="",G110="",G109=""),"Weapons",""))</f>
        <v/>
      </c>
      <c r="H122" s="12" t="str">
        <f>'8a-Weapons'!AM126</f>
        <v/>
      </c>
      <c r="I122" s="4">
        <f>'8a-Weapons'!N25</f>
        <v>0</v>
      </c>
      <c r="J122" s="262">
        <f>'8a-Weapons'!L25</f>
        <v>0</v>
      </c>
      <c r="K122" t="str">
        <f t="shared" si="9"/>
        <v/>
      </c>
    </row>
    <row r="123" spans="1:11" x14ac:dyDescent="0.3">
      <c r="A123" s="388" t="str">
        <f>IF(MAX(F:F)&lt;121,"",IF(INDEX(F:J,MATCH(121,F:F,0),2)=0,"",INDEX(F:J,MATCH(121,F:F,0),2)))</f>
        <v/>
      </c>
      <c r="B123" s="441" t="str">
        <f>IF(MAX(F:F)&lt;121,"",INDEX(F:J,MATCH(121,F:F,0),3))</f>
        <v/>
      </c>
      <c r="C123" s="4" t="str">
        <f>IF(MAX(F:F)&lt;121,"",INDEX(F:J,MATCH(121,F:F,0),4))</f>
        <v/>
      </c>
      <c r="D123" s="4" t="str">
        <f>IF(MAX(F:F)&lt;121,"",INDEX(F:J,MATCH(121,F:F,0),5))</f>
        <v/>
      </c>
      <c r="E123" s="73">
        <f t="shared" si="7"/>
        <v>9</v>
      </c>
      <c r="F123" s="73" t="str">
        <f t="shared" si="8"/>
        <v/>
      </c>
      <c r="G123" s="385" t="str">
        <f>IF(H123="","",IF(AND(G122="",G121="",G120="",G119="",G118="",G117="",G116="",G115="",G114="",G113="",G112="",G111="",G110="",G109=""),"Weapons",""))</f>
        <v/>
      </c>
      <c r="H123" s="12" t="str">
        <f>'8a-Weapons'!AM127</f>
        <v/>
      </c>
      <c r="I123" s="4">
        <f>'8a-Weapons'!N26</f>
        <v>0</v>
      </c>
      <c r="J123" s="262">
        <f>'8a-Weapons'!L26</f>
        <v>0</v>
      </c>
      <c r="K123" t="str">
        <f t="shared" si="9"/>
        <v/>
      </c>
    </row>
    <row r="124" spans="1:11" x14ac:dyDescent="0.3">
      <c r="A124" s="388" t="str">
        <f>IF(MAX(F:F)&lt;122,"",IF(INDEX(F:J,MATCH(122,F:F,0),2)=0,"",INDEX(F:J,MATCH(122,F:F,0),2)))</f>
        <v/>
      </c>
      <c r="B124" s="441" t="str">
        <f>IF(MAX(F:F)&lt;122,"",INDEX(F:J,MATCH(122,F:F,0),3))</f>
        <v/>
      </c>
      <c r="C124" s="4" t="str">
        <f>IF(MAX(F:F)&lt;122,"",INDEX(F:J,MATCH(122,F:F,0),4))</f>
        <v/>
      </c>
      <c r="D124" s="4" t="str">
        <f>IF(MAX(F:F)&lt;122,"",INDEX(F:J,MATCH(122,F:F,0),5))</f>
        <v/>
      </c>
      <c r="E124" s="73">
        <f t="shared" si="7"/>
        <v>9</v>
      </c>
      <c r="F124" s="73" t="str">
        <f t="shared" si="8"/>
        <v/>
      </c>
      <c r="G124" s="385" t="str">
        <f>IF(H124="","",IF(AND(G123="",G122="",G121="",G120="",G119="",G118="",G117="",G116="",G115="",G114="",G113="",G112="",G111="",G110="",G109=""),"Weapons",""))</f>
        <v/>
      </c>
      <c r="H124" s="12" t="str">
        <f>'8a-Weapons'!AM128</f>
        <v/>
      </c>
      <c r="I124" s="4">
        <f>'8a-Weapons'!N27</f>
        <v>0</v>
      </c>
      <c r="J124" s="262">
        <f>'8a-Weapons'!L27</f>
        <v>0</v>
      </c>
      <c r="K124" t="str">
        <f t="shared" si="9"/>
        <v/>
      </c>
    </row>
    <row r="125" spans="1:11" x14ac:dyDescent="0.3">
      <c r="A125" s="388" t="str">
        <f>IF(MAX(F:F)&lt;123,"",IF(INDEX(F:J,MATCH(123,F:F,0),2)=0,"",INDEX(F:J,MATCH(123,F:F,0),2)))</f>
        <v/>
      </c>
      <c r="B125" s="441" t="str">
        <f>IF(MAX(F:F)&lt;123,"",INDEX(F:J,MATCH(123,F:F,0),3))</f>
        <v/>
      </c>
      <c r="C125" s="4" t="str">
        <f>IF(MAX(F:F)&lt;123,"",INDEX(F:J,MATCH(123,F:F,0),4))</f>
        <v/>
      </c>
      <c r="D125" s="4" t="str">
        <f>IF(MAX(F:F)&lt;123,"",INDEX(F:J,MATCH(123,F:F,0),5))</f>
        <v/>
      </c>
      <c r="E125" s="73">
        <f t="shared" si="7"/>
        <v>9</v>
      </c>
      <c r="F125" s="73" t="str">
        <f t="shared" si="8"/>
        <v/>
      </c>
      <c r="G125" s="385" t="str">
        <f>IF(H125="","",IF(AND(G124="",G123="",G122="",G121="",G120="",G119="",G118="",G117="",G116="",G115="",G114="",G113="",G112="",G111="",G110="",G109=""),"Weapons",""))</f>
        <v/>
      </c>
      <c r="H125" s="12" t="str">
        <f>'8a-Weapons'!AM129</f>
        <v/>
      </c>
      <c r="I125" s="4">
        <f>'8a-Weapons'!N28</f>
        <v>0</v>
      </c>
      <c r="J125" s="262">
        <f>'8a-Weapons'!L28</f>
        <v>0</v>
      </c>
      <c r="K125" t="str">
        <f t="shared" si="9"/>
        <v/>
      </c>
    </row>
    <row r="126" spans="1:11" x14ac:dyDescent="0.3">
      <c r="A126" s="388" t="str">
        <f>IF(MAX(F:F)&lt;124,"",IF(INDEX(F:J,MATCH(124,F:F,0),2)=0,"",INDEX(F:J,MATCH(124,F:F,0),2)))</f>
        <v/>
      </c>
      <c r="B126" s="441" t="str">
        <f>IF(MAX(F:F)&lt;124,"",INDEX(F:J,MATCH(124,F:F,0),3))</f>
        <v/>
      </c>
      <c r="C126" s="4" t="str">
        <f>IF(MAX(F:F)&lt;124,"",INDEX(F:J,MATCH(124,F:F,0),4))</f>
        <v/>
      </c>
      <c r="D126" s="4" t="str">
        <f>IF(MAX(F:F)&lt;124,"",INDEX(F:J,MATCH(124,F:F,0),5))</f>
        <v/>
      </c>
      <c r="E126" s="73">
        <f t="shared" si="7"/>
        <v>9</v>
      </c>
      <c r="F126" s="73" t="str">
        <f t="shared" si="8"/>
        <v/>
      </c>
      <c r="G126" s="385" t="str">
        <f>IF(H126="","",IF(AND(G125="",G124="",G123="",G122="",G121="",G120="",G119="",G118="",G117="",G116="",G115="",G114="",G113="",G112="",G111="",G110="",G109=""),"Weapons",""))</f>
        <v/>
      </c>
      <c r="H126" s="12" t="str">
        <f>'8a-Weapons'!AM130</f>
        <v/>
      </c>
      <c r="I126" s="4">
        <f>'8a-Weapons'!N29</f>
        <v>0</v>
      </c>
      <c r="J126" s="262">
        <f>'8a-Weapons'!L29</f>
        <v>0</v>
      </c>
      <c r="K126" t="str">
        <f t="shared" si="9"/>
        <v/>
      </c>
    </row>
    <row r="127" spans="1:11" x14ac:dyDescent="0.3">
      <c r="A127" s="388" t="str">
        <f>IF(MAX(F:F)&lt;125,"",IF(INDEX(F:J,MATCH(125,F:F,0),2)=0,"",INDEX(F:J,MATCH(125,F:F,0),2)))</f>
        <v/>
      </c>
      <c r="B127" s="441" t="str">
        <f>IF(MAX(F:F)&lt;125,"",INDEX(F:J,MATCH(125,F:F,0),3))</f>
        <v/>
      </c>
      <c r="C127" s="4" t="str">
        <f>IF(MAX(F:F)&lt;125,"",INDEX(F:J,MATCH(125,F:F,0),4))</f>
        <v/>
      </c>
      <c r="D127" s="4" t="str">
        <f>IF(MAX(F:F)&lt;125,"",INDEX(F:J,MATCH(125,F:F,0),5))</f>
        <v/>
      </c>
      <c r="E127" s="73">
        <f t="shared" si="7"/>
        <v>9</v>
      </c>
      <c r="F127" s="73" t="str">
        <f t="shared" si="8"/>
        <v/>
      </c>
      <c r="G127" s="385" t="str">
        <f>IF(H127="","",IF(AND(G126="",G125="",G124="",G123="",G122="",G121="",G120="",G119="",G118="",G117="",G116="",G115="",G114="",G113="",G112="",G111="",G110="",G109=""),"Weapons",""))</f>
        <v/>
      </c>
      <c r="H127" s="12" t="str">
        <f>'8a-Weapons'!AM131</f>
        <v/>
      </c>
      <c r="I127" s="4">
        <f>'8a-Weapons'!N30</f>
        <v>0</v>
      </c>
      <c r="J127" s="262">
        <f>'8a-Weapons'!L30</f>
        <v>0</v>
      </c>
      <c r="K127" t="str">
        <f t="shared" si="9"/>
        <v/>
      </c>
    </row>
    <row r="128" spans="1:11" x14ac:dyDescent="0.3">
      <c r="A128" s="388" t="str">
        <f>IF(MAX(F:F)&lt;126,"",IF(INDEX(F:J,MATCH(126,F:F,0),2)=0,"",INDEX(F:J,MATCH(126,F:F,0),2)))</f>
        <v/>
      </c>
      <c r="B128" s="441" t="str">
        <f>IF(MAX(F:F)&lt;126,"",INDEX(F:J,MATCH(126,F:F,0),3))</f>
        <v/>
      </c>
      <c r="C128" s="4" t="str">
        <f>IF(MAX(F:F)&lt;126,"",INDEX(F:J,MATCH(126,F:F,0),4))</f>
        <v/>
      </c>
      <c r="D128" s="4" t="str">
        <f>IF(MAX(F:F)&lt;126,"",INDEX(F:J,MATCH(126,F:F,0),5))</f>
        <v/>
      </c>
      <c r="E128" s="73">
        <f t="shared" si="7"/>
        <v>9</v>
      </c>
      <c r="F128" s="73" t="str">
        <f t="shared" si="8"/>
        <v/>
      </c>
      <c r="G128" s="385" t="str">
        <f>IF(H128="","",IF(AND(G127="",G126="",G125="",G124="",G123="",G122="",G121="",G120="",G119="",G118="",G117="",G116="",G115="",G114="",G113="",G112="",G111="",G110="",G109=""),"Weapons",""))</f>
        <v/>
      </c>
      <c r="H128" s="380" t="str">
        <f>'8a-Weapons'!AM132</f>
        <v/>
      </c>
      <c r="I128" s="391">
        <f>'8a-Weapons'!N31</f>
        <v>0</v>
      </c>
      <c r="J128" s="263">
        <f>'8a-Weapons'!L31</f>
        <v>0</v>
      </c>
      <c r="K128" t="str">
        <f t="shared" si="9"/>
        <v/>
      </c>
    </row>
    <row r="129" spans="1:11" x14ac:dyDescent="0.3">
      <c r="A129" s="388" t="str">
        <f>IF(MAX(F:F)&lt;127,"",IF(INDEX(F:J,MATCH(127,F:F,0),2)=0,"",INDEX(F:J,MATCH(127,F:F,0),2)))</f>
        <v/>
      </c>
      <c r="B129" s="441" t="str">
        <f>IF(MAX(F:F)&lt;127,"",INDEX(F:J,MATCH(127,F:F,0),3))</f>
        <v/>
      </c>
      <c r="C129" s="4" t="str">
        <f>IF(MAX(F:F)&lt;127,"",INDEX(F:J,MATCH(127,F:F,0),4))</f>
        <v/>
      </c>
      <c r="D129" s="4" t="str">
        <f>IF(MAX(F:F)&lt;127,"",INDEX(F:J,MATCH(127,F:F,0),5))</f>
        <v/>
      </c>
      <c r="E129" s="73">
        <f t="shared" si="7"/>
        <v>9</v>
      </c>
      <c r="F129" s="73" t="str">
        <f t="shared" si="8"/>
        <v/>
      </c>
      <c r="G129" s="389" t="str">
        <f>IF(H129="","","SmallWeapons")</f>
        <v/>
      </c>
      <c r="H129" s="379" t="str">
        <f>IF('8a-Weapons'!D32=0,"",'8a-Weapons'!D32&amp;" "&amp;'8a-Weapons'!C32)</f>
        <v/>
      </c>
      <c r="I129" s="234">
        <f>'8a-Weapons'!N32</f>
        <v>0</v>
      </c>
      <c r="J129" s="375">
        <f>'8a-Weapons'!L32</f>
        <v>0</v>
      </c>
      <c r="K129" t="str">
        <f t="shared" si="9"/>
        <v/>
      </c>
    </row>
    <row r="130" spans="1:11" x14ac:dyDescent="0.3">
      <c r="A130" s="388" t="str">
        <f>IF(MAX(F:F)&lt;128,"",IF(INDEX(F:J,MATCH(128,F:F,0),2)=0,"",INDEX(F:J,MATCH(128,F:F,0),2)))</f>
        <v/>
      </c>
      <c r="B130" s="441" t="str">
        <f>IF(MAX(F:F)&lt;128,"",INDEX(F:J,MATCH(128,F:F,0),3))</f>
        <v/>
      </c>
      <c r="C130" s="4" t="str">
        <f>IF(MAX(F:F)&lt;128,"",INDEX(F:J,MATCH(128,F:F,0),4))</f>
        <v/>
      </c>
      <c r="D130" s="4" t="str">
        <f>IF(MAX(F:F)&lt;128,"",INDEX(F:J,MATCH(128,F:F,0),5))</f>
        <v/>
      </c>
      <c r="E130" s="73">
        <f t="shared" si="7"/>
        <v>9</v>
      </c>
      <c r="F130" s="73" t="str">
        <f t="shared" si="8"/>
        <v/>
      </c>
      <c r="G130" s="385" t="str">
        <f>IF(H130="","",IF(G129="","SmallWeapons",""))</f>
        <v/>
      </c>
      <c r="H130" s="12" t="str">
        <f>IF('8a-Weapons'!D33=0,"",'8a-Weapons'!D33&amp;" "&amp;'8a-Weapons'!C33)</f>
        <v/>
      </c>
      <c r="I130" s="4">
        <f>'8a-Weapons'!N33</f>
        <v>0</v>
      </c>
      <c r="J130" s="262">
        <f>'8a-Weapons'!L33</f>
        <v>0</v>
      </c>
      <c r="K130" t="str">
        <f t="shared" si="9"/>
        <v/>
      </c>
    </row>
    <row r="131" spans="1:11" x14ac:dyDescent="0.3">
      <c r="A131" s="388" t="str">
        <f>IF(MAX(F:F)&lt;129,"",IF(INDEX(F:J,MATCH(129,F:F,0),2)=0,"",INDEX(F:J,MATCH(129,F:F,0),2)))</f>
        <v/>
      </c>
      <c r="B131" s="441" t="str">
        <f>IF(MAX(F:F)&lt;129,"",INDEX(F:J,MATCH(129,F:F,0),3))</f>
        <v/>
      </c>
      <c r="C131" s="4" t="str">
        <f>IF(MAX(F:F)&lt;129,"",INDEX(F:J,MATCH(129,F:F,0),4))</f>
        <v/>
      </c>
      <c r="D131" s="4" t="str">
        <f>IF(MAX(F:F)&lt;129,"",INDEX(F:J,MATCH(129,F:F,0),5))</f>
        <v/>
      </c>
      <c r="E131" s="73">
        <f t="shared" si="7"/>
        <v>9</v>
      </c>
      <c r="F131" s="73" t="str">
        <f t="shared" si="8"/>
        <v/>
      </c>
      <c r="G131" s="386" t="str">
        <f>IF(H131="","",IF(AND(G129="",G130=""),"SmallWeapons",""))</f>
        <v/>
      </c>
      <c r="H131" s="380" t="str">
        <f>IF('8a-Weapons'!D34=0,"",'8a-Weapons'!D34&amp;" Fixed Vehicle Weapon Mounts")</f>
        <v/>
      </c>
      <c r="I131" s="391">
        <f>'8a-Weapons'!N34</f>
        <v>0</v>
      </c>
      <c r="J131" s="263">
        <f>'8a-Weapons'!L34</f>
        <v>0</v>
      </c>
      <c r="K131" t="str">
        <f t="shared" si="9"/>
        <v/>
      </c>
    </row>
    <row r="132" spans="1:11" x14ac:dyDescent="0.3">
      <c r="A132" s="388" t="str">
        <f>IF(MAX(F:F)&lt;130,"",IF(INDEX(F:J,MATCH(130,F:F,0),2)=0,"",INDEX(F:J,MATCH(130,F:F,0),2)))</f>
        <v/>
      </c>
      <c r="B132" s="441" t="str">
        <f>IF(MAX(F:F)&lt;130,"",INDEX(F:J,MATCH(130,F:F,0),3))</f>
        <v/>
      </c>
      <c r="C132" s="4" t="str">
        <f>IF(MAX(F:F)&lt;130,"",INDEX(F:J,MATCH(130,F:F,0),4))</f>
        <v/>
      </c>
      <c r="D132" s="4" t="str">
        <f>IF(MAX(F:F)&lt;130,"",INDEX(F:J,MATCH(130,F:F,0),5))</f>
        <v/>
      </c>
      <c r="E132" s="73">
        <f t="shared" si="7"/>
        <v>9</v>
      </c>
      <c r="F132" s="73" t="str">
        <f t="shared" si="8"/>
        <v/>
      </c>
      <c r="G132" s="387" t="str">
        <f>IF(H132="","","Spinal Mount")</f>
        <v/>
      </c>
      <c r="H132" s="381" t="str">
        <f>'8a-Weapons'!AM136</f>
        <v/>
      </c>
      <c r="I132" s="405">
        <f>'8a-Weapons'!N36</f>
        <v>0</v>
      </c>
      <c r="J132" s="376">
        <f>'8a-Weapons'!L36</f>
        <v>0</v>
      </c>
      <c r="K132" t="str">
        <f t="shared" si="9"/>
        <v/>
      </c>
    </row>
    <row r="133" spans="1:11" x14ac:dyDescent="0.3">
      <c r="A133" s="388" t="str">
        <f>IF(MAX(F:F)&lt;131,"",IF(INDEX(F:J,MATCH(131,F:F,0),2)=0,"",INDEX(F:J,MATCH(131,F:F,0),2)))</f>
        <v/>
      </c>
      <c r="B133" s="441" t="str">
        <f>IF(MAX(F:F)&lt;131,"",INDEX(F:J,MATCH(131,F:F,0),3))</f>
        <v/>
      </c>
      <c r="C133" s="4" t="str">
        <f>IF(MAX(F:F)&lt;131,"",INDEX(F:J,MATCH(131,F:F,0),4))</f>
        <v/>
      </c>
      <c r="D133" s="4" t="str">
        <f>IF(MAX(F:F)&lt;131,"",INDEX(F:J,MATCH(131,F:F,0),5))</f>
        <v/>
      </c>
      <c r="E133" s="73">
        <f t="shared" ref="E133:E196" si="10">IF(H133="",E132,E132+1)</f>
        <v>9</v>
      </c>
      <c r="F133" s="73" t="str">
        <f t="shared" ref="F133:F196" si="11">IF(E133=E132,"",E133)</f>
        <v/>
      </c>
      <c r="G133" s="389" t="str">
        <f>IF(H133="","","Screens")</f>
        <v/>
      </c>
      <c r="H133" s="379" t="str">
        <f>IF('8b-Screens'!B9='8b-Screens'!S9,"",'8b-Screens'!E9&amp;"x "&amp;'8b-Screens'!B9&amp;IF('8b-Screens'!A9='8b-Screens'!S1,""," Hardened")&amp;IF('8b-Screens'!A11='8b-Screens'!S1,""," Armored")&amp;" "&amp;'8b-Screens'!T62)</f>
        <v/>
      </c>
      <c r="I133" s="234">
        <f>'8b-Screens'!H9</f>
        <v>0</v>
      </c>
      <c r="J133" s="375">
        <f>'8b-Screens'!F9</f>
        <v>0</v>
      </c>
      <c r="K133" t="str">
        <f t="shared" ref="K133:K196" si="12">IF(B133="","",IF(A133="",K132,K132+1))</f>
        <v/>
      </c>
    </row>
    <row r="134" spans="1:11" x14ac:dyDescent="0.3">
      <c r="A134" s="388" t="str">
        <f>IF(MAX(F:F)&lt;132,"",IF(INDEX(F:J,MATCH(132,F:F,0),2)=0,"",INDEX(F:J,MATCH(132,F:F,0),2)))</f>
        <v/>
      </c>
      <c r="B134" s="441" t="str">
        <f>IF(MAX(F:F)&lt;132,"",INDEX(F:J,MATCH(132,F:F,0),3))</f>
        <v/>
      </c>
      <c r="C134" s="4" t="str">
        <f>IF(MAX(F:F)&lt;132,"",INDEX(F:J,MATCH(132,F:F,0),4))</f>
        <v/>
      </c>
      <c r="D134" s="4" t="str">
        <f>IF(MAX(F:F)&lt;132,"",INDEX(F:J,MATCH(132,F:F,0),5))</f>
        <v/>
      </c>
      <c r="E134" s="73">
        <f t="shared" si="10"/>
        <v>9</v>
      </c>
      <c r="F134" s="73" t="str">
        <f t="shared" si="11"/>
        <v/>
      </c>
      <c r="G134" s="385" t="str">
        <f>IF(H134="","",IF(G133="","Screens",""))</f>
        <v/>
      </c>
      <c r="H134" s="12" t="str">
        <f>IF('8b-Screens'!B14='8b-Screens'!S9,"",'8b-Screens'!E14&amp;"x "&amp;'8b-Screens'!B14&amp;IF('8b-Screens'!A14='8b-Screens'!S1,""," Hardened")&amp;IF('8b-Screens'!A16='8b-Screens'!S1,""," Armored")&amp;" "&amp;'8b-Screens'!V62)</f>
        <v/>
      </c>
      <c r="I134" s="4">
        <f>'8b-Screens'!H14</f>
        <v>0</v>
      </c>
      <c r="J134" s="262">
        <f>'8b-Screens'!F14</f>
        <v>0</v>
      </c>
      <c r="K134" t="str">
        <f t="shared" si="12"/>
        <v/>
      </c>
    </row>
    <row r="135" spans="1:11" x14ac:dyDescent="0.3">
      <c r="A135" s="388" t="str">
        <f>IF(MAX(F:F)&lt;133,"",IF(INDEX(F:J,MATCH(133,F:F,0),2)=0,"",INDEX(F:J,MATCH(133,F:F,0),2)))</f>
        <v/>
      </c>
      <c r="B135" s="441" t="str">
        <f>IF(MAX(F:F)&lt;133,"",INDEX(F:J,MATCH(133,F:F,0),3))</f>
        <v/>
      </c>
      <c r="C135" s="4" t="str">
        <f>IF(MAX(F:F)&lt;133,"",INDEX(F:J,MATCH(133,F:F,0),4))</f>
        <v/>
      </c>
      <c r="D135" s="4" t="str">
        <f>IF(MAX(F:F)&lt;133,"",INDEX(F:J,MATCH(133,F:F,0),5))</f>
        <v/>
      </c>
      <c r="E135" s="73">
        <f t="shared" si="10"/>
        <v>9</v>
      </c>
      <c r="F135" s="73" t="str">
        <f t="shared" si="11"/>
        <v/>
      </c>
      <c r="G135" s="385" t="str">
        <f>IF(H135="","",IF(AND(G134="",G133=""),"Screens",""))</f>
        <v/>
      </c>
      <c r="H135" s="12" t="str">
        <f>IF('8b-Screens'!B19='8b-Screens'!S9,"",'8b-Screens'!E19&amp;"x "&amp;'8b-Screens'!B19&amp;IF('8b-Screens'!A19='8b-Screens'!S1,""," Hardened")&amp;IF('8b-Screens'!A21='8b-Screens'!S1,""," Armored")&amp;" "&amp;'8b-Screens'!X62)</f>
        <v/>
      </c>
      <c r="I135" s="4">
        <f>'8b-Screens'!H19</f>
        <v>0</v>
      </c>
      <c r="J135" s="262">
        <f>'8b-Screens'!F19</f>
        <v>0</v>
      </c>
      <c r="K135" t="str">
        <f t="shared" si="12"/>
        <v/>
      </c>
    </row>
    <row r="136" spans="1:11" x14ac:dyDescent="0.3">
      <c r="A136" s="388" t="str">
        <f>IF(MAX(F:F)&lt;134,"",IF(INDEX(F:J,MATCH(134,F:F,0),2)=0,"",INDEX(F:J,MATCH(134,F:F,0),2)))</f>
        <v/>
      </c>
      <c r="B136" s="441" t="str">
        <f>IF(MAX(F:F)&lt;134,"",INDEX(F:J,MATCH(134,F:F,0),3))</f>
        <v/>
      </c>
      <c r="C136" s="4" t="str">
        <f>IF(MAX(F:F)&lt;134,"",INDEX(F:J,MATCH(134,F:F,0),4))</f>
        <v/>
      </c>
      <c r="D136" s="4" t="str">
        <f>IF(MAX(F:F)&lt;134,"",INDEX(F:J,MATCH(134,F:F,0),5))</f>
        <v/>
      </c>
      <c r="E136" s="73">
        <f t="shared" si="10"/>
        <v>9</v>
      </c>
      <c r="F136" s="73" t="str">
        <f t="shared" si="11"/>
        <v/>
      </c>
      <c r="G136" s="385" t="str">
        <f>IF(H136="","",IF(AND(G135="",G134="",G133=""),"Screens",""))</f>
        <v/>
      </c>
      <c r="H136" s="12" t="str">
        <f>IF('8b-Screens'!B24='8b-Screens'!S9,"",'8b-Screens'!E24&amp;"x "&amp;'8b-Screens'!B24&amp;IF('8b-Screens'!A24='8b-Screens'!S1,""," Hardened")&amp;IF('8b-Screens'!A26='8b-Screens'!S1,""," Armored")&amp;" "&amp;'8b-Screens'!Z62)</f>
        <v/>
      </c>
      <c r="I136" s="4">
        <f>'8b-Screens'!H24</f>
        <v>0</v>
      </c>
      <c r="J136" s="262">
        <f>'8b-Screens'!F24</f>
        <v>0</v>
      </c>
      <c r="K136" t="str">
        <f t="shared" si="12"/>
        <v/>
      </c>
    </row>
    <row r="137" spans="1:11" x14ac:dyDescent="0.3">
      <c r="A137" s="388" t="str">
        <f>IF(MAX(F:F)&lt;135,"",IF(INDEX(F:J,MATCH(135,F:F,0),2)=0,"",INDEX(F:J,MATCH(135,F:F,0),2)))</f>
        <v/>
      </c>
      <c r="B137" s="441" t="str">
        <f>IF(MAX(F:F)&lt;135,"",INDEX(F:J,MATCH(135,F:F,0),3))</f>
        <v/>
      </c>
      <c r="C137" s="4" t="str">
        <f>IF(MAX(F:F)&lt;135,"",INDEX(F:J,MATCH(135,F:F,0),4))</f>
        <v/>
      </c>
      <c r="D137" s="4" t="str">
        <f>IF(MAX(F:F)&lt;135,"",INDEX(F:J,MATCH(135,F:F,0),5))</f>
        <v/>
      </c>
      <c r="E137" s="73">
        <f t="shared" si="10"/>
        <v>9</v>
      </c>
      <c r="F137" s="73" t="str">
        <f t="shared" si="11"/>
        <v/>
      </c>
      <c r="G137" s="385" t="str">
        <f>IF(H137="","",IF(AND(G136="",G135="",G134="",G133=""),"Screens",""))</f>
        <v/>
      </c>
      <c r="H137" s="12" t="str">
        <f>IF('8b-Screens'!E29=0,"",'8b-Screens'!E29&amp;"x "&amp;'8b-Screens'!B29&amp;IF('8b-Screens'!A29='8b-Screens'!S1,""," Hardened")&amp;IF('8b-Screens'!A31='8b-Screens'!S1,""," Armored")&amp;" "&amp;'8b-Screens'!Y55)</f>
        <v/>
      </c>
      <c r="I137" s="4">
        <f>'8b-Screens'!H29</f>
        <v>0</v>
      </c>
      <c r="J137" s="262">
        <f>'8b-Screens'!F29</f>
        <v>0</v>
      </c>
      <c r="K137" t="str">
        <f t="shared" si="12"/>
        <v/>
      </c>
    </row>
    <row r="138" spans="1:11" x14ac:dyDescent="0.3">
      <c r="A138" s="388" t="str">
        <f>IF(MAX(F:F)&lt;136,"",IF(INDEX(F:J,MATCH(136,F:F,0),2)=0,"",INDEX(F:J,MATCH(136,F:F,0),2)))</f>
        <v/>
      </c>
      <c r="B138" s="441" t="str">
        <f>IF(MAX(F:F)&lt;136,"",INDEX(F:J,MATCH(136,F:F,0),3))</f>
        <v/>
      </c>
      <c r="C138" s="4" t="str">
        <f>IF(MAX(F:F)&lt;136,"",INDEX(F:J,MATCH(136,F:F,0),4))</f>
        <v/>
      </c>
      <c r="D138" s="4" t="str">
        <f>IF(MAX(F:F)&lt;136,"",INDEX(F:J,MATCH(136,F:F,0),5))</f>
        <v/>
      </c>
      <c r="E138" s="73">
        <f t="shared" si="10"/>
        <v>9</v>
      </c>
      <c r="F138" s="73" t="str">
        <f t="shared" si="11"/>
        <v/>
      </c>
      <c r="G138" s="385" t="str">
        <f>IF(H138="","",IF(AND(G137="",G136="",G135="",G134="",G133=""),"Screens",""))</f>
        <v/>
      </c>
      <c r="H138" s="12" t="str">
        <f>IF('8b-Screens'!D34&lt;10,"",'8b-Screens'!B34&amp;" "&amp;'8b-Screens'!W73)</f>
        <v/>
      </c>
      <c r="I138" s="4">
        <f>'8b-Screens'!H34</f>
        <v>0</v>
      </c>
      <c r="J138" s="4">
        <f>'8b-Screens'!F34</f>
        <v>0</v>
      </c>
      <c r="K138" t="str">
        <f t="shared" si="12"/>
        <v/>
      </c>
    </row>
    <row r="139" spans="1:11" x14ac:dyDescent="0.3">
      <c r="A139" s="388" t="str">
        <f>IF(MAX(F:F)&lt;137,"",IF(INDEX(F:J,MATCH(137,F:F,0),2)=0,"",INDEX(F:J,MATCH(137,F:F,0),2)))</f>
        <v/>
      </c>
      <c r="B139" s="441" t="str">
        <f>IF(MAX(F:F)&lt;137,"",INDEX(F:J,MATCH(137,F:F,0),3))</f>
        <v/>
      </c>
      <c r="C139" s="4" t="str">
        <f>IF(MAX(F:F)&lt;137,"",INDEX(F:J,MATCH(137,F:F,0),4))</f>
        <v/>
      </c>
      <c r="D139" s="4" t="str">
        <f>IF(MAX(F:F)&lt;137,"",INDEX(F:J,MATCH(137,F:F,0),5))</f>
        <v/>
      </c>
      <c r="E139" s="73">
        <f t="shared" si="10"/>
        <v>9</v>
      </c>
      <c r="F139" s="73" t="str">
        <f t="shared" si="11"/>
        <v/>
      </c>
      <c r="G139" s="385" t="str">
        <f>IF(H139="","",IF(AND(G138="",G137="",G136="",G135="",G134="",G133=""),"Screens",""))</f>
        <v/>
      </c>
      <c r="H139" s="12" t="str">
        <f>IF('8b-Screens'!C39='8b-Screens'!S6,"",'8b-Screens'!B39&amp;IF('8b-Screens'!A39='8b-Screens'!S1,""," Hardened")&amp;IF('8b-Screens'!A41='8b-Screens'!S1,""," Armored"))</f>
        <v/>
      </c>
      <c r="I139" s="4">
        <f>'8b-Screens'!H39</f>
        <v>0</v>
      </c>
      <c r="J139" s="262">
        <f>'8b-Screens'!F39</f>
        <v>0</v>
      </c>
      <c r="K139" t="str">
        <f t="shared" si="12"/>
        <v/>
      </c>
    </row>
    <row r="140" spans="1:11" x14ac:dyDescent="0.3">
      <c r="A140" s="388" t="str">
        <f>IF(MAX(F:F)&lt;138,"",IF(INDEX(F:J,MATCH(138,F:F,0),2)=0,"",INDEX(F:J,MATCH(138,F:F,0),2)))</f>
        <v/>
      </c>
      <c r="B140" s="441" t="str">
        <f>IF(MAX(F:F)&lt;138,"",INDEX(F:J,MATCH(138,F:F,0),3))</f>
        <v/>
      </c>
      <c r="C140" s="4" t="str">
        <f>IF(MAX(F:F)&lt;138,"",INDEX(F:J,MATCH(138,F:F,0),4))</f>
        <v/>
      </c>
      <c r="D140" s="4" t="str">
        <f>IF(MAX(F:F)&lt;138,"",INDEX(F:J,MATCH(138,F:F,0),5))</f>
        <v/>
      </c>
      <c r="E140" s="73">
        <f t="shared" si="10"/>
        <v>9</v>
      </c>
      <c r="F140" s="73" t="str">
        <f t="shared" si="11"/>
        <v/>
      </c>
      <c r="G140" s="386" t="str">
        <f>IF(H140="","",IF(AND(G139="",G137="",G136="",G135="",G134="",G133=""),"Screens",""))</f>
        <v/>
      </c>
      <c r="H140" s="380" t="str">
        <f>IF('8b-Screens'!E40=0,"",'8b-Screens'!D40&amp;" "&amp;'8b-Screens'!E40)</f>
        <v/>
      </c>
      <c r="I140" s="391">
        <f>'8b-Screens'!H40</f>
        <v>0</v>
      </c>
      <c r="J140" s="263">
        <f>'8b-Screens'!F40</f>
        <v>0</v>
      </c>
      <c r="K140" t="str">
        <f t="shared" si="12"/>
        <v/>
      </c>
    </row>
    <row r="141" spans="1:11" x14ac:dyDescent="0.3">
      <c r="A141" s="388" t="str">
        <f>IF(MAX(F:F)&lt;139,"",IF(INDEX(F:J,MATCH(139,F:F,0),2)=0,"",INDEX(F:J,MATCH(139,F:F,0),2)))</f>
        <v/>
      </c>
      <c r="B141" s="441" t="str">
        <f>IF(MAX(F:F)&lt;139,"",INDEX(F:J,MATCH(139,F:F,0),3))</f>
        <v/>
      </c>
      <c r="C141" s="4" t="str">
        <f>IF(MAX(F:F)&lt;139,"",INDEX(F:J,MATCH(139,F:F,0),4))</f>
        <v/>
      </c>
      <c r="D141" s="4" t="str">
        <f>IF(MAX(F:F)&lt;139,"",INDEX(F:J,MATCH(139,F:F,0),5))</f>
        <v/>
      </c>
      <c r="E141" s="73">
        <f t="shared" si="10"/>
        <v>9</v>
      </c>
      <c r="F141" s="73" t="str">
        <f t="shared" si="11"/>
        <v/>
      </c>
      <c r="G141" s="389" t="str">
        <f>IF(H141="","","Craft")</f>
        <v/>
      </c>
      <c r="H141" s="379" t="str">
        <f>IF('9a-Optional'!H36=0,"",TEXT('9a-Optional'!C36,"#,###")&amp;"x "&amp;TEXT('9a-Optional'!D36,"#,###")&amp;" ton "&amp;'9a-Optional'!A36&amp;IF('9a-Optional'!B36=0,"",": "&amp;'9a-Optional'!B36))</f>
        <v/>
      </c>
      <c r="I141" s="234">
        <f>'9a-Optional'!H36</f>
        <v>0</v>
      </c>
      <c r="J141" s="375">
        <f>'9a-Optional'!F36</f>
        <v>0</v>
      </c>
      <c r="K141" t="str">
        <f t="shared" si="12"/>
        <v/>
      </c>
    </row>
    <row r="142" spans="1:11" x14ac:dyDescent="0.3">
      <c r="A142" s="388" t="str">
        <f>IF(MAX(F:F)&lt;140,"",IF(INDEX(F:J,MATCH(140,F:F,0),2)=0,"",INDEX(F:J,MATCH(140,F:F,0),2)))</f>
        <v/>
      </c>
      <c r="B142" s="441" t="str">
        <f>IF(MAX(F:F)&lt;140,"",INDEX(F:J,MATCH(140,F:F,0),3))</f>
        <v/>
      </c>
      <c r="C142" s="4" t="str">
        <f>IF(MAX(F:F)&lt;140,"",INDEX(F:J,MATCH(140,F:F,0),4))</f>
        <v/>
      </c>
      <c r="D142" s="4" t="str">
        <f>IF(MAX(F:F)&lt;140,"",INDEX(F:J,MATCH(140,F:F,0),5))</f>
        <v/>
      </c>
      <c r="E142" s="73">
        <f t="shared" si="10"/>
        <v>9</v>
      </c>
      <c r="F142" s="73" t="str">
        <f t="shared" si="11"/>
        <v/>
      </c>
      <c r="G142" s="385" t="str">
        <f>IF(H142="","",IF(G141="","Craft",""))</f>
        <v/>
      </c>
      <c r="H142" s="12" t="str">
        <f>IF('9a-Optional'!H37=0,"",TEXT('9a-Optional'!C37,"#,###")&amp;"x "&amp;TEXT('9a-Optional'!D37,"#,###")&amp;" ton "&amp;'9a-Optional'!A37&amp;IF('9a-Optional'!B37=0,"",": "&amp;'9a-Optional'!B37))</f>
        <v/>
      </c>
      <c r="I142" s="4">
        <f>'9a-Optional'!H37</f>
        <v>0</v>
      </c>
      <c r="J142" s="262">
        <f>'9a-Optional'!F37</f>
        <v>0</v>
      </c>
      <c r="K142" t="str">
        <f t="shared" si="12"/>
        <v/>
      </c>
    </row>
    <row r="143" spans="1:11" x14ac:dyDescent="0.3">
      <c r="A143" s="388" t="str">
        <f>IF(MAX(F:F)&lt;141,"",IF(INDEX(F:J,MATCH(141,F:F,0),2)=0,"",INDEX(F:J,MATCH(141,F:F,0),2)))</f>
        <v/>
      </c>
      <c r="B143" s="441" t="str">
        <f>IF(MAX(F:F)&lt;141,"",INDEX(F:J,MATCH(141,F:F,0),3))</f>
        <v/>
      </c>
      <c r="C143" s="4" t="str">
        <f>IF(MAX(F:F)&lt;141,"",INDEX(F:J,MATCH(141,F:F,0),4))</f>
        <v/>
      </c>
      <c r="D143" s="4" t="str">
        <f>IF(MAX(F:F)&lt;141,"",INDEX(F:J,MATCH(141,F:F,0),5))</f>
        <v/>
      </c>
      <c r="E143" s="73">
        <f t="shared" si="10"/>
        <v>9</v>
      </c>
      <c r="F143" s="73" t="str">
        <f t="shared" si="11"/>
        <v/>
      </c>
      <c r="G143" s="385" t="str">
        <f>IF(H143="","",IF(AND(G141="",G142=""),"Craft",""))</f>
        <v/>
      </c>
      <c r="H143" s="12" t="str">
        <f>IF('9a-Optional'!H38=0,"",TEXT('9a-Optional'!C38,"#,###")&amp;"x "&amp;TEXT('9a-Optional'!D38,"#,###")&amp;" ton "&amp;'9a-Optional'!A38&amp;IF('9a-Optional'!B38=0,"",": "&amp;'9a-Optional'!B38))</f>
        <v/>
      </c>
      <c r="I143" s="4">
        <f>'9a-Optional'!H38</f>
        <v>0</v>
      </c>
      <c r="J143" s="262">
        <f>'9a-Optional'!F38</f>
        <v>0</v>
      </c>
      <c r="K143" t="str">
        <f t="shared" si="12"/>
        <v/>
      </c>
    </row>
    <row r="144" spans="1:11" x14ac:dyDescent="0.3">
      <c r="A144" s="388" t="str">
        <f>IF(MAX(F:F)&lt;142,"",IF(INDEX(F:J,MATCH(142,F:F,0),2)=0,"",INDEX(F:J,MATCH(142,F:F,0),2)))</f>
        <v/>
      </c>
      <c r="B144" s="441" t="str">
        <f>IF(MAX(F:F)&lt;142,"",INDEX(F:J,MATCH(142,F:F,0),3))</f>
        <v/>
      </c>
      <c r="C144" s="4" t="str">
        <f>IF(MAX(F:F)&lt;142,"",INDEX(F:J,MATCH(142,F:F,0),4))</f>
        <v/>
      </c>
      <c r="D144" s="4" t="str">
        <f>IF(MAX(F:F)&lt;142,"",INDEX(F:J,MATCH(142,F:F,0),5))</f>
        <v/>
      </c>
      <c r="E144" s="73">
        <f t="shared" si="10"/>
        <v>9</v>
      </c>
      <c r="F144" s="73" t="str">
        <f t="shared" si="11"/>
        <v/>
      </c>
      <c r="G144" s="385" t="str">
        <f>IF(H144="","",IF(AND(G141="",G142="",G143=""),"Craft",""))</f>
        <v/>
      </c>
      <c r="H144" s="12" t="str">
        <f>IF('9a-Optional'!H39=0,"",TEXT('9a-Optional'!C39,"#,###")&amp;"x "&amp;TEXT('9a-Optional'!D39,"#,###")&amp;" ton "&amp;'9a-Optional'!A39&amp;IF('9a-Optional'!B39=0,"",": "&amp;'9a-Optional'!B39))</f>
        <v/>
      </c>
      <c r="I144" s="4">
        <f>'9a-Optional'!H39</f>
        <v>0</v>
      </c>
      <c r="J144" s="262">
        <f>'9a-Optional'!F39</f>
        <v>0</v>
      </c>
      <c r="K144" t="str">
        <f t="shared" si="12"/>
        <v/>
      </c>
    </row>
    <row r="145" spans="1:11" x14ac:dyDescent="0.3">
      <c r="A145" s="388" t="str">
        <f>IF(MAX(F:F)&lt;143,"",IF(INDEX(F:J,MATCH(143,F:F,0),2)=0,"",INDEX(F:J,MATCH(143,F:F,0),2)))</f>
        <v/>
      </c>
      <c r="B145" s="441" t="str">
        <f>IF(MAX(F:F)&lt;143,"",INDEX(F:J,MATCH(143,F:F,0),3))</f>
        <v/>
      </c>
      <c r="C145" s="4" t="str">
        <f>IF(MAX(F:F)&lt;143,"",INDEX(F:J,MATCH(143,F:F,0),4))</f>
        <v/>
      </c>
      <c r="D145" s="4" t="str">
        <f>IF(MAX(F:F)&lt;143,"",INDEX(F:J,MATCH(143,F:F,0),5))</f>
        <v/>
      </c>
      <c r="E145" s="73">
        <f t="shared" si="10"/>
        <v>9</v>
      </c>
      <c r="F145" s="73" t="str">
        <f t="shared" si="11"/>
        <v/>
      </c>
      <c r="G145" s="385" t="str">
        <f>IF(H145="","",IF(AND(G141="",G142="",G143="",G144=""),"Craft",""))</f>
        <v/>
      </c>
      <c r="H145" s="12" t="str">
        <f>IF('9a-Optional'!H40=0,"",TEXT('9a-Optional'!C40,"#,###")&amp;"x "&amp;TEXT('9a-Optional'!D40,"#,###")&amp;" ton "&amp;'9a-Optional'!A40&amp;IF('9a-Optional'!B40=0,"",": "&amp;'9a-Optional'!B40))</f>
        <v/>
      </c>
      <c r="I145" s="4">
        <f>'9a-Optional'!H40</f>
        <v>0</v>
      </c>
      <c r="J145" s="262">
        <f>'9a-Optional'!F40</f>
        <v>0</v>
      </c>
      <c r="K145" t="str">
        <f t="shared" si="12"/>
        <v/>
      </c>
    </row>
    <row r="146" spans="1:11" x14ac:dyDescent="0.3">
      <c r="A146" s="388" t="str">
        <f>IF(MAX(F:F)&lt;144,"",IF(INDEX(F:J,MATCH(144,F:F,0),2)=0,"",INDEX(F:J,MATCH(144,F:F,0),2)))</f>
        <v/>
      </c>
      <c r="B146" s="441" t="str">
        <f>IF(MAX(F:F)&lt;144,"",INDEX(F:J,MATCH(144,F:F,0),3))</f>
        <v/>
      </c>
      <c r="C146" s="4" t="str">
        <f>IF(MAX(F:F)&lt;144,"",INDEX(F:J,MATCH(144,F:F,0),4))</f>
        <v/>
      </c>
      <c r="D146" s="4" t="str">
        <f>IF(MAX(F:F)&lt;144,"",INDEX(F:J,MATCH(144,F:F,0),5))</f>
        <v/>
      </c>
      <c r="E146" s="73">
        <f t="shared" si="10"/>
        <v>9</v>
      </c>
      <c r="F146" s="73" t="str">
        <f t="shared" si="11"/>
        <v/>
      </c>
      <c r="G146" s="385" t="str">
        <f>IF(H146="","",IF(AND(G141="",G142="",G143="",G144="",G145=""),"Craft",""))</f>
        <v/>
      </c>
      <c r="H146" s="12" t="str">
        <f>IF('9a-Optional'!H41=0,"",TEXT('9a-Optional'!C41,"#,###")&amp;"x "&amp;TEXT('9a-Optional'!D41,"#,###")&amp;" ton "&amp;'9a-Optional'!A41&amp;IF('9a-Optional'!B41=0,"",": "&amp;'9a-Optional'!B41))</f>
        <v/>
      </c>
      <c r="I146" s="4">
        <f>'9a-Optional'!H41</f>
        <v>0</v>
      </c>
      <c r="J146" s="262">
        <f>'9a-Optional'!F41</f>
        <v>0</v>
      </c>
      <c r="K146" t="str">
        <f t="shared" si="12"/>
        <v/>
      </c>
    </row>
    <row r="147" spans="1:11" x14ac:dyDescent="0.3">
      <c r="A147" s="388" t="str">
        <f>IF(MAX(F:F)&lt;145,"",IF(INDEX(F:J,MATCH(145,F:F,0),2)=0,"",INDEX(F:J,MATCH(145,F:F,0),2)))</f>
        <v/>
      </c>
      <c r="B147" s="441" t="str">
        <f>IF(MAX(F:F)&lt;145,"",INDEX(F:J,MATCH(145,F:F,0),3))</f>
        <v/>
      </c>
      <c r="C147" s="4" t="str">
        <f>IF(MAX(F:F)&lt;145,"",INDEX(F:J,MATCH(145,F:F,0),4))</f>
        <v/>
      </c>
      <c r="D147" s="4" t="str">
        <f>IF(MAX(F:F)&lt;145,"",INDEX(F:J,MATCH(145,F:F,0),5))</f>
        <v/>
      </c>
      <c r="E147" s="73">
        <f t="shared" si="10"/>
        <v>9</v>
      </c>
      <c r="F147" s="73" t="str">
        <f t="shared" si="11"/>
        <v/>
      </c>
      <c r="G147" s="385" t="str">
        <f>IF(H147="","",IF(AND(G141="",G142="",G143="",G144="",G145="",G146=""),"Craft",""))</f>
        <v/>
      </c>
      <c r="H147" s="12" t="str">
        <f>IF(I147=0,"",TEXT('9a-Optional'!C43,"#,###")&amp;"x "&amp;'9a-Optional'!A43&amp;IF('9a-Optional'!B43=0,"",": "&amp;'9a-Optional'!B43))</f>
        <v/>
      </c>
      <c r="I147" s="4">
        <f>'9a-Optional'!H43</f>
        <v>0</v>
      </c>
      <c r="J147" s="262">
        <f>'9a-Optional'!F43</f>
        <v>0</v>
      </c>
      <c r="K147" t="str">
        <f t="shared" si="12"/>
        <v/>
      </c>
    </row>
    <row r="148" spans="1:11" x14ac:dyDescent="0.3">
      <c r="A148" s="388" t="str">
        <f>IF(MAX(F:F)&lt;146,"",IF(INDEX(F:J,MATCH(146,F:F,0),2)=0,"",INDEX(F:J,MATCH(146,F:F,0),2)))</f>
        <v/>
      </c>
      <c r="B148" s="441" t="str">
        <f>IF(MAX(F:F)&lt;146,"",INDEX(F:J,MATCH(146,F:F,0),3))</f>
        <v/>
      </c>
      <c r="C148" s="4" t="str">
        <f>IF(MAX(F:F)&lt;146,"",INDEX(F:J,MATCH(146,F:F,0),4))</f>
        <v/>
      </c>
      <c r="D148" s="4" t="str">
        <f>IF(MAX(F:F)&lt;146,"",INDEX(F:J,MATCH(146,F:F,0),5))</f>
        <v/>
      </c>
      <c r="E148" s="73">
        <f t="shared" si="10"/>
        <v>9</v>
      </c>
      <c r="F148" s="73" t="str">
        <f t="shared" si="11"/>
        <v/>
      </c>
      <c r="G148" s="385" t="str">
        <f>IF(H148="","",IF(AND(G141="",G142="",G143="",G144="",G145="",G146="",G147=""),"Craft",""))</f>
        <v/>
      </c>
      <c r="H148" s="12" t="str">
        <f>IF(I148=0,"",TEXT('9a-Optional'!C44,"#,###")&amp;"x "&amp;'9a-Optional'!A44&amp;IF('9a-Optional'!B44=0,"",": "&amp;'9a-Optional'!B44))</f>
        <v/>
      </c>
      <c r="I148" s="4">
        <f>'9a-Optional'!H44</f>
        <v>0</v>
      </c>
      <c r="J148" s="262">
        <f>'9a-Optional'!F44</f>
        <v>0</v>
      </c>
      <c r="K148" t="str">
        <f t="shared" si="12"/>
        <v/>
      </c>
    </row>
    <row r="149" spans="1:11" x14ac:dyDescent="0.3">
      <c r="A149" s="388" t="str">
        <f>IF(MAX(F:F)&lt;147,"",IF(INDEX(F:J,MATCH(147,F:F,0),2)=0,"",INDEX(F:J,MATCH(147,F:F,0),2)))</f>
        <v/>
      </c>
      <c r="B149" s="441" t="str">
        <f>IF(MAX(F:F)&lt;147,"",INDEX(F:J,MATCH(147,F:F,0),3))</f>
        <v/>
      </c>
      <c r="C149" s="4" t="str">
        <f>IF(MAX(F:F)&lt;147,"",INDEX(F:J,MATCH(147,F:F,0),4))</f>
        <v/>
      </c>
      <c r="D149" s="4" t="str">
        <f>IF(MAX(F:F)&lt;147,"",INDEX(F:J,MATCH(147,F:F,0),5))</f>
        <v/>
      </c>
      <c r="E149" s="73">
        <f t="shared" si="10"/>
        <v>9</v>
      </c>
      <c r="F149" s="73" t="str">
        <f t="shared" si="11"/>
        <v/>
      </c>
      <c r="G149" s="385" t="str">
        <f>IF(H149="","",IF(AND(G141="",G142="",G143="",G144="",G145="",G146="",G147="",G148=""),"Craft",""))</f>
        <v/>
      </c>
      <c r="H149" s="12" t="str">
        <f>IF(I149=0,"",TEXT('9a-Optional'!C45,"#,###")&amp;"x "&amp;'9a-Optional'!A45&amp;IF('9a-Optional'!B45=0,"",": "&amp;'9a-Optional'!B45))</f>
        <v/>
      </c>
      <c r="I149" s="4">
        <f>'9a-Optional'!H45</f>
        <v>0</v>
      </c>
      <c r="J149" s="262">
        <f>'9a-Optional'!F45</f>
        <v>0</v>
      </c>
      <c r="K149" t="str">
        <f t="shared" si="12"/>
        <v/>
      </c>
    </row>
    <row r="150" spans="1:11" x14ac:dyDescent="0.3">
      <c r="A150" s="388" t="str">
        <f>IF(MAX(F:F)&lt;148,"",IF(INDEX(F:J,MATCH(148,F:F,0),2)=0,"",INDEX(F:J,MATCH(148,F:F,0),2)))</f>
        <v/>
      </c>
      <c r="B150" s="441" t="str">
        <f>IF(MAX(F:F)&lt;148,"",INDEX(F:J,MATCH(148,F:F,0),3))</f>
        <v/>
      </c>
      <c r="C150" s="4" t="str">
        <f>IF(MAX(F:F)&lt;148,"",INDEX(F:J,MATCH(148,F:F,0),4))</f>
        <v/>
      </c>
      <c r="D150" s="4" t="str">
        <f>IF(MAX(F:F)&lt;148,"",INDEX(F:J,MATCH(148,F:F,0),5))</f>
        <v/>
      </c>
      <c r="E150" s="73">
        <f t="shared" si="10"/>
        <v>9</v>
      </c>
      <c r="F150" s="73" t="str">
        <f t="shared" si="11"/>
        <v/>
      </c>
      <c r="G150" s="385" t="str">
        <f>IF(H150="","",IF(AND(G141="",G142="",G143="",G144="",G145="",G146="",G147="",G148="",G149=""),"Craft",""))</f>
        <v/>
      </c>
      <c r="H150" s="12" t="str">
        <f>IF(I150=0,"",TEXT('9a-Optional'!C46,"#,###")&amp;"x "&amp;'9a-Optional'!A46&amp;IF('9a-Optional'!B46=0,"",": "&amp;'9a-Optional'!B46))</f>
        <v/>
      </c>
      <c r="I150" s="4">
        <f>'9a-Optional'!H46</f>
        <v>0</v>
      </c>
      <c r="J150" s="262">
        <f>'9a-Optional'!F46</f>
        <v>0</v>
      </c>
      <c r="K150" t="str">
        <f t="shared" si="12"/>
        <v/>
      </c>
    </row>
    <row r="151" spans="1:11" x14ac:dyDescent="0.3">
      <c r="A151" s="388" t="str">
        <f>IF(MAX(F:F)&lt;149,"",IF(INDEX(F:J,MATCH(149,F:F,0),2)=0,"",INDEX(F:J,MATCH(149,F:F,0),2)))</f>
        <v/>
      </c>
      <c r="B151" s="441" t="str">
        <f>IF(MAX(F:F)&lt;149,"",INDEX(F:J,MATCH(149,F:F,0),3))</f>
        <v/>
      </c>
      <c r="C151" s="4" t="str">
        <f>IF(MAX(F:F)&lt;149,"",INDEX(F:J,MATCH(149,F:F,0),4))</f>
        <v/>
      </c>
      <c r="D151" s="4" t="str">
        <f>IF(MAX(F:F)&lt;149,"",INDEX(F:J,MATCH(149,F:F,0),5))</f>
        <v/>
      </c>
      <c r="E151" s="73">
        <f t="shared" si="10"/>
        <v>9</v>
      </c>
      <c r="F151" s="73" t="str">
        <f t="shared" si="11"/>
        <v/>
      </c>
      <c r="G151" s="385" t="str">
        <f>IF(H151="","",IF(AND(G141="",G142="",G143="",G144="",G145="",G146="",G147="",G148="",G149="",G150=""),"Craft",""))</f>
        <v/>
      </c>
      <c r="H151" s="12" t="str">
        <f>IF(I151=0,"",TEXT('9a-Optional'!C47,"#,###")&amp;"x "&amp;'9a-Optional'!A47&amp;IF('9a-Optional'!B47=0,"",": "&amp;'9a-Optional'!B47))</f>
        <v/>
      </c>
      <c r="I151" s="4">
        <f>'9a-Optional'!H47</f>
        <v>0</v>
      </c>
      <c r="J151" s="262">
        <f>'9a-Optional'!F47</f>
        <v>0</v>
      </c>
      <c r="K151" t="str">
        <f t="shared" si="12"/>
        <v/>
      </c>
    </row>
    <row r="152" spans="1:11" x14ac:dyDescent="0.3">
      <c r="A152" s="388" t="str">
        <f>IF(MAX(F:F)&lt;150,"",IF(INDEX(F:J,MATCH(150,F:F,0),2)=0,"",INDEX(F:J,MATCH(150,F:F,0),2)))</f>
        <v/>
      </c>
      <c r="B152" s="441" t="str">
        <f>IF(MAX(F:F)&lt;150,"",INDEX(F:J,MATCH(150,F:F,0),3))</f>
        <v/>
      </c>
      <c r="C152" s="4" t="str">
        <f>IF(MAX(F:F)&lt;150,"",INDEX(F:J,MATCH(150,F:F,0),4))</f>
        <v/>
      </c>
      <c r="D152" s="4" t="str">
        <f>IF(MAX(F:F)&lt;150,"",INDEX(F:J,MATCH(150,F:F,0),5))</f>
        <v/>
      </c>
      <c r="E152" s="73">
        <f t="shared" si="10"/>
        <v>9</v>
      </c>
      <c r="F152" s="73" t="str">
        <f t="shared" si="11"/>
        <v/>
      </c>
      <c r="G152" s="385" t="str">
        <f>IF(H152="","",IF(AND(G141="",G142="",G143="",G144="",G145="",G146="",G147="",G148="",G149="",G150="",G151=""),"Craft",""))</f>
        <v/>
      </c>
      <c r="H152" s="12" t="str">
        <f>IF('9a-Optional'!H49=0,"",TEXT('9a-Optional'!C49,"#,###")&amp;"x "&amp;TEXT('9a-Optional'!D49,"#,###")&amp;" ton "&amp;'9a-Optional'!A49&amp;IF('9a-Optional'!B49=0,"",": "&amp;'9a-Optional'!B49))</f>
        <v/>
      </c>
      <c r="I152" s="4">
        <f>'9a-Optional'!H49</f>
        <v>0</v>
      </c>
      <c r="J152" s="262">
        <f>'9a-Optional'!F49</f>
        <v>0</v>
      </c>
      <c r="K152" t="str">
        <f t="shared" si="12"/>
        <v/>
      </c>
    </row>
    <row r="153" spans="1:11" x14ac:dyDescent="0.3">
      <c r="A153" s="388" t="str">
        <f>IF(MAX(F:F)&lt;151,"",IF(INDEX(F:J,MATCH(151,F:F,0),2)=0,"",INDEX(F:J,MATCH(151,F:F,0),2)))</f>
        <v/>
      </c>
      <c r="B153" s="441" t="str">
        <f>IF(MAX(F:F)&lt;151,"",INDEX(F:J,MATCH(151,F:F,0),3))</f>
        <v/>
      </c>
      <c r="C153" s="4" t="str">
        <f>IF(MAX(F:F)&lt;151,"",INDEX(F:J,MATCH(151,F:F,0),4))</f>
        <v/>
      </c>
      <c r="D153" s="4" t="str">
        <f>IF(MAX(F:F)&lt;151,"",INDEX(F:J,MATCH(151,F:F,0),5))</f>
        <v/>
      </c>
      <c r="E153" s="73">
        <f t="shared" si="10"/>
        <v>9</v>
      </c>
      <c r="F153" s="73" t="str">
        <f t="shared" si="11"/>
        <v/>
      </c>
      <c r="G153" s="385" t="str">
        <f>IF(H153="","",IF(AND(G141="",G142="",G143="",G144="",G145="",G146="",G147="",G148="",G149="",G150="",G151="",G152=""),"Craft",""))</f>
        <v/>
      </c>
      <c r="H153" s="12" t="str">
        <f>IF('9a-Optional'!H50=0,"",TEXT('9a-Optional'!C50,"#,###")&amp;"x "&amp;TEXT('9a-Optional'!D50,"#,###")&amp;" ton "&amp;'9a-Optional'!A50&amp;IF('9a-Optional'!B50=0,"",": "&amp;'9a-Optional'!B50))</f>
        <v/>
      </c>
      <c r="I153" s="4">
        <f>'9a-Optional'!H50</f>
        <v>0</v>
      </c>
      <c r="J153" s="262">
        <f>'9a-Optional'!F50</f>
        <v>0</v>
      </c>
      <c r="K153" t="str">
        <f t="shared" si="12"/>
        <v/>
      </c>
    </row>
    <row r="154" spans="1:11" x14ac:dyDescent="0.3">
      <c r="A154" s="388" t="str">
        <f>IF(MAX(F:F)&lt;152,"",IF(INDEX(F:J,MATCH(152,F:F,0),2)=0,"",INDEX(F:J,MATCH(152,F:F,0),2)))</f>
        <v/>
      </c>
      <c r="B154" s="441" t="str">
        <f>IF(MAX(F:F)&lt;152,"",INDEX(F:J,MATCH(152,F:F,0),3))</f>
        <v/>
      </c>
      <c r="C154" s="4" t="str">
        <f>IF(MAX(F:F)&lt;152,"",INDEX(F:J,MATCH(152,F:F,0),4))</f>
        <v/>
      </c>
      <c r="D154" s="4" t="str">
        <f>IF(MAX(F:F)&lt;152,"",INDEX(F:J,MATCH(152,F:F,0),5))</f>
        <v/>
      </c>
      <c r="E154" s="73">
        <f t="shared" si="10"/>
        <v>9</v>
      </c>
      <c r="F154" s="73" t="str">
        <f t="shared" si="11"/>
        <v/>
      </c>
      <c r="G154" s="385" t="str">
        <f>IF(H154="","",IF(AND(G141="",G142="",G143="",G144="",G145="",G146="",G147="",G148="",G149="",G150="",G151="",G152="",G153=""),"Craft",""))</f>
        <v/>
      </c>
      <c r="H154" s="12" t="str">
        <f>IF('9a-Optional'!H51=0,"",TEXT('9a-Optional'!C51,"#,###")&amp;"x "&amp;TEXT('9a-Optional'!D51,"#,###")&amp;" ton "&amp;'9a-Optional'!A51&amp;IF('9a-Optional'!B51=0,"",": "&amp;'9a-Optional'!B51))</f>
        <v/>
      </c>
      <c r="I154" s="4">
        <f>'9a-Optional'!H51</f>
        <v>0</v>
      </c>
      <c r="J154" s="262">
        <f>'9a-Optional'!F51</f>
        <v>0</v>
      </c>
      <c r="K154" t="str">
        <f t="shared" si="12"/>
        <v/>
      </c>
    </row>
    <row r="155" spans="1:11" x14ac:dyDescent="0.3">
      <c r="A155" s="388" t="str">
        <f>IF(MAX(F:F)&lt;153,"",IF(INDEX(F:J,MATCH(153,F:F,0),2)=0,"",INDEX(F:J,MATCH(153,F:F,0),2)))</f>
        <v/>
      </c>
      <c r="B155" s="441" t="str">
        <f>IF(MAX(F:F)&lt;153,"",INDEX(F:J,MATCH(153,F:F,0),3))</f>
        <v/>
      </c>
      <c r="C155" s="4" t="str">
        <f>IF(MAX(F:F)&lt;153,"",INDEX(F:J,MATCH(153,F:F,0),4))</f>
        <v/>
      </c>
      <c r="D155" s="4" t="str">
        <f>IF(MAX(F:F)&lt;153,"",INDEX(F:J,MATCH(153,F:F,0),5))</f>
        <v/>
      </c>
      <c r="E155" s="73">
        <f t="shared" si="10"/>
        <v>9</v>
      </c>
      <c r="F155" s="73" t="str">
        <f t="shared" si="11"/>
        <v/>
      </c>
      <c r="G155" s="385" t="str">
        <f>IF(H155="","",IF(AND(G141="",G142="",G143="",G144="",G145="",G146="",G147="",G148="",G149="",G150="",G151="",G152="",G153="",G154=""),"Craft",""))</f>
        <v/>
      </c>
      <c r="H155" s="12" t="str">
        <f>IF('9a-Optional'!H52=0,"",TEXT('9a-Optional'!C52,"#,###")&amp;"x "&amp;TEXT('9a-Optional'!D52,"#,###")&amp;" ton "&amp;'9a-Optional'!A52&amp;IF('9a-Optional'!B52=0,"",": "&amp;'9a-Optional'!B52))</f>
        <v/>
      </c>
      <c r="I155" s="4">
        <f>'9a-Optional'!H52</f>
        <v>0</v>
      </c>
      <c r="J155" s="262">
        <f>'9a-Optional'!F52</f>
        <v>0</v>
      </c>
      <c r="K155" t="str">
        <f t="shared" si="12"/>
        <v/>
      </c>
    </row>
    <row r="156" spans="1:11" x14ac:dyDescent="0.3">
      <c r="A156" s="388" t="str">
        <f>IF(MAX(F:F)&lt;154,"",IF(INDEX(F:J,MATCH(154,F:F,0),2)=0,"",INDEX(F:J,MATCH(154,F:F,0),2)))</f>
        <v/>
      </c>
      <c r="B156" s="441" t="str">
        <f>IF(MAX(F:F)&lt;154,"",INDEX(F:J,MATCH(154,F:F,0),3))</f>
        <v/>
      </c>
      <c r="C156" s="4" t="str">
        <f>IF(MAX(F:F)&lt;154,"",INDEX(F:J,MATCH(154,F:F,0),4))</f>
        <v/>
      </c>
      <c r="D156" s="4" t="str">
        <f>IF(MAX(F:F)&lt;154,"",INDEX(F:J,MATCH(154,F:F,0),5))</f>
        <v/>
      </c>
      <c r="E156" s="73">
        <f t="shared" si="10"/>
        <v>9</v>
      </c>
      <c r="F156" s="73" t="str">
        <f t="shared" si="11"/>
        <v/>
      </c>
      <c r="G156" s="385" t="str">
        <f>IF(H156="","",IF(AND(G141="",G142="",G143="",G144="",G145="",G146="",G147="",G148="",G149="",G150="",G151="",G152="",G153="",G154="",G155=""),"Craft",""))</f>
        <v/>
      </c>
      <c r="H156" s="12" t="str">
        <f>IF('9a-Optional'!H53=0,"",TEXT('9a-Optional'!C53,"#,###")&amp;"x "&amp;TEXT('9a-Optional'!D53,"#,###")&amp;" ton "&amp;'9a-Optional'!A53&amp;IF('9a-Optional'!B53=0,"",": "&amp;'9a-Optional'!B53))</f>
        <v/>
      </c>
      <c r="I156" s="4">
        <f>'9a-Optional'!H53</f>
        <v>0</v>
      </c>
      <c r="J156" s="262">
        <f>'9a-Optional'!F53</f>
        <v>0</v>
      </c>
      <c r="K156" t="str">
        <f t="shared" si="12"/>
        <v/>
      </c>
    </row>
    <row r="157" spans="1:11" x14ac:dyDescent="0.3">
      <c r="A157" s="388" t="str">
        <f>IF(MAX(F:F)&lt;155,"",IF(INDEX(F:J,MATCH(155,F:F,0),2)=0,"",INDEX(F:J,MATCH(155,F:F,0),2)))</f>
        <v/>
      </c>
      <c r="B157" s="441" t="str">
        <f>IF(MAX(F:F)&lt;155,"",INDEX(F:J,MATCH(155,F:F,0),3))</f>
        <v/>
      </c>
      <c r="C157" s="4" t="str">
        <f>IF(MAX(F:F)&lt;155,"",INDEX(F:J,MATCH(155,F:F,0),4))</f>
        <v/>
      </c>
      <c r="D157" s="4" t="str">
        <f>IF(MAX(F:F)&lt;155,"",INDEX(F:J,MATCH(155,F:F,0),5))</f>
        <v/>
      </c>
      <c r="E157" s="73">
        <f t="shared" si="10"/>
        <v>9</v>
      </c>
      <c r="F157" s="73" t="str">
        <f t="shared" si="11"/>
        <v/>
      </c>
      <c r="G157" s="385" t="str">
        <f>IF(H157="","",IF(AND(G141="",G142="",G143="",G144="",G145="",G146="",G147="",G148="",G149="",G150="",G151="",G152="",G153="",G154="",G155="",G156=""),"Craft",""))</f>
        <v/>
      </c>
      <c r="H157" s="12" t="str">
        <f>IF('9a-Optional'!H55=0,"",TEXT('9a-Optional'!C55,"#,###")&amp;"x "&amp;TEXT('9a-Optional'!D55,"#,###")&amp;" ton Launch Tube"&amp;IF('9a-Optional'!B55=0,"",": "&amp;'9a-Optional'!B55))</f>
        <v/>
      </c>
      <c r="I157" s="4">
        <f>'9a-Optional'!H55</f>
        <v>0</v>
      </c>
      <c r="J157" s="262">
        <f>'9a-Optional'!F55</f>
        <v>0</v>
      </c>
      <c r="K157" t="str">
        <f t="shared" si="12"/>
        <v/>
      </c>
    </row>
    <row r="158" spans="1:11" x14ac:dyDescent="0.3">
      <c r="A158" s="388" t="str">
        <f>IF(MAX(F:F)&lt;156,"",IF(INDEX(F:J,MATCH(156,F:F,0),2)=0,"",INDEX(F:J,MATCH(156,F:F,0),2)))</f>
        <v/>
      </c>
      <c r="B158" s="441" t="str">
        <f>IF(MAX(F:F)&lt;156,"",INDEX(F:J,MATCH(156,F:F,0),3))</f>
        <v/>
      </c>
      <c r="C158" s="4" t="str">
        <f>IF(MAX(F:F)&lt;156,"",INDEX(F:J,MATCH(156,F:F,0),4))</f>
        <v/>
      </c>
      <c r="D158" s="4" t="str">
        <f>IF(MAX(F:F)&lt;156,"",INDEX(F:J,MATCH(156,F:F,0),5))</f>
        <v/>
      </c>
      <c r="E158" s="73">
        <f t="shared" si="10"/>
        <v>9</v>
      </c>
      <c r="F158" s="73" t="str">
        <f t="shared" si="11"/>
        <v/>
      </c>
      <c r="G158" s="385" t="str">
        <f>IF(H158="","",IF(AND(G141="",G142="",G143="",G144="",G145="",G146="",G147="",G148="",G149="",G150="",G151="",G152="",G153="",G154="",G155="",G156="",G157=""),"Craft",""))</f>
        <v/>
      </c>
      <c r="H158" s="12" t="str">
        <f>IF('9a-Optional'!H56=0,"",TEXT('9a-Optional'!C56,"#,###")&amp;"x "&amp;TEXT('9a-Optional'!D56,"#,###")&amp;" ton Launch Tube"&amp;IF('9a-Optional'!B56=0,"",": "&amp;'9a-Optional'!B56))</f>
        <v/>
      </c>
      <c r="I158" s="4">
        <f>'9a-Optional'!H56</f>
        <v>0</v>
      </c>
      <c r="J158" s="262">
        <f>'9a-Optional'!F56</f>
        <v>0</v>
      </c>
      <c r="K158" t="str">
        <f t="shared" si="12"/>
        <v/>
      </c>
    </row>
    <row r="159" spans="1:11" x14ac:dyDescent="0.3">
      <c r="A159" s="388" t="str">
        <f>IF(MAX(F:F)&lt;157,"",IF(INDEX(F:J,MATCH(157,F:F,0),2)=0,"",INDEX(F:J,MATCH(157,F:F,0),2)))</f>
        <v/>
      </c>
      <c r="B159" s="441" t="str">
        <f>IF(MAX(F:F)&lt;157,"",INDEX(F:J,MATCH(157,F:F,0),3))</f>
        <v/>
      </c>
      <c r="C159" s="4" t="str">
        <f>IF(MAX(F:F)&lt;157,"",INDEX(F:J,MATCH(157,F:F,0),4))</f>
        <v/>
      </c>
      <c r="D159" s="4" t="str">
        <f>IF(MAX(F:F)&lt;157,"",INDEX(F:J,MATCH(157,F:F,0),5))</f>
        <v/>
      </c>
      <c r="E159" s="73">
        <f t="shared" si="10"/>
        <v>9</v>
      </c>
      <c r="F159" s="73" t="str">
        <f t="shared" si="11"/>
        <v/>
      </c>
      <c r="G159" s="385" t="str">
        <f>IF(H159="","",IF(AND(G141="",G142="",G143="",G144="",G145="",G146="",G147="",G148="",G149="",G150="",G151="",G152="",G153="",G154="",G155="",G156="",G157="",G158=""),"Craft",""))</f>
        <v/>
      </c>
      <c r="H159" s="12" t="str">
        <f>IF('9a-Optional'!H57=0,"",TEXT('9a-Optional'!C57,"#,###")&amp;"x "&amp;TEXT('9a-Optional'!D57,"#,###")&amp;" ton Launch Tube"&amp;IF('9a-Optional'!B57=0,"",": "&amp;'9a-Optional'!B57))</f>
        <v/>
      </c>
      <c r="I159" s="4">
        <f>'9a-Optional'!H57</f>
        <v>0</v>
      </c>
      <c r="J159" s="262">
        <f>'9a-Optional'!F57</f>
        <v>0</v>
      </c>
      <c r="K159" t="str">
        <f t="shared" si="12"/>
        <v/>
      </c>
    </row>
    <row r="160" spans="1:11" x14ac:dyDescent="0.3">
      <c r="A160" s="388" t="str">
        <f>IF(MAX(F:F)&lt;158,"",IF(INDEX(F:J,MATCH(158,F:F,0),2)=0,"",INDEX(F:J,MATCH(158,F:F,0),2)))</f>
        <v/>
      </c>
      <c r="B160" s="441" t="str">
        <f>IF(MAX(F:F)&lt;158,"",INDEX(F:J,MATCH(158,F:F,0),3))</f>
        <v/>
      </c>
      <c r="C160" s="4" t="str">
        <f>IF(MAX(F:F)&lt;158,"",INDEX(F:J,MATCH(158,F:F,0),4))</f>
        <v/>
      </c>
      <c r="D160" s="4" t="str">
        <f>IF(MAX(F:F)&lt;158,"",INDEX(F:J,MATCH(158,F:F,0),5))</f>
        <v/>
      </c>
      <c r="E160" s="73">
        <f t="shared" si="10"/>
        <v>9</v>
      </c>
      <c r="F160" s="73" t="str">
        <f t="shared" si="11"/>
        <v/>
      </c>
      <c r="G160" s="385" t="str">
        <f>IF(H160="","",IF(AND(G141="",G142="",G143="",G144="",G145="",G146="",G147="",G148="",G149="",G150="",G151="",G152="",G153="",G154="",G155="",G156="",G157="",G158="",G159=""),"Craft",""))</f>
        <v/>
      </c>
      <c r="H160" s="12" t="str">
        <f>IF('9a-Optional'!H58=0,"",TEXT('9a-Optional'!C58,"#,###")&amp;"x "&amp;TEXT('9a-Optional'!D58,"#,###")&amp;" ton Launch Tube"&amp;IF('9a-Optional'!B58=0,"",": "&amp;'9a-Optional'!B58))</f>
        <v/>
      </c>
      <c r="I160" s="4">
        <f>'9a-Optional'!H58</f>
        <v>0</v>
      </c>
      <c r="J160" s="262">
        <f>'9a-Optional'!F58</f>
        <v>0</v>
      </c>
      <c r="K160" t="str">
        <f t="shared" si="12"/>
        <v/>
      </c>
    </row>
    <row r="161" spans="1:11" x14ac:dyDescent="0.3">
      <c r="A161" s="388" t="str">
        <f>IF(MAX(F:F)&lt;159,"",IF(INDEX(F:J,MATCH(159,F:F,0),2)=0,"",INDEX(F:J,MATCH(159,F:F,0),2)))</f>
        <v/>
      </c>
      <c r="B161" s="441" t="str">
        <f>IF(MAX(F:F)&lt;159,"",INDEX(F:J,MATCH(159,F:F,0),3))</f>
        <v/>
      </c>
      <c r="C161" s="4" t="str">
        <f>IF(MAX(F:F)&lt;159,"",INDEX(F:J,MATCH(159,F:F,0),4))</f>
        <v/>
      </c>
      <c r="D161" s="4" t="str">
        <f>IF(MAX(F:F)&lt;159,"",INDEX(F:J,MATCH(159,F:F,0),5))</f>
        <v/>
      </c>
      <c r="E161" s="73">
        <f t="shared" si="10"/>
        <v>9</v>
      </c>
      <c r="F161" s="73" t="str">
        <f t="shared" si="11"/>
        <v/>
      </c>
      <c r="G161" s="385" t="str">
        <f>IF(H161="","",IF(AND(G141="",G142="",G143="",G144="",G145="",G146="",G147="",G148="",G149="",G150="",G151="",G152="",G153="",G154="",G155="",G156="",G157="",G158="",G159="",G160=""),"Craft",""))</f>
        <v/>
      </c>
      <c r="H161" s="12" t="str">
        <f>IF('9a-Optional'!H59=0,"",TEXT('9a-Optional'!C59,"#,###")&amp;"x "&amp;TEXT('9a-Optional'!D59,"#,###")&amp;" ton Launch Tube"&amp;IF('9a-Optional'!B59=0,"",": "&amp;'9a-Optional'!B59))</f>
        <v/>
      </c>
      <c r="I161" s="4">
        <f>'9a-Optional'!H59</f>
        <v>0</v>
      </c>
      <c r="J161" s="262">
        <f>'9a-Optional'!F59</f>
        <v>0</v>
      </c>
      <c r="K161" t="str">
        <f t="shared" si="12"/>
        <v/>
      </c>
    </row>
    <row r="162" spans="1:11" x14ac:dyDescent="0.3">
      <c r="A162" s="388" t="str">
        <f>IF(MAX(F:F)&lt;160,"",IF(INDEX(F:J,MATCH(160,F:F,0),2)=0,"",INDEX(F:J,MATCH(160,F:F,0),2)))</f>
        <v/>
      </c>
      <c r="B162" s="441" t="str">
        <f>IF(MAX(F:F)&lt;160,"",INDEX(F:J,MATCH(160,F:F,0),3))</f>
        <v/>
      </c>
      <c r="C162" s="4" t="str">
        <f>IF(MAX(F:F)&lt;160,"",INDEX(F:J,MATCH(160,F:F,0),4))</f>
        <v/>
      </c>
      <c r="D162" s="4" t="str">
        <f>IF(MAX(F:F)&lt;160,"",INDEX(F:J,MATCH(160,F:F,0),5))</f>
        <v/>
      </c>
      <c r="E162" s="73">
        <f t="shared" si="10"/>
        <v>9</v>
      </c>
      <c r="F162" s="73" t="str">
        <f t="shared" si="11"/>
        <v/>
      </c>
      <c r="G162" s="385" t="str">
        <f>IF(H162="","",IF(AND(G141="",G142="",G143="",G144="",G145="",G146="",G147="",G148="",G149="",G150="",G151="",G152="",G153="",G154="",G155="",G156="",G157="",G158="",G159="",G160="",G161=""),"Craft",""))</f>
        <v/>
      </c>
      <c r="H162" s="12" t="str">
        <f>IF('9a-Optional'!H61=0,"",TEXT('9a-Optional'!C61,"#,###")&amp;"x "&amp;TEXT('9a-Optional'!D61,"#,###")&amp;" ton Recovery Bay"&amp;IF('9a-Optional'!B61=0,"",": "&amp;'9a-Optional'!B61))</f>
        <v/>
      </c>
      <c r="I162" s="4">
        <f>'9a-Optional'!H61</f>
        <v>0</v>
      </c>
      <c r="J162" s="262">
        <f>'9a-Optional'!F61</f>
        <v>0</v>
      </c>
      <c r="K162" t="str">
        <f t="shared" si="12"/>
        <v/>
      </c>
    </row>
    <row r="163" spans="1:11" x14ac:dyDescent="0.3">
      <c r="A163" s="388" t="str">
        <f>IF(MAX(F:F)&lt;161,"",IF(INDEX(F:J,MATCH(161,F:F,0),2)=0,"",INDEX(F:J,MATCH(161,F:F,0),2)))</f>
        <v/>
      </c>
      <c r="B163" s="441" t="str">
        <f>IF(MAX(F:F)&lt;161,"",INDEX(F:J,MATCH(161,F:F,0),3))</f>
        <v/>
      </c>
      <c r="C163" s="4" t="str">
        <f>IF(MAX(F:F)&lt;161,"",INDEX(F:J,MATCH(161,F:F,0),4))</f>
        <v/>
      </c>
      <c r="D163" s="4" t="str">
        <f>IF(MAX(F:F)&lt;161,"",INDEX(F:J,MATCH(161,F:F,0),5))</f>
        <v/>
      </c>
      <c r="E163" s="73">
        <f t="shared" si="10"/>
        <v>9</v>
      </c>
      <c r="F163" s="73" t="str">
        <f t="shared" si="11"/>
        <v/>
      </c>
      <c r="G163" s="385" t="str">
        <f>IF(H163="","",IF(AND(G141="",G142="",G143="",G144="",G145="",G146="",G147="",G148="",G149="",G150="",G151="",G152="",G153="",G154="",G155="",G156="",G157="",G158="",G159="",G160="",G161="",G162=""),"Craft",""))</f>
        <v/>
      </c>
      <c r="H163" s="12" t="str">
        <f>IF('9a-Optional'!H62=0,"",TEXT('9a-Optional'!C62,"#,###")&amp;"x "&amp;TEXT('9a-Optional'!D62,"#,###")&amp;" ton Recovery Bay"&amp;IF('9a-Optional'!B62=0,"",": "&amp;'9a-Optional'!B62))</f>
        <v/>
      </c>
      <c r="I163" s="4">
        <f>'9a-Optional'!H62</f>
        <v>0</v>
      </c>
      <c r="J163" s="262">
        <f>'9a-Optional'!F62</f>
        <v>0</v>
      </c>
      <c r="K163" t="str">
        <f t="shared" si="12"/>
        <v/>
      </c>
    </row>
    <row r="164" spans="1:11" x14ac:dyDescent="0.3">
      <c r="A164" s="388" t="str">
        <f>IF(MAX(F:F)&lt;162,"",IF(INDEX(F:J,MATCH(162,F:F,0),2)=0,"",INDEX(F:J,MATCH(162,F:F,0),2)))</f>
        <v/>
      </c>
      <c r="B164" s="441" t="str">
        <f>IF(MAX(F:F)&lt;162,"",INDEX(F:J,MATCH(162,F:F,0),3))</f>
        <v/>
      </c>
      <c r="C164" s="4" t="str">
        <f>IF(MAX(F:F)&lt;162,"",INDEX(F:J,MATCH(162,F:F,0),4))</f>
        <v/>
      </c>
      <c r="D164" s="4" t="str">
        <f>IF(MAX(F:F)&lt;162,"",INDEX(F:J,MATCH(162,F:F,0),5))</f>
        <v/>
      </c>
      <c r="E164" s="73">
        <f t="shared" si="10"/>
        <v>9</v>
      </c>
      <c r="F164" s="73" t="str">
        <f t="shared" si="11"/>
        <v/>
      </c>
      <c r="G164" s="385" t="str">
        <f>IF(H164="","",IF(AND(G141="",G142="",G143="",G144="",G145="",G146="",G147="",G148="",G149="",G150="",G151="",G152="",G153="",G154="",G155="",G156="",G157="",G158="",G159="",G160="",G161="",G162="",G163=""),"Craft",""))</f>
        <v/>
      </c>
      <c r="H164" s="12" t="str">
        <f>IF('9a-Optional'!H63=0,"",TEXT('9a-Optional'!C63,"#,###")&amp;"x "&amp;TEXT('9a-Optional'!D63,"#,###")&amp;" ton Recovery Bay"&amp;IF('9a-Optional'!B63=0,"",": "&amp;'9a-Optional'!B63))</f>
        <v/>
      </c>
      <c r="I164" s="4">
        <f>'9a-Optional'!H63</f>
        <v>0</v>
      </c>
      <c r="J164" s="262">
        <f>'9a-Optional'!F63</f>
        <v>0</v>
      </c>
      <c r="K164" t="str">
        <f t="shared" si="12"/>
        <v/>
      </c>
    </row>
    <row r="165" spans="1:11" x14ac:dyDescent="0.3">
      <c r="A165" s="388" t="str">
        <f>IF(MAX(F:F)&lt;163,"",IF(INDEX(F:J,MATCH(163,F:F,0),2)=0,"",INDEX(F:J,MATCH(163,F:F,0),2)))</f>
        <v/>
      </c>
      <c r="B165" s="441" t="str">
        <f>IF(MAX(F:F)&lt;163,"",INDEX(F:J,MATCH(163,F:F,0),3))</f>
        <v/>
      </c>
      <c r="C165" s="4" t="str">
        <f>IF(MAX(F:F)&lt;163,"",INDEX(F:J,MATCH(163,F:F,0),4))</f>
        <v/>
      </c>
      <c r="D165" s="4" t="str">
        <f>IF(MAX(F:F)&lt;163,"",INDEX(F:J,MATCH(163,F:F,0),5))</f>
        <v/>
      </c>
      <c r="E165" s="73">
        <f t="shared" si="10"/>
        <v>9</v>
      </c>
      <c r="F165" s="73" t="str">
        <f t="shared" si="11"/>
        <v/>
      </c>
      <c r="G165" s="385" t="str">
        <f>IF(H165="","",IF(AND(G141="",G142="",G143="",G144="",G145="",G146="",G147="",G148="",G149="",G150="",G151="",G152="",G153="",G154="",G155="",G156="",G157="",G158="",G159="",G160="",G161="",G162="",G163="",G164=""),"Craft",""))</f>
        <v/>
      </c>
      <c r="H165" s="12" t="str">
        <f>IF('9a-Optional'!H64=0,"",TEXT('9a-Optional'!C64,"#,###")&amp;"x "&amp;TEXT('9a-Optional'!D64,"#,###")&amp;" ton Recovery Bay"&amp;IF('9a-Optional'!B64=0,"",": "&amp;'9a-Optional'!B64))</f>
        <v/>
      </c>
      <c r="I165" s="4">
        <f>'9a-Optional'!H64</f>
        <v>0</v>
      </c>
      <c r="J165" s="262">
        <f>'9a-Optional'!F64</f>
        <v>0</v>
      </c>
      <c r="K165" t="str">
        <f t="shared" si="12"/>
        <v/>
      </c>
    </row>
    <row r="166" spans="1:11" x14ac:dyDescent="0.3">
      <c r="A166" s="388" t="str">
        <f>IF(MAX(F:F)&lt;164,"",IF(INDEX(F:J,MATCH(164,F:F,0),2)=0,"",INDEX(F:J,MATCH(164,F:F,0),2)))</f>
        <v/>
      </c>
      <c r="B166" s="441" t="str">
        <f>IF(MAX(F:F)&lt;164,"",INDEX(F:J,MATCH(164,F:F,0),3))</f>
        <v/>
      </c>
      <c r="C166" s="4" t="str">
        <f>IF(MAX(F:F)&lt;164,"",INDEX(F:J,MATCH(164,F:F,0),4))</f>
        <v/>
      </c>
      <c r="D166" s="4" t="str">
        <f>IF(MAX(F:F)&lt;164,"",INDEX(F:J,MATCH(164,F:F,0),5))</f>
        <v/>
      </c>
      <c r="E166" s="73">
        <f t="shared" si="10"/>
        <v>9</v>
      </c>
      <c r="F166" s="73" t="str">
        <f t="shared" si="11"/>
        <v/>
      </c>
      <c r="G166" s="385" t="str">
        <f>IF(H166="","",IF(AND(G141="",G142="",G143="",G144="",G145="",G146="",G147="",G148="",G149="",G150="",G151="",G152="",G153="",G154="",G155="",G156="",G157="",G158="",G159="",G160="",G161="",G162="",G163="",G164="",G165=""),"Craft",""))</f>
        <v/>
      </c>
      <c r="H166" s="12" t="str">
        <f>IF('9a-Optional'!H65=0,"",TEXT('9a-Optional'!C65,"#,###")&amp;"x "&amp;TEXT('9a-Optional'!D65,"#,###")&amp;" ton Recovery Bay"&amp;IF('9a-Optional'!B65=0,"",": "&amp;'9a-Optional'!B65))</f>
        <v/>
      </c>
      <c r="I166" s="4">
        <f>'9a-Optional'!H65</f>
        <v>0</v>
      </c>
      <c r="J166" s="262">
        <f>'9a-Optional'!F65</f>
        <v>0</v>
      </c>
      <c r="K166" t="str">
        <f t="shared" si="12"/>
        <v/>
      </c>
    </row>
    <row r="167" spans="1:11" x14ac:dyDescent="0.3">
      <c r="A167" s="388" t="str">
        <f>IF(MAX(F:F)&lt;165,"",IF(INDEX(F:J,MATCH(165,F:F,0),2)=0,"",INDEX(F:J,MATCH(165,F:F,0),2)))</f>
        <v/>
      </c>
      <c r="B167" s="441" t="str">
        <f>IF(MAX(F:F)&lt;165,"",INDEX(F:J,MATCH(165,F:F,0),3))</f>
        <v/>
      </c>
      <c r="C167" s="4" t="str">
        <f>IF(MAX(F:F)&lt;165,"",INDEX(F:J,MATCH(165,F:F,0),4))</f>
        <v/>
      </c>
      <c r="D167" s="4" t="str">
        <f>IF(MAX(F:F)&lt;165,"",INDEX(F:J,MATCH(165,F:F,0),5))</f>
        <v/>
      </c>
      <c r="E167" s="73">
        <f t="shared" si="10"/>
        <v>9</v>
      </c>
      <c r="F167" s="73" t="str">
        <f t="shared" si="11"/>
        <v/>
      </c>
      <c r="G167" s="385" t="str">
        <f>IF(H167="","",IF(AND(G141="",G142="",G143="",G144="",G145="",G146="",G147="",G148="",G149="",G150="",G151="",G152="",G153="",G154="",G155="",G156="",G157="",G158="",G159="",G160="",G161="",G162="",G163="",G164="",G165="",G166=""),"Craft",""))</f>
        <v/>
      </c>
      <c r="H167" s="12" t="str">
        <f>IF('9a-Optional'!H66=0,"",TEXT('9a-Optional'!C66,"#,###")&amp;"x "&amp;TEXT('9a-Optional'!D66,"#,###")&amp;" ton Recovery Bay"&amp;IF('9a-Optional'!B66=0,"",": "&amp;'9a-Optional'!B66))</f>
        <v/>
      </c>
      <c r="I167" s="4">
        <f>'9a-Optional'!H66</f>
        <v>0</v>
      </c>
      <c r="J167" s="262">
        <f>'9a-Optional'!F67</f>
        <v>0</v>
      </c>
      <c r="K167" t="str">
        <f t="shared" si="12"/>
        <v/>
      </c>
    </row>
    <row r="168" spans="1:11" x14ac:dyDescent="0.3">
      <c r="A168" s="388" t="str">
        <f>IF(MAX(F:F)&lt;166,"",IF(INDEX(F:J,MATCH(166,F:F,0),2)=0,"",INDEX(F:J,MATCH(166,F:F,0),2)))</f>
        <v/>
      </c>
      <c r="B168" s="441" t="str">
        <f>IF(MAX(F:F)&lt;166,"",INDEX(F:J,MATCH(166,F:F,0),3))</f>
        <v/>
      </c>
      <c r="C168" s="4" t="str">
        <f>IF(MAX(F:F)&lt;166,"",INDEX(F:J,MATCH(166,F:F,0),4))</f>
        <v/>
      </c>
      <c r="D168" s="4" t="str">
        <f>IF(MAX(F:F)&lt;166,"",INDEX(F:J,MATCH(166,F:F,0),5))</f>
        <v/>
      </c>
      <c r="E168" s="73">
        <f t="shared" si="10"/>
        <v>9</v>
      </c>
      <c r="F168" s="73" t="str">
        <f t="shared" si="11"/>
        <v/>
      </c>
      <c r="G168" s="385" t="str">
        <f>IF(H168="","",IF(AND(G141="",G142="",G143="",G144="",G145="",G146="",G147="",G148="",G149="",G150="",G151="",G152="",G153="",G154="",G155="",G156="",G157="",G158="",G159="",G160="",G161="",G162="",G163="",G164="",G165="",G166="",G167=""),"Craft",""))</f>
        <v/>
      </c>
      <c r="H168" s="12" t="str">
        <f>'9a-Optional'!BN2</f>
        <v/>
      </c>
      <c r="J168" s="262">
        <f>'9a-Optional'!BO2</f>
        <v>0</v>
      </c>
      <c r="K168" t="str">
        <f t="shared" si="12"/>
        <v/>
      </c>
    </row>
    <row r="169" spans="1:11" x14ac:dyDescent="0.3">
      <c r="A169" s="388" t="str">
        <f>IF(MAX(F:F)&lt;167,"",IF(INDEX(F:J,MATCH(167,F:F,0),2)=0,"",INDEX(F:J,MATCH(167,F:F,0),2)))</f>
        <v/>
      </c>
      <c r="B169" s="441" t="str">
        <f>IF(MAX(F:F)&lt;167,"",INDEX(F:J,MATCH(167,F:F,0),3))</f>
        <v/>
      </c>
      <c r="C169" s="4" t="str">
        <f>IF(MAX(F:F)&lt;167,"",INDEX(F:J,MATCH(167,F:F,0),4))</f>
        <v/>
      </c>
      <c r="D169" s="4" t="str">
        <f>IF(MAX(F:F)&lt;167,"",INDEX(F:J,MATCH(167,F:F,0),5))</f>
        <v/>
      </c>
      <c r="E169" s="73">
        <f t="shared" si="10"/>
        <v>9</v>
      </c>
      <c r="F169" s="73" t="str">
        <f t="shared" si="11"/>
        <v/>
      </c>
      <c r="G169" s="385" t="str">
        <f>IF(H169="","",IF(AND(G141="",G142="",G143="",G144="",G145="",G146="",G147="",G148="",G149="",G150="",G151="",G152="",G153="",G154="",G155="",G156="",G157="",G158="",G159="",G160="",G161="",G162="",G163="",G164="",G165="",G166="",G167="",G168=""),"Craft",""))</f>
        <v/>
      </c>
      <c r="H169" s="12" t="str">
        <f>'9a-Optional'!BN3</f>
        <v/>
      </c>
      <c r="J169" s="262">
        <f>'9a-Optional'!BO3</f>
        <v>0</v>
      </c>
      <c r="K169" t="str">
        <f t="shared" si="12"/>
        <v/>
      </c>
    </row>
    <row r="170" spans="1:11" x14ac:dyDescent="0.3">
      <c r="A170" s="388" t="str">
        <f>IF(MAX(F:F)&lt;168,"",IF(INDEX(F:J,MATCH(168,F:F,0),2)=0,"",INDEX(F:J,MATCH(168,F:F,0),2)))</f>
        <v/>
      </c>
      <c r="B170" s="441" t="str">
        <f>IF(MAX(F:F)&lt;168,"",INDEX(F:J,MATCH(168,F:F,0),3))</f>
        <v/>
      </c>
      <c r="C170" s="4" t="str">
        <f>IF(MAX(F:F)&lt;168,"",INDEX(F:J,MATCH(168,F:F,0),4))</f>
        <v/>
      </c>
      <c r="D170" s="4" t="str">
        <f>IF(MAX(F:F)&lt;168,"",INDEX(F:J,MATCH(168,F:F,0),5))</f>
        <v/>
      </c>
      <c r="E170" s="73">
        <f t="shared" si="10"/>
        <v>9</v>
      </c>
      <c r="F170" s="73" t="str">
        <f t="shared" si="11"/>
        <v/>
      </c>
      <c r="G170" s="385" t="str">
        <f>IF(H170="","",IF(AND(G141="",G142="",G143="",G144="",G145="",G146="",G147="",G148="",G149="",G150="",G151="",G152="",G153="",G154="",G155="",G156="",G157="",G158="",G159="",G160="",G161="",G162="",G163="",G164="",G165="",G166="",G167="",G168="",G169=""),"Craft",""))</f>
        <v/>
      </c>
      <c r="H170" s="12" t="str">
        <f>'9a-Optional'!BN4</f>
        <v/>
      </c>
      <c r="J170" s="262">
        <f>'9a-Optional'!BO4</f>
        <v>0</v>
      </c>
      <c r="K170" t="str">
        <f t="shared" si="12"/>
        <v/>
      </c>
    </row>
    <row r="171" spans="1:11" x14ac:dyDescent="0.3">
      <c r="A171" s="388" t="str">
        <f>IF(MAX(F:F)&lt;169,"",IF(INDEX(F:J,MATCH(169,F:F,0),2)=0,"",INDEX(F:J,MATCH(169,F:F,0),2)))</f>
        <v/>
      </c>
      <c r="B171" s="441" t="str">
        <f>IF(MAX(F:F)&lt;169,"",INDEX(F:J,MATCH(169,F:F,0),3))</f>
        <v/>
      </c>
      <c r="C171" s="4" t="str">
        <f>IF(MAX(F:F)&lt;169,"",INDEX(F:J,MATCH(169,F:F,0),4))</f>
        <v/>
      </c>
      <c r="D171" s="4" t="str">
        <f>IF(MAX(F:F)&lt;169,"",INDEX(F:J,MATCH(169,F:F,0),5))</f>
        <v/>
      </c>
      <c r="E171" s="73">
        <f t="shared" si="10"/>
        <v>9</v>
      </c>
      <c r="F171" s="73" t="str">
        <f t="shared" si="11"/>
        <v/>
      </c>
      <c r="G171" s="385" t="str">
        <f>IF(H171="","",IF(AND(G141="",G142="",G143="",G144="",G145="",G146="",G147="",G148="",G149="",G150="",G151="",G152="",G153="",G154="",G155="",G156="",G157="",G158="",G159="",G160="",G161="",G162="",G163="",G164="",G165="",G166="",G167="",G168="",G169="",G170=""),"Craft",""))</f>
        <v/>
      </c>
      <c r="H171" s="12" t="str">
        <f>'9a-Optional'!BN5</f>
        <v/>
      </c>
      <c r="J171" s="262">
        <f>'9a-Optional'!BO5</f>
        <v>0</v>
      </c>
      <c r="K171" t="str">
        <f t="shared" si="12"/>
        <v/>
      </c>
    </row>
    <row r="172" spans="1:11" x14ac:dyDescent="0.3">
      <c r="A172" s="388" t="str">
        <f>IF(MAX(F:F)&lt;170,"",IF(INDEX(F:J,MATCH(170,F:F,0),2)=0,"",INDEX(F:J,MATCH(170,F:F,0),2)))</f>
        <v/>
      </c>
      <c r="B172" s="441" t="str">
        <f>IF(MAX(F:F)&lt;170,"",INDEX(F:J,MATCH(170,F:F,0),3))</f>
        <v/>
      </c>
      <c r="C172" s="4" t="str">
        <f>IF(MAX(F:F)&lt;170,"",INDEX(F:J,MATCH(170,F:F,0),4))</f>
        <v/>
      </c>
      <c r="D172" s="4" t="str">
        <f>IF(MAX(F:F)&lt;170,"",INDEX(F:J,MATCH(170,F:F,0),5))</f>
        <v/>
      </c>
      <c r="E172" s="73">
        <f t="shared" si="10"/>
        <v>9</v>
      </c>
      <c r="F172" s="73" t="str">
        <f t="shared" si="11"/>
        <v/>
      </c>
      <c r="G172" s="385" t="str">
        <f>IF(H172="","",IF(AND(G141="",G142="",G143="",G144="",G145="",G146="",G147="",G148="",G149="",G150="",G151="",G152="",G153="",G154="",G155="",G156="",G157="",G158="",G159="",G160="",G161="",G162="",G163="",G164="",G165="",G166="",G167="",G168="",G169="",G170="",G171=""),"Craft",""))</f>
        <v/>
      </c>
      <c r="H172" s="12" t="str">
        <f>'9a-Optional'!BN6</f>
        <v/>
      </c>
      <c r="J172" s="262">
        <f>'9a-Optional'!BO6</f>
        <v>0</v>
      </c>
      <c r="K172" t="str">
        <f t="shared" si="12"/>
        <v/>
      </c>
    </row>
    <row r="173" spans="1:11" x14ac:dyDescent="0.3">
      <c r="A173" s="388" t="str">
        <f>IF(MAX(F:F)&lt;171,"",IF(INDEX(F:J,MATCH(171,F:F,0),2)=0,"",INDEX(F:J,MATCH(171,F:F,0),2)))</f>
        <v/>
      </c>
      <c r="B173" s="441" t="str">
        <f>IF(MAX(F:F)&lt;171,"",INDEX(F:J,MATCH(171,F:F,0),3))</f>
        <v/>
      </c>
      <c r="C173" s="4" t="str">
        <f>IF(MAX(F:F)&lt;171,"",INDEX(F:J,MATCH(171,F:F,0),4))</f>
        <v/>
      </c>
      <c r="D173" s="4" t="str">
        <f>IF(MAX(F:F)&lt;171,"",INDEX(F:J,MATCH(171,F:F,0),5))</f>
        <v/>
      </c>
      <c r="E173" s="73">
        <f t="shared" si="10"/>
        <v>9</v>
      </c>
      <c r="F173" s="73" t="str">
        <f t="shared" si="11"/>
        <v/>
      </c>
      <c r="G173" s="385" t="str">
        <f>IF(H173="","",IF(AND(G141="",G142="",G143="",G144="",G145="",G146="",G147="",G148="",G149="",G150="",G151="",G152="",G153="",G154="",G155="",G156="",G157="",G158="",G159="",G160="",G161="",G162="",G163="",G164="",G165="",G166="",G167="",G168="",G169="",G170="",G171="",G172=""),"Craft",""))</f>
        <v/>
      </c>
      <c r="H173" s="12" t="str">
        <f>'9a-Optional'!BN7</f>
        <v/>
      </c>
      <c r="J173" s="262">
        <f>'9a-Optional'!BO7</f>
        <v>0</v>
      </c>
      <c r="K173" t="str">
        <f t="shared" si="12"/>
        <v/>
      </c>
    </row>
    <row r="174" spans="1:11" x14ac:dyDescent="0.3">
      <c r="A174" s="388" t="str">
        <f>IF(MAX(F:F)&lt;172,"",IF(INDEX(F:J,MATCH(172,F:F,0),2)=0,"",INDEX(F:J,MATCH(172,F:F,0),2)))</f>
        <v/>
      </c>
      <c r="B174" s="441" t="str">
        <f>IF(MAX(F:F)&lt;172,"",INDEX(F:J,MATCH(172,F:F,0),3))</f>
        <v/>
      </c>
      <c r="C174" s="4" t="str">
        <f>IF(MAX(F:F)&lt;172,"",INDEX(F:J,MATCH(172,F:F,0),4))</f>
        <v/>
      </c>
      <c r="D174" s="4" t="str">
        <f>IF(MAX(F:F)&lt;172,"",INDEX(F:J,MATCH(172,F:F,0),5))</f>
        <v/>
      </c>
      <c r="E174" s="73">
        <f t="shared" si="10"/>
        <v>9</v>
      </c>
      <c r="F174" s="73" t="str">
        <f t="shared" si="11"/>
        <v/>
      </c>
      <c r="G174" s="385" t="str">
        <f>IF(H174="","",IF(AND(G141="",G142="",G143="",G144="",G145="",G146="",G147="",G148="",G149="",G150="",G151="",G152="",G153="",G154="",G155="",G156="",G157="",G158="",G159="",G160="",G161="",G162="",G163="",G164="",G165="",G166="",G167="",G168="",G169="",G170="",G171="",G172="",G173=""),"Craft",""))</f>
        <v/>
      </c>
      <c r="H174" s="12" t="str">
        <f>'9a-Optional'!BN8</f>
        <v/>
      </c>
      <c r="J174" s="262">
        <f>'9a-Optional'!BO8</f>
        <v>0</v>
      </c>
      <c r="K174" t="str">
        <f t="shared" si="12"/>
        <v/>
      </c>
    </row>
    <row r="175" spans="1:11" x14ac:dyDescent="0.3">
      <c r="A175" s="388" t="str">
        <f>IF(MAX(F:F)&lt;173,"",IF(INDEX(F:J,MATCH(173,F:F,0),2)=0,"",INDEX(F:J,MATCH(173,F:F,0),2)))</f>
        <v/>
      </c>
      <c r="B175" s="441" t="str">
        <f>IF(MAX(F:F)&lt;173,"",INDEX(F:J,MATCH(173,F:F,0),3))</f>
        <v/>
      </c>
      <c r="C175" s="4" t="str">
        <f>IF(MAX(F:F)&lt;173,"",INDEX(F:J,MATCH(173,F:F,0),4))</f>
        <v/>
      </c>
      <c r="D175" s="4" t="str">
        <f>IF(MAX(F:F)&lt;173,"",INDEX(F:J,MATCH(173,F:F,0),5))</f>
        <v/>
      </c>
      <c r="E175" s="73">
        <f t="shared" si="10"/>
        <v>9</v>
      </c>
      <c r="F175" s="73" t="str">
        <f t="shared" si="11"/>
        <v/>
      </c>
      <c r="G175" s="385" t="str">
        <f>IF(H175="","",IF(AND(G141="",G142="",G143="",G144="",G145="",G146="",G147="",G148="",G149="",G150="",G151="",G152="",G153="",G154="",G155="",G156="",G157="",G158="",G159="",G160="",G161="",G162="",G163="",G164="",G165="",G166="",G167="",G168="",G169="",G170="",G171="",G172="",G173="",G174=""),"Craft",""))</f>
        <v/>
      </c>
      <c r="H175" s="12" t="str">
        <f>'9a-Optional'!BN9</f>
        <v/>
      </c>
      <c r="J175" s="262">
        <f>'9a-Optional'!BO9</f>
        <v>0</v>
      </c>
      <c r="K175" t="str">
        <f t="shared" si="12"/>
        <v/>
      </c>
    </row>
    <row r="176" spans="1:11" x14ac:dyDescent="0.3">
      <c r="A176" s="388" t="str">
        <f>IF(MAX(F:F)&lt;174,"",IF(INDEX(F:J,MATCH(174,F:F,0),2)=0,"",INDEX(F:J,MATCH(174,F:F,0),2)))</f>
        <v/>
      </c>
      <c r="B176" s="441" t="str">
        <f>IF(MAX(F:F)&lt;174,"",INDEX(F:J,MATCH(174,F:F,0),3))</f>
        <v/>
      </c>
      <c r="C176" s="4" t="str">
        <f>IF(MAX(F:F)&lt;174,"",INDEX(F:J,MATCH(174,F:F,0),4))</f>
        <v/>
      </c>
      <c r="D176" s="4" t="str">
        <f>IF(MAX(F:F)&lt;174,"",INDEX(F:J,MATCH(174,F:F,0),5))</f>
        <v/>
      </c>
      <c r="E176" s="73">
        <f t="shared" si="10"/>
        <v>9</v>
      </c>
      <c r="F176" s="73" t="str">
        <f t="shared" si="11"/>
        <v/>
      </c>
      <c r="G176" s="385" t="str">
        <f>IF(H176="","",IF(AND(G141="",G142="",G143="",G144="",G145="",G146="",G147="",G148="",G149="",G150="",G151="",G152="",G153="",G154="",G155="",G156="",G157="",G158="",G159="",G160="",G161="",G162="",G163="",G164="",G165="",G166="",G167="",G168="",G169="",G170="",G171="",G172="",G173="",G174="",G175=""),"Craft",""))</f>
        <v/>
      </c>
      <c r="H176" s="12" t="str">
        <f>'9a-Optional'!BN10</f>
        <v/>
      </c>
      <c r="J176" s="262">
        <f>'9a-Optional'!BO10</f>
        <v>0</v>
      </c>
      <c r="K176" t="str">
        <f t="shared" si="12"/>
        <v/>
      </c>
    </row>
    <row r="177" spans="1:11" x14ac:dyDescent="0.3">
      <c r="A177" s="388" t="str">
        <f>IF(MAX(F:F)&lt;175,"",IF(INDEX(F:J,MATCH(175,F:F,0),2)=0,"",INDEX(F:J,MATCH(175,F:F,0),2)))</f>
        <v/>
      </c>
      <c r="B177" s="441" t="str">
        <f>IF(MAX(F:F)&lt;175,"",INDEX(F:J,MATCH(175,F:F,0),3))</f>
        <v/>
      </c>
      <c r="C177" s="4" t="str">
        <f>IF(MAX(F:F)&lt;175,"",INDEX(F:J,MATCH(175,F:F,0),4))</f>
        <v/>
      </c>
      <c r="D177" s="4" t="str">
        <f>IF(MAX(F:F)&lt;175,"",INDEX(F:J,MATCH(175,F:F,0),5))</f>
        <v/>
      </c>
      <c r="E177" s="73">
        <f t="shared" si="10"/>
        <v>9</v>
      </c>
      <c r="F177" s="73" t="str">
        <f t="shared" si="11"/>
        <v/>
      </c>
      <c r="G177" s="385" t="str">
        <f>IF(H177="","",IF(AND(G141="",G142="",G143="",G144="",G145="",G146="",G147="",G148="",G149="",G150="",G151="",G152="",G153="",G154="",G155="",G156="",G157="",G158="",G159="",G160="",G161="",G162="",G163="",G164="",G165="",G166="",G167="",G168="",G169="",G170="",G171="",G172="",G173="",G174="",G175="",G176=""),"Craft",""))</f>
        <v/>
      </c>
      <c r="H177" s="12" t="str">
        <f>'9a-Optional'!BN11</f>
        <v/>
      </c>
      <c r="J177" s="262">
        <f>'9a-Optional'!BO11</f>
        <v>0</v>
      </c>
      <c r="K177" t="str">
        <f t="shared" si="12"/>
        <v/>
      </c>
    </row>
    <row r="178" spans="1:11" x14ac:dyDescent="0.3">
      <c r="A178" s="388" t="str">
        <f>IF(MAX(F:F)&lt;176,"",IF(INDEX(F:J,MATCH(176,F:F,0),2)=0,"",INDEX(F:J,MATCH(176,F:F,0),2)))</f>
        <v/>
      </c>
      <c r="B178" s="441" t="str">
        <f>IF(MAX(F:F)&lt;176,"",INDEX(F:J,MATCH(176,F:F,0),3))</f>
        <v/>
      </c>
      <c r="C178" s="4" t="str">
        <f>IF(MAX(F:F)&lt;176,"",INDEX(F:J,MATCH(176,F:F,0),4))</f>
        <v/>
      </c>
      <c r="D178" s="4" t="str">
        <f>IF(MAX(F:F)&lt;176,"",INDEX(F:J,MATCH(176,F:F,0),5))</f>
        <v/>
      </c>
      <c r="E178" s="73">
        <f t="shared" si="10"/>
        <v>9</v>
      </c>
      <c r="F178" s="73" t="str">
        <f t="shared" si="11"/>
        <v/>
      </c>
      <c r="G178" s="385" t="str">
        <f>IF(H178="","",IF(AND(G141="",G142="",G143="",G144="",G145="",G146="",G147="",G148="",G149="",G150="",G151="",G152="",G153="",G154="",G155="",G156="",G157="",G158="",G159="",G160="",G161="",G162="",G163="",G164="",G165="",G166="",G167="",G168="",G169="",G170="",G171="",G172="",G173="",G174="",G175="",G176="",G177=""),"Craft",""))</f>
        <v/>
      </c>
      <c r="H178" s="12" t="str">
        <f>'9a-Optional'!BN12</f>
        <v/>
      </c>
      <c r="J178" s="262">
        <f>'9a-Optional'!BO12</f>
        <v>0</v>
      </c>
      <c r="K178" t="str">
        <f t="shared" si="12"/>
        <v/>
      </c>
    </row>
    <row r="179" spans="1:11" x14ac:dyDescent="0.3">
      <c r="A179" s="388" t="str">
        <f>IF(MAX(F:F)&lt;177,"",IF(INDEX(F:J,MATCH(177,F:F,0),2)=0,"",INDEX(F:J,MATCH(177,F:F,0),2)))</f>
        <v/>
      </c>
      <c r="B179" s="441" t="str">
        <f>IF(MAX(F:F)&lt;177,"",INDEX(F:J,MATCH(177,F:F,0),3))</f>
        <v/>
      </c>
      <c r="C179" s="4" t="str">
        <f>IF(MAX(F:F)&lt;177,"",INDEX(F:J,MATCH(177,F:F,0),4))</f>
        <v/>
      </c>
      <c r="D179" s="4" t="str">
        <f>IF(MAX(F:F)&lt;177,"",INDEX(F:J,MATCH(177,F:F,0),5))</f>
        <v/>
      </c>
      <c r="E179" s="73">
        <f t="shared" si="10"/>
        <v>9</v>
      </c>
      <c r="F179" s="73" t="str">
        <f t="shared" si="11"/>
        <v/>
      </c>
      <c r="G179" s="385" t="str">
        <f>IF(H179="","",IF(AND(G141="",G142="",G143="",G144="",G145="",G146="",G147="",G148="",G149="",G150="",G151="",G152="",G153="",G154="",G155="",G156="",G157="",G158="",G159="",G160="",G161="",G162="",G163="",G164="",G165="",G166="",G167="",G168="",G169="",G170="",G171="",G172="",G173="",G174="",G175="",G176="",G177="",G178=""),"Craft",""))</f>
        <v/>
      </c>
      <c r="H179" s="12" t="str">
        <f>'9a-Optional'!BN13</f>
        <v/>
      </c>
      <c r="J179" s="262">
        <f>'9a-Optional'!BO13</f>
        <v>0</v>
      </c>
      <c r="K179" t="str">
        <f t="shared" si="12"/>
        <v/>
      </c>
    </row>
    <row r="180" spans="1:11" x14ac:dyDescent="0.3">
      <c r="A180" s="388" t="str">
        <f>IF(MAX(F:F)&lt;178,"",IF(INDEX(F:J,MATCH(178,F:F,0),2)=0,"",INDEX(F:J,MATCH(178,F:F,0),2)))</f>
        <v/>
      </c>
      <c r="B180" s="441" t="str">
        <f>IF(MAX(F:F)&lt;178,"",INDEX(F:J,MATCH(178,F:F,0),3))</f>
        <v/>
      </c>
      <c r="C180" s="4" t="str">
        <f>IF(MAX(F:F)&lt;178,"",INDEX(F:J,MATCH(178,F:F,0),4))</f>
        <v/>
      </c>
      <c r="D180" s="4" t="str">
        <f>IF(MAX(F:F)&lt;178,"",INDEX(F:J,MATCH(178,F:F,0),5))</f>
        <v/>
      </c>
      <c r="E180" s="73">
        <f t="shared" si="10"/>
        <v>9</v>
      </c>
      <c r="F180" s="73" t="str">
        <f t="shared" si="11"/>
        <v/>
      </c>
      <c r="G180" s="385" t="str">
        <f>IF(H180="","",IF(AND(G141="",G142="",G143="",G144="",G145="",G146="",G147="",G148="",G149="",G150="",G151="",G152="",G153="",G154="",G155="",G156="",G157="",G158="",G159="",G160="",G161="",G162="",G163="",G164="",G165="",G166="",G167="",G168="",G169="",G170="",G171="",G172="",G173="",G174="",G175="",G176="",G177="",G178="",G179=""),"Craft",""))</f>
        <v/>
      </c>
      <c r="H180" s="12" t="str">
        <f>'9a-Optional'!BN14</f>
        <v/>
      </c>
      <c r="J180" s="262">
        <f>'9a-Optional'!BO14</f>
        <v>0</v>
      </c>
      <c r="K180" t="str">
        <f t="shared" si="12"/>
        <v/>
      </c>
    </row>
    <row r="181" spans="1:11" x14ac:dyDescent="0.3">
      <c r="A181" s="388" t="str">
        <f>IF(MAX(F:F)&lt;179,"",IF(INDEX(F:J,MATCH(179,F:F,0),2)=0,"",INDEX(F:J,MATCH(179,F:F,0),2)))</f>
        <v/>
      </c>
      <c r="B181" s="441" t="str">
        <f>IF(MAX(F:F)&lt;179,"",INDEX(F:J,MATCH(179,F:F,0),3))</f>
        <v/>
      </c>
      <c r="C181" s="4" t="str">
        <f>IF(MAX(F:F)&lt;179,"",INDEX(F:J,MATCH(179,F:F,0),4))</f>
        <v/>
      </c>
      <c r="D181" s="4" t="str">
        <f>IF(MAX(F:F)&lt;179,"",INDEX(F:J,MATCH(179,F:F,0),5))</f>
        <v/>
      </c>
      <c r="E181" s="73">
        <f t="shared" si="10"/>
        <v>9</v>
      </c>
      <c r="F181" s="73" t="str">
        <f t="shared" si="11"/>
        <v/>
      </c>
      <c r="G181" s="385" t="str">
        <f>IF(H181="","",IF(AND(G141="",G142="",G143="",G144="",G145="",G146="",G147="",G148="",G149="",G150="",G151="",G152="",G153="",G154="",G155="",G156="",G157="",G158="",G159="",G160="",G161="",G162="",G163="",G164="",G165="",G166="",G167="",G168="",G169="",G170="",G171="",G172="",G173="",G174="",G175="",G176="",G177="",G178="",G179="",G180=""),"Craft",""))</f>
        <v/>
      </c>
      <c r="H181" s="12" t="str">
        <f>'9a-Optional'!BN15</f>
        <v/>
      </c>
      <c r="J181" s="262">
        <f>'9a-Optional'!BO15</f>
        <v>0</v>
      </c>
      <c r="K181" t="str">
        <f t="shared" si="12"/>
        <v/>
      </c>
    </row>
    <row r="182" spans="1:11" x14ac:dyDescent="0.3">
      <c r="A182" s="388" t="str">
        <f>IF(MAX(F:F)&lt;180,"",IF(INDEX(F:J,MATCH(180,F:F,0),2)=0,"",INDEX(F:J,MATCH(180,F:F,0),2)))</f>
        <v/>
      </c>
      <c r="B182" s="441" t="str">
        <f>IF(MAX(F:F)&lt;180,"",INDEX(F:J,MATCH(180,F:F,0),3))</f>
        <v/>
      </c>
      <c r="C182" s="4" t="str">
        <f>IF(MAX(F:F)&lt;180,"",INDEX(F:J,MATCH(180,F:F,0),4))</f>
        <v/>
      </c>
      <c r="D182" s="4" t="str">
        <f>IF(MAX(F:F)&lt;180,"",INDEX(F:J,MATCH(180,F:F,0),5))</f>
        <v/>
      </c>
      <c r="E182" s="73">
        <f t="shared" si="10"/>
        <v>9</v>
      </c>
      <c r="F182" s="73" t="str">
        <f t="shared" si="11"/>
        <v/>
      </c>
      <c r="G182" s="385" t="str">
        <f>IF(H182="","",IF(AND(G141="",G142="",G143="",G144="",G145="",G146="",G147="",G148="",G149="",G150="",G151="",G152="",G153="",G154="",G155="",G156="",G157="",G158="",G159="",G160="",G161="",G162="",G163="",G164="",G165="",G166="",G167="",G168="",G169="",G170="",G171="",G172="",G173="",G174="",G175="",G176="",G177="",G178="",G179="",G180="",G181=""),"Craft",""))</f>
        <v/>
      </c>
      <c r="H182" s="12" t="str">
        <f>'9a-Optional'!BN16</f>
        <v/>
      </c>
      <c r="J182" s="262">
        <f>'9a-Optional'!BO16</f>
        <v>0</v>
      </c>
      <c r="K182" t="str">
        <f t="shared" si="12"/>
        <v/>
      </c>
    </row>
    <row r="183" spans="1:11" x14ac:dyDescent="0.3">
      <c r="A183" s="388" t="str">
        <f>IF(MAX(F:F)&lt;181,"",IF(INDEX(F:J,MATCH(181,F:F,0),2)=0,"",INDEX(F:J,MATCH(181,F:F,0),2)))</f>
        <v/>
      </c>
      <c r="B183" s="441" t="str">
        <f>IF(MAX(F:F)&lt;181,"",INDEX(F:J,MATCH(181,F:F,0),3))</f>
        <v/>
      </c>
      <c r="C183" s="4" t="str">
        <f>IF(MAX(F:F)&lt;181,"",INDEX(F:J,MATCH(181,F:F,0),4))</f>
        <v/>
      </c>
      <c r="D183" s="4" t="str">
        <f>IF(MAX(F:F)&lt;181,"",INDEX(F:J,MATCH(181,F:F,0),5))</f>
        <v/>
      </c>
      <c r="E183" s="73">
        <f t="shared" si="10"/>
        <v>9</v>
      </c>
      <c r="F183" s="73" t="str">
        <f t="shared" si="11"/>
        <v/>
      </c>
      <c r="G183" s="385" t="str">
        <f>IF(H183="","",IF(AND(G141="",G142="",G143="",G144="",G145="",G146="",G147="",G148="",G149="",G150="",G151="",G152="",G153="",G154="",G155="",G156="",G157="",G158="",G159="",G160="",G161="",G162="",G163="",G164="",G165="",G166="",G167="",G168="",G169="",G170="",G171="",G172="",G173="",G174="",G175="",G176="",G177="",G178="",G179="",G180="",G181="",G182=""),"Craft",""))</f>
        <v/>
      </c>
      <c r="H183" s="12" t="str">
        <f>'9a-Optional'!BN17</f>
        <v/>
      </c>
      <c r="J183" s="262">
        <f>'9a-Optional'!BO17</f>
        <v>0</v>
      </c>
      <c r="K183" t="str">
        <f t="shared" si="12"/>
        <v/>
      </c>
    </row>
    <row r="184" spans="1:11" x14ac:dyDescent="0.3">
      <c r="A184" s="388" t="str">
        <f>IF(MAX(F:F)&lt;182,"",IF(INDEX(F:J,MATCH(182,F:F,0),2)=0,"",INDEX(F:J,MATCH(182,F:F,0),2)))</f>
        <v/>
      </c>
      <c r="B184" s="441" t="str">
        <f>IF(MAX(F:F)&lt;182,"",INDEX(F:J,MATCH(182,F:F,0),3))</f>
        <v/>
      </c>
      <c r="C184" s="4" t="str">
        <f>IF(MAX(F:F)&lt;182,"",INDEX(F:J,MATCH(182,F:F,0),4))</f>
        <v/>
      </c>
      <c r="D184" s="4" t="str">
        <f>IF(MAX(F:F)&lt;182,"",INDEX(F:J,MATCH(182,F:F,0),5))</f>
        <v/>
      </c>
      <c r="E184" s="73">
        <f t="shared" si="10"/>
        <v>9</v>
      </c>
      <c r="F184" s="73" t="str">
        <f t="shared" si="11"/>
        <v/>
      </c>
      <c r="G184" s="385" t="str">
        <f>IF(H184="","",IF(AND(G141="",G142="",G143="",G144="",G145="",G146="",G147="",G148="",G149="",G150="",G151="",G152="",G153="",G154="",G155="",G156="",G157="",G158="",G159="",G160="",G161="",G162="",G163="",G164="",G165="",G166="",G167="",G168="",G169="",G170="",G171="",G172="",G173="",G174="",G175="",G176="",G177="",G178="",G179="",G180="",G181="",G182="",G183=""),"Craft",""))</f>
        <v/>
      </c>
      <c r="H184" s="12" t="str">
        <f>'9a-Optional'!BN18</f>
        <v/>
      </c>
      <c r="J184" s="262">
        <f>'9a-Optional'!BO18</f>
        <v>0</v>
      </c>
      <c r="K184" t="str">
        <f t="shared" si="12"/>
        <v/>
      </c>
    </row>
    <row r="185" spans="1:11" x14ac:dyDescent="0.3">
      <c r="A185" s="388" t="str">
        <f>IF(MAX(F:F)&lt;183,"",IF(INDEX(F:J,MATCH(183,F:F,0),2)=0,"",INDEX(F:J,MATCH(183,F:F,0),2)))</f>
        <v/>
      </c>
      <c r="B185" s="441" t="str">
        <f>IF(MAX(F:F)&lt;183,"",INDEX(F:J,MATCH(183,F:F,0),3))</f>
        <v/>
      </c>
      <c r="C185" s="4" t="str">
        <f>IF(MAX(F:F)&lt;183,"",INDEX(F:J,MATCH(183,F:F,0),4))</f>
        <v/>
      </c>
      <c r="D185" s="4" t="str">
        <f>IF(MAX(F:F)&lt;183,"",INDEX(F:J,MATCH(183,F:F,0),5))</f>
        <v/>
      </c>
      <c r="E185" s="73">
        <f t="shared" si="10"/>
        <v>9</v>
      </c>
      <c r="F185" s="73" t="str">
        <f t="shared" si="11"/>
        <v/>
      </c>
      <c r="G185" s="385" t="str">
        <f>IF(H185="","",IF(AND(G141="",G142="",G143="",G144="",G145="",G146="",G147="",G148="",G149="",G150="",G151="",G152="",G153="",G154="",G155="",G156="",G157="",G158="",G159="",G160="",G161="",G162="",G163="",G164="",G165="",G166="",G167="",G168="",G169="",G170="",G171="",G172="",G173="",G174="",G175="",G176="",G177="",G178="",G179="",G180="",G181="",G182="",G183="",G184=""),"Craft",""))</f>
        <v/>
      </c>
      <c r="H185" s="12" t="str">
        <f>'9a-Optional'!BN19</f>
        <v/>
      </c>
      <c r="J185" s="262">
        <f>'9a-Optional'!BO19</f>
        <v>0</v>
      </c>
      <c r="K185" t="str">
        <f t="shared" si="12"/>
        <v/>
      </c>
    </row>
    <row r="186" spans="1:11" x14ac:dyDescent="0.3">
      <c r="A186" s="388" t="str">
        <f>IF(MAX(F:F)&lt;184,"",IF(INDEX(F:J,MATCH(184,F:F,0),2)=0,"",INDEX(F:J,MATCH(184,F:F,0),2)))</f>
        <v/>
      </c>
      <c r="B186" s="441" t="str">
        <f>IF(MAX(F:F)&lt;184,"",INDEX(F:J,MATCH(184,F:F,0),3))</f>
        <v/>
      </c>
      <c r="C186" s="4" t="str">
        <f>IF(MAX(F:F)&lt;184,"",INDEX(F:J,MATCH(184,F:F,0),4))</f>
        <v/>
      </c>
      <c r="D186" s="4" t="str">
        <f>IF(MAX(F:F)&lt;184,"",INDEX(F:J,MATCH(184,F:F,0),5))</f>
        <v/>
      </c>
      <c r="E186" s="73">
        <f t="shared" si="10"/>
        <v>9</v>
      </c>
      <c r="F186" s="73" t="str">
        <f t="shared" si="11"/>
        <v/>
      </c>
      <c r="G186" s="385" t="str">
        <f>IF(H186="","",IF(AND(G141="",G142="",G143="",G144="",G145="",G146="",G147="",G148="",G149="",G150="",G151="",G152="",G153="",G154="",G155="",G156="",G157="",G158="",G159="",G160="",G161="",G162="",G163="",G164="",G165="",G166="",G167="",G168="",G169="",G170="",G171="",G172="",G173="",G174="",G175="",G176="",G177="",G178="",G179="",G180="",G181="",G182="",G183="",G184="",G185=""),"Craft",""))</f>
        <v/>
      </c>
      <c r="H186" s="12" t="str">
        <f>'9a-Optional'!BN20</f>
        <v/>
      </c>
      <c r="J186" s="262">
        <f>'9a-Optional'!BO20</f>
        <v>0</v>
      </c>
      <c r="K186" t="str">
        <f t="shared" si="12"/>
        <v/>
      </c>
    </row>
    <row r="187" spans="1:11" x14ac:dyDescent="0.3">
      <c r="A187" s="388" t="str">
        <f>IF(MAX(F:F)&lt;185,"",IF(INDEX(F:J,MATCH(185,F:F,0),2)=0,"",INDEX(F:J,MATCH(185,F:F,0),2)))</f>
        <v/>
      </c>
      <c r="B187" s="441" t="str">
        <f>IF(MAX(F:F)&lt;185,"",INDEX(F:J,MATCH(185,F:F,0),3))</f>
        <v/>
      </c>
      <c r="C187" s="4" t="str">
        <f>IF(MAX(F:F)&lt;185,"",INDEX(F:J,MATCH(185,F:F,0),4))</f>
        <v/>
      </c>
      <c r="D187" s="4" t="str">
        <f>IF(MAX(F:F)&lt;185,"",INDEX(F:J,MATCH(185,F:F,0),5))</f>
        <v/>
      </c>
      <c r="E187" s="73">
        <f t="shared" si="10"/>
        <v>9</v>
      </c>
      <c r="F187" s="73" t="str">
        <f t="shared" si="11"/>
        <v/>
      </c>
      <c r="G187" s="385" t="str">
        <f>IF(H187="","",IF(AND(G141="",G142="",G143="",G144="",G145="",G146="",G147="",G148="",G149="",G150="",G151="",G152="",G153="",G154="",G155="",G156="",G157="",G158="",G159="",G160="",G161="",G162="",G163="",G164="",G165="",G166="",G167="",G168="",G169="",G170="",G171="",G172="",G173="",G174="",G175="",G176="",G177="",G178="",G179="",G180="",G181="",G182="",G183="",G184="",G185="",G186=""),"Craft",""))</f>
        <v/>
      </c>
      <c r="H187" s="12" t="str">
        <f>'9a-Optional'!BN21</f>
        <v/>
      </c>
      <c r="J187" s="262">
        <f>'9a-Optional'!BO21</f>
        <v>0</v>
      </c>
      <c r="K187" t="str">
        <f t="shared" si="12"/>
        <v/>
      </c>
    </row>
    <row r="188" spans="1:11" x14ac:dyDescent="0.3">
      <c r="A188" s="388" t="str">
        <f>IF(MAX(F:F)&lt;186,"",IF(INDEX(F:J,MATCH(186,F:F,0),2)=0,"",INDEX(F:J,MATCH(186,F:F,0),2)))</f>
        <v/>
      </c>
      <c r="B188" s="441" t="str">
        <f>IF(MAX(F:F)&lt;186,"",INDEX(F:J,MATCH(186,F:F,0),3))</f>
        <v/>
      </c>
      <c r="C188" s="4" t="str">
        <f>IF(MAX(F:F)&lt;186,"",INDEX(F:J,MATCH(186,F:F,0),4))</f>
        <v/>
      </c>
      <c r="D188" s="4" t="str">
        <f>IF(MAX(F:F)&lt;186,"",INDEX(F:J,MATCH(186,F:F,0),5))</f>
        <v/>
      </c>
      <c r="E188" s="73">
        <f t="shared" si="10"/>
        <v>9</v>
      </c>
      <c r="F188" s="73" t="str">
        <f t="shared" si="11"/>
        <v/>
      </c>
      <c r="G188" s="385" t="str">
        <f>IF(H188="","",IF(AND(G141="",G142="",G143="",G144="",G145="",G146="",G147="",G148="",G149="",G150="",G151="",G152="",G153="",G154="",G155="",G156="",G157="",G158="",G159="",G160="",G161="",G162="",G163="",G164="",G165="",G166="",G167="",G168="",G169="",G170="",G171="",G172="",G173="",G174="",G175="",G176="",G177="",G178="",G179="",G180="",G181="",G182="",G183="",G184="",G185="",G186="",G187=""),"Craft",""))</f>
        <v/>
      </c>
      <c r="H188" s="12" t="str">
        <f>'9a-Optional'!BN22</f>
        <v/>
      </c>
      <c r="J188" s="262">
        <f>'9a-Optional'!BO22</f>
        <v>0</v>
      </c>
      <c r="K188" t="str">
        <f t="shared" si="12"/>
        <v/>
      </c>
    </row>
    <row r="189" spans="1:11" x14ac:dyDescent="0.3">
      <c r="A189" s="388" t="str">
        <f>IF(MAX(F:F)&lt;187,"",IF(INDEX(F:J,MATCH(187,F:F,0),2)=0,"",INDEX(F:J,MATCH(187,F:F,0),2)))</f>
        <v/>
      </c>
      <c r="B189" s="441" t="str">
        <f>IF(MAX(F:F)&lt;187,"",INDEX(F:J,MATCH(187,F:F,0),3))</f>
        <v/>
      </c>
      <c r="C189" s="4" t="str">
        <f>IF(MAX(F:F)&lt;187,"",INDEX(F:J,MATCH(187,F:F,0),4))</f>
        <v/>
      </c>
      <c r="D189" s="4" t="str">
        <f>IF(MAX(F:F)&lt;187,"",INDEX(F:J,MATCH(187,F:F,0),5))</f>
        <v/>
      </c>
      <c r="E189" s="73">
        <f t="shared" si="10"/>
        <v>9</v>
      </c>
      <c r="F189" s="73" t="str">
        <f t="shared" si="11"/>
        <v/>
      </c>
      <c r="G189" s="385" t="str">
        <f>IF(H189="","",IF(AND(G141="",G142="",G143="",G144="",G145="",G146="",G147="",G148="",G149="",G150="",G151="",G152="",G153="",G154="",G155="",G156="",G157="",G158="",G159="",G160="",G161="",G162="",G163="",G164="",G165="",G166="",G167="",G168="",G169="",G170="",G171="",G172="",G173="",G174="",G175="",G176="",G177="",G178="",G179="",G180="",G181="",G182="",G183="",G184="",G185="",G186="",G187="",G188=""),"Craft",""))</f>
        <v/>
      </c>
      <c r="H189" s="12" t="str">
        <f>'9a-Optional'!BN23</f>
        <v/>
      </c>
      <c r="J189" s="262">
        <f>'9a-Optional'!BO23</f>
        <v>0</v>
      </c>
      <c r="K189" t="str">
        <f t="shared" si="12"/>
        <v/>
      </c>
    </row>
    <row r="190" spans="1:11" x14ac:dyDescent="0.3">
      <c r="A190" s="388" t="str">
        <f>IF(MAX(F:F)&lt;188,"",IF(INDEX(F:J,MATCH(188,F:F,0),2)=0,"",INDEX(F:J,MATCH(188,F:F,0),2)))</f>
        <v/>
      </c>
      <c r="B190" s="441" t="str">
        <f>IF(MAX(F:F)&lt;188,"",INDEX(F:J,MATCH(188,F:F,0),3))</f>
        <v/>
      </c>
      <c r="C190" s="4" t="str">
        <f>IF(MAX(F:F)&lt;188,"",INDEX(F:J,MATCH(188,F:F,0),4))</f>
        <v/>
      </c>
      <c r="D190" s="4" t="str">
        <f>IF(MAX(F:F)&lt;188,"",INDEX(F:J,MATCH(188,F:F,0),5))</f>
        <v/>
      </c>
      <c r="E190" s="73">
        <f t="shared" si="10"/>
        <v>9</v>
      </c>
      <c r="F190" s="73" t="str">
        <f t="shared" si="11"/>
        <v/>
      </c>
      <c r="G190" s="385" t="str">
        <f>IF(H190="","",IF(AND(G141="",G142="",G143="",G144="",G145="",G146="",G147="",G148="",G149="",G150="",G151="",G152="",G153="",G154="",G155="",G156="",G157="",G158="",G159="",G160="",G161="",G162="",G163="",G164="",G165="",G166="",G167="",G168="",G169="",G170="",G171="",G172="",G173="",G174="",G175="",G176="",G177="",G178="",G179="",G180="",G181="",G182="",G183="",G184="",G185="",G186="",G187="",G188="",G189=""),"Craft",""))</f>
        <v/>
      </c>
      <c r="H190" s="12" t="str">
        <f>'9a-Optional'!BN24</f>
        <v/>
      </c>
      <c r="J190" s="262">
        <f>'9a-Optional'!BO24</f>
        <v>0</v>
      </c>
      <c r="K190" t="str">
        <f t="shared" si="12"/>
        <v/>
      </c>
    </row>
    <row r="191" spans="1:11" x14ac:dyDescent="0.3">
      <c r="A191" s="388" t="str">
        <f>IF(MAX(F:F)&lt;189,"",IF(INDEX(F:J,MATCH(189,F:F,0),2)=0,"",INDEX(F:J,MATCH(189,F:F,0),2)))</f>
        <v/>
      </c>
      <c r="B191" s="441" t="str">
        <f>IF(MAX(F:F)&lt;189,"",INDEX(F:J,MATCH(189,F:F,0),3))</f>
        <v/>
      </c>
      <c r="C191" s="4" t="str">
        <f>IF(MAX(F:F)&lt;189,"",INDEX(F:J,MATCH(189,F:F,0),4))</f>
        <v/>
      </c>
      <c r="D191" s="4" t="str">
        <f>IF(MAX(F:F)&lt;189,"",INDEX(F:J,MATCH(189,F:F,0),5))</f>
        <v/>
      </c>
      <c r="E191" s="73">
        <f t="shared" si="10"/>
        <v>9</v>
      </c>
      <c r="F191" s="73" t="str">
        <f t="shared" si="11"/>
        <v/>
      </c>
      <c r="G191" s="385" t="str">
        <f>IF(H191="","",IF(AND(G141="",G142="",G143="",G144="",G145="",G146="",G147="",G148="",G149="",G150="",G151="",G152="",G153="",G154="",G155="",G156="",G157="",G158="",G159="",G160="",G161="",G162="",G163="",G164="",G165="",G166="",G167="",G168="",G169="",G170="",G171="",G172="",G173="",G174="",G175="",G176="",G177="",G178="",G179="",G180="",G181="",G182="",G183="",G184="",G185="",G186="",G187="",G188="",G189="",G190=""),"Craft",""))</f>
        <v/>
      </c>
      <c r="H191" s="12" t="str">
        <f>'9a-Optional'!BN25</f>
        <v/>
      </c>
      <c r="J191" s="262">
        <f>'9a-Optional'!BO25</f>
        <v>0</v>
      </c>
      <c r="K191" t="str">
        <f t="shared" si="12"/>
        <v/>
      </c>
    </row>
    <row r="192" spans="1:11" x14ac:dyDescent="0.3">
      <c r="A192" s="388" t="str">
        <f>IF(MAX(F:F)&lt;190,"",IF(INDEX(F:J,MATCH(190,F:F,0),2)=0,"",INDEX(F:J,MATCH(190,F:F,0),2)))</f>
        <v/>
      </c>
      <c r="B192" s="441" t="str">
        <f>IF(MAX(F:F)&lt;190,"",INDEX(F:J,MATCH(190,F:F,0),3))</f>
        <v/>
      </c>
      <c r="C192" s="4" t="str">
        <f>IF(MAX(F:F)&lt;190,"",INDEX(F:J,MATCH(190,F:F,0),4))</f>
        <v/>
      </c>
      <c r="D192" s="4" t="str">
        <f>IF(MAX(F:F)&lt;190,"",INDEX(F:J,MATCH(190,F:F,0),5))</f>
        <v/>
      </c>
      <c r="E192" s="73">
        <f t="shared" si="10"/>
        <v>9</v>
      </c>
      <c r="F192" s="73" t="str">
        <f t="shared" si="11"/>
        <v/>
      </c>
      <c r="G192" s="385" t="str">
        <f>IF(H192="","",IF(AND(G141="",G142="",G143="",G144="",G145="",G146="",G147="",G148="",G149="",G150="",G151="",G152="",G153="",G154="",G155="",G156="",G157="",G158="",G159="",G160="",G161="",G162="",G163="",G164="",G165="",G166="",G167="",G168="",G169="",G170="",G171="",G172="",G173="",G174="",G175="",G176="",G177="",G178="",G179="",G180="",G181="",G182="",G183="",G184="",G185="",G186="",G187="",G188="",G189="",G190="",G191=""),"Craft",""))</f>
        <v/>
      </c>
      <c r="H192" s="12" t="str">
        <f>'9a-Optional'!BN26</f>
        <v/>
      </c>
      <c r="J192" s="262">
        <f>'9a-Optional'!BO26</f>
        <v>0</v>
      </c>
      <c r="K192" t="str">
        <f t="shared" si="12"/>
        <v/>
      </c>
    </row>
    <row r="193" spans="1:11" ht="15" customHeight="1" x14ac:dyDescent="0.3">
      <c r="A193" s="388" t="str">
        <f>IF(MAX(F:F)&lt;191,"",IF(INDEX(F:J,MATCH(191,F:F,0),2)=0,"",INDEX(F:J,MATCH(191,F:F,0),2)))</f>
        <v/>
      </c>
      <c r="B193" s="441" t="str">
        <f>IF(MAX(F:F)&lt;191,"",INDEX(F:J,MATCH(191,F:F,0),3))</f>
        <v/>
      </c>
      <c r="C193" s="4" t="str">
        <f>IF(MAX(F:F)&lt;191,"",INDEX(F:J,MATCH(191,F:F,0),4))</f>
        <v/>
      </c>
      <c r="D193" s="4" t="str">
        <f>IF(MAX(F:F)&lt;191,"",INDEX(F:J,MATCH(191,F:F,0),5))</f>
        <v/>
      </c>
      <c r="E193" s="73">
        <f t="shared" si="10"/>
        <v>9</v>
      </c>
      <c r="F193" s="73" t="str">
        <f t="shared" si="11"/>
        <v/>
      </c>
      <c r="G193" s="385" t="str">
        <f>IF(H193="","",IF(AND(G141="",G142="",G143="",G144="",G145="",G146="",G147="",G148="",G149="",G150="",G151="",G152="",G153="",G154="",G155="",G156="",G157="",G158="",G159="",G160="",G161="",G162="",G163="",G164="",G165="",G166="",G167="",G168="",G169="",G170="",G171="",G172="",G173="",G174="",G175="",G176="",G177="",G178="",G179="",G180="",G181="",G182="",G183="",G184="",G185="",G186="",G187="",G188="",G189="",G190="",G191="",G192=""),"Craft",""))</f>
        <v/>
      </c>
      <c r="H193" s="12" t="str">
        <f>'9a-Optional'!BN27</f>
        <v/>
      </c>
      <c r="J193" s="262">
        <f>'9a-Optional'!BO27</f>
        <v>0</v>
      </c>
      <c r="K193" t="str">
        <f t="shared" si="12"/>
        <v/>
      </c>
    </row>
    <row r="194" spans="1:11" x14ac:dyDescent="0.3">
      <c r="A194" s="388" t="str">
        <f>IF(MAX(F:F)&lt;192,"",IF(INDEX(F:J,MATCH(192,F:F,0),2)=0,"",INDEX(F:J,MATCH(192,F:F,0),2)))</f>
        <v/>
      </c>
      <c r="B194" s="441" t="str">
        <f>IF(MAX(F:F)&lt;192,"",INDEX(F:J,MATCH(192,F:F,0),3))</f>
        <v/>
      </c>
      <c r="C194" s="4" t="str">
        <f>IF(MAX(F:F)&lt;192,"",INDEX(F:J,MATCH(192,F:F,0),4))</f>
        <v/>
      </c>
      <c r="D194" s="4" t="str">
        <f>IF(MAX(F:F)&lt;192,"",INDEX(F:J,MATCH(192,F:F,0),5))</f>
        <v/>
      </c>
      <c r="E194" s="73">
        <f t="shared" si="10"/>
        <v>9</v>
      </c>
      <c r="F194" s="73" t="str">
        <f t="shared" si="11"/>
        <v/>
      </c>
      <c r="G194" s="385" t="str">
        <f>IF(H194="","",IF(AND(G141="",G142="",G143="",G144="",G145="",G146="",G147="",G148="",G149="",G150="",G151="",G152="",G153="",G154="",G155="",G156="",G157="",G158="",G159="",G160="",G161="",G162="",G163="",G164="",G165="",G166="",G167="",G168="",G169="",G170="",G171="",G172="",G173="",G174="",G175="",G176="",G177="",G178="",G179="",G180="",G181="",G182="",G183="",G184="",G185="",G186="",G187="",G188="",G189="",G190="",G191="",G192="",G193=""),"Craft",""))</f>
        <v/>
      </c>
      <c r="H194" s="12" t="str">
        <f>'9a-Optional'!BN28</f>
        <v/>
      </c>
      <c r="J194" s="262">
        <f>'9a-Optional'!BO28</f>
        <v>0</v>
      </c>
      <c r="K194" t="str">
        <f t="shared" si="12"/>
        <v/>
      </c>
    </row>
    <row r="195" spans="1:11" x14ac:dyDescent="0.3">
      <c r="A195" s="388" t="str">
        <f>IF(MAX(F:F)&lt;193,"",IF(INDEX(F:J,MATCH(193,F:F,0),2)=0,"",INDEX(F:J,MATCH(193,F:F,0),2)))</f>
        <v/>
      </c>
      <c r="B195" s="441" t="str">
        <f>IF(MAX(F:F)&lt;193,"",INDEX(F:J,MATCH(193,F:F,0),3))</f>
        <v/>
      </c>
      <c r="C195" s="4" t="str">
        <f>IF(MAX(F:F)&lt;193,"",INDEX(F:J,MATCH(193,F:F,0),4))</f>
        <v/>
      </c>
      <c r="D195" s="4" t="str">
        <f>IF(MAX(F:F)&lt;193,"",INDEX(F:J,MATCH(193,F:F,0),5))</f>
        <v/>
      </c>
      <c r="E195" s="73">
        <f t="shared" si="10"/>
        <v>9</v>
      </c>
      <c r="F195" s="73" t="str">
        <f t="shared" si="11"/>
        <v/>
      </c>
      <c r="G195" s="385" t="str">
        <f>IF(H195="","",IF(AND(G141="",G142="",G143="",G144="",G145="",G146="",G147="",G148="",G149="",G150="",G151="",G152="",G153="",G154="",G155="",G156="",G157="",G158="",G159="",G160="",G161="",G162="",G163="",G164="",G165="",G166="",G167="",G168="",G169="",G170="",G171="",G172="",G173="",G174="",G175="",G176="",G177="",G178="",G179="",G180="",G181="",G182="",G183="",G184="",G185="",G186="",G187="",G188="",G189="",G190="",G191="",G192="",G193="",G194=""),"Craft",""))</f>
        <v/>
      </c>
      <c r="H195" s="12" t="str">
        <f>'9a-Optional'!BN29</f>
        <v/>
      </c>
      <c r="J195" s="262">
        <f>'9a-Optional'!BO29</f>
        <v>0</v>
      </c>
      <c r="K195" t="str">
        <f t="shared" si="12"/>
        <v/>
      </c>
    </row>
    <row r="196" spans="1:11" x14ac:dyDescent="0.3">
      <c r="A196" s="388" t="str">
        <f>IF(MAX(F:F)&lt;194,"",IF(INDEX(F:J,MATCH(194,F:F,0),2)=0,"",INDEX(F:J,MATCH(194,F:F,0),2)))</f>
        <v/>
      </c>
      <c r="B196" s="441" t="str">
        <f>IF(MAX(F:F)&lt;194,"",INDEX(F:J,MATCH(194,F:F,0),3))</f>
        <v/>
      </c>
      <c r="C196" s="4" t="str">
        <f>IF(MAX(F:F)&lt;194,"",INDEX(F:J,MATCH(194,F:F,0),4))</f>
        <v/>
      </c>
      <c r="D196" s="4" t="str">
        <f>IF(MAX(F:F)&lt;194,"",INDEX(F:J,MATCH(194,F:F,0),5))</f>
        <v/>
      </c>
      <c r="E196" s="73">
        <f t="shared" si="10"/>
        <v>9</v>
      </c>
      <c r="F196" s="73" t="str">
        <f t="shared" si="11"/>
        <v/>
      </c>
      <c r="G196" s="386" t="str">
        <f>IF(H196="","",IF(AND(G141="",G142="",G143="",G144="",G145="",G146="",G147="",G148="",G149="",G150="",G151="",G152="",G153="",G154="",G155="",G156="",G157="",G158="",G159="",G160="",G161="",G162="",G163="",G164="",G165="",G166="",G167="",G168="",G169="",G170="",G171="",G172="",G173="",G174="",G175="",G176="",G177="",G178="",G179="",G180="",G181="",G182="",G183="",G184="",G185="",G186="",G187="",G188="",G189="",G190="",G191="",G192="",G193="",G194="",G195=""),"Craft",""))</f>
        <v/>
      </c>
      <c r="H196" s="12" t="str">
        <f>'9a-Optional'!BN30</f>
        <v/>
      </c>
      <c r="J196" s="262">
        <f>'9a-Optional'!BO30</f>
        <v>0</v>
      </c>
      <c r="K196" t="str">
        <f t="shared" si="12"/>
        <v/>
      </c>
    </row>
    <row r="197" spans="1:11" x14ac:dyDescent="0.3">
      <c r="A197" s="388" t="str">
        <f>IF(MAX(F:F)&lt;195,"",IF(INDEX(F:J,MATCH(195,F:F,0),2)=0,"",INDEX(F:J,MATCH(195,F:F,0),2)))</f>
        <v/>
      </c>
      <c r="B197" s="441" t="str">
        <f>IF(MAX(F:F)&lt;195,"",INDEX(F:J,MATCH(195,F:F,0),3))</f>
        <v/>
      </c>
      <c r="C197" s="4" t="str">
        <f>IF(MAX(F:F)&lt;195,"",INDEX(F:J,MATCH(195,F:F,0),4))</f>
        <v/>
      </c>
      <c r="D197" s="4" t="str">
        <f>IF(MAX(F:F)&lt;195,"",INDEX(F:J,MATCH(195,F:F,0),5))</f>
        <v/>
      </c>
      <c r="E197" s="73">
        <f t="shared" ref="E197:E236" si="13">IF(H197="",E196,E196+1)</f>
        <v>9</v>
      </c>
      <c r="F197" s="73" t="str">
        <f t="shared" ref="F197:F236" si="14">IF(E197=E196,"",E197)</f>
        <v/>
      </c>
      <c r="G197" s="389" t="str">
        <f>IF(H197="","","Systems")</f>
        <v/>
      </c>
      <c r="H197" s="379" t="str">
        <f>IF('9a-Optional'!H10=0,"",'9a-Optional'!A10&amp;": "&amp;'9a-Optional'!D10)</f>
        <v/>
      </c>
      <c r="I197" s="234">
        <f>'9a-Optional'!H10</f>
        <v>0</v>
      </c>
      <c r="J197" s="375">
        <f>'9a-Optional'!F10</f>
        <v>0</v>
      </c>
      <c r="K197" t="str">
        <f t="shared" ref="K197:K260" si="15">IF(B197="","",IF(A197="",K196,K196+1))</f>
        <v/>
      </c>
    </row>
    <row r="198" spans="1:11" x14ac:dyDescent="0.3">
      <c r="A198" s="388" t="str">
        <f>IF(MAX(F:F)&lt;196,"",IF(INDEX(F:J,MATCH(196,F:F,0),2)=0,"",INDEX(F:J,MATCH(196,F:F,0),2)))</f>
        <v/>
      </c>
      <c r="B198" s="441" t="str">
        <f>IF(MAX(F:F)&lt;196,"",INDEX(F:J,MATCH(196,F:F,0),3))</f>
        <v/>
      </c>
      <c r="C198" s="4" t="str">
        <f>IF(MAX(F:F)&lt;196,"",INDEX(F:J,MATCH(196,F:F,0),4))</f>
        <v/>
      </c>
      <c r="D198" s="4" t="str">
        <f>IF(MAX(F:F)&lt;196,"",INDEX(F:J,MATCH(196,F:F,0),5))</f>
        <v/>
      </c>
      <c r="E198" s="73">
        <f t="shared" si="13"/>
        <v>9</v>
      </c>
      <c r="F198" s="73" t="str">
        <f t="shared" si="14"/>
        <v/>
      </c>
      <c r="G198" s="385" t="str">
        <f>IF(H198="","",IF(G197="","Systems",""))</f>
        <v/>
      </c>
      <c r="H198" s="12" t="str">
        <f>IF('9a-Optional'!H11=0,"",'9a-Optional'!A11&amp;": "&amp;'9a-Optional'!D11)</f>
        <v/>
      </c>
      <c r="I198" s="4">
        <f>'9a-Optional'!H11</f>
        <v>0</v>
      </c>
      <c r="J198" s="262">
        <f>'9a-Optional'!F11</f>
        <v>0</v>
      </c>
      <c r="K198" t="str">
        <f t="shared" si="15"/>
        <v/>
      </c>
    </row>
    <row r="199" spans="1:11" x14ac:dyDescent="0.3">
      <c r="A199" s="388" t="str">
        <f>IF(MAX(F:F)&lt;197,"",IF(INDEX(F:J,MATCH(197,F:F,0),2)=0,"",INDEX(F:J,MATCH(197,F:F,0),2)))</f>
        <v/>
      </c>
      <c r="B199" s="441" t="str">
        <f>IF(MAX(F:F)&lt;197,"",INDEX(F:J,MATCH(197,F:F,0),3))</f>
        <v/>
      </c>
      <c r="C199" s="4" t="str">
        <f>IF(MAX(F:F)&lt;197,"",INDEX(F:J,MATCH(197,F:F,0),4))</f>
        <v/>
      </c>
      <c r="D199" s="4" t="str">
        <f>IF(MAX(F:F)&lt;197,"",INDEX(F:J,MATCH(197,F:F,0),5))</f>
        <v/>
      </c>
      <c r="E199" s="73">
        <f t="shared" si="13"/>
        <v>9</v>
      </c>
      <c r="F199" s="73" t="str">
        <f t="shared" si="14"/>
        <v/>
      </c>
      <c r="G199" s="385" t="str">
        <f>IF(H199="","",IF(AND(G197="",G198=""),"Systems",""))</f>
        <v/>
      </c>
      <c r="H199" s="12" t="str">
        <f>IF('9a-Optional'!H12=0,"",'9a-Optional'!A12&amp;": "&amp;'9a-Optional'!D12)</f>
        <v/>
      </c>
      <c r="I199" s="4">
        <f>'9a-Optional'!H12</f>
        <v>0</v>
      </c>
      <c r="J199" s="262">
        <f>'9a-Optional'!F12</f>
        <v>0</v>
      </c>
      <c r="K199" t="str">
        <f t="shared" si="15"/>
        <v/>
      </c>
    </row>
    <row r="200" spans="1:11" x14ac:dyDescent="0.3">
      <c r="A200" s="388" t="str">
        <f>IF(MAX(F:F)&lt;198,"",IF(INDEX(F:J,MATCH(198,F:F,0),2)=0,"",INDEX(F:J,MATCH(198,F:F,0),2)))</f>
        <v/>
      </c>
      <c r="B200" s="441" t="str">
        <f>IF(MAX(F:F)&lt;198,"",INDEX(F:J,MATCH(198,F:F,0),3))</f>
        <v/>
      </c>
      <c r="C200" s="4" t="str">
        <f>IF(MAX(F:F)&lt;198,"",INDEX(F:J,MATCH(198,F:F,0),4))</f>
        <v/>
      </c>
      <c r="D200" s="4" t="str">
        <f>IF(MAX(F:F)&lt;198,"",INDEX(F:J,MATCH(198,F:F,0),5))</f>
        <v/>
      </c>
      <c r="E200" s="73">
        <f t="shared" si="13"/>
        <v>9</v>
      </c>
      <c r="F200" s="73" t="str">
        <f t="shared" si="14"/>
        <v/>
      </c>
      <c r="G200" s="385" t="str">
        <f>IF(H200="","",IF(AND(G197="",G198="",G199=""),"Systems",""))</f>
        <v/>
      </c>
      <c r="H200" s="12" t="str">
        <f>IF('9a-Optional'!H13=0,"",'9a-Optional'!A13)</f>
        <v/>
      </c>
      <c r="I200" s="4">
        <f>'9a-Optional'!H13</f>
        <v>0</v>
      </c>
      <c r="J200" s="262">
        <f>'9a-Optional'!F13</f>
        <v>0</v>
      </c>
      <c r="K200" t="str">
        <f t="shared" si="15"/>
        <v/>
      </c>
    </row>
    <row r="201" spans="1:11" x14ac:dyDescent="0.3">
      <c r="A201" s="388" t="str">
        <f>IF(MAX(F:F)&lt;199,"",IF(INDEX(F:J,MATCH(199,F:F,0),2)=0,"",INDEX(F:J,MATCH(199,F:F,0),2)))</f>
        <v/>
      </c>
      <c r="B201" s="441" t="str">
        <f>IF(MAX(F:F)&lt;199,"",INDEX(F:J,MATCH(199,F:F,0),3))</f>
        <v/>
      </c>
      <c r="C201" s="4" t="str">
        <f>IF(MAX(F:F)&lt;199,"",INDEX(F:J,MATCH(199,F:F,0),4))</f>
        <v/>
      </c>
      <c r="D201" s="4" t="str">
        <f>IF(MAX(F:F)&lt;199,"",INDEX(F:J,MATCH(199,F:F,0),5))</f>
        <v/>
      </c>
      <c r="E201" s="73">
        <f t="shared" si="13"/>
        <v>9</v>
      </c>
      <c r="F201" s="73" t="str">
        <f t="shared" si="14"/>
        <v/>
      </c>
      <c r="G201" s="385" t="str">
        <f>IF(H201="","",IF(AND(G198="",G199="",G197="",G200=""),"Systems",""))</f>
        <v/>
      </c>
      <c r="H201" s="12" t="str">
        <f>IF('4-Fuel'!$U$4='4-Fuel'!$S$5,"","Fuel Scoops: "&amp;'4-Fuel'!$U$4)</f>
        <v/>
      </c>
      <c r="I201" s="4">
        <f>'4-Fuel'!H13</f>
        <v>0</v>
      </c>
      <c r="J201" s="262">
        <f>'4-Fuel'!$F$13</f>
        <v>0</v>
      </c>
      <c r="K201" t="str">
        <f t="shared" si="15"/>
        <v/>
      </c>
    </row>
    <row r="202" spans="1:11" x14ac:dyDescent="0.3">
      <c r="A202" s="388" t="str">
        <f>IF(MAX(F:F)&lt;200,"",IF(INDEX(F:J,MATCH(200,F:F,0),2)=0,"",INDEX(F:J,MATCH(200,F:F,0),2)))</f>
        <v/>
      </c>
      <c r="B202" s="441" t="str">
        <f>IF(MAX(F:F)&lt;200,"",INDEX(F:J,MATCH(200,F:F,0),3))</f>
        <v/>
      </c>
      <c r="C202" s="4" t="str">
        <f>IF(MAX(F:F)&lt;200,"",INDEX(F:J,MATCH(200,F:F,0),4))</f>
        <v/>
      </c>
      <c r="D202" s="4" t="str">
        <f>IF(MAX(F:F)&lt;200,"",INDEX(F:J,MATCH(200,F:F,0),5))</f>
        <v/>
      </c>
      <c r="E202" s="73">
        <f t="shared" si="13"/>
        <v>9</v>
      </c>
      <c r="F202" s="73" t="str">
        <f t="shared" si="14"/>
        <v/>
      </c>
      <c r="G202" s="385" t="str">
        <f>IF(H202="","",IF(AND(G199="",G200="",G198="",G197="",G201=""),"Systems",""))</f>
        <v/>
      </c>
      <c r="H202" s="12" t="str">
        <f>IF('4-Fuel'!$C$16=0,"",'4-Fuel'!$A$16&amp;" "&amp;TEXT('4-Fuel'!$B$16,"#,###")&amp;" Tons Per Day")</f>
        <v/>
      </c>
      <c r="I202" s="4">
        <f>'4-Fuel'!$H$16</f>
        <v>0</v>
      </c>
      <c r="J202" s="262">
        <f>'4-Fuel'!$F$16</f>
        <v>0</v>
      </c>
      <c r="K202" t="str">
        <f t="shared" si="15"/>
        <v/>
      </c>
    </row>
    <row r="203" spans="1:11" x14ac:dyDescent="0.3">
      <c r="A203" s="388" t="str">
        <f>IF(MAX(F:F)&lt;201,"",IF(INDEX(F:J,MATCH(201,F:F,0),2)=0,"",INDEX(F:J,MATCH(201,F:F,0),2)))</f>
        <v/>
      </c>
      <c r="B203" s="441" t="str">
        <f>IF(MAX(F:F)&lt;201,"",INDEX(F:J,MATCH(201,F:F,0),3))</f>
        <v/>
      </c>
      <c r="C203" s="4" t="str">
        <f>IF(MAX(F:F)&lt;201,"",INDEX(F:J,MATCH(201,F:F,0),4))</f>
        <v/>
      </c>
      <c r="D203" s="4" t="str">
        <f>IF(MAX(F:F)&lt;201,"",INDEX(F:J,MATCH(201,F:F,0),5))</f>
        <v/>
      </c>
      <c r="E203" s="73">
        <f t="shared" si="13"/>
        <v>9</v>
      </c>
      <c r="F203" s="73" t="str">
        <f t="shared" si="14"/>
        <v/>
      </c>
      <c r="G203" s="385" t="str">
        <f>IF(H203="","",IF(AND(G197="",G200="",G201="",G199="",G198="",G202=""),"Systems",""))</f>
        <v/>
      </c>
      <c r="H203" s="12" t="str">
        <f>IF('4-Fuel'!B18='4-Fuel'!S5,"",'4-Fuel'!A18&amp;" Rated at "&amp;'4-Fuel'!D19&amp;" Tons Per Week")</f>
        <v/>
      </c>
      <c r="I203" s="4">
        <f>'4-Fuel'!H18</f>
        <v>0</v>
      </c>
      <c r="J203" s="4">
        <f>'4-Fuel'!F18</f>
        <v>0</v>
      </c>
      <c r="K203" t="str">
        <f t="shared" si="15"/>
        <v/>
      </c>
    </row>
    <row r="204" spans="1:11" x14ac:dyDescent="0.3">
      <c r="A204" s="388" t="str">
        <f>IF(MAX(F:F)&lt;202,"",IF(INDEX(F:J,MATCH(202,F:F,0),2)=0,"",INDEX(F:J,MATCH(202,F:F,0),2)))</f>
        <v/>
      </c>
      <c r="B204" s="441" t="str">
        <f>IF(MAX(F:F)&lt;202,"",INDEX(F:J,MATCH(202,F:F,0),3))</f>
        <v/>
      </c>
      <c r="C204" s="4" t="str">
        <f>IF(MAX(F:F)&lt;202,"",INDEX(F:J,MATCH(202,F:F,0),4))</f>
        <v/>
      </c>
      <c r="D204" s="4" t="str">
        <f>IF(MAX(F:F)&lt;202,"",INDEX(F:J,MATCH(202,F:F,0),5))</f>
        <v/>
      </c>
      <c r="E204" s="73">
        <f t="shared" si="13"/>
        <v>9</v>
      </c>
      <c r="F204" s="73" t="str">
        <f t="shared" si="14"/>
        <v/>
      </c>
      <c r="G204" s="385" t="str">
        <f>IF(H204="","",IF(AND(G197="",G198="",G201="",G202="",G199="",G200="",G203=""),"Systems",""))</f>
        <v/>
      </c>
      <c r="H204" s="12" t="str">
        <f>IF('9a-Optional'!H17=0,"",TEXT('9a-Optional'!C17,"#,###")&amp;"x "&amp;'9a-Optional'!A17&amp;IF('9a-Optional'!C19="No","",", Combined with Forced Linkage"))</f>
        <v/>
      </c>
      <c r="I204" s="4">
        <f>'9a-Optional'!H17</f>
        <v>0</v>
      </c>
      <c r="J204" s="262">
        <f>'9a-Optional'!F17</f>
        <v>0</v>
      </c>
      <c r="K204" t="str">
        <f t="shared" si="15"/>
        <v/>
      </c>
    </row>
    <row r="205" spans="1:11" x14ac:dyDescent="0.3">
      <c r="A205" s="388" t="str">
        <f>IF(MAX(F:F)&lt;203,"",IF(INDEX(F:J,MATCH(203,F:F,0),2)=0,"",INDEX(F:J,MATCH(203,F:F,0),2)))</f>
        <v/>
      </c>
      <c r="B205" s="441" t="str">
        <f>IF(MAX(F:F)&lt;203,"",INDEX(F:J,MATCH(203,F:F,0),3))</f>
        <v/>
      </c>
      <c r="C205" s="4" t="str">
        <f>IF(MAX(F:F)&lt;203,"",INDEX(F:J,MATCH(203,F:F,0),4))</f>
        <v/>
      </c>
      <c r="D205" s="4" t="str">
        <f>IF(MAX(F:F)&lt;203,"",INDEX(F:J,MATCH(203,F:F,0),5))</f>
        <v/>
      </c>
      <c r="E205" s="73">
        <f t="shared" si="13"/>
        <v>9</v>
      </c>
      <c r="F205" s="73" t="str">
        <f t="shared" si="14"/>
        <v/>
      </c>
      <c r="G205" s="385" t="str">
        <f>IF(H205="","",IF(AND(G197="",G198="",G199="",G200="",G201="",G202="",G204="",G203=""),"Systems",""))</f>
        <v/>
      </c>
      <c r="H205" s="12" t="str">
        <f>IF('9a-Optional'!H18=0,"",TEXT('9a-Optional'!C18,"#,###")&amp;"x "&amp;"TL"&amp;'9a-Optional'!E18&amp;" "&amp;'9a-Optional'!A18)</f>
        <v/>
      </c>
      <c r="I205" s="4">
        <f>'9a-Optional'!H18</f>
        <v>0</v>
      </c>
      <c r="J205" s="262">
        <f>'9a-Optional'!F18</f>
        <v>0</v>
      </c>
      <c r="K205" t="str">
        <f t="shared" si="15"/>
        <v/>
      </c>
    </row>
    <row r="206" spans="1:11" x14ac:dyDescent="0.3">
      <c r="A206" s="388" t="str">
        <f>IF(MAX(F:F)&lt;204,"",IF(INDEX(F:J,MATCH(204,F:F,0),2)=0,"",INDEX(F:J,MATCH(204,F:F,0),2)))</f>
        <v/>
      </c>
      <c r="B206" s="441" t="str">
        <f>IF(MAX(F:F)&lt;204,"",INDEX(F:J,MATCH(204,F:F,0),3))</f>
        <v/>
      </c>
      <c r="C206" s="4" t="str">
        <f>IF(MAX(F:F)&lt;204,"",INDEX(F:J,MATCH(204,F:F,0),4))</f>
        <v/>
      </c>
      <c r="D206" s="4" t="str">
        <f>IF(MAX(F:F)&lt;204,"",INDEX(F:J,MATCH(204,F:F,0),5))</f>
        <v/>
      </c>
      <c r="E206" s="73">
        <f t="shared" si="13"/>
        <v>9</v>
      </c>
      <c r="F206" s="73" t="str">
        <f t="shared" si="14"/>
        <v/>
      </c>
      <c r="G206" s="385" t="str">
        <f>IF(H206="","",IF(AND(G197="",G198="",G199="",G200="",G201="",G202="",G204="",G205="",G203=""),"Systems",""))</f>
        <v/>
      </c>
      <c r="H206" s="12" t="str">
        <f>IF('9a-Optional'!H20=0,"",TEXT('9a-Optional'!C20,"#,###")&amp;"x "&amp;'9a-Optional'!A20)</f>
        <v/>
      </c>
      <c r="I206" s="4">
        <f>'9a-Optional'!H20</f>
        <v>0</v>
      </c>
      <c r="J206" s="262">
        <f>'9a-Optional'!F20</f>
        <v>0</v>
      </c>
      <c r="K206" t="str">
        <f t="shared" si="15"/>
        <v/>
      </c>
    </row>
    <row r="207" spans="1:11" x14ac:dyDescent="0.3">
      <c r="A207" s="388" t="str">
        <f>IF(MAX(F:F)&lt;205,"",IF(INDEX(F:J,MATCH(205,F:F,0),2)=0,"",INDEX(F:J,MATCH(205,F:F,0),2)))</f>
        <v/>
      </c>
      <c r="B207" s="441" t="str">
        <f>IF(MAX(F:F)&lt;205,"",INDEX(F:J,MATCH(205,F:F,0),3))</f>
        <v/>
      </c>
      <c r="C207" s="4" t="str">
        <f>IF(MAX(F:F)&lt;205,"",INDEX(F:J,MATCH(205,F:F,0),4))</f>
        <v/>
      </c>
      <c r="D207" s="4" t="str">
        <f>IF(MAX(F:F)&lt;205,"",INDEX(F:J,MATCH(205,F:F,0),5))</f>
        <v/>
      </c>
      <c r="E207" s="73">
        <f t="shared" si="13"/>
        <v>9</v>
      </c>
      <c r="F207" s="73" t="str">
        <f t="shared" si="14"/>
        <v/>
      </c>
      <c r="G207" s="385" t="str">
        <f>IF(H207="","",IF(AND(G197="",G198="",G199="",G200="",G201="",G202="",G203="",G204="",G205="",G206=""),"Systems",""))</f>
        <v/>
      </c>
      <c r="H207" s="12" t="str">
        <f>IF('9a-Optional'!H21=0,"",TEXT('9a-Optional'!C21,"#,###")&amp;"x "&amp;'9a-Optional'!A21)</f>
        <v/>
      </c>
      <c r="I207" s="4">
        <f>'9a-Optional'!H21</f>
        <v>0</v>
      </c>
      <c r="J207" s="262">
        <f>'9a-Optional'!F21</f>
        <v>0</v>
      </c>
      <c r="K207" t="str">
        <f t="shared" si="15"/>
        <v/>
      </c>
    </row>
    <row r="208" spans="1:11" x14ac:dyDescent="0.3">
      <c r="A208" s="388" t="str">
        <f>IF(MAX(F:F)&lt;206,"",IF(INDEX(F:J,MATCH(206,F:F,0),2)=0,"",INDEX(F:J,MATCH(206,F:F,0),2)))</f>
        <v/>
      </c>
      <c r="B208" s="441" t="str">
        <f>IF(MAX(F:F)&lt;206,"",INDEX(F:J,MATCH(206,F:F,0),3))</f>
        <v/>
      </c>
      <c r="C208" s="4" t="str">
        <f>IF(MAX(F:F)&lt;206,"",INDEX(F:J,MATCH(206,F:F,0),4))</f>
        <v/>
      </c>
      <c r="D208" s="4" t="str">
        <f>IF(MAX(F:F)&lt;206,"",INDEX(F:J,MATCH(206,F:F,0),5))</f>
        <v/>
      </c>
      <c r="E208" s="73">
        <f t="shared" si="13"/>
        <v>9</v>
      </c>
      <c r="F208" s="73" t="str">
        <f t="shared" si="14"/>
        <v/>
      </c>
      <c r="G208" s="385" t="str">
        <f>IF(H208="","",IF(AND(G197="",G198="",G199="",G200="",G201="",G202="",G203="",G204="",G205="",G206="",G207=""),"Systems",""))</f>
        <v/>
      </c>
      <c r="H208" s="12" t="str">
        <f>IF('9a-Optional'!H22=0,"",TEXT('9a-Optional'!C22,"#,###")&amp;"x "&amp;'9a-Optional'!A22)</f>
        <v/>
      </c>
      <c r="I208" s="4">
        <f>'9a-Optional'!H22</f>
        <v>0</v>
      </c>
      <c r="J208" s="262">
        <f>'9a-Optional'!F22</f>
        <v>0</v>
      </c>
      <c r="K208" t="str">
        <f t="shared" si="15"/>
        <v/>
      </c>
    </row>
    <row r="209" spans="1:11" x14ac:dyDescent="0.3">
      <c r="A209" s="388" t="str">
        <f>IF(MAX(F:F)&lt;207,"",IF(INDEX(F:J,MATCH(207,F:F,0),2)=0,"",INDEX(F:J,MATCH(207,F:F,0),2)))</f>
        <v/>
      </c>
      <c r="B209" s="441" t="str">
        <f>IF(MAX(F:F)&lt;207,"",INDEX(F:J,MATCH(207,F:F,0),3))</f>
        <v/>
      </c>
      <c r="C209" s="4" t="str">
        <f>IF(MAX(F:F)&lt;207,"",INDEX(F:J,MATCH(207,F:F,0),4))</f>
        <v/>
      </c>
      <c r="D209" s="4" t="str">
        <f>IF(MAX(F:F)&lt;207,"",INDEX(F:J,MATCH(207,F:F,0),5))</f>
        <v/>
      </c>
      <c r="E209" s="73">
        <f t="shared" si="13"/>
        <v>9</v>
      </c>
      <c r="F209" s="73" t="str">
        <f t="shared" si="14"/>
        <v/>
      </c>
      <c r="G209" s="385" t="str">
        <f>IF(H209="","",IF(AND(G197="",G198="",G199="",G200="",G201="",G202="",G203="",G204="",G205="",G206="",G207="",G208=""),"Systems",""))</f>
        <v/>
      </c>
      <c r="H209" s="12" t="str">
        <f>IF('9a-Optional'!H23=0,"",'9a-Optional'!A23&amp;": "&amp;'9a-Optional'!D23)</f>
        <v/>
      </c>
      <c r="I209" s="4">
        <f>'9a-Optional'!H23</f>
        <v>0</v>
      </c>
      <c r="J209" s="262">
        <f>'9a-Optional'!F23</f>
        <v>0</v>
      </c>
      <c r="K209" t="str">
        <f t="shared" si="15"/>
        <v/>
      </c>
    </row>
    <row r="210" spans="1:11" x14ac:dyDescent="0.3">
      <c r="A210" s="388" t="str">
        <f>IF(MAX(F:F)&lt;208,"",IF(INDEX(F:J,MATCH(208,F:F,0),2)=0,"",INDEX(F:J,MATCH(208,F:F,0),2)))</f>
        <v/>
      </c>
      <c r="B210" s="441" t="str">
        <f>IF(MAX(F:F)&lt;208,"",INDEX(F:J,MATCH(208,F:F,0),3))</f>
        <v/>
      </c>
      <c r="C210" s="4" t="str">
        <f>IF(MAX(F:F)&lt;208,"",INDEX(F:J,MATCH(208,F:F,0),4))</f>
        <v/>
      </c>
      <c r="D210" s="4" t="str">
        <f>IF(MAX(F:F)&lt;208,"",INDEX(F:J,MATCH(208,F:F,0),5))</f>
        <v/>
      </c>
      <c r="E210" s="73">
        <f t="shared" si="13"/>
        <v>9</v>
      </c>
      <c r="F210" s="73" t="str">
        <f t="shared" si="14"/>
        <v/>
      </c>
      <c r="G210" s="385" t="str">
        <f>IF(H210="","",IF(AND(G197="",G198="",G199="",G200="",G201="",G202="",G203="",G204="",G205="",G206="",G207="",G208="",G209=""),"Systems",""))</f>
        <v/>
      </c>
      <c r="H210" s="12" t="str">
        <f>IF(AND('9a-Optional'!AI66&gt;0,'9a-Optional'!C24&gt;0),"GP Mass Driver Total Capacity "&amp;TEXT(50*'9a-Optional'!AI66+('9a-Optional'!C24/2),"#,##0.00")&amp;" tons","")</f>
        <v/>
      </c>
      <c r="I210" s="4">
        <f>'9a-Optional'!H24</f>
        <v>0</v>
      </c>
      <c r="J210" s="4">
        <f>'9a-Optional'!F24</f>
        <v>0</v>
      </c>
      <c r="K210" t="str">
        <f t="shared" si="15"/>
        <v/>
      </c>
    </row>
    <row r="211" spans="1:11" x14ac:dyDescent="0.3">
      <c r="A211" s="388" t="str">
        <f>IF(MAX(F:F)&lt;209,"",IF(INDEX(F:J,MATCH(209,F:F,0),2)=0,"",INDEX(F:J,MATCH(209,F:F,0),2)))</f>
        <v/>
      </c>
      <c r="B211" s="441" t="str">
        <f>IF(MAX(F:F)&lt;209,"",INDEX(F:J,MATCH(209,F:F,0),3))</f>
        <v/>
      </c>
      <c r="C211" s="4" t="str">
        <f>IF(MAX(F:F)&lt;209,"",INDEX(F:J,MATCH(209,F:F,0),4))</f>
        <v/>
      </c>
      <c r="D211" s="4" t="str">
        <f>IF(MAX(F:F)&lt;209,"",INDEX(F:J,MATCH(209,F:F,0),5))</f>
        <v/>
      </c>
      <c r="E211" s="73">
        <f t="shared" si="13"/>
        <v>9</v>
      </c>
      <c r="F211" s="73" t="str">
        <f t="shared" si="14"/>
        <v/>
      </c>
      <c r="G211" s="388" t="str">
        <f>IF(H210="","",IF(AND(G197="",G198="",G199="",G200="",G201="",G202="",G203="",G204="",G205="",G206="",G207="",G208="",G209="",G210=""),"Systems",""))</f>
        <v/>
      </c>
      <c r="H211" s="12" t="str">
        <f>IF('9a-Optional'!F25=0,"",'9a-Optional'!C25&amp;" Dton "&amp;'9a-Optional'!B25&amp;" "&amp;'9a-Optional'!A25)</f>
        <v/>
      </c>
      <c r="I211" s="4">
        <f>'9a-Optional'!H25</f>
        <v>0</v>
      </c>
      <c r="J211" s="4">
        <f>'9a-Optional'!F25</f>
        <v>0</v>
      </c>
      <c r="K211" t="str">
        <f t="shared" si="15"/>
        <v/>
      </c>
    </row>
    <row r="212" spans="1:11" x14ac:dyDescent="0.3">
      <c r="A212" s="388" t="str">
        <f>IF(MAX(F:F)&lt;210,"",IF(INDEX(F:J,MATCH(210,F:F,0),2)=0,"",INDEX(F:J,MATCH(210,F:F,0),2)))</f>
        <v/>
      </c>
      <c r="B212" s="441" t="str">
        <f>IF(MAX(F:F)&lt;210,"",INDEX(F:J,MATCH(210,F:F,0),3))</f>
        <v/>
      </c>
      <c r="C212" s="4" t="str">
        <f>IF(MAX(F:F)&lt;210,"",INDEX(F:J,MATCH(210,F:F,0),4))</f>
        <v/>
      </c>
      <c r="D212" s="4" t="str">
        <f>IF(MAX(F:F)&lt;210,"",INDEX(F:J,MATCH(210,F:F,0),5))</f>
        <v/>
      </c>
      <c r="E212" s="73">
        <f t="shared" si="13"/>
        <v>10</v>
      </c>
      <c r="F212" s="73">
        <f t="shared" si="14"/>
        <v>10</v>
      </c>
      <c r="G212" s="385" t="str">
        <f>IF(H212="","",IF(AND(G197="",G198="",G199="",G200="",G201="",G202="",G203="",G204="",G205="",G206="",G207="",G208="",G210="",G209="",G211=""),"Systems",""))</f>
        <v>Systems</v>
      </c>
      <c r="H212" s="12" t="str">
        <f>IF('9a-Optional'!B29=" Not Installed","",TEXT('9a-Optional'!C29,"#,###")&amp;"x "&amp;'9a-Optional'!D29&amp;" ton Airlock"&amp;IF(OR('9a-Optional'!I29=0,'9a-Optional'!I29=""),"",": "&amp;'9a-Optional'!I29)&amp;" "&amp;IF('9a-Optional'!B29='9a-Optional'!$AG$21,"",": "&amp;LEFT('9a-Optional'!B29,4)&amp;" Defense"))</f>
        <v xml:space="preserve">1x 2 ton Airlock </v>
      </c>
      <c r="I212" s="4">
        <f>'9a-Optional'!H29</f>
        <v>0</v>
      </c>
      <c r="J212" s="262">
        <f>'9a-Optional'!F29</f>
        <v>0</v>
      </c>
      <c r="K212" t="str">
        <f t="shared" si="15"/>
        <v/>
      </c>
    </row>
    <row r="213" spans="1:11" x14ac:dyDescent="0.3">
      <c r="A213" s="388" t="str">
        <f>IF(MAX(F:F)&lt;211,"",IF(INDEX(F:J,MATCH(211,F:F,0),2)=0,"",INDEX(F:J,MATCH(211,F:F,0),2)))</f>
        <v/>
      </c>
      <c r="B213" s="441" t="str">
        <f>IF(MAX(F:F)&lt;211,"",INDEX(F:J,MATCH(211,F:F,0),3))</f>
        <v/>
      </c>
      <c r="C213" s="4" t="str">
        <f>IF(MAX(F:F)&lt;211,"",INDEX(F:J,MATCH(211,F:F,0),4))</f>
        <v/>
      </c>
      <c r="D213" s="4" t="str">
        <f>IF(MAX(F:F)&lt;211,"",INDEX(F:J,MATCH(211,F:F,0),5))</f>
        <v/>
      </c>
      <c r="E213" s="73">
        <f t="shared" si="13"/>
        <v>10</v>
      </c>
      <c r="F213" s="73" t="str">
        <f t="shared" si="14"/>
        <v/>
      </c>
      <c r="G213" s="385" t="str">
        <f>IF(H213="","",IF(AND(G197="",G198="",G199="",G200="",G201="",G202="",G203="",G204="",G205="",G206="",G207="",G208="",G209="",G210="",G211="",G212=""),"Systems",""))</f>
        <v/>
      </c>
      <c r="H213" s="12" t="str">
        <f>IF('9a-Optional'!B30=" Not Installed","",TEXT('9a-Optional'!C30,"#,###")&amp;"x "&amp;'9a-Optional'!D30&amp;" ton Airlock"&amp;IF(OR('9a-Optional'!I30=0,'9a-Optional'!I30=""),"",": "&amp;'9a-Optional'!I30)&amp;" "&amp;IF('9a-Optional'!B30='9a-Optional'!$AG$21,"",": "&amp;LEFT('9a-Optional'!B30,4)&amp;" Defense"))</f>
        <v/>
      </c>
      <c r="I213" s="4">
        <f>'9a-Optional'!H30</f>
        <v>0</v>
      </c>
      <c r="J213" s="262">
        <f>'9a-Optional'!F30</f>
        <v>0</v>
      </c>
      <c r="K213" t="str">
        <f t="shared" si="15"/>
        <v/>
      </c>
    </row>
    <row r="214" spans="1:11" x14ac:dyDescent="0.3">
      <c r="A214" s="388" t="str">
        <f>IF(MAX(F:F)&lt;212,"",IF(INDEX(F:J,MATCH(212,F:F,0),2)=0,"",INDEX(F:J,MATCH(212,F:F,0),2)))</f>
        <v/>
      </c>
      <c r="B214" s="441" t="str">
        <f>IF(MAX(F:F)&lt;212,"",INDEX(F:J,MATCH(212,F:F,0),3))</f>
        <v/>
      </c>
      <c r="C214" s="4" t="str">
        <f>IF(MAX(F:F)&lt;212,"",INDEX(F:J,MATCH(212,F:F,0),4))</f>
        <v/>
      </c>
      <c r="D214" s="4" t="str">
        <f>IF(MAX(F:F)&lt;212,"",INDEX(F:J,MATCH(212,F:F,0),5))</f>
        <v/>
      </c>
      <c r="E214" s="73">
        <f t="shared" si="13"/>
        <v>10</v>
      </c>
      <c r="F214" s="73" t="str">
        <f t="shared" si="14"/>
        <v/>
      </c>
      <c r="G214" s="385" t="str">
        <f>IF(H214="","",IF(AND(G197="",G198="",G199="",G200="",G201="",G202="",G203="",G204="",G205="",G206="",G207="",G208="",G209="",G210="",G211="",G212="",G213=""),"Systems",""))</f>
        <v/>
      </c>
      <c r="H214" s="12" t="str">
        <f>IF('9a-Optional'!B31=" Not Installed","",TEXT('9a-Optional'!C31,"#,###")&amp;"x "&amp;'9a-Optional'!D31&amp;" ton Airlock"&amp;IF(OR('9a-Optional'!I31=0,'9a-Optional'!I31=""),"",": "&amp;'9a-Optional'!I31)&amp;" "&amp;IF('9a-Optional'!B31='9a-Optional'!$AG$21,"",": "&amp;LEFT('9a-Optional'!B31,4)&amp;" Defense"))</f>
        <v/>
      </c>
      <c r="I214" s="4">
        <f>'9a-Optional'!H31</f>
        <v>0</v>
      </c>
      <c r="J214" s="262">
        <f>'9a-Optional'!F31</f>
        <v>0</v>
      </c>
      <c r="K214" t="str">
        <f t="shared" si="15"/>
        <v/>
      </c>
    </row>
    <row r="215" spans="1:11" x14ac:dyDescent="0.3">
      <c r="A215" s="388" t="str">
        <f>IF(MAX(F:F)&lt;213,"",IF(INDEX(F:J,MATCH(213,F:F,0),2)=0,"",INDEX(F:J,MATCH(213,F:F,0),2)))</f>
        <v/>
      </c>
      <c r="B215" s="441" t="str">
        <f>IF(MAX(F:F)&lt;213,"",INDEX(F:J,MATCH(213,F:F,0),3))</f>
        <v/>
      </c>
      <c r="C215" s="4" t="str">
        <f>IF(MAX(F:F)&lt;213,"",INDEX(F:J,MATCH(213,F:F,0),4))</f>
        <v/>
      </c>
      <c r="D215" s="4" t="str">
        <f>IF(MAX(F:F)&lt;213,"",INDEX(F:J,MATCH(213,F:F,0),5))</f>
        <v/>
      </c>
      <c r="E215" s="73">
        <f t="shared" si="13"/>
        <v>10</v>
      </c>
      <c r="F215" s="73" t="str">
        <f t="shared" si="14"/>
        <v/>
      </c>
      <c r="G215" s="385" t="str">
        <f>IF(H215="","",IF(AND(G197="",G198="",G199="",G200="",G201="",G202="",G203="",G204="",G205="",G206="",G207="",G208="",G209="",G210="",G211="",G212="",G213="",G214=""),"Systems",""))</f>
        <v/>
      </c>
      <c r="H215" s="12" t="str">
        <f>IF('9a-Optional'!B32=" Not Installed","",TEXT('9a-Optional'!C32,"#,###")&amp;"x "&amp;'9a-Optional'!D32&amp;" ton Airlock"&amp;IF(OR('9a-Optional'!I32=0,'9a-Optional'!I32=""),"",": "&amp;'9a-Optional'!I32)&amp;" "&amp;IF('9a-Optional'!B32='9a-Optional'!$AG$21,"",": "&amp;LEFT('9a-Optional'!B32,4)&amp;" Defense"))</f>
        <v/>
      </c>
      <c r="I215" s="4">
        <f>'9a-Optional'!H32</f>
        <v>0</v>
      </c>
      <c r="J215" s="262">
        <f>'9a-Optional'!F32</f>
        <v>0</v>
      </c>
      <c r="K215" t="str">
        <f t="shared" si="15"/>
        <v/>
      </c>
    </row>
    <row r="216" spans="1:11" x14ac:dyDescent="0.3">
      <c r="A216" s="388" t="str">
        <f>IF(MAX(F:F)&lt;214,"",IF(INDEX(F:J,MATCH(214,F:F,0),2)=0,"",INDEX(F:J,MATCH(214,F:F,0),2)))</f>
        <v/>
      </c>
      <c r="B216" s="441" t="str">
        <f>IF(MAX(F:F)&lt;214,"",INDEX(F:J,MATCH(214,F:F,0),3))</f>
        <v/>
      </c>
      <c r="C216" s="4" t="str">
        <f>IF(MAX(F:F)&lt;214,"",INDEX(F:J,MATCH(214,F:F,0),4))</f>
        <v/>
      </c>
      <c r="D216" s="4" t="str">
        <f>IF(MAX(F:F)&lt;214,"",INDEX(F:J,MATCH(214,F:F,0),5))</f>
        <v/>
      </c>
      <c r="E216" s="73">
        <f t="shared" si="13"/>
        <v>10</v>
      </c>
      <c r="F216" s="73" t="str">
        <f t="shared" si="14"/>
        <v/>
      </c>
      <c r="G216" s="385" t="str">
        <f>IF(H216="","",IF(AND(G197="",G198="",G199="",G200="",G201="",G202="",G203="",G204="",G205="",G206="",G207="",G208="",G209="",G210="",G211="",G212="",G213="",G214="",G215=""),"Systems",""))</f>
        <v/>
      </c>
      <c r="H216" s="12" t="str">
        <f>IF('9a-Optional'!B33=" Not Installed","",TEXT('9a-Optional'!C33,"#,###")&amp;"x "&amp;'9a-Optional'!D33&amp;" ton Airlock"&amp;IF(OR('9a-Optional'!I33=0,'9a-Optional'!I33=""),"",": "&amp;'9a-Optional'!I33)&amp;" "&amp;IF('9a-Optional'!B33='9a-Optional'!$AG$21,"",": "&amp;LEFT('9a-Optional'!B33,4)&amp;" Defense"))</f>
        <v/>
      </c>
      <c r="I216" s="4">
        <f>'9a-Optional'!H33</f>
        <v>0</v>
      </c>
      <c r="J216" s="262">
        <f>'9a-Optional'!F33</f>
        <v>0</v>
      </c>
      <c r="K216" t="str">
        <f t="shared" si="15"/>
        <v/>
      </c>
    </row>
    <row r="217" spans="1:11" x14ac:dyDescent="0.3">
      <c r="A217" s="388" t="str">
        <f>IF(MAX(F:F)&lt;215,"",IF(INDEX(F:J,MATCH(215,F:F,0),2)=0,"",INDEX(F:J,MATCH(215,F:F,0),2)))</f>
        <v/>
      </c>
      <c r="B217" s="441" t="str">
        <f>IF(MAX(F:F)&lt;215,"",INDEX(F:J,MATCH(215,F:F,0),3))</f>
        <v/>
      </c>
      <c r="C217" s="4" t="str">
        <f>IF(MAX(F:F)&lt;215,"",INDEX(F:J,MATCH(215,F:F,0),4))</f>
        <v/>
      </c>
      <c r="D217" s="4" t="str">
        <f>IF(MAX(F:F)&lt;215,"",INDEX(F:J,MATCH(215,F:F,0),5))</f>
        <v/>
      </c>
      <c r="E217" s="73">
        <f t="shared" si="13"/>
        <v>10</v>
      </c>
      <c r="F217" s="73" t="str">
        <f t="shared" si="14"/>
        <v/>
      </c>
      <c r="G217" s="385" t="str">
        <f>IF(H217="","",IF(AND(G197="",G198="",G199="",G200="",G201="",G202="",G203="",G204="",G205="",G206="",G207="",G208="",G209="",G210="",G211="",G212="",G213="",G214="",G215="",G216=""),"Systems",""))</f>
        <v/>
      </c>
      <c r="H217" s="12" t="str">
        <f>IF('9a-Optional'!B34=" Not Installed","",TEXT('9a-Optional'!C34,"#,###")&amp;"x "&amp;'9a-Optional'!D34&amp;" ton Airlock"&amp;IF(OR('9a-Optional'!I34=0,'9a-Optional'!I34=""),"",": "&amp;'9a-Optional'!I34)&amp;" "&amp;IF('9a-Optional'!B34='9a-Optional'!$AG$21,"",": "&amp;LEFT('9a-Optional'!B34,4)&amp;" Defense"))</f>
        <v/>
      </c>
      <c r="I217" s="4">
        <f>'9a-Optional'!H34</f>
        <v>0</v>
      </c>
      <c r="J217" s="262">
        <f>'9a-Optional'!F34</f>
        <v>0</v>
      </c>
      <c r="K217" t="str">
        <f t="shared" si="15"/>
        <v/>
      </c>
    </row>
    <row r="218" spans="1:11" x14ac:dyDescent="0.3">
      <c r="A218" s="388" t="str">
        <f>IF(MAX(F:F)&lt;216,"",IF(INDEX(F:J,MATCH(216,F:F,0),2)=0,"",INDEX(F:J,MATCH(216,F:F,0),2)))</f>
        <v/>
      </c>
      <c r="B218" s="441" t="str">
        <f>IF(MAX(F:F)&lt;216,"",INDEX(F:J,MATCH(216,F:F,0),3))</f>
        <v/>
      </c>
      <c r="C218" s="4" t="str">
        <f>IF(MAX(F:F)&lt;216,"",INDEX(F:J,MATCH(216,F:F,0),4))</f>
        <v/>
      </c>
      <c r="D218" s="4" t="str">
        <f>IF(MAX(F:F)&lt;216,"",INDEX(F:J,MATCH(216,F:F,0),5))</f>
        <v/>
      </c>
      <c r="E218" s="73">
        <f t="shared" si="13"/>
        <v>10</v>
      </c>
      <c r="F218" s="73" t="str">
        <f t="shared" si="14"/>
        <v/>
      </c>
      <c r="G218" s="385" t="str">
        <f>IF(H218="","",IF(AND(G197="",G198="",G199="",G200="",G201="",G202="",G203="",G204="",G205="",G206="",G207="",G208="",G209="",G210="",G211="",G212="",G213="",G214="",G215="",G216="",G217=""),"Systems",""))</f>
        <v/>
      </c>
      <c r="H218" s="12" t="str">
        <f>IF('9b-Optional'!C10=0,"",TEXT('9b-Optional'!C10,"#,###")&amp;"x "&amp;'9b-Optional'!B10)</f>
        <v/>
      </c>
      <c r="I218" s="4">
        <f>'9b-Optional'!H10</f>
        <v>0</v>
      </c>
      <c r="J218" s="262">
        <f>'9b-Optional'!F10</f>
        <v>0</v>
      </c>
      <c r="K218" t="str">
        <f t="shared" si="15"/>
        <v/>
      </c>
    </row>
    <row r="219" spans="1:11" x14ac:dyDescent="0.3">
      <c r="A219" s="388" t="str">
        <f>IF(MAX(F:F)&lt;217,"",IF(INDEX(F:J,MATCH(217,F:F,0),2)=0,"",INDEX(F:J,MATCH(217,F:F,0),2)))</f>
        <v/>
      </c>
      <c r="B219" s="441" t="str">
        <f>IF(MAX(F:F)&lt;217,"",INDEX(F:J,MATCH(217,F:F,0),3))</f>
        <v/>
      </c>
      <c r="C219" s="4" t="str">
        <f>IF(MAX(F:F)&lt;217,"",INDEX(F:J,MATCH(217,F:F,0),4))</f>
        <v/>
      </c>
      <c r="D219" s="4" t="str">
        <f>IF(MAX(F:F)&lt;217,"",INDEX(F:J,MATCH(217,F:F,0),5))</f>
        <v/>
      </c>
      <c r="E219" s="73">
        <f t="shared" si="13"/>
        <v>10</v>
      </c>
      <c r="F219" s="73" t="str">
        <f t="shared" si="14"/>
        <v/>
      </c>
      <c r="G219" s="385" t="str">
        <f>IF(H219="","",IF(AND(G197="",G198="",G199="",G200="",G201="",G202="",G203="",G204="",G205="",G206="",G207="",G208="",G209="",G210="",G211="",G212="",G213="",G214="",G215="",G216="",G217="",G218=""),"Systems",""))</f>
        <v/>
      </c>
      <c r="H219" s="12" t="str">
        <f>IF('9b-Optional'!C11=0,"",TEXT('9b-Optional'!C11,"#,###")&amp;"x "&amp;'9b-Optional'!B11)</f>
        <v/>
      </c>
      <c r="I219" s="4">
        <f>'9b-Optional'!H11</f>
        <v>0</v>
      </c>
      <c r="J219" s="262">
        <f>'9b-Optional'!F11</f>
        <v>0</v>
      </c>
      <c r="K219" t="str">
        <f t="shared" si="15"/>
        <v/>
      </c>
    </row>
    <row r="220" spans="1:11" x14ac:dyDescent="0.3">
      <c r="A220" s="388" t="str">
        <f>IF(MAX(F:F)&lt;218,"",IF(INDEX(F:J,MATCH(218,F:F,0),2)=0,"",INDEX(F:J,MATCH(218,F:F,0),2)))</f>
        <v/>
      </c>
      <c r="B220" s="441" t="str">
        <f>IF(MAX(F:F)&lt;218,"",INDEX(F:J,MATCH(218,F:F,0),3))</f>
        <v/>
      </c>
      <c r="C220" s="4" t="str">
        <f>IF(MAX(F:F)&lt;218,"",INDEX(F:J,MATCH(218,F:F,0),4))</f>
        <v/>
      </c>
      <c r="D220" s="4" t="str">
        <f>IF(MAX(F:F)&lt;218,"",INDEX(F:J,MATCH(218,F:F,0),5))</f>
        <v/>
      </c>
      <c r="E220" s="73">
        <f t="shared" si="13"/>
        <v>10</v>
      </c>
      <c r="F220" s="73" t="str">
        <f t="shared" si="14"/>
        <v/>
      </c>
      <c r="G220" s="385" t="str">
        <f>IF(H220="","",IF(AND(G197="",G198="",G199="",G200="",G201="",G202="",G203="",G204="",G205="",G206="",G207="",G208="",G209="",G210="",G211="",G212="",G213="",G214="",G215="",G216="",G217="",G218="",G219=""),"Systems",""))</f>
        <v/>
      </c>
      <c r="H220" s="12" t="str">
        <f>IF('9b-Optional'!C12=0,"",TEXT('9b-Optional'!C12,"#,###")&amp;"x "&amp;'9b-Optional'!B12)</f>
        <v/>
      </c>
      <c r="I220" s="4">
        <f>'9b-Optional'!H12</f>
        <v>0</v>
      </c>
      <c r="J220" s="262">
        <f>'9b-Optional'!F12</f>
        <v>0</v>
      </c>
      <c r="K220" t="str">
        <f t="shared" si="15"/>
        <v/>
      </c>
    </row>
    <row r="221" spans="1:11" x14ac:dyDescent="0.3">
      <c r="A221" s="388" t="str">
        <f>IF(MAX(F:F)&lt;219,"",IF(INDEX(F:J,MATCH(219,F:F,0),2)=0,"",INDEX(F:J,MATCH(219,F:F,0),2)))</f>
        <v/>
      </c>
      <c r="B221" s="441" t="str">
        <f>IF(MAX(F:F)&lt;219,"",INDEX(F:J,MATCH(219,F:F,0),3))</f>
        <v/>
      </c>
      <c r="C221" s="4" t="str">
        <f>IF(MAX(F:F)&lt;219,"",INDEX(F:J,MATCH(219,F:F,0),4))</f>
        <v/>
      </c>
      <c r="D221" s="4" t="str">
        <f>IF(MAX(F:F)&lt;219,"",INDEX(F:J,MATCH(219,F:F,0),5))</f>
        <v/>
      </c>
      <c r="E221" s="73">
        <f t="shared" si="13"/>
        <v>10</v>
      </c>
      <c r="F221" s="73" t="str">
        <f t="shared" si="14"/>
        <v/>
      </c>
      <c r="G221" s="385" t="str">
        <f>IF(H221="","",IF(AND(G197="",G198="",G199="",G200="",G201="",G202="",G203="",G204="",G205="",G206="",G207="",G208="",G209="",G210="",G211="",G212="",G213="",G214="",G215="",G216="",G217="",G218="",G219="",G220=""),"Systems",""))</f>
        <v/>
      </c>
      <c r="H221" s="12" t="str">
        <f>IF('9b-Optional'!C13=0,"",TEXT('9b-Optional'!C13,"#,###")&amp;"x "&amp;'9b-Optional'!B13)</f>
        <v/>
      </c>
      <c r="I221" s="4">
        <f>'9b-Optional'!H13</f>
        <v>0</v>
      </c>
      <c r="J221" s="262">
        <f>'9b-Optional'!F13</f>
        <v>0</v>
      </c>
      <c r="K221" t="str">
        <f t="shared" si="15"/>
        <v/>
      </c>
    </row>
    <row r="222" spans="1:11" x14ac:dyDescent="0.3">
      <c r="A222" s="388" t="str">
        <f>IF(MAX(F:F)&lt;220,"",IF(INDEX(F:J,MATCH(220,F:F,0),2)=0,"",INDEX(F:J,MATCH(220,F:F,0),2)))</f>
        <v/>
      </c>
      <c r="B222" s="441" t="str">
        <f>IF(MAX(F:F)&lt;220,"",INDEX(F:J,MATCH(220,F:F,0),3))</f>
        <v/>
      </c>
      <c r="C222" s="4" t="str">
        <f>IF(MAX(F:F)&lt;220,"",INDEX(F:J,MATCH(220,F:F,0),4))</f>
        <v/>
      </c>
      <c r="D222" s="4" t="str">
        <f>IF(MAX(F:F)&lt;220,"",INDEX(F:J,MATCH(220,F:F,0),5))</f>
        <v/>
      </c>
      <c r="E222" s="73">
        <f t="shared" si="13"/>
        <v>10</v>
      </c>
      <c r="F222" s="73" t="str">
        <f t="shared" si="14"/>
        <v/>
      </c>
      <c r="G222" s="385" t="str">
        <f>IF(H222="","",IF(AND(G197="",G198="",G199="",G200="",G201="",G202="",G203="",G204="",G205="",G206="",G207="",G208="",G209="",G210="",G211="",G212="",G213="",G214="",G215="",G216="",G217="",G218="",G219="",G220="",G221=""),"Systems",""))</f>
        <v/>
      </c>
      <c r="H222" s="12" t="str">
        <f>IF('9b-Optional'!C14=0,"",'9b-Optional'!B14&amp;": "&amp;TEXT('9b-Optional'!C14,"#,###")&amp;"x Capsules")</f>
        <v/>
      </c>
      <c r="I222" s="4">
        <f>'9b-Optional'!H14</f>
        <v>0</v>
      </c>
      <c r="J222" s="262">
        <f>'9b-Optional'!F14</f>
        <v>0</v>
      </c>
      <c r="K222" t="str">
        <f t="shared" si="15"/>
        <v/>
      </c>
    </row>
    <row r="223" spans="1:11" x14ac:dyDescent="0.3">
      <c r="A223" s="388" t="str">
        <f>IF(MAX(F:F)&lt;221,"",IF(INDEX(F:J,MATCH(221,F:F,0),2)=0,"",INDEX(F:J,MATCH(221,F:F,0),2)))</f>
        <v/>
      </c>
      <c r="B223" s="441" t="str">
        <f>IF(MAX(F:F)&lt;221,"",INDEX(F:J,MATCH(221,F:F,0),3))</f>
        <v/>
      </c>
      <c r="C223" s="4" t="str">
        <f>IF(MAX(F:F)&lt;221,"",INDEX(F:J,MATCH(221,F:F,0),4))</f>
        <v/>
      </c>
      <c r="D223" s="4" t="str">
        <f>IF(MAX(F:F)&lt;221,"",INDEX(F:J,MATCH(221,F:F,0),5))</f>
        <v/>
      </c>
      <c r="E223" s="73">
        <f t="shared" si="13"/>
        <v>10</v>
      </c>
      <c r="F223" s="73" t="str">
        <f t="shared" si="14"/>
        <v/>
      </c>
      <c r="G223" s="388" t="str">
        <f>IF(H223="","",IF(AND(G197="",G198="",G199="",G200="",G201="",G202="",G203="",G204="",G205="",G206="",G207="",G208="",G209="",G210="",G211="",G212="",G213="",G214="",G215="",G216="",G217="",G218="",G219="",G220="",G221="",G222=""),"Systems",""))</f>
        <v/>
      </c>
      <c r="H223" s="12" t="str">
        <f>IF('9b-Optional'!C18=0,"",'9b-Optional'!C18&amp;"x "&amp;'9b-Optional'!B18&amp;": Supports "&amp;'9b-Optional'!D18)</f>
        <v/>
      </c>
      <c r="I223" s="4">
        <f>'9b-Optional'!H18</f>
        <v>0</v>
      </c>
      <c r="J223" s="4">
        <f>'9b-Optional'!F18</f>
        <v>0</v>
      </c>
      <c r="K223" t="str">
        <f t="shared" si="15"/>
        <v/>
      </c>
    </row>
    <row r="224" spans="1:11" x14ac:dyDescent="0.3">
      <c r="A224" s="388" t="str">
        <f>IF(MAX(F:F)&lt;222,"",IF(INDEX(F:J,MATCH(222,F:F,0),2)=0,"",INDEX(F:J,MATCH(222,F:F,0),2)))</f>
        <v/>
      </c>
      <c r="B224" s="441" t="str">
        <f>IF(MAX(F:F)&lt;222,"",INDEX(F:J,MATCH(222,F:F,0),3))</f>
        <v/>
      </c>
      <c r="C224" s="4" t="str">
        <f>IF(MAX(F:F)&lt;222,"",INDEX(F:J,MATCH(222,F:F,0),4))</f>
        <v/>
      </c>
      <c r="D224" s="4" t="str">
        <f>IF(MAX(F:F)&lt;222,"",INDEX(F:J,MATCH(222,F:F,0),5))</f>
        <v/>
      </c>
      <c r="E224" s="73">
        <f t="shared" si="13"/>
        <v>10</v>
      </c>
      <c r="F224" s="73" t="str">
        <f t="shared" si="14"/>
        <v/>
      </c>
      <c r="G224" s="388" t="str">
        <f>IF(H224="","",IF(AND(G197="",G198="",G199="",G200="",G201="",G202="",G203="",G204="",G205="",G206="",G207="",G208="",G209="",G210="",G211="",G212="",G213="",G214="",G215="",G216="",G217="",G218="",G219="",G220="",G221="",G222="",G223=""),"Systems",""))</f>
        <v/>
      </c>
      <c r="H224" s="12" t="str">
        <f>IF('9b-Optional'!C19=0,"",'9b-Optional'!C19&amp;"x "&amp;'9b-Optional'!B19&amp;": Supports "&amp;'9b-Optional'!D19)</f>
        <v/>
      </c>
      <c r="I224" s="4">
        <f>'9b-Optional'!H19</f>
        <v>0</v>
      </c>
      <c r="J224" s="4">
        <f>'9b-Optional'!F19</f>
        <v>0</v>
      </c>
      <c r="K224" t="str">
        <f t="shared" si="15"/>
        <v/>
      </c>
    </row>
    <row r="225" spans="1:11" x14ac:dyDescent="0.3">
      <c r="A225" s="388" t="str">
        <f>IF(MAX(F:F)&lt;223,"",IF(INDEX(F:J,MATCH(223,F:F,0),2)=0,"",INDEX(F:J,MATCH(223,F:F,0),2)))</f>
        <v/>
      </c>
      <c r="B225" s="441" t="str">
        <f>IF(MAX(F:F)&lt;223,"",INDEX(F:J,MATCH(223,F:F,0),3))</f>
        <v/>
      </c>
      <c r="C225" s="4" t="str">
        <f>IF(MAX(F:F)&lt;223,"",INDEX(F:J,MATCH(223,F:F,0),4))</f>
        <v/>
      </c>
      <c r="D225" s="4" t="str">
        <f>IF(MAX(F:F)&lt;223,"",INDEX(F:J,MATCH(223,F:F,0),5))</f>
        <v/>
      </c>
      <c r="E225" s="73">
        <f t="shared" si="13"/>
        <v>10</v>
      </c>
      <c r="F225" s="73" t="str">
        <f t="shared" si="14"/>
        <v/>
      </c>
      <c r="G225" s="385" t="str">
        <f>IF(H225="","",IF(AND(G197="",G198="",G199="",G200="",G201="",G202="",G203="",G204="",G205="",G206="",G207="",G208="",G209="",G210="",G211="",G212="",G213="",G214="",G215="",G216="",G217="",G218="",G219="",G220="",G221="",G222="",G223="",G224=""),"Systems",""))</f>
        <v/>
      </c>
      <c r="H225" s="12" t="str">
        <f>IF('9b-Optional'!C20=0,"",'9b-Optional'!C20&amp;"x "&amp;'9b-Optional'!B20&amp;": Supports "&amp;'9b-Optional'!D20)</f>
        <v/>
      </c>
      <c r="I225" s="4">
        <f>'9b-Optional'!H20</f>
        <v>0</v>
      </c>
      <c r="J225" s="262">
        <f>'9b-Optional'!F20</f>
        <v>0</v>
      </c>
      <c r="K225" t="str">
        <f t="shared" si="15"/>
        <v/>
      </c>
    </row>
    <row r="226" spans="1:11" x14ac:dyDescent="0.3">
      <c r="A226" s="388" t="str">
        <f>IF(MAX(F:F)&lt;224,"",IF(INDEX(F:J,MATCH(224,F:F,0),2)=0,"",INDEX(F:J,MATCH(224,F:F,0),2)))</f>
        <v/>
      </c>
      <c r="B226" s="441" t="str">
        <f>IF(MAX(F:F)&lt;224,"",INDEX(F:J,MATCH(224,F:F,0),3))</f>
        <v/>
      </c>
      <c r="C226" s="4" t="str">
        <f>IF(MAX(F:F)&lt;224,"",INDEX(F:J,MATCH(224,F:F,0),4))</f>
        <v/>
      </c>
      <c r="D226" s="4" t="str">
        <f>IF(MAX(F:F)&lt;224,"",INDEX(F:J,MATCH(224,F:F,0),5))</f>
        <v/>
      </c>
      <c r="E226" s="73">
        <f t="shared" si="13"/>
        <v>10</v>
      </c>
      <c r="F226" s="73" t="str">
        <f t="shared" si="14"/>
        <v/>
      </c>
      <c r="G226" s="385" t="str">
        <f>IF(H226="","",IF(AND(G197="",G198="",G199="",G200="",G201="",G202="",G203="",G204="",G205="",G206="",G207="",G208="",G209="",G210="",G211="",G212="",G213="",G214="",G215="",G216="",G217="",G218="",G219="",G220="",G221="",G222="",G223="",G224="",G225=""),"Systems",""))</f>
        <v/>
      </c>
      <c r="H226" s="12" t="str">
        <f>IF('9b-Optional'!C21=0,"",TEXT('9b-Optional'!C21,"#,###")&amp;"x "&amp;'9b-Optional'!B21)</f>
        <v/>
      </c>
      <c r="I226" s="4">
        <f>'9b-Optional'!H21</f>
        <v>0</v>
      </c>
      <c r="J226" s="262">
        <f>'9b-Optional'!F21</f>
        <v>0</v>
      </c>
      <c r="K226" t="str">
        <f t="shared" si="15"/>
        <v/>
      </c>
    </row>
    <row r="227" spans="1:11" x14ac:dyDescent="0.3">
      <c r="A227" s="388" t="str">
        <f>IF(MAX(F:F)&lt;225,"",IF(INDEX(F:J,MATCH(225,F:F,0),2)=0,"",INDEX(F:J,MATCH(225,F:F,0),2)))</f>
        <v/>
      </c>
      <c r="B227" s="441" t="str">
        <f>IF(MAX(F:F)&lt;225,"",INDEX(F:J,MATCH(225,F:F,0),3))</f>
        <v/>
      </c>
      <c r="C227" s="4" t="str">
        <f>IF(MAX(F:F)&lt;225,"",INDEX(F:J,MATCH(225,F:F,0),4))</f>
        <v/>
      </c>
      <c r="D227" s="4" t="str">
        <f>IF(MAX(F:F)&lt;225,"",INDEX(F:J,MATCH(225,F:F,0),5))</f>
        <v/>
      </c>
      <c r="E227" s="73">
        <f t="shared" si="13"/>
        <v>10</v>
      </c>
      <c r="F227" s="73" t="str">
        <f t="shared" si="14"/>
        <v/>
      </c>
      <c r="G227" s="385" t="str">
        <f>IF(H227="","",IF(AND(G197="",G198="",G199="",G200="",G201="",G202="",G203="",G204="",G205="",G206="",G207="",G208="",G209="",G210="",G211="",G212="",G213="",G214="",G215="",G216="",G217="",G218="",G219="",G220="",G221="",G222="",G223="",G224="",G225="",G226=""),"Systems",""))</f>
        <v/>
      </c>
      <c r="H227" s="12" t="str">
        <f>IF('9b-Optional'!C22=0,"",TEXT('9b-Optional'!C22,"#,###")&amp;"x "&amp;'9b-Optional'!B22)</f>
        <v/>
      </c>
      <c r="I227" s="4">
        <f>'9b-Optional'!H22</f>
        <v>0</v>
      </c>
      <c r="J227" s="262">
        <f>'9b-Optional'!F22</f>
        <v>0</v>
      </c>
      <c r="K227" t="str">
        <f t="shared" si="15"/>
        <v/>
      </c>
    </row>
    <row r="228" spans="1:11" x14ac:dyDescent="0.3">
      <c r="A228" s="388" t="str">
        <f>IF(MAX(F:F)&lt;226,"",IF(INDEX(F:J,MATCH(226,F:F,0),2)=0,"",INDEX(F:J,MATCH(226,F:F,0),2)))</f>
        <v/>
      </c>
      <c r="B228" s="441" t="str">
        <f>IF(MAX(F:F)&lt;226,"",INDEX(F:J,MATCH(226,F:F,0),3))</f>
        <v/>
      </c>
      <c r="C228" s="4" t="str">
        <f>IF(MAX(F:F)&lt;226,"",INDEX(F:J,MATCH(226,F:F,0),4))</f>
        <v/>
      </c>
      <c r="D228" s="4" t="str">
        <f>IF(MAX(F:F)&lt;226,"",INDEX(F:J,MATCH(226,F:F,0),5))</f>
        <v/>
      </c>
      <c r="E228" s="73">
        <f t="shared" si="13"/>
        <v>10</v>
      </c>
      <c r="F228" s="73" t="str">
        <f t="shared" si="14"/>
        <v/>
      </c>
      <c r="G228" s="385" t="str">
        <f>IF(H228="","",IF(AND(G197="",G198="",G199="",G200="",G201="",G202="",G203="",G204="",G205="",G206="",G207="",G208="",G209="",G210="",G211="",G212="",G213="",G214="",G215="",G216="",G217="",G218="",G219="",G220="",G221="",G222="",G223="",G224="",G225="",G226="",G227=""),"Systems",""))</f>
        <v/>
      </c>
      <c r="H228" s="12" t="str">
        <f>IF('9b-Optional'!H23=0,"",TEXT('9b-Optional'!C23,"#,###")&amp;"x "&amp;'9b-Optional'!B23&amp;" Cap: "&amp;TEXT('9b-Optional'!D23,"#,###")&amp;" tons")</f>
        <v/>
      </c>
      <c r="I228" s="4">
        <f>'9b-Optional'!H23</f>
        <v>0</v>
      </c>
      <c r="J228" s="262">
        <f>'9b-Optional'!F23</f>
        <v>0</v>
      </c>
      <c r="K228" t="str">
        <f t="shared" si="15"/>
        <v/>
      </c>
    </row>
    <row r="229" spans="1:11" x14ac:dyDescent="0.3">
      <c r="A229" s="388" t="str">
        <f>IF(MAX(F:F)&lt;227,"",IF(INDEX(F:J,MATCH(227,F:F,0),2)=0,"",INDEX(F:J,MATCH(227,F:F,0),2)))</f>
        <v/>
      </c>
      <c r="B229" s="441" t="str">
        <f>IF(MAX(F:F)&lt;227,"",INDEX(F:J,MATCH(227,F:F,0),3))</f>
        <v/>
      </c>
      <c r="C229" s="4" t="str">
        <f>IF(MAX(F:F)&lt;227,"",INDEX(F:J,MATCH(227,F:F,0),4))</f>
        <v/>
      </c>
      <c r="D229" s="4" t="str">
        <f>IF(MAX(F:F)&lt;227,"",INDEX(F:J,MATCH(227,F:F,0),5))</f>
        <v/>
      </c>
      <c r="E229" s="73">
        <f t="shared" si="13"/>
        <v>10</v>
      </c>
      <c r="F229" s="73" t="str">
        <f t="shared" si="14"/>
        <v/>
      </c>
      <c r="G229" s="385" t="str">
        <f>IF(H229="","",IF(AND(G197="",G198="",G199="",G200="",G201="",G202="",G203="",G204="",G205="",G206="",G207="",G208="",G209="",G210="",G211="",G212="",G213="",G214="",G215="",G216="",G217="",G218="",G219="",G220="",G221="",G222="",G223="",G224="",G225="",G226="",G227="",G228=""),"Systems",""))</f>
        <v/>
      </c>
      <c r="H229" s="12" t="str">
        <f>IF('9b-Optional'!C24=0,"",'9b-Optional'!B24&amp;" "&amp;TEXT('9b-Optional'!C24,"#,###")&amp;" "&amp;'9b-Optional'!D24)</f>
        <v/>
      </c>
      <c r="I229" s="4">
        <f>'9b-Optional'!H24</f>
        <v>0</v>
      </c>
      <c r="J229" s="262">
        <f>'9b-Optional'!F24</f>
        <v>0</v>
      </c>
      <c r="K229" t="str">
        <f t="shared" si="15"/>
        <v/>
      </c>
    </row>
    <row r="230" spans="1:11" x14ac:dyDescent="0.3">
      <c r="A230" s="388" t="str">
        <f>IF(MAX(F:F)&lt;228,"",IF(INDEX(F:J,MATCH(228,F:F,0),2)=0,"",INDEX(F:J,MATCH(228,F:F,0),2)))</f>
        <v/>
      </c>
      <c r="B230" s="441" t="str">
        <f>IF(MAX(F:F)&lt;228,"",INDEX(F:J,MATCH(228,F:F,0),3))</f>
        <v/>
      </c>
      <c r="C230" s="4" t="str">
        <f>IF(MAX(F:F)&lt;228,"",INDEX(F:J,MATCH(228,F:F,0),4))</f>
        <v/>
      </c>
      <c r="D230" s="4" t="str">
        <f>IF(MAX(F:F)&lt;228,"",INDEX(F:J,MATCH(228,F:F,0),5))</f>
        <v/>
      </c>
      <c r="E230" s="73">
        <f t="shared" si="13"/>
        <v>10</v>
      </c>
      <c r="F230" s="73" t="str">
        <f t="shared" si="14"/>
        <v/>
      </c>
      <c r="G230" s="385" t="str">
        <f>IF(H230="","",IF(AND(G197="",G198="",G199="",G200="",G201="",G202="",G203="",G204="",G205="",G206="",G207="",G208="",G209="",G210="",G211="",G212="",G213="",G214="",G215="",G216="",G217="",G218="",G219="",G220="",G221="",G222="",G223="",G224="",G225="",G226="",G227="",G228="",G229=""),"Systems",""))</f>
        <v/>
      </c>
      <c r="H230" s="12" t="str">
        <f>IF('9b-Optional'!C25=0,"",IF(OR('9b-Optional'!A25="",'9b-Optional'!A25=0),"",'9b-Optional'!A25&amp;" ")&amp;'9b-Optional'!B25&amp;" for "&amp;TEXT('9b-Optional'!C25,"#,###")&amp;" "&amp;"Scientist"&amp;IF('9b-Optional'!C25&gt;1,"s",""))</f>
        <v/>
      </c>
      <c r="I230" s="4">
        <f>'9b-Optional'!H25</f>
        <v>0</v>
      </c>
      <c r="J230" s="262">
        <f>'9b-Optional'!F25</f>
        <v>0</v>
      </c>
      <c r="K230" t="str">
        <f t="shared" si="15"/>
        <v/>
      </c>
    </row>
    <row r="231" spans="1:11" x14ac:dyDescent="0.3">
      <c r="A231" s="388" t="str">
        <f>IF(MAX(F:F)&lt;229,"",IF(INDEX(F:J,MATCH(229,F:F,0),2)=0,"",INDEX(F:J,MATCH(229,F:F,0),2)))</f>
        <v/>
      </c>
      <c r="B231" s="441" t="str">
        <f>IF(MAX(F:F)&lt;229,"",INDEX(F:J,MATCH(229,F:F,0),3))</f>
        <v/>
      </c>
      <c r="C231" s="4" t="str">
        <f>IF(MAX(F:F)&lt;229,"",INDEX(F:J,MATCH(229,F:F,0),4))</f>
        <v/>
      </c>
      <c r="D231" s="4" t="str">
        <f>IF(MAX(F:F)&lt;229,"",INDEX(F:J,MATCH(229,F:F,0),5))</f>
        <v/>
      </c>
      <c r="E231" s="73">
        <f t="shared" si="13"/>
        <v>10</v>
      </c>
      <c r="F231" s="73" t="str">
        <f t="shared" si="14"/>
        <v/>
      </c>
      <c r="G231" s="385" t="str">
        <f>IF(H231="","",IF(AND(G197="",G198="",G199="",G200="",G201="",G202="",G203="",G204="",G205="",G206="",G207="",G208="",G209="",G210="",G211="",G212="",G213="",G214="",G215="",G216="",G217="",G218="",G219="",G220="",G221="",G222="",G223="",G224="",G225="",G226="",G227="",G228="",G229="",G230=""),"Systems",""))</f>
        <v/>
      </c>
      <c r="H231" s="12" t="str">
        <f>IF('9b-Optional'!C26=0,"",TEXT('9b-Optional'!C26,"#,###")&amp;"x "&amp;'9b-Optional'!B26)</f>
        <v/>
      </c>
      <c r="I231" s="4">
        <f>'9b-Optional'!H26</f>
        <v>0</v>
      </c>
      <c r="J231" s="262">
        <f>'9b-Optional'!F26</f>
        <v>0</v>
      </c>
      <c r="K231" t="str">
        <f t="shared" si="15"/>
        <v/>
      </c>
    </row>
    <row r="232" spans="1:11" x14ac:dyDescent="0.3">
      <c r="A232" s="388" t="str">
        <f>IF(MAX(F:F)&lt;230,"",IF(INDEX(F:J,MATCH(230,F:F,0),2)=0,"",INDEX(F:J,MATCH(230,F:F,0),2)))</f>
        <v/>
      </c>
      <c r="B232" s="441" t="str">
        <f>IF(MAX(F:F)&lt;230,"",INDEX(F:J,MATCH(230,F:F,0),3))</f>
        <v/>
      </c>
      <c r="C232" s="4" t="str">
        <f>IF(MAX(F:F)&lt;230,"",INDEX(F:J,MATCH(230,F:F,0),4))</f>
        <v/>
      </c>
      <c r="D232" s="4" t="str">
        <f>IF(MAX(F:F)&lt;230,"",INDEX(F:J,MATCH(230,F:F,0),5))</f>
        <v/>
      </c>
      <c r="E232" s="73">
        <f t="shared" si="13"/>
        <v>10</v>
      </c>
      <c r="F232" s="73" t="str">
        <f t="shared" si="14"/>
        <v/>
      </c>
      <c r="G232" s="385" t="str">
        <f>IF(H232="","",IF(AND(G197="",G198="",G199="",G200="",G201="",G202="",G203="",G204="",G205="",G206="",G207="",G208="",G209="",G210="",G211="",G212="",G213="",G214="",G215="",G216="",G217="",G218="",G219="",G220="",G221="",G222="",G223="",G224="",G225="",G226="",G227="",G228="",G229="",G230="",G231=""),"Systems",""))</f>
        <v/>
      </c>
      <c r="H232" s="12" t="str">
        <f>IF('9b-Optional'!C27=0,"",TEXT('9b-Optional'!C27,"#,###")&amp;"x "&amp;'9b-Optional'!B27)&amp;IF(OR('9b-Optional'!B28='9b-Optional'!S29,'9b-Optional'!C28=0),"",", "&amp;TEXT('9b-Optional'!C28,"#,###")&amp;"x "&amp;'9b-Optional'!B28)</f>
        <v/>
      </c>
      <c r="I232" s="4">
        <f>'9b-Optional'!H27</f>
        <v>0</v>
      </c>
      <c r="J232" s="262">
        <f>'9b-Optional'!F27+'9b-Optional'!F28</f>
        <v>0</v>
      </c>
      <c r="K232" t="str">
        <f t="shared" si="15"/>
        <v/>
      </c>
    </row>
    <row r="233" spans="1:11" x14ac:dyDescent="0.3">
      <c r="A233" s="388" t="str">
        <f>IF(MAX(F:F)&lt;231,"",IF(INDEX(F:J,MATCH(231,F:F,0),2)=0,"",INDEX(F:J,MATCH(231,F:F,0),2)))</f>
        <v/>
      </c>
      <c r="B233" s="441" t="str">
        <f>IF(MAX(F:F)&lt;231,"",INDEX(F:J,MATCH(231,F:F,0),3))</f>
        <v/>
      </c>
      <c r="C233" s="4" t="str">
        <f>IF(MAX(F:F)&lt;231,"",INDEX(F:J,MATCH(231,F:F,0),4))</f>
        <v/>
      </c>
      <c r="D233" s="4" t="str">
        <f>IF(MAX(F:F)&lt;231,"",INDEX(F:J,MATCH(231,F:F,0),5))</f>
        <v/>
      </c>
      <c r="E233" s="73">
        <f t="shared" si="13"/>
        <v>10</v>
      </c>
      <c r="F233" s="73" t="str">
        <f t="shared" si="14"/>
        <v/>
      </c>
      <c r="G233" s="385" t="str">
        <f>IF(H233="","",IF(AND(G197="",G198="",G199="",G200="",G201="",G202="",G203="",G204="",G205="",G206="",G207="",G208="",G209="",G210="",G211="",G212="",G213="",G214="",G215="",G216="",G217="",G218="",G219="",G220="",G221="",G222="",G223="",G224="",G225="",G226="",G227="",G228="",G229="",G230="",G231="",G232=""),"Systems",""))</f>
        <v/>
      </c>
      <c r="H233" s="12" t="str">
        <f>IF('9b-Optional'!C29=0,"",TEXT('9b-Optional'!C29,"#,###")&amp;"x "&amp;'9b-Optional'!B29)</f>
        <v/>
      </c>
      <c r="I233" s="4">
        <f>'9b-Optional'!H29</f>
        <v>0</v>
      </c>
      <c r="J233" s="262">
        <f>'9b-Optional'!F29</f>
        <v>0</v>
      </c>
      <c r="K233" t="str">
        <f t="shared" si="15"/>
        <v/>
      </c>
    </row>
    <row r="234" spans="1:11" x14ac:dyDescent="0.3">
      <c r="A234" s="388" t="str">
        <f>IF(MAX(F:F)&lt;232,"",IF(INDEX(F:J,MATCH(232,F:F,0),2)=0,"",INDEX(F:J,MATCH(232,F:F,0),2)))</f>
        <v/>
      </c>
      <c r="B234" s="441" t="str">
        <f>IF(MAX(F:F)&lt;232,"",INDEX(F:J,MATCH(232,F:F,0),3))</f>
        <v/>
      </c>
      <c r="C234" s="4" t="str">
        <f>IF(MAX(F:F)&lt;232,"",INDEX(F:J,MATCH(232,F:F,0),4))</f>
        <v/>
      </c>
      <c r="D234" s="4" t="str">
        <f>IF(MAX(F:F)&lt;232,"",INDEX(F:J,MATCH(232,F:F,0),5))</f>
        <v/>
      </c>
      <c r="E234" s="73">
        <f t="shared" si="13"/>
        <v>10</v>
      </c>
      <c r="F234" s="73" t="str">
        <f t="shared" si="14"/>
        <v/>
      </c>
      <c r="G234" s="385" t="str">
        <f>IF(H234="","",IF(AND(G197="",G198="",G199="",G200="",G201="",G202="",G203="",G204="",G205="",G206="",G207="",G208="",G209="",G210="",G211="",G212="",G213="",G214="",G215="",G216="",G217="",G218="",G219="",G220="",G221="",G222="",G223="",G224="",G225="",G226="",G227="",G228="",G229="",G230="",G231="",G232="",G233=""),"Systems",""))</f>
        <v/>
      </c>
      <c r="H234" s="12" t="str">
        <f>IF('9b-Optional'!C30=0,"",TEXT('9b-Optional'!C30,"#,###")&amp;"x "&amp;'9b-Optional'!B30&amp;" "&amp;IF(OR('9b-Optional'!A30="",'9b-Optional'!A30=0),"","("&amp;'9b-Optional'!A30&amp;")"))</f>
        <v/>
      </c>
      <c r="I234" s="4">
        <f>'9b-Optional'!H30</f>
        <v>0</v>
      </c>
      <c r="J234" s="262">
        <f>'9b-Optional'!F30</f>
        <v>0</v>
      </c>
      <c r="K234" t="str">
        <f t="shared" si="15"/>
        <v/>
      </c>
    </row>
    <row r="235" spans="1:11" x14ac:dyDescent="0.3">
      <c r="A235" s="388" t="str">
        <f>IF(MAX(F:F)&lt;233,"",IF(INDEX(F:J,MATCH(233,F:F,0),2)=0,"",INDEX(F:J,MATCH(233,F:F,0),2)))</f>
        <v/>
      </c>
      <c r="B235" s="441" t="str">
        <f>IF(MAX(F:F)&lt;233,"",INDEX(F:J,MATCH(233,F:F,0),3))</f>
        <v/>
      </c>
      <c r="C235" s="4" t="str">
        <f>IF(MAX(F:F)&lt;233,"",INDEX(F:J,MATCH(233,F:F,0),4))</f>
        <v/>
      </c>
      <c r="D235" s="4" t="str">
        <f>IF(MAX(F:F)&lt;233,"",INDEX(F:J,MATCH(233,F:F,0),5))</f>
        <v/>
      </c>
      <c r="E235" s="73">
        <f t="shared" si="13"/>
        <v>10</v>
      </c>
      <c r="F235" s="73" t="str">
        <f t="shared" si="14"/>
        <v/>
      </c>
      <c r="G235" s="385" t="str">
        <f>IF(H235="","",IF(AND(G197="",G198="",G199="",G200="",G201="",G202="",G203="",G204="",G205="",G206="",G207="",G208="",G209="",G210="",G211="",G212="",G213="",G214="",G215="",G216="",G217="",G218="",G219="",G220="",G221="",G222="",G223="",G224="",G225="",G226="",G227="",G228="",G229="",G230="",G231="",G232="",G233="",G234=""),"Systems",""))</f>
        <v/>
      </c>
      <c r="H235" s="12" t="str">
        <f>IF('9b-Optional'!C31=0,"",'9b-Optional'!B31&amp;": "&amp;TEXT('9b-Optional'!C31,"#,###")&amp;" "&amp;'9b-Optional'!D31&amp;" "&amp;IF(OR('9b-Optional'!A31="",'9b-Optional'!A31=0),"","("&amp;'9b-Optional'!A31&amp;")"))</f>
        <v/>
      </c>
      <c r="I235" s="4">
        <f>'9b-Optional'!H31</f>
        <v>0</v>
      </c>
      <c r="J235" s="262">
        <f>'9b-Optional'!F31</f>
        <v>0</v>
      </c>
      <c r="K235" t="str">
        <f t="shared" si="15"/>
        <v/>
      </c>
    </row>
    <row r="236" spans="1:11" x14ac:dyDescent="0.3">
      <c r="A236" s="388" t="str">
        <f>IF(MAX(F:F)&lt;234,"",IF(INDEX(F:J,MATCH(234,F:F,0),2)=0,"",INDEX(F:J,MATCH(234,F:F,0),2)))</f>
        <v/>
      </c>
      <c r="B236" s="441" t="str">
        <f>IF(MAX(F:F)&lt;234,"",INDEX(F:J,MATCH(234,F:F,0),3))</f>
        <v/>
      </c>
      <c r="C236" s="4" t="str">
        <f>IF(MAX(F:F)&lt;234,"",INDEX(F:J,MATCH(234,F:F,0),4))</f>
        <v/>
      </c>
      <c r="D236" s="4" t="str">
        <f>IF(MAX(F:F)&lt;234,"",INDEX(F:J,MATCH(234,F:F,0),5))</f>
        <v/>
      </c>
      <c r="E236" s="73">
        <f t="shared" si="13"/>
        <v>10</v>
      </c>
      <c r="F236" s="73" t="str">
        <f t="shared" si="14"/>
        <v/>
      </c>
      <c r="G236" s="385" t="str">
        <f>IF(H236="","",IF(AND(G197="",G198="",G199="",G200="",G201="",G202="",G203="",G204="",G205="",G206="",G207="",G208="",G209="",G210="",G211="",G212="",G213="",G214="",G215="",G216="",G217="",G218="",G219="",G220="",G221="",G222="",G223="",G224="",G225="",G226="",G227="",G228="",G229="",G230="",G231="",G232="",G233="",G234="",G235=""),"Systems",""))</f>
        <v/>
      </c>
      <c r="H236" s="12" t="str">
        <f>IF('9b-Optional'!C32=0,"",TEXT('9b-Optional'!C32,"#,###")&amp;"x "&amp;'9b-Optional'!A32&amp;'9b-Optional'!D32&amp;" ton "&amp;'9b-Optional'!B32)</f>
        <v/>
      </c>
      <c r="I236" s="4">
        <f>'9b-Optional'!H32</f>
        <v>0</v>
      </c>
      <c r="J236" s="262">
        <f>'9b-Optional'!F32</f>
        <v>0</v>
      </c>
      <c r="K236" t="str">
        <f t="shared" si="15"/>
        <v/>
      </c>
    </row>
    <row r="237" spans="1:11" x14ac:dyDescent="0.3">
      <c r="A237" s="388" t="str">
        <f>IF(MAX(F:F)&lt;235,"",IF(INDEX(F:J,MATCH(235,F:F,0),2)=0,"",INDEX(F:J,MATCH(235,F:F,0),2)))</f>
        <v/>
      </c>
      <c r="B237" s="441" t="str">
        <f>IF(MAX(F:F)&lt;235,"",INDEX(F:J,MATCH(235,F:F,0),3))</f>
        <v/>
      </c>
      <c r="C237" s="4" t="str">
        <f>IF(MAX(F:F)&lt;235,"",INDEX(F:J,MATCH(235,F:F,0),4))</f>
        <v/>
      </c>
      <c r="D237" s="4" t="str">
        <f>IF(MAX(F:F)&lt;235,"",INDEX(F:J,MATCH(235,F:F,0),5))</f>
        <v/>
      </c>
      <c r="E237" s="73">
        <f t="shared" ref="E237:E300" si="16">IF(H237="",E236,E236+1)</f>
        <v>10</v>
      </c>
      <c r="F237" s="73" t="str">
        <f t="shared" ref="F237:F300" si="17">IF(E237=E236,"",E237)</f>
        <v/>
      </c>
      <c r="G237" s="385" t="str">
        <f>IF(H237="","",IF(AND(G197="",G198="",G199="",G200="",G201="",G202="",G203="",G204="",G205="",G206="",G207="",G208="",G209="",G210="",G211="",G212="",G213="",G214="",G215="",G216="",G217="",G218="",G219="",G220="",G221="",G222="",G223="",G224="",G223="",G224="",G225="",G226="",G227="",G228="",G229="",G230="",G231="",G232="",G233="",G234="",G235="",G236=""),"Systems",""))</f>
        <v/>
      </c>
      <c r="H237" s="12" t="str">
        <f>IF('9b-Optional'!C33=0,"",TEXT('9b-Optional'!C33,"#,###")&amp;"x "&amp;'9b-Optional'!B33)</f>
        <v/>
      </c>
      <c r="I237" s="4">
        <f>'9b-Optional'!H33</f>
        <v>0</v>
      </c>
      <c r="J237" s="262">
        <f>'9b-Optional'!F33</f>
        <v>0</v>
      </c>
      <c r="K237" t="str">
        <f t="shared" si="15"/>
        <v/>
      </c>
    </row>
    <row r="238" spans="1:11" x14ac:dyDescent="0.3">
      <c r="A238" s="388" t="str">
        <f>IF(MAX(F:F)&lt;236,"",IF(INDEX(F:J,MATCH(236,F:F,0),2)=0,"",INDEX(F:J,MATCH(236,F:F,0),2)))</f>
        <v/>
      </c>
      <c r="B238" s="441" t="str">
        <f>IF(MAX(F:F)&lt;236,"",INDEX(F:J,MATCH(236,F:F,0),3))</f>
        <v/>
      </c>
      <c r="C238" s="4" t="str">
        <f>IF(MAX(F:F)&lt;236,"",INDEX(F:J,MATCH(236,F:F,0),4))</f>
        <v/>
      </c>
      <c r="D238" s="4" t="str">
        <f>IF(MAX(F:F)&lt;236,"",INDEX(F:J,MATCH(236,F:F,0),5))</f>
        <v/>
      </c>
      <c r="E238" s="73">
        <f t="shared" si="16"/>
        <v>10</v>
      </c>
      <c r="F238" s="73" t="str">
        <f t="shared" si="17"/>
        <v/>
      </c>
      <c r="G238" s="385" t="str">
        <f>IF(H237="","",IF(AND(G197="",G198="",G199="",G200="",G201="",G202="",G203="",G204="",G205="",G206="",G207="",G208="",G209="",G210="",G211="",G212="",G213="",G214="",G215="",G216="",G217="",G218="",G219="",G220="",G221="",G222="",G223="",G224="",G223="",G224="",G225="",G226="",G227="",G228="",G229="",G230="",G231="",G232="",G233="",G234="",G235="",G236="",G237=""),"Systems",""))</f>
        <v/>
      </c>
      <c r="H238" s="12" t="str">
        <f>IF(I238=0,"",'9b-Optional'!C36&amp;"x "&amp;'9b-Optional'!B36&amp;" for "&amp;'9b-Optional'!D36&amp;" Attendees")</f>
        <v/>
      </c>
      <c r="I238" s="4">
        <f>'9b-Optional'!H36</f>
        <v>0</v>
      </c>
      <c r="J238" s="262">
        <f>'9b-Optional'!F36</f>
        <v>0</v>
      </c>
      <c r="K238" t="str">
        <f t="shared" si="15"/>
        <v/>
      </c>
    </row>
    <row r="239" spans="1:11" x14ac:dyDescent="0.3">
      <c r="A239" s="388" t="str">
        <f>IF(MAX(F:F)&lt;237,"",IF(INDEX(F:J,MATCH(237,F:F,0),2)=0,"",INDEX(F:J,MATCH(237,F:F,0),2)))</f>
        <v/>
      </c>
      <c r="B239" s="441" t="str">
        <f>IF(MAX(F:F)&lt;237,"",INDEX(F:J,MATCH(237,F:F,0),3))</f>
        <v/>
      </c>
      <c r="C239" s="4" t="str">
        <f>IF(MAX(F:F)&lt;237,"",INDEX(F:J,MATCH(237,F:F,0),4))</f>
        <v/>
      </c>
      <c r="D239" s="4" t="str">
        <f>IF(MAX(F:F)&lt;237,"",INDEX(F:J,MATCH(237,F:F,0),5))</f>
        <v/>
      </c>
      <c r="E239" s="73">
        <f t="shared" si="16"/>
        <v>10</v>
      </c>
      <c r="F239" s="73" t="str">
        <f t="shared" si="17"/>
        <v/>
      </c>
      <c r="G239" s="385" t="str">
        <f>IF(H237="","",IF(AND(G197="",G198="",G199="",G200="",G201="",G202="",G203="",G204="",G205="",G206="",G207="",G208="",G209="",G210="",G211="",G212="",G213="",G214="",G215="",G216="",G217="",G218="",G219="",G220="",G221="",G222="",G223="",G224="",G223="",G224="",G225="",G226="",G227="",G228="",G229="",G230="",G231="",G232="",G233="",G234="",G235="",G236="",G237="",G238=""),"Systems",""))</f>
        <v/>
      </c>
      <c r="H239" s="12" t="str">
        <f>IF(I239=0,"",'9b-Optional'!C37&amp;"x "&amp;'9b-Optional'!B37&amp;" for "&amp;'9b-Optional'!D37&amp;" Attendees")</f>
        <v/>
      </c>
      <c r="I239" s="4">
        <f>'9b-Optional'!H37</f>
        <v>0</v>
      </c>
      <c r="J239" s="262">
        <f>'9b-Optional'!F37</f>
        <v>0</v>
      </c>
      <c r="K239" t="str">
        <f t="shared" si="15"/>
        <v/>
      </c>
    </row>
    <row r="240" spans="1:11" x14ac:dyDescent="0.3">
      <c r="A240" s="388" t="str">
        <f>IF(MAX(F:F)&lt;238,"",IF(INDEX(F:J,MATCH(238,F:F,0),2)=0,"",INDEX(F:J,MATCH(238,F:F,0),2)))</f>
        <v/>
      </c>
      <c r="B240" s="441" t="str">
        <f>IF(MAX(F:F)&lt;238,"",INDEX(F:J,MATCH(238,F:F,0),3))</f>
        <v/>
      </c>
      <c r="C240" s="4" t="str">
        <f>IF(MAX(F:F)&lt;238,"",INDEX(F:J,MATCH(238,F:F,0),4))</f>
        <v/>
      </c>
      <c r="D240" s="4" t="str">
        <f>IF(MAX(F:F)&lt;238,"",INDEX(F:J,MATCH(238,F:F,0),5))</f>
        <v/>
      </c>
      <c r="E240" s="73">
        <f t="shared" si="16"/>
        <v>10</v>
      </c>
      <c r="F240" s="73" t="str">
        <f t="shared" si="17"/>
        <v/>
      </c>
      <c r="G240" s="385" t="str">
        <f>IF(H237="","",IF(AND(G197="",G198="",G199="",G200="",G201="",G202="",G203="",G204="",G205="",G206="",G207="",G208="",G209="",G210="",G211="",G212="",G213="",G214="",G215="",G216="",G217="",G218="",G219="",G220="",G221="",G222="",G223="",G224="",G223="",G224="",G225="",G226="",G227="",G228="",G229="",G230="",G231="",G232="",G233="",G234="",G235="",G236="",G237="",G238="",G239=""),"Systems",""))</f>
        <v/>
      </c>
      <c r="H240" s="12" t="str">
        <f>IF(I240=0,"",'9b-Optional'!C38&amp;"x "&amp;'9b-Optional'!B38&amp;" for "&amp;'9b-Optional'!D38&amp;" Attendees")</f>
        <v/>
      </c>
      <c r="I240" s="4">
        <f>'9b-Optional'!H38</f>
        <v>0</v>
      </c>
      <c r="J240" s="262">
        <f>'9b-Optional'!F38</f>
        <v>0</v>
      </c>
      <c r="K240" t="str">
        <f t="shared" si="15"/>
        <v/>
      </c>
    </row>
    <row r="241" spans="1:11" ht="15" customHeight="1" x14ac:dyDescent="0.3">
      <c r="A241" s="388" t="str">
        <f>IF(MAX(F:F)&lt;239,"",IF(INDEX(F:J,MATCH(239,F:F,0),2)=0,"",INDEX(F:J,MATCH(239,F:F,0),2)))</f>
        <v/>
      </c>
      <c r="B241" s="441" t="str">
        <f>IF(MAX(F:F)&lt;239,"",INDEX(F:J,MATCH(239,F:F,0),3))</f>
        <v/>
      </c>
      <c r="C241" s="4" t="str">
        <f>IF(MAX(F:F)&lt;239,"",INDEX(F:J,MATCH(239,F:F,0),4))</f>
        <v/>
      </c>
      <c r="D241" s="4" t="str">
        <f>IF(MAX(F:F)&lt;239,"",INDEX(F:J,MATCH(239,F:F,0),5))</f>
        <v/>
      </c>
      <c r="E241" s="73">
        <f t="shared" si="16"/>
        <v>10</v>
      </c>
      <c r="F241" s="73" t="str">
        <f t="shared" si="17"/>
        <v/>
      </c>
      <c r="G241" s="385" t="str">
        <f>IF(H237="","",IF(AND(G197="",G198="",G199="",G200="",G201="",G202="",G203="",G204="",G205="",G206="",G207="",G208="",G209="",G210="",G211="",G212="",G213="",G214="",G215="",G216="",G217="",G218="",G219="",G220="",G221="",G222="",G223="",G224="",G223="",G224="",G225="",G226="",G227="",G228="",G229="",G230="",G231="",G232="",G233="",G234="",G235="",G236="",G237="",G238="",G239="",G240=""),"Systems",""))</f>
        <v/>
      </c>
      <c r="H241" s="12" t="str">
        <f>IF(I241=0,"",'9b-Optional'!C39&amp;"x "&amp;'9b-Optional'!B39&amp;" for "&amp;'9b-Optional'!D39&amp;" Attendees")</f>
        <v/>
      </c>
      <c r="I241" s="4">
        <f>'9b-Optional'!H39</f>
        <v>0</v>
      </c>
      <c r="J241" s="262">
        <f>'9b-Optional'!F39</f>
        <v>0</v>
      </c>
      <c r="K241" t="str">
        <f t="shared" si="15"/>
        <v/>
      </c>
    </row>
    <row r="242" spans="1:11" ht="15" customHeight="1" x14ac:dyDescent="0.3">
      <c r="A242" s="388" t="str">
        <f>IF(MAX(F:F)&lt;240,"",IF(INDEX(F:J,MATCH(240,F:F,0),2)=0,"",INDEX(F:J,MATCH(240,F:F,0),2)))</f>
        <v/>
      </c>
      <c r="B242" s="441" t="str">
        <f>IF(MAX(F:F)&lt;240,"",INDEX(F:J,MATCH(240,F:F,0),3))</f>
        <v/>
      </c>
      <c r="C242" s="4" t="str">
        <f>IF(MAX(F:F)&lt;240,"",INDEX(F:J,MATCH(240,F:F,0),4))</f>
        <v/>
      </c>
      <c r="D242" s="4" t="str">
        <f>IF(MAX(F:F)&lt;240,"",INDEX(F:J,MATCH(240,F:F,0),5))</f>
        <v/>
      </c>
      <c r="E242" s="73">
        <f t="shared" si="16"/>
        <v>10</v>
      </c>
      <c r="F242" s="73" t="str">
        <f t="shared" si="17"/>
        <v/>
      </c>
      <c r="G242" s="385" t="str">
        <f>IF(H242="","",IF(AND(G197="",G198="",G199="",G200="",G201="",G202="",G203="",G204="",G205="",G206="",G207="",G208="",G209="",G210="",G211="",G212="",G213="",G214="",G215="",G216="",G217="",G218="",G219="",G220="",G221="",G222="",G223="",G224="",G225="",G226="",G227="",G228="",G229="",G230="",G231="",G232="",G233="",G234="",G235="",G236="",G237="",G238="",G239="",G240="",G241=""),"Systems",""))</f>
        <v/>
      </c>
      <c r="H242" s="12" t="str">
        <f>IF(I242=0,"",'9b-Optional'!B42&amp;": "&amp;'9b-Optional'!D42)</f>
        <v/>
      </c>
      <c r="I242" s="4">
        <f>'9b-Optional'!H42</f>
        <v>0</v>
      </c>
      <c r="J242" s="262">
        <f>'9b-Optional'!F42</f>
        <v>0</v>
      </c>
      <c r="K242" t="str">
        <f t="shared" si="15"/>
        <v/>
      </c>
    </row>
    <row r="243" spans="1:11" x14ac:dyDescent="0.3">
      <c r="A243" s="388" t="str">
        <f>IF(MAX(F:F)&lt;241,"",IF(INDEX(F:J,MATCH(241,F:F,0),2)=0,"",INDEX(F:J,MATCH(241,F:F,0),2)))</f>
        <v/>
      </c>
      <c r="B243" s="441" t="str">
        <f>IF(MAX(F:F)&lt;241,"",INDEX(F:J,MATCH(241,F:F,0),3))</f>
        <v/>
      </c>
      <c r="C243" s="4" t="str">
        <f>IF(MAX(F:F)&lt;241,"",INDEX(F:J,MATCH(241,F:F,0),4))</f>
        <v/>
      </c>
      <c r="D243" s="4" t="str">
        <f>IF(MAX(F:F)&lt;241,"",INDEX(F:J,MATCH(241,F:F,0),5))</f>
        <v/>
      </c>
      <c r="E243" s="73">
        <f t="shared" si="16"/>
        <v>10</v>
      </c>
      <c r="F243" s="73" t="str">
        <f t="shared" si="17"/>
        <v/>
      </c>
      <c r="G243" s="385" t="str">
        <f>IF(H243="","",IF(AND(G197="",G198="",G199="",G200="",G201="",G202="",G203="",G204="",G205="",G206="",G207="",G208="",G209="",G210="",G211="",G212="",G213="",G214="",G215="",G216="",G217="",G218="",G219="",G220="",G221="",G222="",G223="",G224="",G225="",G226="",G227="",G228="",G229="",G230="",G231="",G232="",G233="",G234="",G235="",G236="",G237="",G238="",G239="",G240="",G241="",G242=""),"Systems",""))</f>
        <v/>
      </c>
      <c r="H243" s="12" t="str">
        <f>IF('9b-Optional'!C45='9b-Optional'!S44,"",'9b-Optional'!C45&amp;" "&amp;'9b-Optional'!B45)</f>
        <v/>
      </c>
      <c r="I243" s="4">
        <f>'9b-Optional'!H45</f>
        <v>0</v>
      </c>
      <c r="J243" s="262">
        <f>'9b-Optional'!F45</f>
        <v>0</v>
      </c>
      <c r="K243" t="str">
        <f t="shared" si="15"/>
        <v/>
      </c>
    </row>
    <row r="244" spans="1:11" x14ac:dyDescent="0.3">
      <c r="A244" s="388" t="str">
        <f>IF(MAX(F:F)&lt;242,"",IF(INDEX(F:J,MATCH(242,F:F,0),2)=0,"",INDEX(F:J,MATCH(242,F:F,0),2)))</f>
        <v/>
      </c>
      <c r="B244" s="441" t="str">
        <f>IF(MAX(F:F)&lt;242,"",INDEX(F:J,MATCH(242,F:F,0),3))</f>
        <v/>
      </c>
      <c r="C244" s="4" t="str">
        <f>IF(MAX(F:F)&lt;242,"",INDEX(F:J,MATCH(242,F:F,0),4))</f>
        <v/>
      </c>
      <c r="D244" s="4" t="str">
        <f>IF(MAX(F:F)&lt;242,"",INDEX(F:J,MATCH(242,F:F,0),5))</f>
        <v/>
      </c>
      <c r="E244" s="73">
        <f t="shared" si="16"/>
        <v>10</v>
      </c>
      <c r="F244" s="73" t="str">
        <f t="shared" si="17"/>
        <v/>
      </c>
      <c r="G244" s="385" t="str">
        <f>IF(H244="","",IF(AND(G197="",G198="",G199="",G200="",G201="",G202="",G203="",G204="",G205="",G206="",G207="",G208="",G209="",G210="",G211="",G212="",G213="",G214="",G215="",G216="",G217="",G218="",G219="",G220="",G221="",G222="",G223="",G224="",G225="",G226="",G227="",G228="",G229="",G230="",G231="",G232="",G233="",G234="",G235="",G236="",G237="",G238="",G239="",G240="",G241="",G242="",G243=""),"Systems",""))</f>
        <v/>
      </c>
      <c r="H244" s="12" t="str">
        <f>IF('9b-Optional'!C48=0,"",'9b-Optional'!C48&amp;"x "&amp;'9b-Optional'!B48)</f>
        <v/>
      </c>
      <c r="I244" s="4">
        <f>'9b-Optional'!H48</f>
        <v>0</v>
      </c>
      <c r="J244" s="262">
        <f>'9b-Optional'!F48</f>
        <v>0</v>
      </c>
      <c r="K244" t="str">
        <f t="shared" si="15"/>
        <v/>
      </c>
    </row>
    <row r="245" spans="1:11" x14ac:dyDescent="0.3">
      <c r="A245" s="388" t="str">
        <f>IF(MAX(F:F)&lt;243,"",IF(INDEX(F:J,MATCH(243,F:F,0),2)=0,"",INDEX(F:J,MATCH(243,F:F,0),2)))</f>
        <v/>
      </c>
      <c r="B245" s="441" t="str">
        <f>IF(MAX(F:F)&lt;243,"",INDEX(F:J,MATCH(243,F:F,0),3))</f>
        <v/>
      </c>
      <c r="C245" s="4" t="str">
        <f>IF(MAX(F:F)&lt;243,"",INDEX(F:J,MATCH(243,F:F,0),4))</f>
        <v/>
      </c>
      <c r="D245" s="4" t="str">
        <f>IF(MAX(F:F)&lt;243,"",INDEX(F:J,MATCH(243,F:F,0),5))</f>
        <v/>
      </c>
      <c r="E245" s="73">
        <f t="shared" si="16"/>
        <v>10</v>
      </c>
      <c r="F245" s="73" t="str">
        <f t="shared" si="17"/>
        <v/>
      </c>
      <c r="G245" s="385" t="str">
        <f>IF(H245="","",IF(AND(G197="",G198="",G199="",G200="",G201="",G202="",G203="",G204="",G205="",G206="",G207="",G208="",G209="",G210="",G211="",G212="",G213="",G214="",G215="",G216="",G217="",G218="",G219="",G220="",G221="",G222="",G223="",G224="",G225="",G226="",G227="",G228="",G229="",G230="",G231="",G232="",G233="",G234="",G235="",G236="",G237="",G238="",G239="",G240="",G241="",G242="",G243="",G244=""),"Systems",""))</f>
        <v/>
      </c>
      <c r="H245" s="12" t="str">
        <f>IF('9b-Optional'!C48=0,"",IF('9b-Optional'!F49=0,"","     "&amp;'9b-Optional'!C49&amp;"x "&amp;'9b-Optional'!A49&amp;" "&amp;'9b-Optional'!B49))</f>
        <v/>
      </c>
      <c r="I245" s="4">
        <v>0</v>
      </c>
      <c r="J245" s="262">
        <f>'9b-Optional'!F49</f>
        <v>0</v>
      </c>
      <c r="K245" t="str">
        <f t="shared" si="15"/>
        <v/>
      </c>
    </row>
    <row r="246" spans="1:11" x14ac:dyDescent="0.3">
      <c r="A246" s="388" t="str">
        <f>IF(MAX(F:F)&lt;244,"",IF(INDEX(F:J,MATCH(244,F:F,0),2)=0,"",INDEX(F:J,MATCH(244,F:F,0),2)))</f>
        <v/>
      </c>
      <c r="B246" s="441" t="str">
        <f>IF(MAX(F:F)&lt;244,"",INDEX(F:J,MATCH(244,F:F,0),3))</f>
        <v/>
      </c>
      <c r="C246" s="4" t="str">
        <f>IF(MAX(F:F)&lt;244,"",INDEX(F:J,MATCH(244,F:F,0),4))</f>
        <v/>
      </c>
      <c r="D246" s="4" t="str">
        <f>IF(MAX(F:F)&lt;244,"",INDEX(F:J,MATCH(244,F:F,0),5))</f>
        <v/>
      </c>
      <c r="E246" s="73">
        <f t="shared" si="16"/>
        <v>10</v>
      </c>
      <c r="F246" s="73" t="str">
        <f t="shared" si="17"/>
        <v/>
      </c>
      <c r="G246" s="385" t="str">
        <f>IF(H246="","",IF(AND(G197="",G198="",G199="",G200="",G201="",G202="",G203="",G204="",G205="",G206="",G207="",G208="",G209="",G210="",G211="",G212="",G213="",G214="",G215="",G216="",G217="",G218="",G219="",G220="",G221="",G222="",G223="",G224="",G225="",G226="",G227="",G228="",G229="",G230="",G231="",G232="",G233="",G234="",G235="",G236="",G237="",G238="",G239="",G240="",G241="",G242="",G243="",G244="",G245=""),"Systems",""))</f>
        <v/>
      </c>
      <c r="H246" s="12" t="str">
        <f>IF('9b-Optional'!C48=0,"",IF('9b-Optional'!F50=0,"","     "&amp;'9b-Optional'!C50&amp;"x "&amp;'9b-Optional'!A50&amp;" "&amp;'9b-Optional'!B50))</f>
        <v/>
      </c>
      <c r="I246" s="4">
        <v>0</v>
      </c>
      <c r="J246" s="262">
        <f>'9b-Optional'!F50</f>
        <v>0</v>
      </c>
      <c r="K246" t="str">
        <f t="shared" si="15"/>
        <v/>
      </c>
    </row>
    <row r="247" spans="1:11" x14ac:dyDescent="0.3">
      <c r="A247" s="388" t="str">
        <f>IF(MAX(F:F)&lt;245,"",IF(INDEX(F:J,MATCH(245,F:F,0),2)=0,"",INDEX(F:J,MATCH(245,F:F,0),2)))</f>
        <v/>
      </c>
      <c r="B247" s="441" t="str">
        <f>IF(MAX(F:F)&lt;245,"",INDEX(F:J,MATCH(245,F:F,0),3))</f>
        <v/>
      </c>
      <c r="C247" s="4" t="str">
        <f>IF(MAX(F:F)&lt;245,"",INDEX(F:J,MATCH(245,F:F,0),4))</f>
        <v/>
      </c>
      <c r="D247" s="4" t="str">
        <f>IF(MAX(F:F)&lt;245,"",INDEX(F:J,MATCH(245,F:F,0),5))</f>
        <v/>
      </c>
      <c r="E247" s="73">
        <f t="shared" si="16"/>
        <v>10</v>
      </c>
      <c r="F247" s="73" t="str">
        <f t="shared" si="17"/>
        <v/>
      </c>
      <c r="G247" s="385" t="str">
        <f>IF(H247="","",IF(AND(G197="",G198="",G199="",G200="",G201="",G202="",G203="",G204="",G205="",G206="",G207="",G208="",G209="",G210="",G211="",G212="",G213="",G214="",G215="",G216="",G217="",G218="",G219="",G220="",G221="",G222="",G223="",G224="",G225="",G226="",G227="",G228="",G229="",G230="",G231="",G232="",G233="",G234="",G235="",G236="",G237="",G238="",G239="",G240="",G241="",G242="",G243="",G244="",G245="",G246=""),"Systems",""))</f>
        <v/>
      </c>
      <c r="H247" s="12" t="str">
        <f>IF('9b-Optional'!C48=0,"",IF('9b-Optional'!F51=0,"","     "&amp;'9b-Optional'!C51&amp;"x "&amp;'9b-Optional'!A51&amp;" "&amp;'9b-Optional'!B51))</f>
        <v/>
      </c>
      <c r="I247" s="4">
        <v>0</v>
      </c>
      <c r="J247" s="262">
        <f>'9b-Optional'!F51</f>
        <v>0</v>
      </c>
      <c r="K247" t="str">
        <f t="shared" si="15"/>
        <v/>
      </c>
    </row>
    <row r="248" spans="1:11" x14ac:dyDescent="0.3">
      <c r="A248" s="388" t="str">
        <f>IF(MAX(F:F)&lt;246,"",IF(INDEX(F:J,MATCH(246,F:F,0),2)=0,"",INDEX(F:J,MATCH(246,F:F,0),2)))</f>
        <v/>
      </c>
      <c r="B248" s="441" t="str">
        <f>IF(MAX(F:F)&lt;246,"",INDEX(F:J,MATCH(246,F:F,0),3))</f>
        <v/>
      </c>
      <c r="C248" s="4" t="str">
        <f>IF(MAX(F:F)&lt;246,"",INDEX(F:J,MATCH(246,F:F,0),4))</f>
        <v/>
      </c>
      <c r="D248" s="4" t="str">
        <f>IF(MAX(F:F)&lt;246,"",INDEX(F:J,MATCH(246,F:F,0),5))</f>
        <v/>
      </c>
      <c r="E248" s="73">
        <f t="shared" si="16"/>
        <v>10</v>
      </c>
      <c r="F248" s="73" t="str">
        <f t="shared" si="17"/>
        <v/>
      </c>
      <c r="G248" s="385" t="str">
        <f>IF(H248="","",IF(AND(G197="",G198="",G199="",G200="",G201="",G202="",G203="",G204="",G205="",G206="",G207="",G208="",G209="",G210="",G211="",G212="",G213="",G214="",G215="",G216="",G217="",G218="",G219="",G220="",G221="",G222="",G223="",G224="",G225="",G226="",G227="",G228="",G229="",G230="",G231="",G232="",G233="",G234="",G235="",G236="",G237="",G238="",G239="",G240="",G241="",G242="",G243="",G244="",G245="",G246="",G247=""),"Systems",""))</f>
        <v/>
      </c>
      <c r="H248" s="12" t="str">
        <f>IF('9b-Optional'!C48=0,"",IF('9b-Optional'!F52=0,"","     "&amp;'9b-Optional'!C52&amp;"x "&amp;'9b-Optional'!A52&amp;" "&amp;'9b-Optional'!B52))</f>
        <v/>
      </c>
      <c r="I248" s="4">
        <v>0</v>
      </c>
      <c r="J248" s="262">
        <f>'9b-Optional'!F52</f>
        <v>0</v>
      </c>
      <c r="K248" t="str">
        <f t="shared" si="15"/>
        <v/>
      </c>
    </row>
    <row r="249" spans="1:11" x14ac:dyDescent="0.3">
      <c r="A249" s="388" t="str">
        <f>IF(MAX(F:F)&lt;247,"",IF(INDEX(F:J,MATCH(247,F:F,0),2)=0,"",INDEX(F:J,MATCH(247,F:F,0),2)))</f>
        <v/>
      </c>
      <c r="B249" s="441" t="str">
        <f>IF(MAX(F:F)&lt;247,"",INDEX(F:J,MATCH(247,F:F,0),3))</f>
        <v/>
      </c>
      <c r="C249" s="4" t="str">
        <f>IF(MAX(F:F)&lt;247,"",INDEX(F:J,MATCH(247,F:F,0),4))</f>
        <v/>
      </c>
      <c r="D249" s="4" t="str">
        <f>IF(MAX(F:F)&lt;247,"",INDEX(F:J,MATCH(247,F:F,0),5))</f>
        <v/>
      </c>
      <c r="E249" s="73">
        <f t="shared" si="16"/>
        <v>10</v>
      </c>
      <c r="F249" s="73" t="str">
        <f t="shared" si="17"/>
        <v/>
      </c>
      <c r="G249" s="385" t="str">
        <f>IF(H249="","",IF(AND(G197="",G198="",G199="",G200="",G201="",G202="",G203="",G204="",G205="",G206="",G207="",G208="",G209="",G210="",G211="",G212="",G213="",G214="",G215="",G216="",G217="",G218="",G219="",G220="",G221="",G222="",G223="",G224="",G225="",G226="",G227="",G228="",G229="",G230="",G231="",G232="",G233="",G234="",G235="",G236="",G237="",G238="",G239="",G240="",G241="",G242="",G243="",G244="",G245="",G246="",G247="",G248=""),"Systems",""))</f>
        <v/>
      </c>
      <c r="H249" s="12" t="str">
        <f>IF('9b-Optional'!C48=0,"",IF('9b-Optional'!F53=0,"","     "&amp;'9b-Optional'!C53&amp;"x "&amp;'9b-Optional'!A53&amp;" "&amp;'9b-Optional'!B53))</f>
        <v/>
      </c>
      <c r="I249" s="4">
        <v>0</v>
      </c>
      <c r="J249" s="262">
        <f>'9b-Optional'!F53</f>
        <v>0</v>
      </c>
      <c r="K249" t="str">
        <f t="shared" si="15"/>
        <v/>
      </c>
    </row>
    <row r="250" spans="1:11" x14ac:dyDescent="0.3">
      <c r="A250" s="388" t="str">
        <f>IF(MAX(F:F)&lt;248,"",IF(INDEX(F:J,MATCH(248,F:F,0),2)=0,"",INDEX(F:J,MATCH(248,F:F,0),2)))</f>
        <v/>
      </c>
      <c r="B250" s="441" t="str">
        <f>IF(MAX(F:F)&lt;248,"",INDEX(F:J,MATCH(248,F:F,0),3))</f>
        <v/>
      </c>
      <c r="C250" s="4" t="str">
        <f>IF(MAX(F:F)&lt;248,"",INDEX(F:J,MATCH(248,F:F,0),4))</f>
        <v/>
      </c>
      <c r="D250" s="4" t="str">
        <f>IF(MAX(F:F)&lt;248,"",INDEX(F:J,MATCH(248,F:F,0),5))</f>
        <v/>
      </c>
      <c r="E250" s="73">
        <f t="shared" si="16"/>
        <v>10</v>
      </c>
      <c r="F250" s="73" t="str">
        <f t="shared" si="17"/>
        <v/>
      </c>
      <c r="G250" s="385" t="str">
        <f>IF(H250="","",IF(AND(G197="",G198="",G199="",G200="",G201="",G202="",G203="",G204="",G205="",G206="",G207="",G208="",G209="",G210="",G211="",G212="",G213="",G214="",G215="",G216="",G217="",G218="",G219="",G220="",G221="",G222="",G223="",G224="",G225="",G226="",G227="",G228="",G229="",G230="",G231="",G232="",G233="",G234="",G235="",G236="",G237="",G238="",G239="",G240="",G241="",G242="",G243="",G244="",G245="",G246="",G247="",G248="",G249=""),"Systems",""))</f>
        <v/>
      </c>
      <c r="H250" s="12" t="str">
        <f>IF('9b-Optional'!C48=0,"",IF('9b-Optional'!F54=0,"","     "&amp;'9b-Optional'!C54&amp;"x "&amp;'9b-Optional'!A54&amp;" "&amp;'9b-Optional'!B54))</f>
        <v/>
      </c>
      <c r="I250" s="4">
        <v>0</v>
      </c>
      <c r="J250" s="262">
        <f>'9b-Optional'!F54</f>
        <v>0</v>
      </c>
      <c r="K250" t="str">
        <f t="shared" si="15"/>
        <v/>
      </c>
    </row>
    <row r="251" spans="1:11" x14ac:dyDescent="0.3">
      <c r="A251" s="388" t="str">
        <f>IF(MAX(F:F)&lt;249,"",IF(INDEX(F:J,MATCH(249,F:F,0),2)=0,"",INDEX(F:J,MATCH(249,F:F,0),2)))</f>
        <v/>
      </c>
      <c r="B251" s="441" t="str">
        <f>IF(MAX(F:F)&lt;249,"",INDEX(F:J,MATCH(249,F:F,0),3))</f>
        <v/>
      </c>
      <c r="C251" s="4" t="str">
        <f>IF(MAX(F:F)&lt;249,"",INDEX(F:J,MATCH(249,F:F,0),4))</f>
        <v/>
      </c>
      <c r="D251" s="4" t="str">
        <f>IF(MAX(F:F)&lt;249,"",INDEX(F:J,MATCH(249,F:F,0),5))</f>
        <v/>
      </c>
      <c r="E251" s="73">
        <f t="shared" si="16"/>
        <v>10</v>
      </c>
      <c r="F251" s="73" t="str">
        <f t="shared" si="17"/>
        <v/>
      </c>
      <c r="G251" s="385" t="str">
        <f>IF(H251="","",IF(AND(G197="",G198="",G199="",G200="",G201="",G202="",G203="",G204="",G205="",G206="",G207="",G208="",G209="",G210="",G211="",G212="",G213="",G214="",G215="",G216="",G217="",G218="",G219="",G220="",G221="",G222="",G223="",G224="",G225="",G226="",G227="",G228="",G229="",G230="",G231="",G232="",G233="",G234="",G235="",G236="",G237="",G238="",G239="",G240="",G241="",G242="",G243="",G244="",G245="",G246="",G247="",G248="",G249="",G250=""),"Systems",""))</f>
        <v/>
      </c>
      <c r="H251" s="12" t="str">
        <f>IF('9b-Optional'!C48=0,"",IF('9b-Optional'!F55=0,"","     "&amp;'9b-Optional'!C55&amp;"x "&amp;'9b-Optional'!A55&amp;" "&amp;'9b-Optional'!B55))</f>
        <v/>
      </c>
      <c r="I251" s="4">
        <v>0</v>
      </c>
      <c r="J251" s="262">
        <f>'9b-Optional'!F55</f>
        <v>0</v>
      </c>
      <c r="K251" t="str">
        <f t="shared" si="15"/>
        <v/>
      </c>
    </row>
    <row r="252" spans="1:11" x14ac:dyDescent="0.3">
      <c r="A252" s="388" t="str">
        <f>IF(MAX(F:F)&lt;250,"",IF(INDEX(F:J,MATCH(250,F:F,0),2)=0,"",INDEX(F:J,MATCH(250,F:F,0),2)))</f>
        <v/>
      </c>
      <c r="B252" s="441" t="str">
        <f>IF(MAX(F:F)&lt;250,"",INDEX(F:J,MATCH(250,F:F,0),3))</f>
        <v/>
      </c>
      <c r="C252" s="4" t="str">
        <f>IF(MAX(F:F)&lt;250,"",INDEX(F:J,MATCH(250,F:F,0),4))</f>
        <v/>
      </c>
      <c r="D252" s="4" t="str">
        <f>IF(MAX(F:F)&lt;250,"",INDEX(F:J,MATCH(250,F:F,0),5))</f>
        <v/>
      </c>
      <c r="E252" s="73">
        <f t="shared" si="16"/>
        <v>10</v>
      </c>
      <c r="F252" s="73" t="str">
        <f t="shared" si="17"/>
        <v/>
      </c>
      <c r="G252" s="385" t="str">
        <f>IF(H252="","",IF(AND(G197="",G198="",G199="",G200="",G201="",G202="",G203="",G204="",G205="",G206="",G207="",G208="",G209="",G210="",G211="",G212="",G213="",G214="",G215="",G216="",G217="",G218="",G219="",G220="",G221="",G222="",G223="",G224="",G225="",G226="",G227="",G228="",G229="",G230="",G231="",G232="",G233="",G234="",G235="",G236="",G237="",G238="",G239="",G240="",G241="",G242="",G243="",G244="",G245="",G246="",G247="",G248="",G249="",G250="",G251=""),"Systems",""))</f>
        <v/>
      </c>
      <c r="H252" s="12" t="str">
        <f>IF('9b-Optional'!C48=0,"",IF('9b-Optional'!F56=0,"","     "&amp;'9b-Optional'!C56&amp;"x "&amp;'9b-Optional'!A56&amp;" "&amp;'9b-Optional'!B56))</f>
        <v/>
      </c>
      <c r="I252" s="4">
        <v>0</v>
      </c>
      <c r="J252" s="262">
        <f>'9b-Optional'!F56</f>
        <v>0</v>
      </c>
      <c r="K252" t="str">
        <f t="shared" si="15"/>
        <v/>
      </c>
    </row>
    <row r="253" spans="1:11" x14ac:dyDescent="0.3">
      <c r="A253" s="388" t="str">
        <f>IF(MAX(F:F)&lt;251,"",IF(INDEX(F:J,MATCH(251,F:F,0),2)=0,"",INDEX(F:J,MATCH(251,F:F,0),2)))</f>
        <v/>
      </c>
      <c r="B253" s="441" t="str">
        <f>IF(MAX(F:F)&lt;251,"",INDEX(F:J,MATCH(251,F:F,0),3))</f>
        <v/>
      </c>
      <c r="C253" s="4" t="str">
        <f>IF(MAX(F:F)&lt;251,"",INDEX(F:J,MATCH(251,F:F,0),4))</f>
        <v/>
      </c>
      <c r="D253" s="4" t="str">
        <f>IF(MAX(F:F)&lt;251,"",INDEX(F:J,MATCH(251,F:F,0),5))</f>
        <v/>
      </c>
      <c r="E253" s="73">
        <f t="shared" si="16"/>
        <v>10</v>
      </c>
      <c r="F253" s="73" t="str">
        <f t="shared" si="17"/>
        <v/>
      </c>
      <c r="G253" s="385" t="str">
        <f>IF(H253="","",IF(AND(G197="",G198="",G199="",G200="",G201="",G202="",G203="",G204="",G205="",G206="",G207="",G208="",G209="",G210="",G211="",G212="",G213="",G214="",G215="",G216="",G217="",G218="",G219="",G220="",G221="",G222="",G223="",G224="",G225="",G226="",G227="",G228="",G229="",G230="",G231="",G232="",G233="",G234="",G235="",G236="",G237="",G238="",G239="",G240="",G241="",G242="",G243="",G244="",G245="",G246="",G247="",G248="",G249="",G250="",G251="",G252=""),"Systems",""))</f>
        <v/>
      </c>
      <c r="H253" s="12" t="str">
        <f>IF('9b-Optional'!C48=0,"",IF('9b-Optional'!F57=0,"","     "&amp;'9b-Optional'!C57&amp;"x "&amp;'9b-Optional'!A57&amp;" "&amp;'9b-Optional'!B57))</f>
        <v/>
      </c>
      <c r="I253" s="4">
        <v>0</v>
      </c>
      <c r="J253" s="262">
        <f>'9b-Optional'!F57</f>
        <v>0</v>
      </c>
      <c r="K253" t="str">
        <f t="shared" si="15"/>
        <v/>
      </c>
    </row>
    <row r="254" spans="1:11" x14ac:dyDescent="0.3">
      <c r="A254" s="388" t="str">
        <f>IF(MAX(F:F)&lt;252,"",IF(INDEX(F:J,MATCH(252,F:F,0),2)=0,"",INDEX(F:J,MATCH(252,F:F,0),2)))</f>
        <v/>
      </c>
      <c r="B254" s="441" t="str">
        <f>IF(MAX(F:F)&lt;252,"",INDEX(F:J,MATCH(252,F:F,0),3))</f>
        <v/>
      </c>
      <c r="C254" s="4" t="str">
        <f>IF(MAX(F:F)&lt;252,"",INDEX(F:J,MATCH(252,F:F,0),4))</f>
        <v/>
      </c>
      <c r="D254" s="4" t="str">
        <f>IF(MAX(F:F)&lt;252,"",INDEX(F:J,MATCH(252,F:F,0),5))</f>
        <v/>
      </c>
      <c r="E254" s="73">
        <f t="shared" si="16"/>
        <v>10</v>
      </c>
      <c r="F254" s="73" t="str">
        <f t="shared" si="17"/>
        <v/>
      </c>
      <c r="G254" s="385" t="str">
        <f>IF(H254="","",IF(AND(G197="",G198="",G199="",G200="",G201="",G202="",G203="",G204="",G205="",G206="",G207="",G208="",G209="",G210="",G211="",G212="",G213="",G214="",G215="",G216="",G217="",G218="",G219="",G220="",G221="",G222="",G223="",G224="",G225="",G226="",G227="",G228="",G229="",G230="",G231="",G232="",G233="",G234="",G235="",G236="",G237="",G238="",G239="",G240="",G241="",G242="",G243="",G244="",G245="",G246="",G247="",G248="",G249="",G250="",G251="",G252="",G253=""),"Systems",""))</f>
        <v/>
      </c>
      <c r="H254" s="12" t="str">
        <f>IF(H244="","",IF('9b-Optional'!E58=0,"","     "&amp;'9b-Optional'!C58&amp;"x "&amp;'9b-Optional'!A58&amp;" "&amp;'9b-Optional'!B58))</f>
        <v/>
      </c>
      <c r="I254" s="4">
        <v>0</v>
      </c>
      <c r="J254" s="262">
        <f>'9b-Optional'!F58</f>
        <v>0</v>
      </c>
      <c r="K254" t="str">
        <f t="shared" si="15"/>
        <v/>
      </c>
    </row>
    <row r="255" spans="1:11" x14ac:dyDescent="0.3">
      <c r="A255" s="388" t="str">
        <f>IF(MAX(F:F)&lt;253,"",IF(INDEX(F:J,MATCH(253,F:F,0),2)=0,"",INDEX(F:J,MATCH(253,F:F,0),2)))</f>
        <v/>
      </c>
      <c r="B255" s="441" t="str">
        <f>IF(MAX(F:F)&lt;253,"",INDEX(F:J,MATCH(253,F:F,0),3))</f>
        <v/>
      </c>
      <c r="C255" s="4" t="str">
        <f>IF(MAX(F:F)&lt;253,"",INDEX(F:J,MATCH(253,F:F,0),4))</f>
        <v/>
      </c>
      <c r="D255" s="4" t="str">
        <f>IF(MAX(F:F)&lt;253,"",INDEX(F:J,MATCH(253,F:F,0),5))</f>
        <v/>
      </c>
      <c r="E255" s="73">
        <f t="shared" si="16"/>
        <v>10</v>
      </c>
      <c r="F255" s="73" t="str">
        <f t="shared" si="17"/>
        <v/>
      </c>
      <c r="G255" s="385" t="str">
        <f>IF(H255="","",IF(AND(G197="",G198="",G199="",G200="",G201="",G202="",G203="",G204="",G205="",G206="",G207="",G208="",G209="",G210="",G211="",G212="",G213="",G214="",G215="",G216="",G217="",G218="",G219="",G220="",G221="",G222="",G223="",G224="",G225="",G226="",G227="",G228="",G229="",G230="",G231="",G232="",G233="",G234="",G235="",G236="",G237="",G238="",G239="",G240="",G241="",G242="",G243="",G244="",G245="",G246="",G247="",G248="",G249="",G250="",G251="",G252="",G253="",G254=""),"Systems",""))</f>
        <v/>
      </c>
      <c r="H255" s="12" t="str">
        <f>IF(H244="","",IF('9b-Optional'!C59=0,"","     "&amp;'9b-Optional'!C59&amp;"x "&amp;'9b-Optional'!B59))</f>
        <v/>
      </c>
      <c r="I255" s="4">
        <v>0</v>
      </c>
      <c r="J255" s="262">
        <f>'9b-Optional'!F59</f>
        <v>0</v>
      </c>
      <c r="K255" t="str">
        <f t="shared" si="15"/>
        <v/>
      </c>
    </row>
    <row r="256" spans="1:11" x14ac:dyDescent="0.3">
      <c r="A256" s="388" t="str">
        <f>IF(MAX(F:F)&lt;254,"",IF(INDEX(F:J,MATCH(254,F:F,0),2)=0,"",INDEX(F:J,MATCH(254,F:F,0),2)))</f>
        <v/>
      </c>
      <c r="B256" s="441" t="str">
        <f>IF(MAX(F:F)&lt;254,"",INDEX(F:J,MATCH(254,F:F,0),3))</f>
        <v/>
      </c>
      <c r="C256" s="4" t="str">
        <f>IF(MAX(F:F)&lt;254,"",INDEX(F:J,MATCH(254,F:F,0),4))</f>
        <v/>
      </c>
      <c r="D256" s="4" t="str">
        <f>IF(MAX(F:F)&lt;254,"",INDEX(F:J,MATCH(254,F:F,0),5))</f>
        <v/>
      </c>
      <c r="E256" s="73">
        <f t="shared" si="16"/>
        <v>10</v>
      </c>
      <c r="F256" s="73" t="str">
        <f t="shared" si="17"/>
        <v/>
      </c>
      <c r="G256" s="385" t="str">
        <f>IF(H256="","",IF(AND(G197="",G198="",G199="",G200="",G201="",G202="",G203="",G204="",G205="",G206="",G207="",G208="",G209="",G210="",G211="",G212="",G213="",G214="",G215="",G216="",G217="",G218="",G219="",G220="",G221="",G222="",G223="",G224="",G225="",G226="",G227="",G228="",G229="",G230="",G231="",G232="",G233="",G234="",G235="",G236="",G237="",G238="",G239="",G240="",G241="",G242="",G243="",G244="",G245="",G246="",G247="",G248="",G249="",G250="",G251="",G252="",G253="",G254="",G255=""),"Systems",""))</f>
        <v/>
      </c>
      <c r="H256" s="12" t="str">
        <f>IF(H244="","",IF('9b-Optional'!C60=0,"","     "&amp;'9b-Optional'!C60&amp;"x "&amp;'9b-Optional'!B60))</f>
        <v/>
      </c>
      <c r="I256" s="4">
        <v>0</v>
      </c>
      <c r="J256" s="262">
        <f>'9b-Optional'!F60</f>
        <v>0</v>
      </c>
      <c r="K256" t="str">
        <f t="shared" si="15"/>
        <v/>
      </c>
    </row>
    <row r="257" spans="1:11" x14ac:dyDescent="0.3">
      <c r="A257" s="388" t="str">
        <f>IF(MAX(F:F)&lt;255,"",IF(INDEX(F:J,MATCH(255,F:F,0),2)=0,"",INDEX(F:J,MATCH(255,F:F,0),2)))</f>
        <v/>
      </c>
      <c r="B257" s="441" t="str">
        <f>IF(MAX(F:F)&lt;255,"",INDEX(F:J,MATCH(255,F:F,0),3))</f>
        <v/>
      </c>
      <c r="C257" s="4" t="str">
        <f>IF(MAX(F:F)&lt;255,"",INDEX(F:J,MATCH(255,F:F,0),4))</f>
        <v/>
      </c>
      <c r="D257" s="4" t="str">
        <f>IF(MAX(F:F)&lt;255,"",INDEX(F:J,MATCH(255,F:F,0),5))</f>
        <v/>
      </c>
      <c r="E257" s="73">
        <f t="shared" si="16"/>
        <v>10</v>
      </c>
      <c r="F257" s="73" t="str">
        <f t="shared" si="17"/>
        <v/>
      </c>
      <c r="G257" s="385" t="str">
        <f>IF(H257="","",IF(AND(G197="",G198="",G199="",G200="",G201="",G202="",G203="",G204="",G205="",G206="",G207="",G208="",G209="",G210="",G211="",G212="",G213="",G214="",G215="",G216="",G217="",G218="",G219="",G220="",G221="",G222="",G223="",G224="",G225="",G226="",G227="",G228="",G229="",G230="",G231="",G232="",G233="",G234="",G235="",G236="",G237="",G238="",G239="",G240="",G241="",G242="",G243="",G244="",G245="",G246="",G247="",G248="",G249="",G250="",G251="",G252="",G253="",G254="",G255="",G256=""),"Systems",""))</f>
        <v/>
      </c>
      <c r="H257" s="12" t="str">
        <f>IF(H244="","",IF('9b-Optional'!E61=0,"","     "&amp;'9b-Optional'!C61&amp;"x "&amp;'9b-Optional'!A61&amp;" "&amp;'9b-Optional'!B61))</f>
        <v/>
      </c>
      <c r="I257" s="4">
        <v>0</v>
      </c>
      <c r="J257" s="262">
        <f>'9b-Optional'!F61</f>
        <v>0</v>
      </c>
      <c r="K257" t="str">
        <f t="shared" si="15"/>
        <v/>
      </c>
    </row>
    <row r="258" spans="1:11" x14ac:dyDescent="0.3">
      <c r="A258" s="388" t="str">
        <f>IF(MAX(F:F)&lt;256,"",IF(INDEX(F:J,MATCH(256,F:F,0),2)=0,"",INDEX(F:J,MATCH(256,F:F,0),2)))</f>
        <v/>
      </c>
      <c r="B258" s="441" t="str">
        <f>IF(MAX(F:F)&lt;256,"",INDEX(F:J,MATCH(256,F:F,0),3))</f>
        <v/>
      </c>
      <c r="C258" s="4" t="str">
        <f>IF(MAX(F:F)&lt;256,"",INDEX(F:J,MATCH(256,F:F,0),4))</f>
        <v/>
      </c>
      <c r="D258" s="4" t="str">
        <f>IF(MAX(F:F)&lt;256,"",INDEX(F:J,MATCH(256,F:F,0),5))</f>
        <v/>
      </c>
      <c r="E258" s="73">
        <f t="shared" si="16"/>
        <v>10</v>
      </c>
      <c r="F258" s="73" t="str">
        <f t="shared" si="17"/>
        <v/>
      </c>
      <c r="G258" s="385" t="str">
        <f>IF(H258="","",IF(AND(G197="",G198="",G199="",G200="",G201="",G202="",G203="",G204="",G205="",G206="",G207="",G208="",G209="",G210="",G211="",G212="",G213="",G214="",G215="",G216="",G217="",G218="",G219="",G220="",G221="",G222="",G223="",G224="",G225="",G226="",G227="",G228="",G229="",G230="",G231="",G232="",G233="",G234="",G235="",G236="",G237="",G238="",G239="",G240="",G241="",G242="",G243="",G244="",G245="",G246="",G247="",G248="",G249="",G250="",G251="",G252="",G253="",G254="",G255="",G256="",G257=""),"Systems",""))</f>
        <v/>
      </c>
      <c r="H258" s="12" t="str">
        <f>IF(H244="","",IF('9b-Optional'!E62=0,"","     "&amp;'9b-Optional'!C62&amp;"x "&amp;'9b-Optional'!A62&amp;" "&amp;'9b-Optional'!B62))</f>
        <v/>
      </c>
      <c r="I258" s="4">
        <v>0</v>
      </c>
      <c r="J258" s="262">
        <f>'9b-Optional'!F62</f>
        <v>0</v>
      </c>
      <c r="K258" t="str">
        <f t="shared" si="15"/>
        <v/>
      </c>
    </row>
    <row r="259" spans="1:11" x14ac:dyDescent="0.3">
      <c r="A259" s="388" t="str">
        <f>IF(MAX(F:F)&lt;257,"",IF(INDEX(F:J,MATCH(257,F:F,0),2)=0,"",INDEX(F:J,MATCH(257,F:F,0),2)))</f>
        <v/>
      </c>
      <c r="B259" s="441" t="str">
        <f>IF(MAX(F:F)&lt;257,"",INDEX(F:J,MATCH(257,F:F,0),3))</f>
        <v/>
      </c>
      <c r="C259" s="4" t="str">
        <f>IF(MAX(F:F)&lt;257,"",INDEX(F:J,MATCH(257,F:F,0),4))</f>
        <v/>
      </c>
      <c r="D259" s="4" t="str">
        <f>IF(MAX(F:F)&lt;257,"",INDEX(F:J,MATCH(257,F:F,0),5))</f>
        <v/>
      </c>
      <c r="E259" s="73">
        <f t="shared" si="16"/>
        <v>10</v>
      </c>
      <c r="F259" s="73" t="str">
        <f t="shared" si="17"/>
        <v/>
      </c>
      <c r="G259" s="385" t="str">
        <f>IF(H259="","",IF(AND(G197="",G198="",G199="",G200="",G201="",G202="",G203="",G204="",G205="",G206="",G207="",G208="",G209="",G210="",G211="",G212="",G213="",G214="",G215="",G216="",G217="",G218="",G219="",G220="",G221="",G222="",G223="",G224="",G225="",G226="",G227="",G228="",G229="",G230="",G231="",G232="",G233="",G234="",G235="",G236="",G237="",G238="",G239="",G240="",G241="",G242="",G243="",G244="",G245="",G246="",G247="",G248="",G249="",G250="",G251="",G252="",G253="",G254="",G255="",G256="",G257="",G258=""),"Systems",""))</f>
        <v/>
      </c>
      <c r="H259" s="12" t="str">
        <f>IF(H244="","",IF('9b-Optional'!C63=0,"","     "&amp;'9b-Optional'!C63&amp;"x "&amp;'9b-Optional'!B63))</f>
        <v/>
      </c>
      <c r="I259" s="4">
        <v>0</v>
      </c>
      <c r="J259" s="262">
        <f>'9b-Optional'!F63</f>
        <v>0</v>
      </c>
      <c r="K259" t="str">
        <f t="shared" si="15"/>
        <v/>
      </c>
    </row>
    <row r="260" spans="1:11" ht="13.95" customHeight="1" x14ac:dyDescent="0.3">
      <c r="A260" s="388" t="str">
        <f>IF(MAX(F:F)&lt;258,"",IF(INDEX(F:J,MATCH(258,F:F,0),2)=0,"",INDEX(F:J,MATCH(258,F:F,0),2)))</f>
        <v/>
      </c>
      <c r="B260" s="441" t="str">
        <f>IF(MAX(F:F)&lt;258,"",INDEX(F:J,MATCH(258,F:F,0),3))</f>
        <v/>
      </c>
      <c r="C260" s="4" t="str">
        <f>IF(MAX(F:F)&lt;258,"",INDEX(F:J,MATCH(258,F:F,0),4))</f>
        <v/>
      </c>
      <c r="D260" s="4" t="str">
        <f>IF(MAX(F:F)&lt;258,"",INDEX(F:J,MATCH(258,F:F,0),5))</f>
        <v/>
      </c>
      <c r="E260" s="73">
        <f t="shared" si="16"/>
        <v>10</v>
      </c>
      <c r="F260" s="73" t="str">
        <f t="shared" si="17"/>
        <v/>
      </c>
      <c r="G260" s="385" t="str">
        <f>IF(H260="","",IF(AND(G197="",G198="",G199="",G200="",G201="",G202="",G203="",G204="",G205="",G206="",G207="",G208="",G209="",G210="",G211="",G212="",G213="",G214="",G215="",G216="",G217="",G218="",G219="",G220="",G221="",G222="",G223="",G224="",G225="",G226="",G227="",G228="",G229="",G230="",G231="",G232="",G233="",G234="",G235="",G236="",G237="",G238="",G239="",G240="",G241="",G242="",G243="",G244="",G245="",G246="",G247="",G248="",G249="",G250="",G251="",G252="",G253="",G254="",G255="",G256="",G257="",G258="",G259=""),"Systems",""))</f>
        <v/>
      </c>
      <c r="H260" s="12" t="str">
        <f>IF(H244="","",IF('9b-Optional'!C64=0,"","     "&amp;'9b-Optional'!C64&amp;"x "&amp;'9b-Optional'!B64))</f>
        <v/>
      </c>
      <c r="I260" s="4">
        <v>0</v>
      </c>
      <c r="J260" s="262">
        <f>'9b-Optional'!F64</f>
        <v>0</v>
      </c>
      <c r="K260" t="str">
        <f t="shared" si="15"/>
        <v/>
      </c>
    </row>
    <row r="261" spans="1:11" x14ac:dyDescent="0.3">
      <c r="A261" s="388" t="str">
        <f>IF(MAX(F:F)&lt;259,"",IF(INDEX(F:J,MATCH(259,F:F,0),2)=0,"",INDEX(F:J,MATCH(259,F:F,0),2)))</f>
        <v/>
      </c>
      <c r="B261" s="441" t="str">
        <f>IF(MAX(F:F)&lt;259,"",INDEX(F:J,MATCH(259,F:F,0),3))</f>
        <v/>
      </c>
      <c r="C261" s="4" t="str">
        <f>IF(MAX(F:F)&lt;259,"",INDEX(F:J,MATCH(259,F:F,0),4))</f>
        <v/>
      </c>
      <c r="D261" s="4" t="str">
        <f>IF(MAX(F:F)&lt;259,"",INDEX(F:J,MATCH(259,F:F,0),5))</f>
        <v/>
      </c>
      <c r="E261" s="73">
        <f t="shared" si="16"/>
        <v>10</v>
      </c>
      <c r="F261" s="73" t="str">
        <f t="shared" si="17"/>
        <v/>
      </c>
      <c r="G261" s="385" t="str">
        <f>IF(H261="","",IF(AND(G197="",G198="",G199="",G200="",G201="",G202="",G203="",G204="",G205="",G206="",G207="",G208="",G209="",G210="",G211="",G212="",G213="",G214="",G215="",G216="",G217="",G218="",G219="",G220="",G221="",G222="",G223="",G224="",G225="",G226="",G227="",G228="",G229="",G230="",G231="",G232="",G233="",G234="",G235="",G236="",G237="",G238="",G239="",G240="",G241="",G242="",G243="",G244="",G245="",G246="",G247="",G248="",G249="",G250="",G251="",G252="",G253="",G254="",G255="",G256="",G257="",G258="",G259="",G260=""),"Systems",""))</f>
        <v/>
      </c>
      <c r="H261" s="12" t="str">
        <f>IF(H244="","",IF('9b-Optional'!C65=0,"","     "&amp;'9b-Optional'!C65&amp;"x "&amp;'9b-Optional'!B65))</f>
        <v/>
      </c>
      <c r="I261" s="4">
        <v>0</v>
      </c>
      <c r="J261" s="262">
        <f>'9b-Optional'!F65</f>
        <v>0</v>
      </c>
      <c r="K261" t="str">
        <f t="shared" ref="K261:K324" si="18">IF(B261="","",IF(A261="",K260,K260+1))</f>
        <v/>
      </c>
    </row>
    <row r="262" spans="1:11" x14ac:dyDescent="0.3">
      <c r="A262" s="388" t="str">
        <f>IF(MAX(F:F)&lt;260,"",IF(INDEX(F:J,MATCH(260,F:F,0),2)=0,"",INDEX(F:J,MATCH(260,F:F,0),2)))</f>
        <v/>
      </c>
      <c r="B262" s="441" t="str">
        <f>IF(MAX(F:F)&lt;260,"",INDEX(F:J,MATCH(260,F:F,0),3))</f>
        <v/>
      </c>
      <c r="C262" s="4" t="str">
        <f>IF(MAX(F:F)&lt;260,"",INDEX(F:J,MATCH(260,F:F,0),4))</f>
        <v/>
      </c>
      <c r="D262" s="4" t="str">
        <f>IF(MAX(F:F)&lt;260,"",INDEX(F:J,MATCH(260,F:F,0),5))</f>
        <v/>
      </c>
      <c r="E262" s="73">
        <f t="shared" si="16"/>
        <v>10</v>
      </c>
      <c r="F262" s="73" t="str">
        <f t="shared" si="17"/>
        <v/>
      </c>
      <c r="G262" s="385" t="str">
        <f>IF(H262="","",IF(AND(G197="",G198="",G199="",G200="",G201="",G202="",G203="",G204="",G205="",G206="",G207="",G208="",G209="",G210="",G211="",G212="",G213="",G214="",G215="",G216="",G217="",G218="",G219="",G220="",G221="",G222="",G223="",G224="",G225="",G226="",G227="",G228="",G229="",G230="",G231="",G232="",G233="",G234="",G235="",G236="",G237="",G238="",G239="",G240="",G241="",G242="",G243="",G244="",G245="",G246="",G247="",G248="",G249="",G250="",G251="",G252="",G253="",G254="",G255="",G256="",G257="",G258="",G259="",G260="",G261=""),"Systems",""))</f>
        <v/>
      </c>
      <c r="H262" s="12" t="str">
        <f>IF('9b-Optional'!C67=0,"",'9b-Optional'!B67&amp;": "&amp;'9b-Optional'!C67&amp;" Slot Capacity")</f>
        <v/>
      </c>
      <c r="I262" s="4">
        <f>0</f>
        <v>0</v>
      </c>
      <c r="J262" s="4">
        <f>'9b-Optional'!F67</f>
        <v>0</v>
      </c>
      <c r="K262" t="str">
        <f t="shared" si="18"/>
        <v/>
      </c>
    </row>
    <row r="263" spans="1:11" x14ac:dyDescent="0.3">
      <c r="A263" s="388" t="str">
        <f>IF(MAX(F:F)&lt;261,"",IF(INDEX(F:J,MATCH(261,F:F,0),2)=0,"",INDEX(F:J,MATCH(261,F:F,0),2)))</f>
        <v/>
      </c>
      <c r="B263" s="441" t="str">
        <f>IF(MAX(F:F)&lt;261,"",INDEX(F:J,MATCH(261,F:F,0),3))</f>
        <v/>
      </c>
      <c r="C263" s="4" t="str">
        <f>IF(MAX(F:F)&lt;261,"",INDEX(F:J,MATCH(261,F:F,0),4))</f>
        <v/>
      </c>
      <c r="D263" s="4" t="str">
        <f>IF(MAX(F:F)&lt;261,"",INDEX(F:J,MATCH(261,F:F,0),5))</f>
        <v/>
      </c>
      <c r="E263" s="73">
        <f t="shared" si="16"/>
        <v>10</v>
      </c>
      <c r="F263" s="73" t="str">
        <f t="shared" si="17"/>
        <v/>
      </c>
      <c r="G263" s="385" t="str">
        <f>IF(H263="","",IF(AND(G197="",G198="",G199="",G200="",G201="",G202="",G203="",G204="",G205="",G206="",G207="",G208="",G209="",G210="",G211="",G212="",G213="",G214="",G215="",G216="",G217="",G218="",G219="",G220="",G221="",G222="",G223="",G224="",G225="",G226="",G227="",G228="",G229="",G230="",G231="",G232="",G233="",G234="",G235="",G236="",G237="",G238="",G239="",G240="",G241="",G242="",G243="",G244="",G245="",G246="",G247="",G248="",G249="",G250="",G251="",G252="",G253="",G254="",G255="",G256="",G257="",G258="",G259="",G260="",G261="",G262=""),"Systems",""))</f>
        <v/>
      </c>
      <c r="H263" s="12" t="str">
        <f>IF('9b-Optional'!E71=0,"",'9b-Optional'!B71&amp;" with "&amp;TEXT(2+'9b-Optional'!D71,"#,###")&amp;" Gel Connections")</f>
        <v/>
      </c>
      <c r="I263" s="4">
        <f>'9b-Optional'!H71</f>
        <v>0</v>
      </c>
      <c r="J263" s="262">
        <f>'9b-Optional'!F71</f>
        <v>0</v>
      </c>
      <c r="K263" t="str">
        <f t="shared" si="18"/>
        <v/>
      </c>
    </row>
    <row r="264" spans="1:11" x14ac:dyDescent="0.3">
      <c r="A264" s="388" t="str">
        <f>IF(MAX(F:F)&lt;262,"",IF(INDEX(F:J,MATCH(262,F:F,0),2)=0,"",INDEX(F:J,MATCH(262,F:F,0),2)))</f>
        <v/>
      </c>
      <c r="B264" s="441" t="str">
        <f>IF(MAX(F:F)&lt;262,"",INDEX(F:J,MATCH(262,F:F,0),3))</f>
        <v/>
      </c>
      <c r="C264" s="4" t="str">
        <f>IF(MAX(F:F)&lt;262,"",INDEX(F:J,MATCH(262,F:F,0),4))</f>
        <v/>
      </c>
      <c r="D264" s="4" t="str">
        <f>IF(MAX(F:F)&lt;262,"",INDEX(F:J,MATCH(262,F:F,0),5))</f>
        <v/>
      </c>
      <c r="E264" s="73">
        <f t="shared" si="16"/>
        <v>10</v>
      </c>
      <c r="F264" s="73" t="str">
        <f t="shared" si="17"/>
        <v/>
      </c>
      <c r="G264" s="385" t="str">
        <f>IF(H264="","",IF(AND(G197="",G198="",G199="",G200="",G201="",G202="",G203="",G204="",G205="",G206="",G207="",G208="",G209="",G210="",G211="",G212="",G213="",G214="",G215="",G216="",G217="",G218="",G219="",G220="",G221="",G222="",G223="",G224="",G225="",G226="",G227="",G228="",G229="",G230="",G231="",G232="",G233="",G234="",G235="",G236="",G237="",G238="",G239="",G240="",G241="",G242="",G243="",G244="",G245="",G246="",G247="",G248="",G249="",G250="",G251="",G252="",G253="",G254="",G255="",G256="",G257="",G258="",G259="",G260="",G261="",G262="",G263=""),"Systems",""))</f>
        <v/>
      </c>
      <c r="H264" s="12" t="str">
        <f>IF('9b-Optional'!E72=0,"",'9b-Optional'!B72&amp;": "&amp;'9b-Optional'!D72)</f>
        <v/>
      </c>
      <c r="I264" s="4">
        <f>'9b-Optional'!H72</f>
        <v>0</v>
      </c>
      <c r="J264" s="262">
        <f>'9b-Optional'!F72</f>
        <v>0</v>
      </c>
      <c r="K264" t="str">
        <f t="shared" si="18"/>
        <v/>
      </c>
    </row>
    <row r="265" spans="1:11" x14ac:dyDescent="0.3">
      <c r="A265" s="388" t="str">
        <f>IF(MAX(F:F)&lt;263,"",IF(INDEX(F:J,MATCH(263,F:F,0),2)=0,"",INDEX(F:J,MATCH(263,F:F,0),2)))</f>
        <v/>
      </c>
      <c r="B265" s="441" t="str">
        <f>IF(MAX(F:F)&lt;263,"",INDEX(F:J,MATCH(263,F:F,0),3))</f>
        <v/>
      </c>
      <c r="C265" s="4" t="str">
        <f>IF(MAX(F:F)&lt;263,"",INDEX(F:J,MATCH(263,F:F,0),4))</f>
        <v/>
      </c>
      <c r="D265" s="4" t="str">
        <f>IF(MAX(F:F)&lt;263,"",INDEX(F:J,MATCH(263,F:F,0),5))</f>
        <v/>
      </c>
      <c r="E265" s="73">
        <f t="shared" si="16"/>
        <v>10</v>
      </c>
      <c r="F265" s="73" t="str">
        <f t="shared" si="17"/>
        <v/>
      </c>
      <c r="G265" s="385" t="str">
        <f>IF(H265="","",IF(AND(G197="",G198="",G199="",G200="",G201="",G202="",G203="",G204="",G205="",G206="",G207="",G208="",G209="",G210="",G211="",G212="",G213="",G214="",G215="",G216="",G217="",G218="",G219="",G220="",G221="",G222="",G223="",G224="",G225="",G226="",G227="",G228="",G229="",G230="",G231="",G232="",G233="",G234="",G235="",G236="",G237="",G238="",G239="",G240="",G241="",G242="",G243="",G244="",G245="",G246="",G247="",G248="",G249="",G250="",G251="",G252="",G253="",G254="",G255="",G256="",G257="",G258="",G259="",G260="",G261="",G262="",G263="",G264=""),"Systems",""))</f>
        <v/>
      </c>
      <c r="H265" s="12" t="str">
        <f>IF('9b-Optional'!F77=0,"",TEXT('9b-Optional'!D77,"#,###")&amp;"x "&amp;'9b-Optional'!C77&amp;"L "&amp;'9b-Optional'!B77&amp;" Fabricators")</f>
        <v/>
      </c>
      <c r="J265" s="262">
        <f>'9b-Optional'!F77</f>
        <v>0</v>
      </c>
      <c r="K265" t="str">
        <f t="shared" si="18"/>
        <v/>
      </c>
    </row>
    <row r="266" spans="1:11" x14ac:dyDescent="0.3">
      <c r="A266" s="388" t="str">
        <f>IF(MAX(F:F)&lt;264,"",IF(INDEX(F:J,MATCH(264,F:F,0),2)=0,"",INDEX(F:J,MATCH(264,F:F,0),2)))</f>
        <v/>
      </c>
      <c r="B266" s="441" t="str">
        <f>IF(MAX(F:F)&lt;264,"",INDEX(F:J,MATCH(264,F:F,0),3))</f>
        <v/>
      </c>
      <c r="C266" s="4" t="str">
        <f>IF(MAX(F:F)&lt;264,"",INDEX(F:J,MATCH(264,F:F,0),4))</f>
        <v/>
      </c>
      <c r="D266" s="4" t="str">
        <f>IF(MAX(F:F)&lt;264,"",INDEX(F:J,MATCH(264,F:F,0),5))</f>
        <v/>
      </c>
      <c r="E266" s="73">
        <f t="shared" si="16"/>
        <v>10</v>
      </c>
      <c r="F266" s="73" t="str">
        <f t="shared" si="17"/>
        <v/>
      </c>
      <c r="G266" s="385" t="str">
        <f>IF(H266="","",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Systems",""))</f>
        <v/>
      </c>
      <c r="H266" s="12" t="str">
        <f>IF('9b-Optional'!F78=0,"",TEXT('9b-Optional'!D78,"#,###")&amp;"x "&amp;'9b-Optional'!C78&amp;"L "&amp;'9b-Optional'!B78&amp;" Fabricators")</f>
        <v/>
      </c>
      <c r="J266" s="262">
        <f>'9b-Optional'!F78</f>
        <v>0</v>
      </c>
      <c r="K266" t="str">
        <f t="shared" si="18"/>
        <v/>
      </c>
    </row>
    <row r="267" spans="1:11" x14ac:dyDescent="0.3">
      <c r="A267" s="388" t="str">
        <f>IF(MAX(F:F)&lt;265,"",IF(INDEX(F:J,MATCH(265,F:F,0),2)=0,"",INDEX(F:J,MATCH(265,F:F,0),2)))</f>
        <v/>
      </c>
      <c r="B267" s="441" t="str">
        <f>IF(MAX(F:F)&lt;265,"",INDEX(F:J,MATCH(265,F:F,0),3))</f>
        <v/>
      </c>
      <c r="C267" s="4" t="str">
        <f>IF(MAX(F:F)&lt;265,"",INDEX(F:J,MATCH(265,F:F,0),4))</f>
        <v/>
      </c>
      <c r="D267" s="4" t="str">
        <f>IF(MAX(F:F)&lt;265,"",INDEX(F:J,MATCH(265,F:F,0),5))</f>
        <v/>
      </c>
      <c r="E267" s="73">
        <f t="shared" si="16"/>
        <v>10</v>
      </c>
      <c r="F267" s="73" t="str">
        <f t="shared" si="17"/>
        <v/>
      </c>
      <c r="G267" s="385" t="str">
        <f>IF(H267="","",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Systems",""))</f>
        <v/>
      </c>
      <c r="H267" s="12" t="str">
        <f>IF('9b-Optional'!F79=0,"",TEXT('9b-Optional'!D79,"#,###")&amp;"x "&amp;'9b-Optional'!C79&amp;"L "&amp;'9b-Optional'!B79&amp;" Fabricators")</f>
        <v/>
      </c>
      <c r="J267" s="262">
        <f>'9b-Optional'!F79</f>
        <v>0</v>
      </c>
      <c r="K267" t="str">
        <f t="shared" si="18"/>
        <v/>
      </c>
    </row>
    <row r="268" spans="1:11" x14ac:dyDescent="0.3">
      <c r="A268" s="388" t="str">
        <f>IF(MAX(F:F)&lt;266,"",IF(INDEX(F:J,MATCH(266,F:F,0),2)=0,"",INDEX(F:J,MATCH(266,F:F,0),2)))</f>
        <v/>
      </c>
      <c r="B268" s="441" t="str">
        <f>IF(MAX(F:F)&lt;266,"",INDEX(F:J,MATCH(266,F:F,0),3))</f>
        <v/>
      </c>
      <c r="C268" s="4" t="str">
        <f>IF(MAX(F:F)&lt;266,"",INDEX(F:J,MATCH(266,F:F,0),4))</f>
        <v/>
      </c>
      <c r="D268" s="4" t="str">
        <f>IF(MAX(F:F)&lt;266,"",INDEX(F:J,MATCH(266,F:F,0),5))</f>
        <v/>
      </c>
      <c r="E268" s="73">
        <f t="shared" si="16"/>
        <v>10</v>
      </c>
      <c r="F268" s="73" t="str">
        <f t="shared" si="17"/>
        <v/>
      </c>
      <c r="G268" s="385" t="str">
        <f>IF(H268="","",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Systems",""))</f>
        <v/>
      </c>
      <c r="H268" s="12" t="str">
        <f>IF('9b-Optional'!F81=0,"",TEXT('9b-Optional'!D81,"#,###")&amp;"x "&amp;TEXT('9b-Optional'!C81,"#,###")&amp;"L "&amp;'9b-Optional'!B81&amp;" Fabricators")</f>
        <v/>
      </c>
      <c r="J268" s="262">
        <f>'9b-Optional'!F81</f>
        <v>0</v>
      </c>
      <c r="K268" t="str">
        <f t="shared" si="18"/>
        <v/>
      </c>
    </row>
    <row r="269" spans="1:11" x14ac:dyDescent="0.3">
      <c r="A269" s="388" t="str">
        <f>IF(MAX(F:F)&lt;267,"",IF(INDEX(F:J,MATCH(267,F:F,0),2)=0,"",INDEX(F:J,MATCH(267,F:F,0),2)))</f>
        <v/>
      </c>
      <c r="B269" s="441" t="str">
        <f>IF(MAX(F:F)&lt;267,"",INDEX(F:J,MATCH(267,F:F,0),3))</f>
        <v/>
      </c>
      <c r="C269" s="4" t="str">
        <f>IF(MAX(F:F)&lt;267,"",INDEX(F:J,MATCH(267,F:F,0),4))</f>
        <v/>
      </c>
      <c r="D269" s="4" t="str">
        <f>IF(MAX(F:F)&lt;267,"",INDEX(F:J,MATCH(267,F:F,0),5))</f>
        <v/>
      </c>
      <c r="E269" s="73">
        <f t="shared" si="16"/>
        <v>10</v>
      </c>
      <c r="F269" s="73" t="str">
        <f t="shared" si="17"/>
        <v/>
      </c>
      <c r="G269" s="385" t="str">
        <f>IF(H269="","",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Systems",""))</f>
        <v/>
      </c>
      <c r="H269" s="12" t="str">
        <f>IF('9b-Optional'!F82=0,"",TEXT('9b-Optional'!D82,"#,###")&amp;"x "&amp;TEXT('9b-Optional'!C82,"#,###")&amp;"L "&amp;'9b-Optional'!B82&amp;" Fabricators")</f>
        <v/>
      </c>
      <c r="J269" s="262">
        <f>'9b-Optional'!F82</f>
        <v>0</v>
      </c>
      <c r="K269" t="str">
        <f t="shared" si="18"/>
        <v/>
      </c>
    </row>
    <row r="270" spans="1:11" x14ac:dyDescent="0.3">
      <c r="A270" s="388" t="str">
        <f>IF(MAX(F:F)&lt;268,"",IF(INDEX(F:J,MATCH(268,F:F,0),2)=0,"",INDEX(F:J,MATCH(268,F:F,0),2)))</f>
        <v/>
      </c>
      <c r="B270" s="441" t="str">
        <f>IF(MAX(F:F)&lt;268,"",INDEX(F:J,MATCH(268,F:F,0),3))</f>
        <v/>
      </c>
      <c r="C270" s="4" t="str">
        <f>IF(MAX(F:F)&lt;268,"",INDEX(F:J,MATCH(268,F:F,0),4))</f>
        <v/>
      </c>
      <c r="D270" s="4" t="str">
        <f>IF(MAX(F:F)&lt;268,"",INDEX(F:J,MATCH(268,F:F,0),5))</f>
        <v/>
      </c>
      <c r="E270" s="73">
        <f t="shared" si="16"/>
        <v>10</v>
      </c>
      <c r="F270" s="73" t="str">
        <f t="shared" si="17"/>
        <v/>
      </c>
      <c r="G270" s="385" t="str">
        <f>IF(H270="","",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Systems",""))</f>
        <v/>
      </c>
      <c r="H270" s="12" t="str">
        <f>IF('9b-Optional'!F83=0,"",TEXT('9b-Optional'!D83,"#,###")&amp;"x "&amp;TEXT('9b-Optional'!C83,"#,###")&amp;"L "&amp;'9b-Optional'!B83&amp;" Fabricators")</f>
        <v/>
      </c>
      <c r="J270" s="262">
        <f>'9b-Optional'!F83</f>
        <v>0</v>
      </c>
      <c r="K270" t="str">
        <f t="shared" si="18"/>
        <v/>
      </c>
    </row>
    <row r="271" spans="1:11" x14ac:dyDescent="0.3">
      <c r="A271" s="388" t="str">
        <f>IF(MAX(F:F)&lt;269,"",IF(INDEX(F:J,MATCH(269,F:F,0),2)=0,"",INDEX(F:J,MATCH(269,F:F,0),2)))</f>
        <v/>
      </c>
      <c r="B271" s="441" t="str">
        <f>IF(MAX(F:F)&lt;269,"",INDEX(F:J,MATCH(269,F:F,0),3))</f>
        <v/>
      </c>
      <c r="C271" s="4" t="str">
        <f>IF(MAX(F:F)&lt;269,"",INDEX(F:J,MATCH(269,F:F,0),4))</f>
        <v/>
      </c>
      <c r="D271" s="4" t="str">
        <f>IF(MAX(F:F)&lt;269,"",INDEX(F:J,MATCH(269,F:F,0),5))</f>
        <v/>
      </c>
      <c r="E271" s="73">
        <f t="shared" si="16"/>
        <v>10</v>
      </c>
      <c r="F271" s="73" t="str">
        <f t="shared" si="17"/>
        <v/>
      </c>
      <c r="G271" s="385" t="str">
        <f>IF(H271="","",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Systems",""))</f>
        <v/>
      </c>
      <c r="H271" s="12" t="str">
        <f>IF('9b-Optional'!F87=0,"",TEXT('9b-Optional'!D87,"#,###")&amp;"x "&amp;TEXT('9b-Optional'!C87,"#,###")&amp;"L "&amp;'9b-Optional'!B87&amp;" External Fabricators")</f>
        <v/>
      </c>
      <c r="J271" s="262">
        <f>'9b-Optional'!F87</f>
        <v>0</v>
      </c>
      <c r="K271" t="str">
        <f t="shared" si="18"/>
        <v/>
      </c>
    </row>
    <row r="272" spans="1:11" x14ac:dyDescent="0.3">
      <c r="A272" s="388" t="str">
        <f>IF(MAX(F:F)&lt;270,"",IF(INDEX(F:J,MATCH(270,F:F,0),2)=0,"",INDEX(F:J,MATCH(270,F:F,0),2)))</f>
        <v/>
      </c>
      <c r="B272" s="441" t="str">
        <f>IF(MAX(F:F)&lt;270,"",INDEX(F:J,MATCH(270,F:F,0),3))</f>
        <v/>
      </c>
      <c r="C272" s="4" t="str">
        <f>IF(MAX(F:F)&lt;270,"",INDEX(F:J,MATCH(270,F:F,0),4))</f>
        <v/>
      </c>
      <c r="D272" s="4" t="str">
        <f>IF(MAX(F:F)&lt;270,"",INDEX(F:J,MATCH(270,F:F,0),5))</f>
        <v/>
      </c>
      <c r="E272" s="73">
        <f t="shared" si="16"/>
        <v>10</v>
      </c>
      <c r="F272" s="73" t="str">
        <f t="shared" si="17"/>
        <v/>
      </c>
      <c r="G272" s="385" t="str">
        <f>IF(H272="","",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Systems",""))</f>
        <v/>
      </c>
      <c r="H272" s="12" t="str">
        <f>IF('9b-Optional'!F88=0,"",TEXT('9b-Optional'!D88,"#,###")&amp;"x "&amp;TEXT('9b-Optional'!C88,"#,###")&amp;"L "&amp;'9b-Optional'!B88&amp;" External Fabricators")</f>
        <v/>
      </c>
      <c r="J272" s="262">
        <f>'9b-Optional'!F88</f>
        <v>0</v>
      </c>
      <c r="K272" t="str">
        <f t="shared" si="18"/>
        <v/>
      </c>
    </row>
    <row r="273" spans="1:11" x14ac:dyDescent="0.3">
      <c r="A273" s="388" t="str">
        <f>IF(MAX(F:F)&lt;271,"",IF(INDEX(F:J,MATCH(271,F:F,0),2)=0,"",INDEX(F:J,MATCH(271,F:F,0),2)))</f>
        <v/>
      </c>
      <c r="B273" s="441" t="str">
        <f>IF(MAX(F:F)&lt;271,"",INDEX(F:J,MATCH(271,F:F,0),3))</f>
        <v/>
      </c>
      <c r="C273" s="4" t="str">
        <f>IF(MAX(F:F)&lt;271,"",INDEX(F:J,MATCH(271,F:F,0),4))</f>
        <v/>
      </c>
      <c r="D273" s="4" t="str">
        <f>IF(MAX(F:F)&lt;271,"",INDEX(F:J,MATCH(271,F:F,0),5))</f>
        <v/>
      </c>
      <c r="E273" s="73">
        <f t="shared" si="16"/>
        <v>10</v>
      </c>
      <c r="F273" s="73" t="str">
        <f t="shared" si="17"/>
        <v/>
      </c>
      <c r="G273" s="385" t="str">
        <f>IF(H273="","",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Systems",""))</f>
        <v/>
      </c>
      <c r="H273" s="12" t="str">
        <f>IF('9b-Optional'!F89=0,"",TEXT('9b-Optional'!D89,"#,###")&amp;"x "&amp;TEXT('9b-Optional'!C89,"#,###")&amp;"L "&amp;'9b-Optional'!B89&amp;" External Fabricators")</f>
        <v/>
      </c>
      <c r="J273" s="262">
        <f>'9b-Optional'!F89</f>
        <v>0</v>
      </c>
      <c r="K273" t="str">
        <f t="shared" si="18"/>
        <v/>
      </c>
    </row>
    <row r="274" spans="1:11" x14ac:dyDescent="0.3">
      <c r="A274" s="388" t="str">
        <f>IF(MAX(F:F)&lt;272,"",IF(INDEX(F:J,MATCH(272,F:F,0),2)=0,"",INDEX(F:J,MATCH(272,F:F,0),2)))</f>
        <v/>
      </c>
      <c r="B274" s="441" t="str">
        <f>IF(MAX(F:F)&lt;272,"",INDEX(F:J,MATCH(272,F:F,0),3))</f>
        <v/>
      </c>
      <c r="C274" s="4" t="str">
        <f>IF(MAX(F:F)&lt;272,"",INDEX(F:J,MATCH(272,F:F,0),4))</f>
        <v/>
      </c>
      <c r="D274" s="4" t="str">
        <f>IF(MAX(F:F)&lt;272,"",INDEX(F:J,MATCH(272,F:F,0),5))</f>
        <v/>
      </c>
      <c r="E274" s="73">
        <f t="shared" si="16"/>
        <v>10</v>
      </c>
      <c r="F274" s="73" t="str">
        <f t="shared" si="17"/>
        <v/>
      </c>
      <c r="G274" s="385" t="str">
        <f>IF(H274="","",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Systems",""))</f>
        <v/>
      </c>
      <c r="H274" s="12" t="str">
        <f>IF('9b-Optional'!F91=0,"",TEXT('9b-Optional'!D91,"#,###")&amp;"x "&amp;'9b-Optional'!C91&amp;"L "&amp;'9b-Optional'!B91&amp;" External Fabricators")</f>
        <v/>
      </c>
      <c r="J274" s="262">
        <f>'9b-Optional'!F91</f>
        <v>0</v>
      </c>
      <c r="K274" t="str">
        <f t="shared" si="18"/>
        <v/>
      </c>
    </row>
    <row r="275" spans="1:11" x14ac:dyDescent="0.3">
      <c r="A275" s="388" t="str">
        <f>IF(MAX(F:F)&lt;273,"",IF(INDEX(F:J,MATCH(273,F:F,0),2)=0,"",INDEX(F:J,MATCH(273,F:F,0),2)))</f>
        <v/>
      </c>
      <c r="B275" s="441" t="str">
        <f>IF(MAX(F:F)&lt;273,"",INDEX(F:J,MATCH(273,F:F,0),3))</f>
        <v/>
      </c>
      <c r="C275" s="4" t="str">
        <f>IF(MAX(F:F)&lt;273,"",INDEX(F:J,MATCH(273,F:F,0),4))</f>
        <v/>
      </c>
      <c r="D275" s="4" t="str">
        <f>IF(MAX(F:F)&lt;273,"",INDEX(F:J,MATCH(273,F:F,0),5))</f>
        <v/>
      </c>
      <c r="E275" s="73">
        <f t="shared" si="16"/>
        <v>10</v>
      </c>
      <c r="F275" s="73" t="str">
        <f t="shared" si="17"/>
        <v/>
      </c>
      <c r="G275" s="385" t="str">
        <f>IF(H275="","",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Systems",""))</f>
        <v/>
      </c>
      <c r="H275" s="12" t="str">
        <f>IF('9b-Optional'!F92=0,"",TEXT('9b-Optional'!D92,"#,###")&amp;"x "&amp;'9b-Optional'!C92&amp;"L "&amp;'9b-Optional'!B92&amp;" External Fabricators")</f>
        <v/>
      </c>
      <c r="J275" s="262">
        <f>'9b-Optional'!F92</f>
        <v>0</v>
      </c>
      <c r="K275" t="str">
        <f t="shared" si="18"/>
        <v/>
      </c>
    </row>
    <row r="276" spans="1:11" x14ac:dyDescent="0.3">
      <c r="A276" s="388" t="str">
        <f>IF(MAX(F:F)&lt;274,"",IF(INDEX(F:J,MATCH(274,F:F,0),2)=0,"",INDEX(F:J,MATCH(274,F:F,0),2)))</f>
        <v/>
      </c>
      <c r="B276" s="441" t="str">
        <f>IF(MAX(F:F)&lt;274,"",INDEX(F:J,MATCH(274,F:F,0),3))</f>
        <v/>
      </c>
      <c r="C276" s="4" t="str">
        <f>IF(MAX(F:F)&lt;274,"",INDEX(F:J,MATCH(274,F:F,0),4))</f>
        <v/>
      </c>
      <c r="D276" s="4" t="str">
        <f>IF(MAX(F:F)&lt;274,"",INDEX(F:J,MATCH(274,F:F,0),5))</f>
        <v/>
      </c>
      <c r="E276" s="73">
        <f t="shared" si="16"/>
        <v>10</v>
      </c>
      <c r="F276" s="73" t="str">
        <f t="shared" si="17"/>
        <v/>
      </c>
      <c r="G276" s="385" t="str">
        <f>IF(H276="","",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Systems",""))</f>
        <v/>
      </c>
      <c r="H276" s="12" t="str">
        <f>IF('9b-Optional'!F93=0,"",TEXT('9b-Optional'!D93,"#,###")&amp;"x "&amp;'9b-Optional'!C93&amp;"L "&amp;'9b-Optional'!B93&amp;" External Fabricators")</f>
        <v/>
      </c>
      <c r="J276" s="262">
        <f>'9b-Optional'!F93</f>
        <v>0</v>
      </c>
      <c r="K276" t="str">
        <f t="shared" si="18"/>
        <v/>
      </c>
    </row>
    <row r="277" spans="1:11" x14ac:dyDescent="0.3">
      <c r="A277" s="388" t="str">
        <f>IF(MAX(F:F)&lt;275,"",IF(INDEX(F:J,MATCH(275,F:F,0),2)=0,"",INDEX(F:J,MATCH(275,F:F,0),2)))</f>
        <v/>
      </c>
      <c r="B277" s="441" t="str">
        <f>IF(MAX(F:F)&lt;275,"",INDEX(F:J,MATCH(275,F:F,0),3))</f>
        <v/>
      </c>
      <c r="C277" s="4" t="str">
        <f>IF(MAX(F:F)&lt;275,"",INDEX(F:J,MATCH(275,F:F,0),4))</f>
        <v/>
      </c>
      <c r="D277" s="4" t="str">
        <f>IF(MAX(F:F)&lt;275,"",INDEX(F:J,MATCH(275,F:F,0),5))</f>
        <v/>
      </c>
      <c r="E277" s="73">
        <f t="shared" si="16"/>
        <v>10</v>
      </c>
      <c r="F277" s="73" t="str">
        <f t="shared" si="17"/>
        <v/>
      </c>
      <c r="G277" s="385" t="str">
        <f>IF(H277="","",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Systems",""))</f>
        <v/>
      </c>
      <c r="H277" s="12" t="str">
        <f>IF('9b-Optional'!F97=0,"",TEXT('9b-Optional'!D97,"#,###")&amp;"x "&amp;TEXT('9b-Optional'!C97,"#,###")&amp;"L "&amp;'9b-Optional'!B97&amp;" Deconstructors")</f>
        <v/>
      </c>
      <c r="J277" s="262">
        <f>'9b-Optional'!F97</f>
        <v>0</v>
      </c>
      <c r="K277" t="str">
        <f t="shared" si="18"/>
        <v/>
      </c>
    </row>
    <row r="278" spans="1:11" x14ac:dyDescent="0.3">
      <c r="A278" s="388" t="str">
        <f>IF(MAX(F:F)&lt;276,"",IF(INDEX(F:J,MATCH(276,F:F,0),2)=0,"",INDEX(F:J,MATCH(276,F:F,0),2)))</f>
        <v/>
      </c>
      <c r="B278" s="441" t="str">
        <f>IF(MAX(F:F)&lt;276,"",INDEX(F:J,MATCH(276,F:F,0),3))</f>
        <v/>
      </c>
      <c r="C278" s="4" t="str">
        <f>IF(MAX(F:F)&lt;276,"",INDEX(F:J,MATCH(276,F:F,0),4))</f>
        <v/>
      </c>
      <c r="D278" s="4" t="str">
        <f>IF(MAX(F:F)&lt;276,"",INDEX(F:J,MATCH(276,F:F,0),5))</f>
        <v/>
      </c>
      <c r="E278" s="73">
        <f t="shared" si="16"/>
        <v>10</v>
      </c>
      <c r="F278" s="73" t="str">
        <f t="shared" si="17"/>
        <v/>
      </c>
      <c r="G278" s="385" t="str">
        <f>IF(H278="","",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Systems",""))</f>
        <v/>
      </c>
      <c r="H278" s="12" t="str">
        <f>IF('9b-Optional'!F98=0,"",TEXT('9b-Optional'!D98,"#,###")&amp;"x "&amp;TEXT('9b-Optional'!C98,"#,###")&amp;"L "&amp;'9b-Optional'!B98&amp;" Deconstructors")</f>
        <v/>
      </c>
      <c r="J278" s="262">
        <f>'9b-Optional'!F98</f>
        <v>0</v>
      </c>
      <c r="K278" t="str">
        <f t="shared" si="18"/>
        <v/>
      </c>
    </row>
    <row r="279" spans="1:11" x14ac:dyDescent="0.3">
      <c r="A279" s="388" t="str">
        <f>IF(MAX(F:F)&lt;277,"",IF(INDEX(F:J,MATCH(277,F:F,0),2)=0,"",INDEX(F:J,MATCH(277,F:F,0),2)))</f>
        <v/>
      </c>
      <c r="B279" s="441" t="str">
        <f>IF(MAX(F:F)&lt;277,"",INDEX(F:J,MATCH(277,F:F,0),3))</f>
        <v/>
      </c>
      <c r="C279" s="4" t="str">
        <f>IF(MAX(F:F)&lt;277,"",INDEX(F:J,MATCH(277,F:F,0),4))</f>
        <v/>
      </c>
      <c r="D279" s="4" t="str">
        <f>IF(MAX(F:F)&lt;277,"",INDEX(F:J,MATCH(277,F:F,0),5))</f>
        <v/>
      </c>
      <c r="E279" s="73">
        <f t="shared" si="16"/>
        <v>10</v>
      </c>
      <c r="F279" s="73" t="str">
        <f t="shared" si="17"/>
        <v/>
      </c>
      <c r="G279" s="385" t="str">
        <f>IF(H279="","",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Systems",""))</f>
        <v/>
      </c>
      <c r="H279" s="12" t="str">
        <f>IF('9b-Optional'!F99=0,"",TEXT('9b-Optional'!D99,"#,###")&amp;"x "&amp;TEXT('9b-Optional'!C99,"#,###")&amp;"L "&amp;'9b-Optional'!B99&amp;" Deconstructors")</f>
        <v/>
      </c>
      <c r="J279" s="262">
        <f>'9b-Optional'!F99</f>
        <v>0</v>
      </c>
      <c r="K279" t="str">
        <f t="shared" si="18"/>
        <v/>
      </c>
    </row>
    <row r="280" spans="1:11" x14ac:dyDescent="0.3">
      <c r="A280" s="388" t="str">
        <f>IF(MAX(F:F)&lt;278,"",IF(INDEX(F:J,MATCH(278,F:F,0),2)=0,"",INDEX(F:J,MATCH(278,F:F,0),2)))</f>
        <v/>
      </c>
      <c r="B280" s="441" t="str">
        <f>IF(MAX(F:F)&lt;278,"",INDEX(F:J,MATCH(278,F:F,0),3))</f>
        <v/>
      </c>
      <c r="C280" s="4" t="str">
        <f>IF(MAX(F:F)&lt;278,"",INDEX(F:J,MATCH(278,F:F,0),4))</f>
        <v/>
      </c>
      <c r="D280" s="4" t="str">
        <f>IF(MAX(F:F)&lt;278,"",INDEX(F:J,MATCH(278,F:F,0),5))</f>
        <v/>
      </c>
      <c r="E280" s="73">
        <f t="shared" si="16"/>
        <v>10</v>
      </c>
      <c r="F280" s="73" t="str">
        <f t="shared" si="17"/>
        <v/>
      </c>
      <c r="G280" s="385" t="str">
        <f>IF(H280="","",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Systems",""))</f>
        <v/>
      </c>
      <c r="H280" s="12" t="str">
        <f>IF('9b-Optional'!F101=0,"",TEXT('9b-Optional'!D101,"#,###")&amp;"x "&amp;TEXT('9b-Optional'!C101,"#,###")&amp;"L "&amp;'9b-Optional'!B101&amp;" Deconstructors")</f>
        <v/>
      </c>
      <c r="J280" s="262">
        <f>'9b-Optional'!F101</f>
        <v>0</v>
      </c>
      <c r="K280" t="str">
        <f t="shared" si="18"/>
        <v/>
      </c>
    </row>
    <row r="281" spans="1:11" x14ac:dyDescent="0.3">
      <c r="A281" s="388" t="str">
        <f>IF(MAX(F:F)&lt;279,"",IF(INDEX(F:J,MATCH(279,F:F,0),2)=0,"",INDEX(F:J,MATCH(279,F:F,0),2)))</f>
        <v/>
      </c>
      <c r="B281" s="441" t="str">
        <f>IF(MAX(F:F)&lt;279,"",INDEX(F:J,MATCH(279,F:F,0),3))</f>
        <v/>
      </c>
      <c r="C281" s="4" t="str">
        <f>IF(MAX(F:F)&lt;279,"",INDEX(F:J,MATCH(279,F:F,0),4))</f>
        <v/>
      </c>
      <c r="D281" s="4" t="str">
        <f>IF(MAX(F:F)&lt;279,"",INDEX(F:J,MATCH(279,F:F,0),5))</f>
        <v/>
      </c>
      <c r="E281" s="73">
        <f t="shared" si="16"/>
        <v>10</v>
      </c>
      <c r="F281" s="73" t="str">
        <f t="shared" si="17"/>
        <v/>
      </c>
      <c r="G281" s="385" t="str">
        <f>IF(H281="","",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Systems",""))</f>
        <v/>
      </c>
      <c r="H281" s="12" t="str">
        <f>IF('9b-Optional'!F102=0,"",TEXT('9b-Optional'!D102,"#,###")&amp;"x "&amp;TEXT('9b-Optional'!C102,"#,###")&amp;"L "&amp;'9b-Optional'!B102&amp;" Deconstructors")</f>
        <v/>
      </c>
      <c r="J281" s="262">
        <f>'9b-Optional'!F102</f>
        <v>0</v>
      </c>
      <c r="K281" t="str">
        <f t="shared" si="18"/>
        <v/>
      </c>
    </row>
    <row r="282" spans="1:11" x14ac:dyDescent="0.3">
      <c r="A282" s="388" t="str">
        <f>IF(MAX(F:F)&lt;280,"",IF(INDEX(F:J,MATCH(280,F:F,0),2)=0,"",INDEX(F:J,MATCH(280,F:F,0),2)))</f>
        <v/>
      </c>
      <c r="B282" s="441" t="str">
        <f>IF(MAX(F:F)&lt;280,"",INDEX(F:J,MATCH(280,F:F,0),3))</f>
        <v/>
      </c>
      <c r="C282" s="4" t="str">
        <f>IF(MAX(F:F)&lt;280,"",INDEX(F:J,MATCH(280,F:F,0),4))</f>
        <v/>
      </c>
      <c r="D282" s="4" t="str">
        <f>IF(MAX(F:F)&lt;280,"",INDEX(F:J,MATCH(280,F:F,0),5))</f>
        <v/>
      </c>
      <c r="E282" s="73">
        <f t="shared" si="16"/>
        <v>10</v>
      </c>
      <c r="F282" s="73" t="str">
        <f t="shared" si="17"/>
        <v/>
      </c>
      <c r="G282" s="385" t="str">
        <f>IF(H282="","",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Systems",""))</f>
        <v/>
      </c>
      <c r="H282" s="12" t="str">
        <f>IF('9b-Optional'!F103=0,"",TEXT('9b-Optional'!D103,"#,###")&amp;"x "&amp;TEXT('9b-Optional'!C103,"#,###")&amp;"L "&amp;'9b-Optional'!B103&amp;" Deconstructors")</f>
        <v/>
      </c>
      <c r="J282" s="262">
        <f>'9b-Optional'!F103</f>
        <v>0</v>
      </c>
      <c r="K282" t="str">
        <f t="shared" si="18"/>
        <v/>
      </c>
    </row>
    <row r="283" spans="1:11" x14ac:dyDescent="0.3">
      <c r="A283" s="388" t="str">
        <f>IF(MAX(F:F)&lt;281,"",IF(INDEX(F:J,MATCH(281,F:F,0),2)=0,"",INDEX(F:J,MATCH(281,F:F,0),2)))</f>
        <v/>
      </c>
      <c r="B283" s="441" t="str">
        <f>IF(MAX(F:F)&lt;281,"",INDEX(F:J,MATCH(281,F:F,0),3))</f>
        <v/>
      </c>
      <c r="C283" s="4" t="str">
        <f>IF(MAX(F:F)&lt;281,"",INDEX(F:J,MATCH(281,F:F,0),4))</f>
        <v/>
      </c>
      <c r="D283" s="4" t="str">
        <f>IF(MAX(F:F)&lt;281,"",INDEX(F:J,MATCH(281,F:F,0),5))</f>
        <v/>
      </c>
      <c r="E283" s="73">
        <f t="shared" si="16"/>
        <v>10</v>
      </c>
      <c r="F283" s="73" t="str">
        <f t="shared" si="17"/>
        <v/>
      </c>
      <c r="G283" s="385" t="str">
        <f>IF(H283="","",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Systems",""))</f>
        <v/>
      </c>
      <c r="H283" s="12" t="str">
        <f>IF('9b-Optional'!F107=0,"",TEXT('9b-Optional'!D107,"#,###")&amp;"x "&amp;'9b-Optional'!C107&amp;"L "&amp;'9b-Optional'!B107&amp;" Deconstructor/Fabricators")</f>
        <v/>
      </c>
      <c r="J283" s="262">
        <f>'9b-Optional'!F107</f>
        <v>0</v>
      </c>
      <c r="K283" t="str">
        <f t="shared" si="18"/>
        <v/>
      </c>
    </row>
    <row r="284" spans="1:11" x14ac:dyDescent="0.3">
      <c r="A284" s="388" t="str">
        <f>IF(MAX(F:F)&lt;282,"",IF(INDEX(F:J,MATCH(282,F:F,0),2)=0,"",INDEX(F:J,MATCH(282,F:F,0),2)))</f>
        <v/>
      </c>
      <c r="B284" s="441" t="str">
        <f>IF(MAX(F:F)&lt;282,"",INDEX(F:J,MATCH(282,F:F,0),3))</f>
        <v/>
      </c>
      <c r="C284" s="4" t="str">
        <f>IF(MAX(F:F)&lt;282,"",INDEX(F:J,MATCH(282,F:F,0),4))</f>
        <v/>
      </c>
      <c r="D284" s="4" t="str">
        <f>IF(MAX(F:F)&lt;282,"",INDEX(F:J,MATCH(282,F:F,0),5))</f>
        <v/>
      </c>
      <c r="E284" s="73">
        <f t="shared" si="16"/>
        <v>10</v>
      </c>
      <c r="F284" s="73" t="str">
        <f t="shared" si="17"/>
        <v/>
      </c>
      <c r="G284" s="385" t="str">
        <f>IF(H284="","",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Systems",""))</f>
        <v/>
      </c>
      <c r="H284" s="12" t="str">
        <f>IF('9b-Optional'!F108=0,"",TEXT('9b-Optional'!D108,"#,###")&amp;"x "&amp;'9b-Optional'!C108&amp;"L "&amp;'9b-Optional'!B108&amp;" Deconstructor/Fabricators")</f>
        <v/>
      </c>
      <c r="J284" s="262">
        <f>'9b-Optional'!F108</f>
        <v>0</v>
      </c>
      <c r="K284" t="str">
        <f t="shared" si="18"/>
        <v/>
      </c>
    </row>
    <row r="285" spans="1:11" x14ac:dyDescent="0.3">
      <c r="A285" s="388" t="str">
        <f>IF(MAX(F:F)&lt;283,"",IF(INDEX(F:J,MATCH(283,F:F,0),2)=0,"",INDEX(F:J,MATCH(283,F:F,0),2)))</f>
        <v/>
      </c>
      <c r="B285" s="441" t="str">
        <f>IF(MAX(F:F)&lt;283,"",INDEX(F:J,MATCH(283,F:F,0),3))</f>
        <v/>
      </c>
      <c r="C285" s="4" t="str">
        <f>IF(MAX(F:F)&lt;283,"",INDEX(F:J,MATCH(283,F:F,0),4))</f>
        <v/>
      </c>
      <c r="D285" s="4" t="str">
        <f>IF(MAX(F:F)&lt;283,"",INDEX(F:J,MATCH(283,F:F,0),5))</f>
        <v/>
      </c>
      <c r="E285" s="73">
        <f t="shared" si="16"/>
        <v>10</v>
      </c>
      <c r="F285" s="73" t="str">
        <f t="shared" si="17"/>
        <v/>
      </c>
      <c r="G285" s="385" t="str">
        <f>IF(H285="","",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Systems",""))</f>
        <v/>
      </c>
      <c r="H285" s="12" t="str">
        <f>IF('9b-Optional'!F109=0,"",TEXT('9b-Optional'!D109,"#,###")&amp;"x "&amp;'9b-Optional'!C109&amp;"L "&amp;'9b-Optional'!B109&amp;" Deconstructor/Fabricators")</f>
        <v/>
      </c>
      <c r="J285" s="262">
        <f>'9b-Optional'!F109</f>
        <v>0</v>
      </c>
      <c r="K285" t="str">
        <f t="shared" si="18"/>
        <v/>
      </c>
    </row>
    <row r="286" spans="1:11" x14ac:dyDescent="0.3">
      <c r="A286" s="388" t="str">
        <f>IF(MAX(F:F)&lt;284,"",IF(INDEX(F:J,MATCH(284,F:F,0),2)=0,"",INDEX(F:J,MATCH(284,F:F,0),2)))</f>
        <v/>
      </c>
      <c r="B286" s="441" t="str">
        <f>IF(MAX(F:F)&lt;284,"",INDEX(F:J,MATCH(284,F:F,0),3))</f>
        <v/>
      </c>
      <c r="C286" s="4" t="str">
        <f>IF(MAX(F:F)&lt;284,"",INDEX(F:J,MATCH(284,F:F,0),4))</f>
        <v/>
      </c>
      <c r="D286" s="4" t="str">
        <f>IF(MAX(F:F)&lt;284,"",INDEX(F:J,MATCH(284,F:F,0),5))</f>
        <v/>
      </c>
      <c r="E286" s="73">
        <f t="shared" si="16"/>
        <v>10</v>
      </c>
      <c r="F286" s="73" t="str">
        <f t="shared" si="17"/>
        <v/>
      </c>
      <c r="G286" s="385" t="str">
        <f>IF(H286="","",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Systems",""))</f>
        <v/>
      </c>
      <c r="H286" s="12" t="str">
        <f>IF('9b-Optional'!F111=0,"",TEXT('9b-Optional'!D111,"#,###")&amp;"x "&amp;TEXT('9b-Optional'!C111,"#,###")&amp;"L "&amp;'9b-Optional'!B111&amp;" Deconstructor/Fabricators")</f>
        <v/>
      </c>
      <c r="J286" s="262">
        <f>'9b-Optional'!F111</f>
        <v>0</v>
      </c>
      <c r="K286" t="str">
        <f t="shared" si="18"/>
        <v/>
      </c>
    </row>
    <row r="287" spans="1:11" x14ac:dyDescent="0.3">
      <c r="A287" s="388" t="str">
        <f>IF(MAX(F:F)&lt;285,"",IF(INDEX(F:J,MATCH(285,F:F,0),2)=0,"",INDEX(F:J,MATCH(285,F:F,0),2)))</f>
        <v/>
      </c>
      <c r="B287" s="441" t="str">
        <f>IF(MAX(F:F)&lt;285,"",INDEX(F:J,MATCH(285,F:F,0),3))</f>
        <v/>
      </c>
      <c r="C287" s="4" t="str">
        <f>IF(MAX(F:F)&lt;285,"",INDEX(F:J,MATCH(285,F:F,0),4))</f>
        <v/>
      </c>
      <c r="D287" s="4" t="str">
        <f>IF(MAX(F:F)&lt;285,"",INDEX(F:J,MATCH(285,F:F,0),5))</f>
        <v/>
      </c>
      <c r="E287" s="73">
        <f t="shared" si="16"/>
        <v>10</v>
      </c>
      <c r="F287" s="73" t="str">
        <f t="shared" si="17"/>
        <v/>
      </c>
      <c r="G287" s="385" t="str">
        <f>IF(H287="","",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Systems",""))</f>
        <v/>
      </c>
      <c r="H287" s="12" t="str">
        <f>IF('9b-Optional'!F112=0,"",TEXT('9b-Optional'!D112,"#,###")&amp;"x "&amp;TEXT('9b-Optional'!C112,"#,###")&amp;"L "&amp;'9b-Optional'!B112&amp;" Deconstructor/Fabricators")</f>
        <v/>
      </c>
      <c r="J287" s="262">
        <f>'9b-Optional'!F112</f>
        <v>0</v>
      </c>
      <c r="K287" t="str">
        <f t="shared" si="18"/>
        <v/>
      </c>
    </row>
    <row r="288" spans="1:11" x14ac:dyDescent="0.3">
      <c r="A288" s="388" t="str">
        <f>IF(MAX(F:F)&lt;286,"",IF(INDEX(F:J,MATCH(286,F:F,0),2)=0,"",INDEX(F:J,MATCH(286,F:F,0),2)))</f>
        <v/>
      </c>
      <c r="B288" s="441" t="str">
        <f>IF(MAX(F:F)&lt;286,"",INDEX(F:J,MATCH(286,F:F,0),3))</f>
        <v/>
      </c>
      <c r="C288" s="4" t="str">
        <f>IF(MAX(F:F)&lt;286,"",INDEX(F:J,MATCH(286,F:F,0),4))</f>
        <v/>
      </c>
      <c r="D288" s="4" t="str">
        <f>IF(MAX(F:F)&lt;286,"",INDEX(F:J,MATCH(286,F:F,0),5))</f>
        <v/>
      </c>
      <c r="E288" s="73">
        <f t="shared" si="16"/>
        <v>10</v>
      </c>
      <c r="F288" s="73" t="str">
        <f t="shared" si="17"/>
        <v/>
      </c>
      <c r="G288" s="385" t="str">
        <f>IF(H288="","",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G287=""),"Systems",""))</f>
        <v/>
      </c>
      <c r="H288" s="12" t="str">
        <f>IF('9b-Optional'!F113=0,"",TEXT('9b-Optional'!D113,"#,###")&amp;"x "&amp;TEXT('9b-Optional'!C113,"#,###")&amp;"L "&amp;'9b-Optional'!B113&amp;" Deconstructor/Fabricators")</f>
        <v/>
      </c>
      <c r="J288" s="262">
        <f>'9b-Optional'!F113</f>
        <v>0</v>
      </c>
      <c r="K288" t="str">
        <f t="shared" si="18"/>
        <v/>
      </c>
    </row>
    <row r="289" spans="1:11" x14ac:dyDescent="0.3">
      <c r="A289" s="388" t="str">
        <f>IF(MAX(F:F)&lt;287,"",IF(INDEX(F:J,MATCH(287,F:F,0),2)=0,"",INDEX(F:J,MATCH(287,F:F,0),2)))</f>
        <v/>
      </c>
      <c r="B289" s="441" t="str">
        <f>IF(MAX(F:F)&lt;287,"",INDEX(F:J,MATCH(287,F:F,0),3))</f>
        <v/>
      </c>
      <c r="C289" s="4" t="str">
        <f>IF(MAX(F:F)&lt;287,"",INDEX(F:J,MATCH(287,F:F,0),4))</f>
        <v/>
      </c>
      <c r="D289" s="4" t="str">
        <f>IF(MAX(F:F)&lt;287,"",INDEX(F:J,MATCH(287,F:F,0),5))</f>
        <v/>
      </c>
      <c r="E289" s="73">
        <f t="shared" si="16"/>
        <v>10</v>
      </c>
      <c r="F289" s="73" t="str">
        <f t="shared" si="17"/>
        <v/>
      </c>
      <c r="G289" s="385" t="str">
        <f>IF(H289="","",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G287="",G288=""),"Systems",""))</f>
        <v/>
      </c>
      <c r="H289" s="12" t="str">
        <f>IF('9b-Optional'!F117=0,"",TEXT('9b-Optional'!D117,"#,###")&amp;"x "&amp;TEXT('9b-Optional'!C117,"#,###")&amp;"L "&amp;'9b-Optional'!B117&amp;" External Deconstructor/Fabricators")</f>
        <v/>
      </c>
      <c r="J289" s="262">
        <f>'9b-Optional'!F117</f>
        <v>0</v>
      </c>
      <c r="K289" t="str">
        <f t="shared" si="18"/>
        <v/>
      </c>
    </row>
    <row r="290" spans="1:11" x14ac:dyDescent="0.3">
      <c r="A290" s="388" t="str">
        <f>IF(MAX(F:F)&lt;288,"",IF(INDEX(F:J,MATCH(288,F:F,0),2)=0,"",INDEX(F:J,MATCH(288,F:F,0),2)))</f>
        <v/>
      </c>
      <c r="B290" s="441" t="str">
        <f>IF(MAX(F:F)&lt;288,"",INDEX(F:J,MATCH(288,F:F,0),3))</f>
        <v/>
      </c>
      <c r="C290" s="4" t="str">
        <f>IF(MAX(F:F)&lt;288,"",INDEX(F:J,MATCH(288,F:F,0),4))</f>
        <v/>
      </c>
      <c r="D290" s="4" t="str">
        <f>IF(MAX(F:F)&lt;288,"",INDEX(F:J,MATCH(288,F:F,0),5))</f>
        <v/>
      </c>
      <c r="E290" s="73">
        <f t="shared" si="16"/>
        <v>10</v>
      </c>
      <c r="F290" s="73" t="str">
        <f t="shared" si="17"/>
        <v/>
      </c>
      <c r="G290" s="385" t="str">
        <f>IF(H290="","",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G287="",G288="",G289=""),"Systems",""))</f>
        <v/>
      </c>
      <c r="H290" s="12" t="str">
        <f>IF('9b-Optional'!F118=0,"",TEXT('9b-Optional'!D118,"#,###")&amp;"x "&amp;TEXT('9b-Optional'!C118,"#,###")&amp;"L "&amp;'9b-Optional'!B118&amp;" External Deconstructor/Fabricators")</f>
        <v/>
      </c>
      <c r="J290" s="262">
        <f>'9b-Optional'!F118</f>
        <v>0</v>
      </c>
      <c r="K290" t="str">
        <f t="shared" si="18"/>
        <v/>
      </c>
    </row>
    <row r="291" spans="1:11" x14ac:dyDescent="0.3">
      <c r="A291" s="388" t="str">
        <f>IF(MAX(F:F)&lt;289,"",IF(INDEX(F:J,MATCH(289,F:F,0),2)=0,"",INDEX(F:J,MATCH(289,F:F,0),2)))</f>
        <v/>
      </c>
      <c r="B291" s="441" t="str">
        <f>IF(MAX(F:F)&lt;289,"",INDEX(F:J,MATCH(289,F:F,0),3))</f>
        <v/>
      </c>
      <c r="C291" s="4" t="str">
        <f>IF(MAX(F:F)&lt;289,"",INDEX(F:J,MATCH(289,F:F,0),4))</f>
        <v/>
      </c>
      <c r="D291" s="4" t="str">
        <f>IF(MAX(F:F)&lt;289,"",INDEX(F:J,MATCH(289,F:F,0),5))</f>
        <v/>
      </c>
      <c r="E291" s="73">
        <f t="shared" si="16"/>
        <v>10</v>
      </c>
      <c r="F291" s="73" t="str">
        <f t="shared" si="17"/>
        <v/>
      </c>
      <c r="G291" s="385" t="str">
        <f>IF(H291="","",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G287="",G288="",G289="",G290=""),"Systems",""))</f>
        <v/>
      </c>
      <c r="H291" s="12" t="str">
        <f>IF('9b-Optional'!F119=0,"",TEXT('9b-Optional'!D119,"#,###")&amp;"x "&amp;TEXT('9b-Optional'!C119,"#,###")&amp;"L "&amp;'9b-Optional'!B119&amp;" External Deconstructor/Fabricators")</f>
        <v/>
      </c>
      <c r="J291" s="262">
        <f>'9b-Optional'!F119</f>
        <v>0</v>
      </c>
      <c r="K291" t="str">
        <f t="shared" si="18"/>
        <v/>
      </c>
    </row>
    <row r="292" spans="1:11" x14ac:dyDescent="0.3">
      <c r="A292" s="388" t="str">
        <f>IF(MAX(F:F)&lt;290,"",IF(INDEX(F:J,MATCH(290,F:F,0),2)=0,"",INDEX(F:J,MATCH(290,F:F,0),2)))</f>
        <v/>
      </c>
      <c r="B292" s="441" t="str">
        <f>IF(MAX(F:F)&lt;290,"",INDEX(F:J,MATCH(290,F:F,0),3))</f>
        <v/>
      </c>
      <c r="C292" s="4" t="str">
        <f>IF(MAX(F:F)&lt;290,"",INDEX(F:J,MATCH(290,F:F,0),4))</f>
        <v/>
      </c>
      <c r="D292" s="4" t="str">
        <f>IF(MAX(F:F)&lt;290,"",INDEX(F:J,MATCH(290,F:F,0),5))</f>
        <v/>
      </c>
      <c r="E292" s="73">
        <f t="shared" si="16"/>
        <v>10</v>
      </c>
      <c r="F292" s="73" t="str">
        <f t="shared" si="17"/>
        <v/>
      </c>
      <c r="G292" s="388" t="str">
        <f>IF(H291="","",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G287="",G288="",G289="",G290="",G291=""),"Systems",""))</f>
        <v/>
      </c>
      <c r="H292" s="12" t="str">
        <f>IF('9b-Optional'!F121=0,"",TEXT('9b-Optional'!D121,"#,###")&amp;"x "&amp;TEXT('9b-Optional'!C121,"#,###")&amp;"L "&amp;'9b-Optional'!B121&amp;" External Deconstructor/Fabricators")</f>
        <v/>
      </c>
      <c r="J292" s="262">
        <f>'9b-Optional'!F121</f>
        <v>0</v>
      </c>
      <c r="K292" t="str">
        <f t="shared" si="18"/>
        <v/>
      </c>
    </row>
    <row r="293" spans="1:11" x14ac:dyDescent="0.3">
      <c r="A293" s="388" t="str">
        <f>IF(MAX(F:F)&lt;291,"",IF(INDEX(F:J,MATCH(291,F:F,0),2)=0,"",INDEX(F:J,MATCH(291,F:F,0),2)))</f>
        <v/>
      </c>
      <c r="B293" s="441" t="str">
        <f>IF(MAX(F:F)&lt;291,"",INDEX(F:J,MATCH(291,F:F,0),3))</f>
        <v/>
      </c>
      <c r="C293" s="4" t="str">
        <f>IF(MAX(F:F)&lt;291,"",INDEX(F:J,MATCH(291,F:F,0),4))</f>
        <v/>
      </c>
      <c r="D293" s="4" t="str">
        <f>IF(MAX(F:F)&lt;291,"",INDEX(F:J,MATCH(291,F:F,0),5))</f>
        <v/>
      </c>
      <c r="E293" s="73">
        <f t="shared" si="16"/>
        <v>10</v>
      </c>
      <c r="F293" s="73" t="str">
        <f t="shared" si="17"/>
        <v/>
      </c>
      <c r="G293" s="388" t="str">
        <f>IF(H291="","",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G287="",G288="",G289="",G290="",G291="",G292=""),"Systems",""))</f>
        <v/>
      </c>
      <c r="H293" s="12" t="str">
        <f>IF('9b-Optional'!F122=0,"",TEXT('9b-Optional'!D122,"#,###")&amp;"x "&amp;TEXT('9b-Optional'!C122,"#,###")&amp;"L "&amp;'9b-Optional'!B122&amp;" External Deconstructor/Fabricators")</f>
        <v/>
      </c>
      <c r="J293" s="262">
        <f>'9b-Optional'!F122</f>
        <v>0</v>
      </c>
      <c r="K293" t="str">
        <f t="shared" si="18"/>
        <v/>
      </c>
    </row>
    <row r="294" spans="1:11" x14ac:dyDescent="0.3">
      <c r="A294" s="388" t="str">
        <f>IF(MAX(F:F)&lt;292,"",IF(INDEX(F:J,MATCH(292,F:F,0),2)=0,"",INDEX(F:J,MATCH(292,F:F,0),2)))</f>
        <v/>
      </c>
      <c r="B294" s="441" t="str">
        <f>IF(MAX(F:F)&lt;292,"",INDEX(F:J,MATCH(292,F:F,0),3))</f>
        <v/>
      </c>
      <c r="C294" s="4" t="str">
        <f>IF(MAX(F:F)&lt;292,"",INDEX(F:J,MATCH(292,F:F,0),4))</f>
        <v/>
      </c>
      <c r="D294" s="4" t="str">
        <f>IF(MAX(F:F)&lt;292,"",INDEX(F:J,MATCH(292,F:F,0),5))</f>
        <v/>
      </c>
      <c r="E294" s="73">
        <f t="shared" si="16"/>
        <v>10</v>
      </c>
      <c r="F294" s="73" t="str">
        <f t="shared" si="17"/>
        <v/>
      </c>
      <c r="G294" s="388" t="str">
        <f>IF(H291="","",IF(AND(G197="",G198="",G199="",G200="",G201="",G202="",G203="",G204="",G205="",G206="",G207="",G208="",G209="",G210="",G211="",G212="",G213="",G214="",G215="",G216="",G217="",G218="",G219="",G220="",G221="",G222="",G223="",G224="",G225="",G226="",G227="",G228="",G229="",G230="",G231="",G232="",G233="",G234="",G235="",G236="",G237="",G238="",G239="",G240="",G241="",G242="",G243="",G244="",G245="",G246="",G247="",G248="",G249="",G250="",G251="",G252="",G253="",G254="",G255="",G256="",G257="",G258="",G259="",G260="",G261="",G262="",G263="",G264="",G265="",G266="",G267="",G268="",G269="",G270="",G271="",G272="",G273="",G274="",G275="",G276="",G277="",G278="",G279="",G280="",G281="",G282="",G283="",G284="",G285="",G286="",G287="",G288="",G289="",G290="",G291="",G292="",G293=""),"Systems",""))</f>
        <v/>
      </c>
      <c r="H294" s="12" t="str">
        <f>IF('9b-Optional'!F123=0,"",TEXT('9b-Optional'!D123,"#,###")&amp;"x "&amp;TEXT('9b-Optional'!C123,"#,###")&amp;"L "&amp;'9b-Optional'!B123&amp;" External Deconstructor/Fabricators")</f>
        <v/>
      </c>
      <c r="J294" s="262">
        <f>'9b-Optional'!F123</f>
        <v>0</v>
      </c>
      <c r="K294" t="str">
        <f t="shared" si="18"/>
        <v/>
      </c>
    </row>
    <row r="295" spans="1:11" x14ac:dyDescent="0.3">
      <c r="A295" s="388" t="str">
        <f>IF(MAX(F:F)&lt;293,"",IF(INDEX(F:J,MATCH(293,F:F,0),2)=0,"",INDEX(F:J,MATCH(293,F:F,0),2)))</f>
        <v/>
      </c>
      <c r="B295" s="441" t="str">
        <f>IF(MAX(F:F)&lt;293,"",INDEX(F:J,MATCH(293,F:F,0),3))</f>
        <v/>
      </c>
      <c r="C295" s="4" t="str">
        <f>IF(MAX(F:F)&lt;293,"",INDEX(F:J,MATCH(293,F:F,0),4))</f>
        <v/>
      </c>
      <c r="D295" s="4" t="str">
        <f>IF(MAX(F:F)&lt;293,"",INDEX(F:J,MATCH(293,F:F,0),5))</f>
        <v/>
      </c>
      <c r="E295" s="73">
        <f t="shared" si="16"/>
        <v>10</v>
      </c>
      <c r="F295" s="73" t="str">
        <f t="shared" si="17"/>
        <v/>
      </c>
      <c r="G295" s="389" t="str">
        <f>IF(H295="","","Research Facilities")</f>
        <v/>
      </c>
      <c r="H295" s="379" t="str">
        <f>IF('9b-Optional'!C127=0,"",TEXT('9b-Optional'!C127,"#,###")&amp;"x "&amp;'9b-Optional'!B127)</f>
        <v/>
      </c>
      <c r="I295" s="234">
        <f>'9b-Optional'!H127</f>
        <v>0</v>
      </c>
      <c r="J295" s="375">
        <f>'9b-Optional'!F127</f>
        <v>0</v>
      </c>
      <c r="K295" t="str">
        <f t="shared" si="18"/>
        <v/>
      </c>
    </row>
    <row r="296" spans="1:11" x14ac:dyDescent="0.3">
      <c r="A296" s="388" t="str">
        <f>IF(MAX(F:F)&lt;294,"",IF(INDEX(F:J,MATCH(294,F:F,0),2)=0,"",INDEX(F:J,MATCH(294,F:F,0),2)))</f>
        <v/>
      </c>
      <c r="B296" s="441" t="str">
        <f>IF(MAX(F:F)&lt;294,"",INDEX(F:J,MATCH(294,F:F,0),3))</f>
        <v/>
      </c>
      <c r="C296" s="4" t="str">
        <f>IF(MAX(F:F)&lt;294,"",INDEX(F:J,MATCH(294,F:F,0),4))</f>
        <v/>
      </c>
      <c r="D296" s="4" t="str">
        <f>IF(MAX(F:F)&lt;294,"",INDEX(F:J,MATCH(294,F:F,0),5))</f>
        <v/>
      </c>
      <c r="E296" s="73">
        <f t="shared" si="16"/>
        <v>10</v>
      </c>
      <c r="F296" s="73" t="str">
        <f t="shared" si="17"/>
        <v/>
      </c>
      <c r="G296" s="385" t="str">
        <f>IF(H296="","",IF(G295="","Research Facilities",""))</f>
        <v/>
      </c>
      <c r="H296" s="12" t="str">
        <f>IF('9b-Optional'!C133=0,"",TEXT('9b-Optional'!C133,"#,###")&amp;"x "&amp;'9b-Optional'!B133)</f>
        <v/>
      </c>
      <c r="I296" s="4">
        <f>'9b-Optional'!H133</f>
        <v>0</v>
      </c>
      <c r="J296" s="262">
        <f>'9b-Optional'!F133</f>
        <v>0</v>
      </c>
      <c r="K296" t="str">
        <f t="shared" si="18"/>
        <v/>
      </c>
    </row>
    <row r="297" spans="1:11" x14ac:dyDescent="0.3">
      <c r="A297" s="388" t="str">
        <f>IF(MAX(F:F)&lt;295,"",IF(INDEX(F:J,MATCH(295,F:F,0),2)=0,"",INDEX(F:J,MATCH(295,F:F,0),2)))</f>
        <v/>
      </c>
      <c r="B297" s="441" t="str">
        <f>IF(MAX(F:F)&lt;295,"",INDEX(F:J,MATCH(295,F:F,0),3))</f>
        <v/>
      </c>
      <c r="C297" s="4" t="str">
        <f>IF(MAX(F:F)&lt;295,"",INDEX(F:J,MATCH(295,F:F,0),4))</f>
        <v/>
      </c>
      <c r="D297" s="4" t="str">
        <f>IF(MAX(F:F)&lt;295,"",INDEX(F:J,MATCH(295,F:F,0),5))</f>
        <v/>
      </c>
      <c r="E297" s="73">
        <f t="shared" si="16"/>
        <v>10</v>
      </c>
      <c r="F297" s="73" t="str">
        <f t="shared" si="17"/>
        <v/>
      </c>
      <c r="G297" s="385" t="str">
        <f>IF(H297="","",IF(AND(G295="",G296=""),"Research Facilities",""))</f>
        <v/>
      </c>
      <c r="H297" s="12" t="str">
        <f>IF('9b-Optional'!C134=0,"",TEXT('9b-Optional'!C134,"#,###")&amp;"x "&amp;LEFT('9b-Optional'!B134,10))</f>
        <v/>
      </c>
      <c r="I297" s="4">
        <f>'9b-Optional'!H134</f>
        <v>0</v>
      </c>
      <c r="J297" s="262">
        <f>'9b-Optional'!F134</f>
        <v>0</v>
      </c>
      <c r="K297" t="str">
        <f t="shared" si="18"/>
        <v/>
      </c>
    </row>
    <row r="298" spans="1:11" x14ac:dyDescent="0.3">
      <c r="A298" s="388" t="str">
        <f>IF(MAX(F:F)&lt;296,"",IF(INDEX(F:J,MATCH(296,F:F,0),2)=0,"",INDEX(F:J,MATCH(296,F:F,0),2)))</f>
        <v/>
      </c>
      <c r="B298" s="441" t="str">
        <f>IF(MAX(F:F)&lt;296,"",INDEX(F:J,MATCH(296,F:F,0),3))</f>
        <v/>
      </c>
      <c r="C298" s="4" t="str">
        <f>IF(MAX(F:F)&lt;296,"",INDEX(F:J,MATCH(296,F:F,0),4))</f>
        <v/>
      </c>
      <c r="D298" s="4" t="str">
        <f>IF(MAX(F:F)&lt;296,"",INDEX(F:J,MATCH(296,F:F,0),5))</f>
        <v/>
      </c>
      <c r="E298" s="73">
        <f t="shared" si="16"/>
        <v>10</v>
      </c>
      <c r="F298" s="73" t="str">
        <f t="shared" si="17"/>
        <v/>
      </c>
      <c r="G298" s="385" t="str">
        <f>IF(H298="","",IF(AND(G295="",G296="",G297=""),"Research Facilities",""))</f>
        <v/>
      </c>
      <c r="H298" s="12" t="str">
        <f>IF('9b-Optional'!C135=0,"",TEXT('9b-Optional'!C135,"#,###")&amp;"x "&amp;'9b-Optional'!B135)</f>
        <v/>
      </c>
      <c r="I298" s="4">
        <f>'9b-Optional'!H135</f>
        <v>0</v>
      </c>
      <c r="J298" s="262">
        <f>'9b-Optional'!F135</f>
        <v>0</v>
      </c>
      <c r="K298" t="str">
        <f t="shared" si="18"/>
        <v/>
      </c>
    </row>
    <row r="299" spans="1:11" x14ac:dyDescent="0.3">
      <c r="A299" s="388" t="str">
        <f>IF(MAX(F:F)&lt;297,"",IF(INDEX(F:J,MATCH(297,F:F,0),2)=0,"",INDEX(F:J,MATCH(297,F:F,0),2)))</f>
        <v/>
      </c>
      <c r="B299" s="441" t="str">
        <f>IF(MAX(F:F)&lt;297,"",INDEX(F:J,MATCH(297,F:F,0),3))</f>
        <v/>
      </c>
      <c r="C299" s="4" t="str">
        <f>IF(MAX(F:F)&lt;297,"",INDEX(F:J,MATCH(297,F:F,0),4))</f>
        <v/>
      </c>
      <c r="D299" s="4" t="str">
        <f>IF(MAX(F:F)&lt;297,"",INDEX(F:J,MATCH(297,F:F,0),5))</f>
        <v/>
      </c>
      <c r="E299" s="73">
        <f t="shared" si="16"/>
        <v>10</v>
      </c>
      <c r="F299" s="73" t="str">
        <f t="shared" si="17"/>
        <v/>
      </c>
      <c r="G299" s="385" t="str">
        <f>IF(H299="","",IF(AND(G295="",G296="",G297="",G298=""),"Research Facilities",""))</f>
        <v/>
      </c>
      <c r="H299" s="12" t="str">
        <f>IF('9b-Optional'!C136=0,"",TEXT('9b-Optional'!C136,"#,###")&amp;"x "&amp;LEFT('9b-Optional'!B136,44))</f>
        <v/>
      </c>
      <c r="I299" s="4">
        <f>'9b-Optional'!H136</f>
        <v>0</v>
      </c>
      <c r="J299" s="262">
        <f>'9b-Optional'!F136</f>
        <v>0</v>
      </c>
      <c r="K299" t="str">
        <f t="shared" si="18"/>
        <v/>
      </c>
    </row>
    <row r="300" spans="1:11" x14ac:dyDescent="0.3">
      <c r="A300" s="388" t="str">
        <f>IF(MAX(F:F)&lt;298,"",IF(INDEX(F:J,MATCH(298,F:F,0),2)=0,"",INDEX(F:J,MATCH(298,F:F,0),2)))</f>
        <v/>
      </c>
      <c r="B300" s="441" t="str">
        <f>IF(MAX(F:F)&lt;298,"",INDEX(F:J,MATCH(298,F:F,0),3))</f>
        <v/>
      </c>
      <c r="C300" s="4" t="str">
        <f>IF(MAX(F:F)&lt;298,"",INDEX(F:J,MATCH(298,F:F,0),4))</f>
        <v/>
      </c>
      <c r="D300" s="4" t="str">
        <f>IF(MAX(F:F)&lt;298,"",INDEX(F:J,MATCH(298,F:F,0),5))</f>
        <v/>
      </c>
      <c r="E300" s="73">
        <f t="shared" si="16"/>
        <v>10</v>
      </c>
      <c r="F300" s="73" t="str">
        <f t="shared" si="17"/>
        <v/>
      </c>
      <c r="G300" s="385" t="str">
        <f>IF(H300="","",IF(AND(G295="",G296="",G297="",G298="",G299=""),"Research Facilities",""))</f>
        <v/>
      </c>
      <c r="H300" s="12" t="str">
        <f>IF('9b-Optional'!C137=0,"",TEXT('9b-Optional'!C137,"#,###")&amp;"x "&amp;'9b-Optional'!B137)</f>
        <v/>
      </c>
      <c r="I300" s="4">
        <f>'9b-Optional'!H137</f>
        <v>0</v>
      </c>
      <c r="J300" s="4">
        <f>'9b-Optional'!F137</f>
        <v>0</v>
      </c>
      <c r="K300" t="str">
        <f t="shared" si="18"/>
        <v/>
      </c>
    </row>
    <row r="301" spans="1:11" x14ac:dyDescent="0.3">
      <c r="A301" s="388" t="str">
        <f>IF(MAX(F:F)&lt;299,"",IF(INDEX(F:J,MATCH(299,F:F,0),2)=0,"",INDEX(F:J,MATCH(299,F:F,0),2)))</f>
        <v/>
      </c>
      <c r="B301" s="441" t="str">
        <f>IF(MAX(F:F)&lt;299,"",INDEX(F:J,MATCH(299,F:F,0),3))</f>
        <v/>
      </c>
      <c r="C301" s="4" t="str">
        <f>IF(MAX(F:F)&lt;299,"",INDEX(F:J,MATCH(299,F:F,0),4))</f>
        <v/>
      </c>
      <c r="D301" s="4" t="str">
        <f>IF(MAX(F:F)&lt;299,"",INDEX(F:J,MATCH(299,F:F,0),5))</f>
        <v/>
      </c>
      <c r="E301" s="73">
        <f t="shared" ref="E301:E364" si="19">IF(H301="",E300,E300+1)</f>
        <v>10</v>
      </c>
      <c r="F301" s="73" t="str">
        <f t="shared" ref="F301:F364" si="20">IF(E301=E300,"",E301)</f>
        <v/>
      </c>
      <c r="G301" s="385" t="str">
        <f>IF(H301="","",IF(AND(G295="",G296="",G297="",G298="",G299="",G300=""),"Research Facilities",""))</f>
        <v/>
      </c>
      <c r="H301" s="12" t="str">
        <f>IF('9b-Optional'!C139=0,"",TEXT('9b-Optional'!C139,"#,###")&amp;"x "&amp;'9b-Optional'!B139&amp;": "&amp;'9b-Optional'!D139&amp;"x Stations")</f>
        <v/>
      </c>
      <c r="I301" s="4">
        <f>'9b-Optional'!H139</f>
        <v>0</v>
      </c>
      <c r="J301" s="4">
        <f>'9b-Optional'!F139</f>
        <v>0</v>
      </c>
      <c r="K301" t="str">
        <f t="shared" si="18"/>
        <v/>
      </c>
    </row>
    <row r="302" spans="1:11" x14ac:dyDescent="0.3">
      <c r="A302" s="388" t="str">
        <f>IF(MAX(F:F)&lt;300,"",IF(INDEX(F:J,MATCH(300,F:F,0),2)=0,"",INDEX(F:J,MATCH(300,F:F,0),2)))</f>
        <v/>
      </c>
      <c r="B302" s="441" t="str">
        <f>IF(MAX(F:F)&lt;300,"",INDEX(F:J,MATCH(300,F:F,0),3))</f>
        <v/>
      </c>
      <c r="C302" s="4" t="str">
        <f>IF(MAX(F:F)&lt;300,"",INDEX(F:J,MATCH(300,F:F,0),4))</f>
        <v/>
      </c>
      <c r="D302" s="4" t="str">
        <f>IF(MAX(F:F)&lt;300,"",INDEX(F:J,MATCH(300,F:F,0),5))</f>
        <v/>
      </c>
      <c r="E302" s="73">
        <f t="shared" si="19"/>
        <v>10</v>
      </c>
      <c r="F302" s="73" t="str">
        <f t="shared" si="20"/>
        <v/>
      </c>
      <c r="G302" s="385" t="str">
        <f>IF(H302="","",IF(AND(G295="",G296="",G297="",G298="",G299="",G300="",G301=""),"Research Facilities",""))</f>
        <v/>
      </c>
      <c r="H302" s="12" t="str">
        <f>IF('9b-Optional'!C147=0,"",TEXT('9b-Optional'!C147,"#,###")&amp;"x "&amp;'9b-Optional'!B147&amp;" "&amp;'9b-Optional'!A147)</f>
        <v/>
      </c>
      <c r="I302" s="4">
        <f>'9b-Optional'!H147</f>
        <v>0</v>
      </c>
      <c r="J302" s="262">
        <f>'9b-Optional'!F147</f>
        <v>0</v>
      </c>
      <c r="K302" t="str">
        <f t="shared" si="18"/>
        <v/>
      </c>
    </row>
    <row r="303" spans="1:11" x14ac:dyDescent="0.3">
      <c r="A303" s="388" t="str">
        <f>IF(MAX(F:F)&lt;301,"",IF(INDEX(F:J,MATCH(301,F:F,0),2)=0,"",INDEX(F:J,MATCH(301,F:F,0),2)))</f>
        <v/>
      </c>
      <c r="B303" s="441" t="str">
        <f>IF(MAX(F:F)&lt;301,"",INDEX(F:J,MATCH(301,F:F,0),3))</f>
        <v/>
      </c>
      <c r="C303" s="4" t="str">
        <f>IF(MAX(F:F)&lt;301,"",INDEX(F:J,MATCH(301,F:F,0),4))</f>
        <v/>
      </c>
      <c r="D303" s="4" t="str">
        <f>IF(MAX(F:F)&lt;301,"",INDEX(F:J,MATCH(301,F:F,0),5))</f>
        <v/>
      </c>
      <c r="E303" s="73">
        <f t="shared" si="19"/>
        <v>10</v>
      </c>
      <c r="F303" s="73" t="str">
        <f t="shared" si="20"/>
        <v/>
      </c>
      <c r="G303" s="385" t="str">
        <f>IF(H303="","",IF(AND(G295="",G296="",G297="",G298="",G299="",G300="",G301="",G302=""),"Research Facilities",""))</f>
        <v/>
      </c>
      <c r="H303" s="12" t="str">
        <f>IF('9b-Optional'!C148=0,"",TEXT('9b-Optional'!C148,"#,###")&amp;"x "&amp;'9b-Optional'!B148&amp;" "&amp;'9b-Optional'!A148)</f>
        <v/>
      </c>
      <c r="I303" s="4">
        <f>'9b-Optional'!H148</f>
        <v>0</v>
      </c>
      <c r="J303" s="262">
        <f>'9b-Optional'!F148</f>
        <v>0</v>
      </c>
      <c r="K303" t="str">
        <f t="shared" si="18"/>
        <v/>
      </c>
    </row>
    <row r="304" spans="1:11" x14ac:dyDescent="0.3">
      <c r="A304" s="388" t="str">
        <f>IF(MAX(F:F)&lt;302,"",IF(INDEX(F:J,MATCH(302,F:F,0),2)=0,"",INDEX(F:J,MATCH(302,F:F,0),2)))</f>
        <v/>
      </c>
      <c r="B304" s="441" t="str">
        <f>IF(MAX(F:F)&lt;302,"",INDEX(F:J,MATCH(302,F:F,0),3))</f>
        <v/>
      </c>
      <c r="C304" s="4" t="str">
        <f>IF(MAX(F:F)&lt;302,"",INDEX(F:J,MATCH(302,F:F,0),4))</f>
        <v/>
      </c>
      <c r="D304" s="4" t="str">
        <f>IF(MAX(F:F)&lt;302,"",INDEX(F:J,MATCH(302,F:F,0),5))</f>
        <v/>
      </c>
      <c r="E304" s="73">
        <f t="shared" si="19"/>
        <v>10</v>
      </c>
      <c r="F304" s="73" t="str">
        <f t="shared" si="20"/>
        <v/>
      </c>
      <c r="G304" s="385" t="str">
        <f>IF(H304="","",IF(AND(G295="",G296="",G297="",G298="",G299="",G300="",G301="",G302="",G303=""),"Research Facilities",""))</f>
        <v/>
      </c>
      <c r="H304" s="12" t="str">
        <f>IF('9b-Optional'!C149=0,"",TEXT('9b-Optional'!C149,"#,###")&amp;"x "&amp;'9b-Optional'!B149&amp;" "&amp;'9b-Optional'!A149)</f>
        <v/>
      </c>
      <c r="I304" s="4">
        <f>'9b-Optional'!H149</f>
        <v>0</v>
      </c>
      <c r="J304" s="262">
        <f>'9b-Optional'!F149</f>
        <v>0</v>
      </c>
      <c r="K304" t="str">
        <f t="shared" si="18"/>
        <v/>
      </c>
    </row>
    <row r="305" spans="1:11" x14ac:dyDescent="0.3">
      <c r="A305" s="388" t="str">
        <f>IF(MAX(F:F)&lt;303,"",IF(INDEX(F:J,MATCH(303,F:F,0),2)=0,"",INDEX(F:J,MATCH(303,F:F,0),2)))</f>
        <v/>
      </c>
      <c r="B305" s="441" t="str">
        <f>IF(MAX(F:F)&lt;303,"",INDEX(F:J,MATCH(303,F:F,0),3))</f>
        <v/>
      </c>
      <c r="C305" s="4" t="str">
        <f>IF(MAX(F:F)&lt;303,"",INDEX(F:J,MATCH(303,F:F,0),4))</f>
        <v/>
      </c>
      <c r="D305" s="4" t="str">
        <f>IF(MAX(F:F)&lt;303,"",INDEX(F:J,MATCH(303,F:F,0),5))</f>
        <v/>
      </c>
      <c r="E305" s="73">
        <f t="shared" si="19"/>
        <v>10</v>
      </c>
      <c r="F305" s="73" t="str">
        <f t="shared" si="20"/>
        <v/>
      </c>
      <c r="G305" s="385" t="str">
        <f>IF(H305="","",IF(AND(G295="",G296="",G297="",G298="",G299="",G300="",G301="",G302="",G303="",G304=""),"Research Facilities",""))</f>
        <v/>
      </c>
      <c r="H305" s="12" t="str">
        <f>IF('9b-Optional'!C150=0,"",'9b-Optional'!A150&amp;" "&amp;'9b-Optional'!B150)</f>
        <v/>
      </c>
      <c r="I305" s="4">
        <f>'9b-Optional'!H150</f>
        <v>0</v>
      </c>
      <c r="J305" s="262">
        <f>'9b-Optional'!F150</f>
        <v>0</v>
      </c>
      <c r="K305" t="str">
        <f t="shared" si="18"/>
        <v/>
      </c>
    </row>
    <row r="306" spans="1:11" x14ac:dyDescent="0.3">
      <c r="A306" s="388" t="str">
        <f>IF(MAX(F:F)&lt;304,"",IF(INDEX(F:J,MATCH(304,F:F,0),2)=0,"",INDEX(F:J,MATCH(304,F:F,0),2)))</f>
        <v/>
      </c>
      <c r="B306" s="441" t="str">
        <f>IF(MAX(F:F)&lt;304,"",INDEX(F:J,MATCH(304,F:F,0),3))</f>
        <v/>
      </c>
      <c r="C306" s="4" t="str">
        <f>IF(MAX(F:F)&lt;304,"",INDEX(F:J,MATCH(304,F:F,0),4))</f>
        <v/>
      </c>
      <c r="D306" s="4" t="str">
        <f>IF(MAX(F:F)&lt;304,"",INDEX(F:J,MATCH(304,F:F,0),5))</f>
        <v/>
      </c>
      <c r="E306" s="73">
        <f t="shared" si="19"/>
        <v>10</v>
      </c>
      <c r="F306" s="73" t="str">
        <f t="shared" si="20"/>
        <v/>
      </c>
      <c r="G306" s="385" t="str">
        <f>IF(H306="","",IF(AND(G295="",G296="",G297="",G298="",G299="",G300="",G301="",G302="",G303="",G304="",G305=""),"Research Facilities",""))</f>
        <v/>
      </c>
      <c r="H306" s="12" t="str">
        <f>IF('9b-Optional'!C129=0,"",TEXT('9b-Optional'!C129,"#,###")&amp;"x "&amp;'9b-Optional'!B129&amp;IF('9b-Optional'!D129=0,""," + "&amp;TEXT('9b-Optional'!D129*'9b-Optional'!C129,"#,###")&amp;" Scientists"))</f>
        <v/>
      </c>
      <c r="I306" s="4">
        <f>'9b-Optional'!H129</f>
        <v>0</v>
      </c>
      <c r="J306" s="262">
        <f>'9b-Optional'!F129</f>
        <v>0</v>
      </c>
      <c r="K306" t="str">
        <f t="shared" si="18"/>
        <v/>
      </c>
    </row>
    <row r="307" spans="1:11" x14ac:dyDescent="0.3">
      <c r="A307" s="388" t="str">
        <f>IF(MAX(F:F)&lt;305,"",IF(INDEX(F:J,MATCH(305,F:F,0),2)=0,"",INDEX(F:J,MATCH(305,F:F,0),2)))</f>
        <v/>
      </c>
      <c r="B307" s="441" t="str">
        <f>IF(MAX(F:F)&lt;305,"",INDEX(F:J,MATCH(305,F:F,0),3))</f>
        <v/>
      </c>
      <c r="C307" s="4" t="str">
        <f>IF(MAX(F:F)&lt;305,"",INDEX(F:J,MATCH(305,F:F,0),4))</f>
        <v/>
      </c>
      <c r="D307" s="4" t="str">
        <f>IF(MAX(F:F)&lt;305,"",INDEX(F:J,MATCH(305,F:F,0),5))</f>
        <v/>
      </c>
      <c r="E307" s="73">
        <f t="shared" si="19"/>
        <v>10</v>
      </c>
      <c r="F307" s="73" t="str">
        <f t="shared" si="20"/>
        <v/>
      </c>
      <c r="G307" s="385" t="str">
        <f>IF(H307="","",IF(AND(G295="",G296="",G297="",G298="",G299="",G300="",G301="",G302="",G303="",G304="",G305="",G306=""),"Research Facilities",""))</f>
        <v/>
      </c>
      <c r="H307" s="12" t="str">
        <f>IF('9b-Optional'!C130=0,"",TEXT('9b-Optional'!C130,"#,###")&amp;"x "&amp;'9b-Optional'!B130&amp;IF('9b-Optional'!D130=0,""," + "&amp;TEXT('9b-Optional'!D130*'9b-Optional'!C130,"#,###")&amp;" Scientists"))</f>
        <v/>
      </c>
      <c r="I307" s="4">
        <f>'9b-Optional'!H130</f>
        <v>0</v>
      </c>
      <c r="J307" s="262">
        <f>'9b-Optional'!F130</f>
        <v>0</v>
      </c>
      <c r="K307" t="str">
        <f t="shared" si="18"/>
        <v/>
      </c>
    </row>
    <row r="308" spans="1:11" x14ac:dyDescent="0.3">
      <c r="A308" s="388" t="str">
        <f>IF(MAX(F:F)&lt;306,"",IF(INDEX(F:J,MATCH(306,F:F,0),2)=0,"",INDEX(F:J,MATCH(306,F:F,0),2)))</f>
        <v/>
      </c>
      <c r="B308" s="441" t="str">
        <f>IF(MAX(F:F)&lt;306,"",INDEX(F:J,MATCH(306,F:F,0),3))</f>
        <v/>
      </c>
      <c r="C308" s="4" t="str">
        <f>IF(MAX(F:F)&lt;306,"",INDEX(F:J,MATCH(306,F:F,0),4))</f>
        <v/>
      </c>
      <c r="D308" s="4" t="str">
        <f>IF(MAX(F:F)&lt;306,"",INDEX(F:J,MATCH(306,F:F,0),5))</f>
        <v/>
      </c>
      <c r="E308" s="73">
        <f t="shared" si="19"/>
        <v>10</v>
      </c>
      <c r="F308" s="73" t="str">
        <f t="shared" si="20"/>
        <v/>
      </c>
      <c r="G308" s="385" t="str">
        <f>IF(H308="","",IF(AND(G295="",G296="",G297="",G298="",G299="",G300="",G301="",G302="",G303="",G304="",G305="",G306="",G307=""),"Research Facilities",""))</f>
        <v/>
      </c>
      <c r="H308" s="12" t="str">
        <f>IF('9b-Optional'!C131=0,"",TEXT('9b-Optional'!C131,"#,###")&amp;"x "&amp;'9b-Optional'!B131&amp;IF('9b-Optional'!D131=0,""," + "&amp;TEXT('9b-Optional'!D131*'9b-Optional'!C131,"#,###")&amp;" Scientists"))</f>
        <v/>
      </c>
      <c r="I308" s="4">
        <f>'9b-Optional'!H131</f>
        <v>0</v>
      </c>
      <c r="J308" s="262">
        <f>'9b-Optional'!F131</f>
        <v>0</v>
      </c>
      <c r="K308" t="str">
        <f t="shared" si="18"/>
        <v/>
      </c>
    </row>
    <row r="309" spans="1:11" x14ac:dyDescent="0.3">
      <c r="A309" s="388" t="str">
        <f>IF(MAX(F:F)&lt;307,"",IF(INDEX(F:J,MATCH(307,F:F,0),2)=0,"",INDEX(F:J,MATCH(307,F:F,0),2)))</f>
        <v/>
      </c>
      <c r="B309" s="441" t="str">
        <f>IF(MAX(F:F)&lt;307,"",INDEX(F:J,MATCH(307,F:F,0),3))</f>
        <v/>
      </c>
      <c r="C309" s="4" t="str">
        <f>IF(MAX(F:F)&lt;307,"",INDEX(F:J,MATCH(307,F:F,0),4))</f>
        <v/>
      </c>
      <c r="D309" s="4" t="str">
        <f>IF(MAX(F:F)&lt;307,"",INDEX(F:J,MATCH(307,F:F,0),5))</f>
        <v/>
      </c>
      <c r="E309" s="73">
        <f t="shared" si="19"/>
        <v>10</v>
      </c>
      <c r="F309" s="73" t="str">
        <f t="shared" si="20"/>
        <v/>
      </c>
      <c r="G309" s="385" t="str">
        <f>IF(H309="","",IF(AND(G295="",G296="",G297="",G298="",G299="",G300="",G301="",G302="",G303="",G304="",G305="",G306="",G307="",G308=""),"Research Facilities",""))</f>
        <v/>
      </c>
      <c r="H309" s="76" t="str">
        <f>IF('9b-Optional'!C132=0,"",'9b-Optional'!B132)</f>
        <v/>
      </c>
      <c r="I309" s="4">
        <f>'9b-Optional'!H132</f>
        <v>0</v>
      </c>
      <c r="J309" s="262">
        <f>'9b-Optional'!F132</f>
        <v>0</v>
      </c>
      <c r="K309" t="str">
        <f t="shared" si="18"/>
        <v/>
      </c>
    </row>
    <row r="310" spans="1:11" x14ac:dyDescent="0.3">
      <c r="A310" s="388" t="str">
        <f>IF(MAX(F:F)&lt;308,"",IF(INDEX(F:J,MATCH(308,F:F,0),2)=0,"",INDEX(F:J,MATCH(308,F:F,0),2)))</f>
        <v/>
      </c>
      <c r="B310" s="441" t="str">
        <f>IF(MAX(F:F)&lt;308,"",INDEX(F:J,MATCH(308,F:F,0),3))</f>
        <v/>
      </c>
      <c r="C310" s="4" t="str">
        <f>IF(MAX(F:F)&lt;308,"",INDEX(F:J,MATCH(308,F:F,0),4))</f>
        <v/>
      </c>
      <c r="D310" s="4" t="str">
        <f>IF(MAX(F:F)&lt;308,"",INDEX(F:J,MATCH(308,F:F,0),5))</f>
        <v/>
      </c>
      <c r="E310" s="73">
        <f t="shared" si="19"/>
        <v>10</v>
      </c>
      <c r="F310" s="73" t="str">
        <f t="shared" si="20"/>
        <v/>
      </c>
      <c r="G310" s="385" t="str">
        <f>IF(H310="","",IF(AND(G295="",G296="",G297="",G298="",G299="",G300="",G301="",G302="",G303="",G304="",G305="",G306="",G307="",G308="",G309=""),"Research Facilities",""))</f>
        <v/>
      </c>
      <c r="H310" s="12" t="str">
        <f>IF('9b-Optional'!C142=0,"",TEXT('9b-Optional'!C142,"#,###")&amp;"x "&amp;'9b-Optional'!A142&amp;'9b-Optional'!S154)</f>
        <v/>
      </c>
      <c r="I310" s="4">
        <f>'9b-Optional'!H142</f>
        <v>0</v>
      </c>
      <c r="J310" s="262">
        <f>'9b-Optional'!F142</f>
        <v>0</v>
      </c>
      <c r="K310" t="str">
        <f t="shared" si="18"/>
        <v/>
      </c>
    </row>
    <row r="311" spans="1:11" x14ac:dyDescent="0.3">
      <c r="A311" s="388" t="str">
        <f>IF(MAX(F:F)&lt;309,"",IF(INDEX(F:J,MATCH(309,F:F,0),2)=0,"",INDEX(F:J,MATCH(309,F:F,0),2)))</f>
        <v/>
      </c>
      <c r="B311" s="441" t="str">
        <f>IF(MAX(F:F)&lt;309,"",INDEX(F:J,MATCH(309,F:F,0),3))</f>
        <v/>
      </c>
      <c r="C311" s="4" t="str">
        <f>IF(MAX(F:F)&lt;309,"",INDEX(F:J,MATCH(309,F:F,0),4))</f>
        <v/>
      </c>
      <c r="D311" s="4" t="str">
        <f>IF(MAX(F:F)&lt;309,"",INDEX(F:J,MATCH(309,F:F,0),5))</f>
        <v/>
      </c>
      <c r="E311" s="73">
        <f t="shared" si="19"/>
        <v>10</v>
      </c>
      <c r="F311" s="73" t="str">
        <f t="shared" si="20"/>
        <v/>
      </c>
      <c r="G311" s="385" t="str">
        <f>IF(H311="","",IF(AND(G295="",G296="",G297="",G298="",G299="",G300="",G301="",G302="",G303="",G304="",G305="",G306="",G307="",G308="",G309="",G310=""),"Research Facilities",""))</f>
        <v/>
      </c>
      <c r="H311" s="12" t="str">
        <f>IF('9b-Optional'!C143=0,"",TEXT('9b-Optional'!C143,"#,###")&amp;"x "&amp;'9b-Optional'!A143&amp;'9b-Optional'!S156)</f>
        <v/>
      </c>
      <c r="I311" s="4">
        <f>'9b-Optional'!H143</f>
        <v>0</v>
      </c>
      <c r="J311" s="262">
        <f>'9b-Optional'!F143</f>
        <v>0</v>
      </c>
      <c r="K311" t="str">
        <f t="shared" si="18"/>
        <v/>
      </c>
    </row>
    <row r="312" spans="1:11" x14ac:dyDescent="0.3">
      <c r="A312" s="388" t="str">
        <f>IF(MAX(F:F)&lt;310,"",IF(INDEX(F:J,MATCH(310,F:F,0),2)=0,"",INDEX(F:J,MATCH(310,F:F,0),2)))</f>
        <v/>
      </c>
      <c r="B312" s="441" t="str">
        <f>IF(MAX(F:F)&lt;310,"",INDEX(F:J,MATCH(310,F:F,0),3))</f>
        <v/>
      </c>
      <c r="C312" s="4" t="str">
        <f>IF(MAX(F:F)&lt;310,"",INDEX(F:J,MATCH(310,F:F,0),4))</f>
        <v/>
      </c>
      <c r="D312" s="4" t="str">
        <f>IF(MAX(F:F)&lt;310,"",INDEX(F:J,MATCH(310,F:F,0),5))</f>
        <v/>
      </c>
      <c r="E312" s="73">
        <f t="shared" si="19"/>
        <v>10</v>
      </c>
      <c r="F312" s="73" t="str">
        <f t="shared" si="20"/>
        <v/>
      </c>
      <c r="G312" s="385" t="str">
        <f>IF(H312="","",IF(AND(G295="",G296="",G297="",G298="",G299="",G300="",G301="",G302="",G303="",G304="",G305="",G306="",G307="",G308="",G309="",G310="",G311=""),"Research Facilities",""))</f>
        <v/>
      </c>
      <c r="H312" s="12" t="str">
        <f>IF('9b-Optional'!C144=0,"",TEXT('9b-Optional'!C144,"#,###")&amp;"x "&amp;'9b-Optional'!A144&amp;'9b-Optional'!S158)</f>
        <v/>
      </c>
      <c r="I312" s="4">
        <f>'9b-Optional'!H144</f>
        <v>0</v>
      </c>
      <c r="J312" s="262">
        <f>'9b-Optional'!F144</f>
        <v>0</v>
      </c>
      <c r="K312" t="str">
        <f t="shared" si="18"/>
        <v/>
      </c>
    </row>
    <row r="313" spans="1:11" x14ac:dyDescent="0.3">
      <c r="A313" s="388" t="str">
        <f>IF(MAX(F:F)&lt;311,"",IF(INDEX(F:J,MATCH(311,F:F,0),2)=0,"",INDEX(F:J,MATCH(311,F:F,0),2)))</f>
        <v/>
      </c>
      <c r="B313" s="441" t="str">
        <f>IF(MAX(F:F)&lt;311,"",INDEX(F:J,MATCH(311,F:F,0),3))</f>
        <v/>
      </c>
      <c r="C313" s="4" t="str">
        <f>IF(MAX(F:F)&lt;311,"",INDEX(F:J,MATCH(311,F:F,0),4))</f>
        <v/>
      </c>
      <c r="D313" s="4" t="str">
        <f>IF(MAX(F:F)&lt;311,"",INDEX(F:J,MATCH(311,F:F,0),5))</f>
        <v/>
      </c>
      <c r="E313" s="73">
        <f t="shared" si="19"/>
        <v>10</v>
      </c>
      <c r="F313" s="73" t="str">
        <f t="shared" si="20"/>
        <v/>
      </c>
      <c r="G313" s="385" t="str">
        <f>IF(H313="","",IF(AND(G295="",G296="",G297="",G298="",G299="",G300="",G301="",G302="",G303="",G304="",G305="",G306="",G307="",G308="",G309="",G310="",G311="",G312=""),"Research Facilities",""))</f>
        <v/>
      </c>
      <c r="H313" s="12" t="str">
        <f>IF('9b-Optional'!C145=0,"",TEXT('9b-Optional'!C145,"#,###")&amp;"x"&amp;'9b-Optional'!A145&amp;'9b-Optional'!S160)</f>
        <v/>
      </c>
      <c r="I313" s="4">
        <f>'9b-Optional'!H145</f>
        <v>0</v>
      </c>
      <c r="J313" s="262">
        <f>'9b-Optional'!F145</f>
        <v>0</v>
      </c>
      <c r="K313" t="str">
        <f t="shared" si="18"/>
        <v/>
      </c>
    </row>
    <row r="314" spans="1:11" x14ac:dyDescent="0.3">
      <c r="A314" s="388" t="str">
        <f>IF(MAX(F:F)&lt;312,"",IF(INDEX(F:J,MATCH(312,F:F,0),2)=0,"",INDEX(F:J,MATCH(312,F:F,0),2)))</f>
        <v/>
      </c>
      <c r="B314" s="441" t="str">
        <f>IF(MAX(F:F)&lt;312,"",INDEX(F:J,MATCH(312,F:F,0),3))</f>
        <v/>
      </c>
      <c r="C314" s="4" t="str">
        <f>IF(MAX(F:F)&lt;312,"",INDEX(F:J,MATCH(312,F:F,0),4))</f>
        <v/>
      </c>
      <c r="D314" s="4" t="str">
        <f>IF(MAX(F:F)&lt;312,"",INDEX(F:J,MATCH(312,F:F,0),5))</f>
        <v/>
      </c>
      <c r="E314" s="73">
        <f t="shared" si="19"/>
        <v>10</v>
      </c>
      <c r="F314" s="73" t="str">
        <f t="shared" si="20"/>
        <v/>
      </c>
      <c r="G314" s="385" t="str">
        <f>IF(H314="","",IF(AND(G295="",G296="",G297="",G298="",G299="",G300="",G301="",G302="",G303="",G304="",G305="",G306="",G307="",G308="",G309="",G310="",G311="",G312="",G313=""),"Research Facilities",""))</f>
        <v/>
      </c>
      <c r="H314" s="12" t="str">
        <f>IF('9b-Optional'!C146=0,"",TEXT('9b-Optional'!C146,"#,###")&amp;"x "&amp;'9b-Optional'!A146&amp;'9b-Optional'!S162)</f>
        <v/>
      </c>
      <c r="I314" s="4">
        <f>'9b-Optional'!H146</f>
        <v>0</v>
      </c>
      <c r="J314" s="262">
        <f>'9b-Optional'!F146</f>
        <v>0</v>
      </c>
      <c r="K314" t="str">
        <f t="shared" si="18"/>
        <v/>
      </c>
    </row>
    <row r="315" spans="1:11" x14ac:dyDescent="0.3">
      <c r="A315" s="388" t="str">
        <f>IF(MAX(F:F)&lt;313,"",IF(INDEX(F:J,MATCH(313,F:F,0),2)=0,"",INDEX(F:J,MATCH(313,F:F,0),2)))</f>
        <v/>
      </c>
      <c r="B315" s="441" t="str">
        <f>IF(MAX(F:F)&lt;313,"",INDEX(F:J,MATCH(313,F:F,0),3))</f>
        <v/>
      </c>
      <c r="C315" s="4" t="str">
        <f>IF(MAX(F:F)&lt;313,"",INDEX(F:J,MATCH(313,F:F,0),4))</f>
        <v/>
      </c>
      <c r="D315" s="4" t="str">
        <f>IF(MAX(F:F)&lt;313,"",INDEX(F:J,MATCH(313,F:F,0),5))</f>
        <v/>
      </c>
      <c r="E315" s="73">
        <f t="shared" si="19"/>
        <v>10</v>
      </c>
      <c r="F315" s="73" t="str">
        <f t="shared" si="20"/>
        <v/>
      </c>
      <c r="G315" s="389" t="str">
        <f>IF(H315="","","Residential Zones")</f>
        <v/>
      </c>
      <c r="H315" s="379" t="str">
        <f>IF('9b-Optional'!C156=0,"",TEXT('9b-Optional'!C156,"#,###")&amp;"x "&amp;'9b-Optional'!B156)</f>
        <v/>
      </c>
      <c r="I315" s="234">
        <f>'9b-Optional'!H156</f>
        <v>0</v>
      </c>
      <c r="J315" s="375">
        <f>'9b-Optional'!F156</f>
        <v>0</v>
      </c>
      <c r="K315" t="str">
        <f t="shared" si="18"/>
        <v/>
      </c>
    </row>
    <row r="316" spans="1:11" x14ac:dyDescent="0.3">
      <c r="A316" s="388" t="str">
        <f>IF(MAX(F:F)&lt;314,"",IF(INDEX(F:J,MATCH(314,F:F,0),2)=0,"",INDEX(F:J,MATCH(314,F:F,0),2)))</f>
        <v/>
      </c>
      <c r="B316" s="441" t="str">
        <f>IF(MAX(F:F)&lt;314,"",INDEX(F:J,MATCH(314,F:F,0),3))</f>
        <v/>
      </c>
      <c r="C316" s="4" t="str">
        <f>IF(MAX(F:F)&lt;314,"",INDEX(F:J,MATCH(314,F:F,0),4))</f>
        <v/>
      </c>
      <c r="D316" s="4" t="str">
        <f>IF(MAX(F:F)&lt;314,"",INDEX(F:J,MATCH(314,F:F,0),5))</f>
        <v/>
      </c>
      <c r="E316" s="73">
        <f t="shared" si="19"/>
        <v>10</v>
      </c>
      <c r="F316" s="73" t="str">
        <f t="shared" si="20"/>
        <v/>
      </c>
      <c r="G316" s="385" t="str">
        <f>IF(H316="","",IF(G315="","Residential Zones",""))</f>
        <v/>
      </c>
      <c r="H316" s="12" t="str">
        <f>IF('9b-Optional'!C157=0,"",TEXT('9b-Optional'!C157,"#,###")&amp;"x "&amp;'9b-Optional'!B157)</f>
        <v/>
      </c>
      <c r="I316" s="4">
        <f>'9b-Optional'!H157</f>
        <v>0</v>
      </c>
      <c r="J316" s="262">
        <f>'9b-Optional'!F157</f>
        <v>0</v>
      </c>
      <c r="K316" t="str">
        <f t="shared" si="18"/>
        <v/>
      </c>
    </row>
    <row r="317" spans="1:11" x14ac:dyDescent="0.3">
      <c r="A317" s="388" t="str">
        <f>IF(MAX(F:F)&lt;315,"",IF(INDEX(F:J,MATCH(315,F:F,0),2)=0,"",INDEX(F:J,MATCH(315,F:F,0),2)))</f>
        <v/>
      </c>
      <c r="B317" s="441" t="str">
        <f>IF(MAX(F:F)&lt;315,"",INDEX(F:J,MATCH(315,F:F,0),3))</f>
        <v/>
      </c>
      <c r="C317" s="4" t="str">
        <f>IF(MAX(F:F)&lt;315,"",INDEX(F:J,MATCH(315,F:F,0),4))</f>
        <v/>
      </c>
      <c r="D317" s="4" t="str">
        <f>IF(MAX(F:F)&lt;315,"",INDEX(F:J,MATCH(315,F:F,0),5))</f>
        <v/>
      </c>
      <c r="E317" s="73">
        <f t="shared" si="19"/>
        <v>10</v>
      </c>
      <c r="F317" s="73" t="str">
        <f t="shared" si="20"/>
        <v/>
      </c>
      <c r="G317" s="385" t="str">
        <f>IF(H317="","",IF(AND(G315="",G316=""),"Residential Zones",""))</f>
        <v/>
      </c>
      <c r="H317" s="12" t="str">
        <f>IF('9b-Optional'!C158=0,"",TEXT('9b-Optional'!C158,"#,###")&amp;"x "&amp;'9b-Optional'!B158)</f>
        <v/>
      </c>
      <c r="I317" s="4">
        <f>'9b-Optional'!H158</f>
        <v>0</v>
      </c>
      <c r="J317" s="262">
        <f>'9b-Optional'!F158</f>
        <v>0</v>
      </c>
      <c r="K317" t="str">
        <f t="shared" si="18"/>
        <v/>
      </c>
    </row>
    <row r="318" spans="1:11" x14ac:dyDescent="0.3">
      <c r="A318" s="388" t="str">
        <f>IF(MAX(F:F)&lt;316,"",IF(INDEX(F:J,MATCH(316,F:F,0),2)=0,"",INDEX(F:J,MATCH(316,F:F,0),2)))</f>
        <v/>
      </c>
      <c r="B318" s="441" t="str">
        <f>IF(MAX(F:F)&lt;316,"",INDEX(F:J,MATCH(316,F:F,0),3))</f>
        <v/>
      </c>
      <c r="C318" s="4" t="str">
        <f>IF(MAX(F:F)&lt;316,"",INDEX(F:J,MATCH(316,F:F,0),4))</f>
        <v/>
      </c>
      <c r="D318" s="4" t="str">
        <f>IF(MAX(F:F)&lt;316,"",INDEX(F:J,MATCH(316,F:F,0),5))</f>
        <v/>
      </c>
      <c r="E318" s="73">
        <f t="shared" si="19"/>
        <v>10</v>
      </c>
      <c r="F318" s="73" t="str">
        <f t="shared" si="20"/>
        <v/>
      </c>
      <c r="G318" s="385" t="str">
        <f>IF(H318="","",IF(AND(G315="",G316="",G317=""),"Residential Zones",""))</f>
        <v/>
      </c>
      <c r="H318" s="12" t="str">
        <f>IF('9b-Optional'!C159=0,"",TEXT('9b-Optional'!C159,"#,###")&amp;"x "&amp;'9b-Optional'!B159)</f>
        <v/>
      </c>
      <c r="I318" s="4">
        <f>'9b-Optional'!H159</f>
        <v>0</v>
      </c>
      <c r="J318" s="262">
        <f>'9b-Optional'!F159</f>
        <v>0</v>
      </c>
      <c r="K318" t="str">
        <f t="shared" si="18"/>
        <v/>
      </c>
    </row>
    <row r="319" spans="1:11" x14ac:dyDescent="0.3">
      <c r="A319" s="388" t="str">
        <f>IF(MAX(F:F)&lt;317,"",IF(INDEX(F:J,MATCH(317,F:F,0),2)=0,"",INDEX(F:J,MATCH(317,F:F,0),2)))</f>
        <v/>
      </c>
      <c r="B319" s="441" t="str">
        <f>IF(MAX(F:F)&lt;317,"",INDEX(F:J,MATCH(317,F:F,0),3))</f>
        <v/>
      </c>
      <c r="C319" s="4" t="str">
        <f>IF(MAX(F:F)&lt;317,"",INDEX(F:J,MATCH(317,F:F,0),4))</f>
        <v/>
      </c>
      <c r="D319" s="4" t="str">
        <f>IF(MAX(F:F)&lt;317,"",INDEX(F:J,MATCH(317,F:F,0),5))</f>
        <v/>
      </c>
      <c r="E319" s="73">
        <f t="shared" si="19"/>
        <v>10</v>
      </c>
      <c r="F319" s="73" t="str">
        <f t="shared" si="20"/>
        <v/>
      </c>
      <c r="G319" s="385" t="str">
        <f>IF(H319="","",IF(AND(G315="",G316="",G317="",G318=""),"Residential Zones",""))</f>
        <v/>
      </c>
      <c r="H319" s="380" t="str">
        <f>IF('9b-Optional'!H160=0,"","Residential Zone "&amp;'9b-Optional'!B160)</f>
        <v/>
      </c>
      <c r="I319" s="391">
        <f>'9b-Optional'!H160</f>
        <v>0</v>
      </c>
      <c r="J319" s="263">
        <f>'9b-Optional'!F160</f>
        <v>0</v>
      </c>
      <c r="K319" t="str">
        <f t="shared" si="18"/>
        <v/>
      </c>
    </row>
    <row r="320" spans="1:11" x14ac:dyDescent="0.3">
      <c r="A320" s="388" t="str">
        <f>IF(MAX(F:F)&lt;318,"",IF(INDEX(F:J,MATCH(318,F:F,0),2)=0,"",INDEX(F:J,MATCH(318,F:F,0),2)))</f>
        <v/>
      </c>
      <c r="B320" s="441" t="str">
        <f>IF(MAX(F:F)&lt;318,"",INDEX(F:J,MATCH(318,F:F,0),3))</f>
        <v/>
      </c>
      <c r="C320" s="4" t="str">
        <f>IF(MAX(F:F)&lt;318,"",INDEX(F:J,MATCH(318,F:F,0),4))</f>
        <v/>
      </c>
      <c r="D320" s="4" t="str">
        <f>IF(MAX(F:F)&lt;318,"",INDEX(F:J,MATCH(318,F:F,0),5))</f>
        <v/>
      </c>
      <c r="E320" s="73">
        <f t="shared" si="19"/>
        <v>10</v>
      </c>
      <c r="F320" s="73" t="str">
        <f t="shared" si="20"/>
        <v/>
      </c>
      <c r="G320" s="387" t="str">
        <f>IF(H320="","","Commercial Zones")</f>
        <v/>
      </c>
      <c r="H320" s="381" t="str">
        <f>IF('9b-Optional'!C162=0,"","Commercial "&amp;'9b-Optional'!A162)</f>
        <v/>
      </c>
      <c r="I320" s="405">
        <f>'9b-Optional'!H162</f>
        <v>0</v>
      </c>
      <c r="J320" s="376">
        <f>'9b-Optional'!F162</f>
        <v>0</v>
      </c>
      <c r="K320" t="str">
        <f t="shared" si="18"/>
        <v/>
      </c>
    </row>
    <row r="321" spans="1:11" x14ac:dyDescent="0.3">
      <c r="A321" s="388" t="str">
        <f>IF(MAX(F:F)&lt;319,"",IF(INDEX(F:J,MATCH(319,F:F,0),2)=0,"",INDEX(F:J,MATCH(319,F:F,0),2)))</f>
        <v/>
      </c>
      <c r="B321" s="441" t="str">
        <f>IF(MAX(F:F)&lt;319,"",INDEX(F:J,MATCH(319,F:F,0),3))</f>
        <v/>
      </c>
      <c r="C321" s="4" t="str">
        <f>IF(MAX(F:F)&lt;319,"",INDEX(F:J,MATCH(319,F:F,0),4))</f>
        <v/>
      </c>
      <c r="D321" s="4" t="str">
        <f>IF(MAX(F:F)&lt;319,"",INDEX(F:J,MATCH(319,F:F,0),5))</f>
        <v/>
      </c>
      <c r="E321" s="73">
        <f t="shared" si="19"/>
        <v>10</v>
      </c>
      <c r="F321" s="73" t="str">
        <f t="shared" si="20"/>
        <v/>
      </c>
      <c r="G321" s="389" t="str">
        <f>IF(H321="","","Docking Facilities")</f>
        <v/>
      </c>
      <c r="H321" s="12" t="str">
        <f>IF('9b-Optional'!H166=0,"",TEXT('9b-Optional'!C166,"#,###")&amp;"x "&amp;TEXT('9b-Optional'!D166,"#,###")&amp;" ton Docking Facility")</f>
        <v/>
      </c>
      <c r="I321" s="234">
        <f>'9b-Optional'!H166</f>
        <v>0</v>
      </c>
      <c r="J321" s="375">
        <f>'9b-Optional'!F166</f>
        <v>0</v>
      </c>
      <c r="K321" t="str">
        <f t="shared" si="18"/>
        <v/>
      </c>
    </row>
    <row r="322" spans="1:11" x14ac:dyDescent="0.3">
      <c r="A322" s="388" t="str">
        <f>IF(MAX(F:F)&lt;320,"",IF(INDEX(F:J,MATCH(320,F:F,0),2)=0,"",INDEX(F:J,MATCH(320,F:F,0),2)))</f>
        <v/>
      </c>
      <c r="B322" s="441" t="str">
        <f>IF(MAX(F:F)&lt;320,"",INDEX(F:J,MATCH(320,F:F,0),3))</f>
        <v/>
      </c>
      <c r="C322" s="4" t="str">
        <f>IF(MAX(F:F)&lt;320,"",INDEX(F:J,MATCH(320,F:F,0),4))</f>
        <v/>
      </c>
      <c r="D322" s="4" t="str">
        <f>IF(MAX(F:F)&lt;320,"",INDEX(F:J,MATCH(320,F:F,0),5))</f>
        <v/>
      </c>
      <c r="E322" s="73">
        <f t="shared" si="19"/>
        <v>10</v>
      </c>
      <c r="F322" s="73" t="str">
        <f t="shared" si="20"/>
        <v/>
      </c>
      <c r="G322" s="385" t="str">
        <f>IF(H322="","",IF(G321="","Docking Facilities",""))</f>
        <v/>
      </c>
      <c r="H322" s="12" t="str">
        <f>IF('9b-Optional'!H167=0,"",TEXT('9b-Optional'!C167,"#,###")&amp;"x "&amp;TEXT('9b-Optional'!D167,"#,###")&amp;" ton Docking Facility")</f>
        <v/>
      </c>
      <c r="I322" s="4">
        <f>'9b-Optional'!H167</f>
        <v>0</v>
      </c>
      <c r="J322" s="262">
        <f>'9b-Optional'!F167</f>
        <v>0</v>
      </c>
      <c r="K322" t="str">
        <f t="shared" si="18"/>
        <v/>
      </c>
    </row>
    <row r="323" spans="1:11" x14ac:dyDescent="0.3">
      <c r="A323" s="388" t="str">
        <f>IF(MAX(F:F)&lt;321,"",IF(INDEX(F:J,MATCH(321,F:F,0),2)=0,"",INDEX(F:J,MATCH(321,F:F,0),2)))</f>
        <v/>
      </c>
      <c r="B323" s="441" t="str">
        <f>IF(MAX(F:F)&lt;321,"",INDEX(F:J,MATCH(321,F:F,0),3))</f>
        <v/>
      </c>
      <c r="C323" s="4" t="str">
        <f>IF(MAX(F:F)&lt;321,"",INDEX(F:J,MATCH(321,F:F,0),4))</f>
        <v/>
      </c>
      <c r="D323" s="4" t="str">
        <f>IF(MAX(F:F)&lt;321,"",INDEX(F:J,MATCH(321,F:F,0),5))</f>
        <v/>
      </c>
      <c r="E323" s="73">
        <f t="shared" si="19"/>
        <v>10</v>
      </c>
      <c r="F323" s="73" t="str">
        <f t="shared" si="20"/>
        <v/>
      </c>
      <c r="G323" s="385" t="str">
        <f>IF(H323="","",IF(AND(G321="",G322=""),"Docking Facilities",""))</f>
        <v/>
      </c>
      <c r="H323" s="12" t="str">
        <f>IF('9b-Optional'!H168=0,"",TEXT('9b-Optional'!C168,"#,###")&amp;"x "&amp;TEXT('9b-Optional'!D168,"#,###")&amp;" ton Docking Facility")</f>
        <v/>
      </c>
      <c r="I323" s="4">
        <f>'9b-Optional'!H168</f>
        <v>0</v>
      </c>
      <c r="J323" s="262">
        <f>'9b-Optional'!F168</f>
        <v>0</v>
      </c>
      <c r="K323" t="str">
        <f t="shared" si="18"/>
        <v/>
      </c>
    </row>
    <row r="324" spans="1:11" x14ac:dyDescent="0.3">
      <c r="A324" s="388" t="str">
        <f>IF(MAX(F:F)&lt;322,"",IF(INDEX(F:J,MATCH(322,F:F,0),2)=0,"",INDEX(F:J,MATCH(322,F:F,0),2)))</f>
        <v/>
      </c>
      <c r="B324" s="441" t="str">
        <f>IF(MAX(F:F)&lt;322,"",INDEX(F:J,MATCH(322,F:F,0),3))</f>
        <v/>
      </c>
      <c r="C324" s="4" t="str">
        <f>IF(MAX(F:F)&lt;322,"",INDEX(F:J,MATCH(322,F:F,0),4))</f>
        <v/>
      </c>
      <c r="D324" s="4" t="str">
        <f>IF(MAX(F:F)&lt;322,"",INDEX(F:J,MATCH(322,F:F,0),5))</f>
        <v/>
      </c>
      <c r="E324" s="73">
        <f t="shared" si="19"/>
        <v>10</v>
      </c>
      <c r="F324" s="73" t="str">
        <f t="shared" si="20"/>
        <v/>
      </c>
      <c r="G324" s="385" t="str">
        <f>IF(H324="","",IF(AND(G321="",G322="",G323=""),"Docking Facilities",""))</f>
        <v/>
      </c>
      <c r="H324" s="12" t="str">
        <f>IF('9b-Optional'!H169=0,"",TEXT('9b-Optional'!C169,"#,###")&amp;"x "&amp;TEXT('9b-Optional'!D169,"#,###")&amp;" ton Docking Facility")</f>
        <v/>
      </c>
      <c r="I324" s="4">
        <f>'9b-Optional'!H169</f>
        <v>0</v>
      </c>
      <c r="J324" s="262">
        <f>'9b-Optional'!F169</f>
        <v>0</v>
      </c>
      <c r="K324" t="str">
        <f t="shared" si="18"/>
        <v/>
      </c>
    </row>
    <row r="325" spans="1:11" x14ac:dyDescent="0.3">
      <c r="A325" s="388" t="str">
        <f>IF(MAX(F:F)&lt;323,"",IF(INDEX(F:J,MATCH(323,F:F,0),2)=0,"",INDEX(F:J,MATCH(323,F:F,0),2)))</f>
        <v/>
      </c>
      <c r="B325" s="441" t="str">
        <f>IF(MAX(F:F)&lt;323,"",INDEX(F:J,MATCH(323,F:F,0),3))</f>
        <v/>
      </c>
      <c r="C325" s="4" t="str">
        <f>IF(MAX(F:F)&lt;323,"",INDEX(F:J,MATCH(323,F:F,0),4))</f>
        <v/>
      </c>
      <c r="D325" s="4" t="str">
        <f>IF(MAX(F:F)&lt;323,"",INDEX(F:J,MATCH(323,F:F,0),5))</f>
        <v/>
      </c>
      <c r="E325" s="73">
        <f t="shared" si="19"/>
        <v>10</v>
      </c>
      <c r="F325" s="73" t="str">
        <f t="shared" si="20"/>
        <v/>
      </c>
      <c r="G325" s="386" t="str">
        <f>IF(H325="","",IF(AND(G321="",G322="",G323="",G324=""),"Docking Facilities",""))</f>
        <v/>
      </c>
      <c r="H325" s="12" t="str">
        <f>IF('9b-Optional'!H170=0,"",TEXT('9b-Optional'!C170,"#,###")&amp;"x "&amp;TEXT('9b-Optional'!D170,"#,###")&amp;" ton Docking Facility")</f>
        <v/>
      </c>
      <c r="I325" s="391">
        <f>'9b-Optional'!H170</f>
        <v>0</v>
      </c>
      <c r="J325" s="263">
        <f>'9b-Optional'!F170</f>
        <v>0</v>
      </c>
      <c r="K325" t="str">
        <f t="shared" ref="K325:K388" si="21">IF(B325="","",IF(A325="",K324,K324+1))</f>
        <v/>
      </c>
    </row>
    <row r="326" spans="1:11" x14ac:dyDescent="0.3">
      <c r="A326" s="388" t="str">
        <f>IF(MAX(F:F)&lt;324,"",IF(INDEX(F:J,MATCH(324,F:F,0),2)=0,"",INDEX(F:J,MATCH(324,F:F,0),2)))</f>
        <v/>
      </c>
      <c r="B326" s="441" t="str">
        <f>IF(MAX(F:F)&lt;324,"",INDEX(F:J,MATCH(324,F:F,0),3))</f>
        <v/>
      </c>
      <c r="C326" s="4" t="str">
        <f>IF(MAX(F:F)&lt;324,"",INDEX(F:J,MATCH(324,F:F,0),4))</f>
        <v/>
      </c>
      <c r="D326" s="4" t="str">
        <f>IF(MAX(F:F)&lt;324,"",INDEX(F:J,MATCH(324,F:F,0),5))</f>
        <v/>
      </c>
      <c r="E326" s="73">
        <f t="shared" si="19"/>
        <v>10</v>
      </c>
      <c r="F326" s="73" t="str">
        <f t="shared" si="20"/>
        <v/>
      </c>
      <c r="G326" s="389" t="str">
        <f>IF(H326="","","Manufacturing")</f>
        <v/>
      </c>
      <c r="H326" s="379" t="str">
        <f>IF('9b-Optional'!H188=0,"",TEXT('9b-Optional'!D188,"#,###")&amp;"x "&amp;'9b-Optional'!B188&amp;": "&amp;TEXT('9b-Optional'!C188,"#,###")&amp;" ton Output")</f>
        <v/>
      </c>
      <c r="I326" s="234">
        <f>'9b-Optional'!H188</f>
        <v>0</v>
      </c>
      <c r="J326" s="375">
        <f>'9b-Optional'!F188</f>
        <v>0</v>
      </c>
      <c r="K326" t="str">
        <f t="shared" si="21"/>
        <v/>
      </c>
    </row>
    <row r="327" spans="1:11" x14ac:dyDescent="0.3">
      <c r="A327" s="388" t="str">
        <f>IF(MAX(F:F)&lt;325,"",IF(INDEX(F:J,MATCH(325,F:F,0),2)=0,"",INDEX(F:J,MATCH(325,F:F,0),2)))</f>
        <v/>
      </c>
      <c r="B327" s="441" t="str">
        <f>IF(MAX(F:F)&lt;325,"",INDEX(F:J,MATCH(325,F:F,0),3))</f>
        <v/>
      </c>
      <c r="C327" s="4" t="str">
        <f>IF(MAX(F:F)&lt;325,"",INDEX(F:J,MATCH(325,F:F,0),4))</f>
        <v/>
      </c>
      <c r="D327" s="4" t="str">
        <f>IF(MAX(F:F)&lt;325,"",INDEX(F:J,MATCH(325,F:F,0),5))</f>
        <v/>
      </c>
      <c r="E327" s="73">
        <f t="shared" si="19"/>
        <v>10</v>
      </c>
      <c r="F327" s="73" t="str">
        <f t="shared" si="20"/>
        <v/>
      </c>
      <c r="G327" s="385" t="str">
        <f>IF(H327="","",IF(G326="","Manufacturing",""))</f>
        <v/>
      </c>
      <c r="H327" s="12" t="str">
        <f>IF('9b-Optional'!H189=0,"",TEXT('9b-Optional'!D189,"#,###")&amp;"x "&amp;'9b-Optional'!B189&amp;": "&amp;TEXT('9b-Optional'!C189,"#,###")&amp;" ton Output")</f>
        <v/>
      </c>
      <c r="I327" s="4">
        <f>'9b-Optional'!H189</f>
        <v>0</v>
      </c>
      <c r="J327" s="262">
        <f>'9b-Optional'!F189</f>
        <v>0</v>
      </c>
      <c r="K327" t="str">
        <f t="shared" si="21"/>
        <v/>
      </c>
    </row>
    <row r="328" spans="1:11" x14ac:dyDescent="0.3">
      <c r="A328" s="388" t="str">
        <f>IF(MAX(F:F)&lt;326,"",IF(INDEX(F:J,MATCH(326,F:F,0),2)=0,"",INDEX(F:J,MATCH(326,F:F,0),2)))</f>
        <v/>
      </c>
      <c r="B328" s="441" t="str">
        <f>IF(MAX(F:F)&lt;326,"",INDEX(F:J,MATCH(326,F:F,0),3))</f>
        <v/>
      </c>
      <c r="C328" s="4" t="str">
        <f>IF(MAX(F:F)&lt;326,"",INDEX(F:J,MATCH(326,F:F,0),4))</f>
        <v/>
      </c>
      <c r="D328" s="4" t="str">
        <f>IF(MAX(F:F)&lt;326,"",INDEX(F:J,MATCH(326,F:F,0),5))</f>
        <v/>
      </c>
      <c r="E328" s="73">
        <f t="shared" si="19"/>
        <v>10</v>
      </c>
      <c r="F328" s="73" t="str">
        <f t="shared" si="20"/>
        <v/>
      </c>
      <c r="G328" s="385" t="str">
        <f>IF(H328="","",IF(AND(G326="",G327=""),"Manufacturing",""))</f>
        <v/>
      </c>
      <c r="H328" s="12" t="str">
        <f>IF('9b-Optional'!H190=0,"",TEXT('9b-Optional'!D190,"#,###")&amp;"x "&amp;'9b-Optional'!B190&amp;": "&amp;TEXT('9b-Optional'!C190,"#,###")&amp;" ton Output")</f>
        <v/>
      </c>
      <c r="I328" s="4">
        <f>'9b-Optional'!H190</f>
        <v>0</v>
      </c>
      <c r="J328" s="262">
        <f>'9b-Optional'!F190</f>
        <v>0</v>
      </c>
      <c r="K328" t="str">
        <f t="shared" si="21"/>
        <v/>
      </c>
    </row>
    <row r="329" spans="1:11" x14ac:dyDescent="0.3">
      <c r="A329" s="388" t="str">
        <f>IF(MAX(F:F)&lt;327,"",IF(INDEX(F:J,MATCH(327,F:F,0),2)=0,"",INDEX(F:J,MATCH(327,F:F,0),2)))</f>
        <v/>
      </c>
      <c r="B329" s="441" t="str">
        <f>IF(MAX(F:F)&lt;327,"",INDEX(F:J,MATCH(327,F:F,0),3))</f>
        <v/>
      </c>
      <c r="C329" s="4" t="str">
        <f>IF(MAX(F:F)&lt;327,"",INDEX(F:J,MATCH(327,F:F,0),4))</f>
        <v/>
      </c>
      <c r="D329" s="4" t="str">
        <f>IF(MAX(F:F)&lt;327,"",INDEX(F:J,MATCH(327,F:F,0),5))</f>
        <v/>
      </c>
      <c r="E329" s="73">
        <f t="shared" si="19"/>
        <v>10</v>
      </c>
      <c r="F329" s="73" t="str">
        <f t="shared" si="20"/>
        <v/>
      </c>
      <c r="G329" s="386" t="str">
        <f>IF(H329="","",IF(AND(G326="",G327="",G328=""),"Manufacturing",""))</f>
        <v/>
      </c>
      <c r="H329" s="12" t="str">
        <f>IF('9b-Optional'!H191=0,"",TEXT('9b-Optional'!D191,"#,###")&amp;"x "&amp;'9b-Optional'!B191&amp;": "&amp;TEXT('9b-Optional'!C191,"#,###")&amp;" ton Output")</f>
        <v/>
      </c>
      <c r="I329" s="391">
        <f>'9b-Optional'!H191</f>
        <v>0</v>
      </c>
      <c r="J329" s="263">
        <f>'9b-Optional'!F191</f>
        <v>0</v>
      </c>
      <c r="K329" t="str">
        <f t="shared" si="21"/>
        <v/>
      </c>
    </row>
    <row r="330" spans="1:11" x14ac:dyDescent="0.3">
      <c r="A330" s="388" t="str">
        <f>IF(MAX(F:F)&lt;328,"",IF(INDEX(F:J,MATCH(328,F:F,0),2)=0,"",INDEX(F:J,MATCH(328,F:F,0),2)))</f>
        <v/>
      </c>
      <c r="B330" s="441" t="str">
        <f>IF(MAX(F:F)&lt;328,"",INDEX(F:J,MATCH(328,F:F,0),3))</f>
        <v/>
      </c>
      <c r="C330" s="4" t="str">
        <f>IF(MAX(F:F)&lt;328,"",INDEX(F:J,MATCH(328,F:F,0),4))</f>
        <v/>
      </c>
      <c r="D330" s="4" t="str">
        <f>IF(MAX(F:F)&lt;328,"",INDEX(F:J,MATCH(328,F:F,0),5))</f>
        <v/>
      </c>
      <c r="E330" s="73">
        <f t="shared" si="19"/>
        <v>10</v>
      </c>
      <c r="F330" s="73" t="str">
        <f t="shared" si="20"/>
        <v/>
      </c>
      <c r="G330" s="389" t="str">
        <f>IF(H330="","","Refineries")</f>
        <v/>
      </c>
      <c r="H330" s="379" t="str">
        <f>IF('9b-Optional'!C173=0,"",'9b-Optional'!B173&amp;": "&amp;TEXT('9b-Optional'!C173,"#,###")&amp;" tons")</f>
        <v/>
      </c>
      <c r="I330" s="234">
        <f>'9b-Optional'!H173</f>
        <v>0</v>
      </c>
      <c r="J330" s="375">
        <f>'9b-Optional'!F173</f>
        <v>0</v>
      </c>
      <c r="K330" t="str">
        <f t="shared" si="21"/>
        <v/>
      </c>
    </row>
    <row r="331" spans="1:11" x14ac:dyDescent="0.3">
      <c r="A331" s="388" t="str">
        <f>IF(MAX(F:F)&lt;329,"",IF(INDEX(F:J,MATCH(329,F:F,0),2)=0,"",INDEX(F:J,MATCH(329,F:F,0),2)))</f>
        <v/>
      </c>
      <c r="B331" s="441" t="str">
        <f>IF(MAX(F:F)&lt;329,"",INDEX(F:J,MATCH(329,F:F,0),3))</f>
        <v/>
      </c>
      <c r="C331" s="4" t="str">
        <f>IF(MAX(F:F)&lt;329,"",INDEX(F:J,MATCH(329,F:F,0),4))</f>
        <v/>
      </c>
      <c r="D331" s="4" t="str">
        <f>IF(MAX(F:F)&lt;329,"",INDEX(F:J,MATCH(329,F:F,0),5))</f>
        <v/>
      </c>
      <c r="E331" s="73">
        <f t="shared" si="19"/>
        <v>10</v>
      </c>
      <c r="F331" s="73" t="str">
        <f t="shared" si="20"/>
        <v/>
      </c>
      <c r="G331" s="385" t="str">
        <f>IF(H331="","",IF(G330="","Refineries",""))</f>
        <v/>
      </c>
      <c r="H331" s="12" t="str">
        <f>IF('9b-Optional'!C174=0,"",'9b-Optional'!B174&amp;": "&amp;TEXT('9b-Optional'!C174,"#,###")&amp;" tons")</f>
        <v/>
      </c>
      <c r="I331" s="4">
        <f>'9b-Optional'!H174</f>
        <v>0</v>
      </c>
      <c r="J331" s="262">
        <f>'9b-Optional'!F174</f>
        <v>0</v>
      </c>
      <c r="K331" t="str">
        <f t="shared" si="21"/>
        <v/>
      </c>
    </row>
    <row r="332" spans="1:11" x14ac:dyDescent="0.3">
      <c r="A332" s="388" t="str">
        <f>IF(MAX(F:F)&lt;330,"",IF(INDEX(F:J,MATCH(330,F:F,0),2)=0,"",INDEX(F:J,MATCH(330,F:F,0),2)))</f>
        <v/>
      </c>
      <c r="B332" s="441" t="str">
        <f>IF(MAX(F:F)&lt;330,"",INDEX(F:J,MATCH(330,F:F,0),3))</f>
        <v/>
      </c>
      <c r="C332" s="4" t="str">
        <f>IF(MAX(F:F)&lt;330,"",INDEX(F:J,MATCH(330,F:F,0),4))</f>
        <v/>
      </c>
      <c r="D332" s="4" t="str">
        <f>IF(MAX(F:F)&lt;330,"",INDEX(F:J,MATCH(330,F:F,0),5))</f>
        <v/>
      </c>
      <c r="E332" s="73">
        <f t="shared" si="19"/>
        <v>10</v>
      </c>
      <c r="F332" s="73" t="str">
        <f t="shared" si="20"/>
        <v/>
      </c>
      <c r="G332" s="385" t="str">
        <f>IF(H332="","",IF(AND(G330="",G331=""),"Refineries",""))</f>
        <v/>
      </c>
      <c r="H332" s="12" t="str">
        <f>IF('9b-Optional'!C176=0,"",'9b-Optional'!B176&amp;": "&amp;TEXT('9b-Optional'!C176,"#,###")&amp;" tons")</f>
        <v/>
      </c>
      <c r="I332" s="4">
        <f>'9b-Optional'!H176</f>
        <v>0</v>
      </c>
      <c r="J332" s="262">
        <f>'9b-Optional'!F176</f>
        <v>0</v>
      </c>
      <c r="K332" t="str">
        <f t="shared" si="21"/>
        <v/>
      </c>
    </row>
    <row r="333" spans="1:11" x14ac:dyDescent="0.3">
      <c r="A333" s="388" t="str">
        <f>IF(MAX(F:F)&lt;331,"",IF(INDEX(F:J,MATCH(331,F:F,0),2)=0,"",INDEX(F:J,MATCH(331,F:F,0),2)))</f>
        <v/>
      </c>
      <c r="B333" s="441" t="str">
        <f>IF(MAX(F:F)&lt;331,"",INDEX(F:J,MATCH(331,F:F,0),3))</f>
        <v/>
      </c>
      <c r="C333" s="4" t="str">
        <f>IF(MAX(F:F)&lt;331,"",INDEX(F:J,MATCH(331,F:F,0),4))</f>
        <v/>
      </c>
      <c r="D333" s="4" t="str">
        <f>IF(MAX(F:F)&lt;331,"",INDEX(F:J,MATCH(331,F:F,0),5))</f>
        <v/>
      </c>
      <c r="E333" s="73">
        <f t="shared" si="19"/>
        <v>10</v>
      </c>
      <c r="F333" s="73" t="str">
        <f t="shared" si="20"/>
        <v/>
      </c>
      <c r="G333" s="386" t="str">
        <f>IF(H333="","",IF(AND(G330="",G331="",G332=""),"Refineries",""))</f>
        <v/>
      </c>
      <c r="H333" s="380" t="str">
        <f>IF('9b-Optional'!C177=0,"",'9b-Optional'!B177&amp;": "&amp;TEXT('9b-Optional'!C177,"#,###")&amp;" tons")</f>
        <v/>
      </c>
      <c r="I333" s="391">
        <f>'9b-Optional'!H177</f>
        <v>0</v>
      </c>
      <c r="J333" s="263">
        <f>'9b-Optional'!F177</f>
        <v>0</v>
      </c>
      <c r="K333" t="str">
        <f t="shared" si="21"/>
        <v/>
      </c>
    </row>
    <row r="334" spans="1:11" x14ac:dyDescent="0.3">
      <c r="A334" s="388" t="str">
        <f>IF(MAX(F:F)&lt;332,"",IF(INDEX(F:J,MATCH(332,F:F,0),2)=0,"",INDEX(F:J,MATCH(332,F:F,0),2)))</f>
        <v/>
      </c>
      <c r="B334" s="441" t="str">
        <f>IF(MAX(F:F)&lt;332,"",INDEX(F:J,MATCH(332,F:F,0),3))</f>
        <v/>
      </c>
      <c r="C334" s="4" t="str">
        <f>IF(MAX(F:F)&lt;332,"",INDEX(F:J,MATCH(332,F:F,0),4))</f>
        <v/>
      </c>
      <c r="D334" s="4" t="str">
        <f>IF(MAX(F:F)&lt;332,"",INDEX(F:J,MATCH(332,F:F,0),5))</f>
        <v/>
      </c>
      <c r="E334" s="73">
        <f t="shared" si="19"/>
        <v>10</v>
      </c>
      <c r="F334" s="73" t="str">
        <f t="shared" si="20"/>
        <v/>
      </c>
      <c r="G334" s="389" t="str">
        <f>IF(H334="","","Shipyard")</f>
        <v/>
      </c>
      <c r="H334" s="379" t="str">
        <f>IF('9b-Optional'!H182=0,"",TEXT('9b-Optional'!D182,"#,###")&amp;"x "&amp;TEXT('9b-Optional'!C182,"#,###")&amp;" Dton Capacity Non-Jump Shipyard")</f>
        <v/>
      </c>
      <c r="I334" s="234">
        <f>'9b-Optional'!H182</f>
        <v>0</v>
      </c>
      <c r="J334" s="375">
        <f>'9b-Optional'!F182</f>
        <v>0</v>
      </c>
      <c r="K334" t="str">
        <f t="shared" si="21"/>
        <v/>
      </c>
    </row>
    <row r="335" spans="1:11" x14ac:dyDescent="0.3">
      <c r="A335" s="388" t="str">
        <f>IF(MAX(F:F)&lt;333,"",IF(INDEX(F:J,MATCH(333,F:F,0),2)=0,"",INDEX(F:J,MATCH(333,F:F,0),2)))</f>
        <v/>
      </c>
      <c r="B335" s="441" t="str">
        <f>IF(MAX(F:F)&lt;333,"",INDEX(F:J,MATCH(333,F:F,0),3))</f>
        <v/>
      </c>
      <c r="C335" s="4" t="str">
        <f>IF(MAX(F:F)&lt;333,"",INDEX(F:J,MATCH(333,F:F,0),4))</f>
        <v/>
      </c>
      <c r="D335" s="4" t="str">
        <f>IF(MAX(F:F)&lt;333,"",INDEX(F:J,MATCH(333,F:F,0),5))</f>
        <v/>
      </c>
      <c r="E335" s="73">
        <f t="shared" si="19"/>
        <v>10</v>
      </c>
      <c r="F335" s="73" t="str">
        <f t="shared" si="20"/>
        <v/>
      </c>
      <c r="G335" s="386" t="str">
        <f>IF(H335="","",IF(G334="","Shipyard",""))</f>
        <v/>
      </c>
      <c r="H335" s="380" t="str">
        <f>IF('9b-Optional'!H183=0,"",TEXT('9b-Optional'!D183,"#,###")&amp;"x "&amp;TEXT('9b-Optional'!C183,"#,###")&amp;" Dton Capacity Jump Shipyard")</f>
        <v/>
      </c>
      <c r="I335" s="391">
        <f>'9b-Optional'!H183</f>
        <v>0</v>
      </c>
      <c r="J335" s="263">
        <f>'9b-Optional'!F183</f>
        <v>0</v>
      </c>
      <c r="K335" t="str">
        <f t="shared" si="21"/>
        <v/>
      </c>
    </row>
    <row r="336" spans="1:11" x14ac:dyDescent="0.3">
      <c r="A336" s="388" t="str">
        <f>IF(MAX(F:F)&lt;334,"",IF(INDEX(F:J,MATCH(334,F:F,0),2)=0,"",INDEX(F:J,MATCH(334,F:F,0),2)))</f>
        <v/>
      </c>
      <c r="B336" s="441" t="str">
        <f>IF(MAX(F:F)&lt;334,"",INDEX(F:J,MATCH(334,F:F,0),3))</f>
        <v/>
      </c>
      <c r="C336" s="4" t="str">
        <f>IF(MAX(F:F)&lt;334,"",INDEX(F:J,MATCH(334,F:F,0),4))</f>
        <v/>
      </c>
      <c r="D336" s="4" t="str">
        <f>IF(MAX(F:F)&lt;334,"",INDEX(F:J,MATCH(334,F:F,0),5))</f>
        <v/>
      </c>
      <c r="E336" s="73">
        <f t="shared" si="19"/>
        <v>10</v>
      </c>
      <c r="F336" s="73" t="str">
        <f t="shared" si="20"/>
        <v/>
      </c>
      <c r="G336" s="389" t="str">
        <f>IF(H336="","","Robotic Crew")</f>
        <v/>
      </c>
      <c r="H336" s="379" t="str">
        <f>'10-Crew'!U40</f>
        <v/>
      </c>
      <c r="I336" s="234" t="str">
        <f>""</f>
        <v/>
      </c>
      <c r="J336" s="375">
        <f>'10-Crew'!S40</f>
        <v>0</v>
      </c>
      <c r="K336" t="str">
        <f t="shared" si="21"/>
        <v/>
      </c>
    </row>
    <row r="337" spans="1:11" x14ac:dyDescent="0.3">
      <c r="A337" s="388" t="str">
        <f>IF(MAX(F:F)&lt;335,"",IF(INDEX(F:J,MATCH(335,F:F,0),2)=0,"",INDEX(F:J,MATCH(335,F:F,0),2)))</f>
        <v/>
      </c>
      <c r="B337" s="441" t="str">
        <f>IF(MAX(F:F)&lt;335,"",INDEX(F:J,MATCH(335,F:F,0),3))</f>
        <v/>
      </c>
      <c r="C337" s="4" t="str">
        <f>IF(MAX(F:F)&lt;335,"",INDEX(F:J,MATCH(335,F:F,0),4))</f>
        <v/>
      </c>
      <c r="D337" s="4" t="str">
        <f>IF(MAX(F:F)&lt;335,"",INDEX(F:J,MATCH(335,F:F,0),5))</f>
        <v/>
      </c>
      <c r="E337" s="73">
        <f t="shared" si="19"/>
        <v>10</v>
      </c>
      <c r="F337" s="73" t="str">
        <f t="shared" si="20"/>
        <v/>
      </c>
      <c r="G337" s="385"/>
      <c r="H337" s="12" t="str">
        <f>'10-Crew'!U41</f>
        <v/>
      </c>
      <c r="I337" s="4" t="str">
        <f>""</f>
        <v/>
      </c>
      <c r="J337" s="262">
        <f>'10-Crew'!S41</f>
        <v>0</v>
      </c>
      <c r="K337" t="str">
        <f t="shared" si="21"/>
        <v/>
      </c>
    </row>
    <row r="338" spans="1:11" x14ac:dyDescent="0.3">
      <c r="A338" s="388" t="str">
        <f>IF(MAX(F:F)&lt;336,"",IF(INDEX(F:J,MATCH(336,F:F,0),2)=0,"",INDEX(F:J,MATCH(336,F:F,0),2)))</f>
        <v/>
      </c>
      <c r="B338" s="441" t="str">
        <f>IF(MAX(F:F)&lt;336,"",INDEX(F:J,MATCH(336,F:F,0),3))</f>
        <v/>
      </c>
      <c r="C338" s="4" t="str">
        <f>IF(MAX(F:F)&lt;336,"",INDEX(F:J,MATCH(336,F:F,0),4))</f>
        <v/>
      </c>
      <c r="D338" s="4" t="str">
        <f>IF(MAX(F:F)&lt;336,"",INDEX(F:J,MATCH(336,F:F,0),5))</f>
        <v/>
      </c>
      <c r="E338" s="73">
        <f t="shared" si="19"/>
        <v>10</v>
      </c>
      <c r="F338" s="73" t="str">
        <f t="shared" si="20"/>
        <v/>
      </c>
      <c r="G338" s="385"/>
      <c r="H338" s="12" t="str">
        <f>'10-Crew'!U42</f>
        <v/>
      </c>
      <c r="I338" s="4" t="str">
        <f>""</f>
        <v/>
      </c>
      <c r="J338" s="262">
        <f>'10-Crew'!S42</f>
        <v>0</v>
      </c>
      <c r="K338" t="str">
        <f t="shared" si="21"/>
        <v/>
      </c>
    </row>
    <row r="339" spans="1:11" x14ac:dyDescent="0.3">
      <c r="A339" s="388" t="str">
        <f>IF(MAX(F:F)&lt;337,"",IF(INDEX(F:J,MATCH(337,F:F,0),2)=0,"",INDEX(F:J,MATCH(337,F:F,0),2)))</f>
        <v/>
      </c>
      <c r="B339" s="441" t="str">
        <f>IF(MAX(F:F)&lt;337,"",INDEX(F:J,MATCH(337,F:F,0),3))</f>
        <v/>
      </c>
      <c r="C339" s="4" t="str">
        <f>IF(MAX(F:F)&lt;337,"",INDEX(F:J,MATCH(337,F:F,0),4))</f>
        <v/>
      </c>
      <c r="D339" s="4" t="str">
        <f>IF(MAX(F:F)&lt;337,"",INDEX(F:J,MATCH(337,F:F,0),5))</f>
        <v/>
      </c>
      <c r="E339" s="73">
        <f t="shared" si="19"/>
        <v>10</v>
      </c>
      <c r="F339" s="73" t="str">
        <f t="shared" si="20"/>
        <v/>
      </c>
      <c r="G339" s="385"/>
      <c r="H339" s="12" t="str">
        <f>'10-Crew'!U43</f>
        <v/>
      </c>
      <c r="I339" s="4" t="str">
        <f>""</f>
        <v/>
      </c>
      <c r="J339" s="262">
        <f>'10-Crew'!S43</f>
        <v>0</v>
      </c>
      <c r="K339" t="str">
        <f t="shared" si="21"/>
        <v/>
      </c>
    </row>
    <row r="340" spans="1:11" x14ac:dyDescent="0.3">
      <c r="E340" s="73">
        <f t="shared" si="19"/>
        <v>10</v>
      </c>
      <c r="F340" s="73" t="str">
        <f t="shared" si="20"/>
        <v/>
      </c>
      <c r="G340" s="385"/>
      <c r="H340" s="12" t="str">
        <f>'10-Crew'!U44</f>
        <v/>
      </c>
      <c r="I340" s="4" t="str">
        <f>""</f>
        <v/>
      </c>
      <c r="J340" s="262">
        <f>'10-Crew'!S44</f>
        <v>0</v>
      </c>
      <c r="K340" t="str">
        <f t="shared" si="21"/>
        <v/>
      </c>
    </row>
    <row r="341" spans="1:11" x14ac:dyDescent="0.3">
      <c r="E341" s="73">
        <f t="shared" si="19"/>
        <v>10</v>
      </c>
      <c r="F341" s="73" t="str">
        <f t="shared" si="20"/>
        <v/>
      </c>
      <c r="G341" s="385"/>
      <c r="H341" s="12" t="str">
        <f>'10-Crew'!U45</f>
        <v/>
      </c>
      <c r="I341" s="4" t="str">
        <f>""</f>
        <v/>
      </c>
      <c r="J341" s="262">
        <f>'10-Crew'!S45</f>
        <v>0</v>
      </c>
      <c r="K341" t="str">
        <f t="shared" si="21"/>
        <v/>
      </c>
    </row>
    <row r="342" spans="1:11" x14ac:dyDescent="0.3">
      <c r="E342" s="73">
        <f t="shared" si="19"/>
        <v>10</v>
      </c>
      <c r="F342" s="73" t="str">
        <f t="shared" si="20"/>
        <v/>
      </c>
      <c r="G342" s="385"/>
      <c r="H342" s="12" t="str">
        <f>'10-Crew'!U46</f>
        <v/>
      </c>
      <c r="I342" s="4" t="str">
        <f>""</f>
        <v/>
      </c>
      <c r="J342" s="262">
        <f>'10-Crew'!S46</f>
        <v>0</v>
      </c>
      <c r="K342" t="str">
        <f t="shared" si="21"/>
        <v/>
      </c>
    </row>
    <row r="343" spans="1:11" x14ac:dyDescent="0.3">
      <c r="E343" s="73">
        <f t="shared" si="19"/>
        <v>10</v>
      </c>
      <c r="F343" s="73" t="str">
        <f t="shared" si="20"/>
        <v/>
      </c>
      <c r="G343" s="385"/>
      <c r="H343" s="12" t="str">
        <f>'10-Crew'!U47</f>
        <v/>
      </c>
      <c r="I343" s="4" t="str">
        <f>""</f>
        <v/>
      </c>
      <c r="J343" s="262">
        <f>'10-Crew'!S47</f>
        <v>0</v>
      </c>
      <c r="K343" t="str">
        <f t="shared" si="21"/>
        <v/>
      </c>
    </row>
    <row r="344" spans="1:11" x14ac:dyDescent="0.3">
      <c r="E344" s="73">
        <f t="shared" si="19"/>
        <v>10</v>
      </c>
      <c r="F344" s="73" t="str">
        <f t="shared" si="20"/>
        <v/>
      </c>
      <c r="G344" s="385"/>
      <c r="H344" s="12" t="str">
        <f>'10-Crew'!U48</f>
        <v/>
      </c>
      <c r="I344" s="4" t="str">
        <f>""</f>
        <v/>
      </c>
      <c r="J344" s="262">
        <f>'10-Crew'!S48</f>
        <v>0</v>
      </c>
      <c r="K344" t="str">
        <f t="shared" si="21"/>
        <v/>
      </c>
    </row>
    <row r="345" spans="1:11" x14ac:dyDescent="0.3">
      <c r="E345" s="73">
        <f t="shared" si="19"/>
        <v>10</v>
      </c>
      <c r="F345" s="73" t="str">
        <f t="shared" si="20"/>
        <v/>
      </c>
      <c r="G345" s="386"/>
      <c r="H345" s="380" t="str">
        <f>'10-Crew'!U49</f>
        <v/>
      </c>
      <c r="I345" s="4" t="str">
        <f>""</f>
        <v/>
      </c>
      <c r="J345" s="262">
        <f>'10-Crew'!S49</f>
        <v>0</v>
      </c>
      <c r="K345" t="str">
        <f t="shared" si="21"/>
        <v/>
      </c>
    </row>
    <row r="346" spans="1:11" x14ac:dyDescent="0.3">
      <c r="E346" s="73">
        <f t="shared" si="19"/>
        <v>10</v>
      </c>
      <c r="F346" s="73" t="str">
        <f t="shared" si="20"/>
        <v/>
      </c>
      <c r="G346" s="389" t="str">
        <f>IF(H346="","","Staterooms")</f>
        <v/>
      </c>
      <c r="H346" s="379" t="str">
        <f>IF('11-Staterooms'!C15+'11-Staterooms'!C39=0,"",TEXT('11-Staterooms'!C15+'11-Staterooms'!C39,"#,###")&amp;"x "&amp;'11-Staterooms'!A15)</f>
        <v/>
      </c>
      <c r="I346" s="234">
        <f>'11-Staterooms'!H15+'11-Staterooms'!H39</f>
        <v>0</v>
      </c>
      <c r="J346" s="375">
        <f>'11-Staterooms'!F15+'11-Staterooms'!F39</f>
        <v>0</v>
      </c>
      <c r="K346" t="str">
        <f t="shared" si="21"/>
        <v/>
      </c>
    </row>
    <row r="347" spans="1:11" x14ac:dyDescent="0.3">
      <c r="E347" s="73">
        <f t="shared" si="19"/>
        <v>10</v>
      </c>
      <c r="F347" s="73" t="str">
        <f t="shared" si="20"/>
        <v/>
      </c>
      <c r="G347" s="385" t="str">
        <f>IF(H347="","",IF(G346="","Staterooms",""))</f>
        <v/>
      </c>
      <c r="H347" s="12" t="str">
        <f>IF('11-Staterooms'!C16+'11-Staterooms'!C40=0,"",TEXT('11-Staterooms'!C16+'11-Staterooms'!C40,"#,###")&amp;"x "&amp;'11-Staterooms'!A16)</f>
        <v/>
      </c>
      <c r="I347" s="4">
        <f>'11-Staterooms'!H16+'11-Staterooms'!H40</f>
        <v>0</v>
      </c>
      <c r="J347" s="262">
        <f>'11-Staterooms'!F16+'11-Staterooms'!F40</f>
        <v>0</v>
      </c>
      <c r="K347" t="str">
        <f t="shared" si="21"/>
        <v/>
      </c>
    </row>
    <row r="348" spans="1:11" x14ac:dyDescent="0.3">
      <c r="E348" s="73">
        <f t="shared" si="19"/>
        <v>10</v>
      </c>
      <c r="F348" s="73" t="str">
        <f t="shared" si="20"/>
        <v/>
      </c>
      <c r="G348" s="385" t="str">
        <f>IF(H348="","",IF(AND(G346="",G347=""),"Staterooms",""))</f>
        <v/>
      </c>
      <c r="H348" s="12" t="str">
        <f>IF('11-Staterooms'!C17+'11-Staterooms'!C41=0,"",TEXT('11-Staterooms'!C17+'11-Staterooms'!C41,"#,###")&amp;"x "&amp;'11-Staterooms'!A17)</f>
        <v/>
      </c>
      <c r="I348" s="4">
        <f>'11-Staterooms'!H17+'11-Staterooms'!H41</f>
        <v>0</v>
      </c>
      <c r="J348" s="262">
        <f>'11-Staterooms'!F17+'11-Staterooms'!F41</f>
        <v>0</v>
      </c>
      <c r="K348" t="str">
        <f t="shared" si="21"/>
        <v/>
      </c>
    </row>
    <row r="349" spans="1:11" x14ac:dyDescent="0.3">
      <c r="E349" s="73">
        <f t="shared" si="19"/>
        <v>10</v>
      </c>
      <c r="F349" s="73" t="str">
        <f t="shared" si="20"/>
        <v/>
      </c>
      <c r="G349" s="385" t="str">
        <f>IF(H349="","",IF(AND(G346="",G347="",G348=""),"Staterooms",""))</f>
        <v/>
      </c>
      <c r="H349" s="12" t="str">
        <f>IF('11-Staterooms'!C18=0,"",TEXT('11-Staterooms'!C18,"#,###")&amp;"x "&amp;'11-Staterooms'!A18)&amp;IF('11-Staterooms'!C19=0,"",", "&amp;TEXT('11-Staterooms'!C19,"#,###")&amp;"x "&amp;'11-Staterooms'!B19)</f>
        <v/>
      </c>
      <c r="I349" s="4">
        <f>'11-Staterooms'!H18</f>
        <v>0</v>
      </c>
      <c r="J349" s="262">
        <f>'11-Staterooms'!F18+'11-Staterooms'!F19</f>
        <v>0</v>
      </c>
      <c r="K349" t="str">
        <f t="shared" si="21"/>
        <v/>
      </c>
    </row>
    <row r="350" spans="1:11" x14ac:dyDescent="0.3">
      <c r="E350" s="73">
        <f t="shared" si="19"/>
        <v>10</v>
      </c>
      <c r="F350" s="73" t="str">
        <f t="shared" si="20"/>
        <v/>
      </c>
      <c r="G350" s="385" t="str">
        <f>IF(H350="","",IF(AND(G346="",G347="",G348="",G349=""),"Staterooms",""))</f>
        <v/>
      </c>
      <c r="H350" s="12" t="str">
        <f>IF('11-Staterooms'!C42=0,"",TEXT('11-Staterooms'!C42,"#,###")&amp;"x "&amp;'11-Staterooms'!A42)&amp;IF('11-Staterooms'!C43=0,"",", "&amp;TEXT('11-Staterooms'!C43,"#,###")&amp;"x "&amp;'11-Staterooms'!B43)</f>
        <v/>
      </c>
      <c r="I350" s="4">
        <f>'11-Staterooms'!H42</f>
        <v>0</v>
      </c>
      <c r="J350" s="4">
        <f>'11-Staterooms'!F42+'11-Staterooms'!F43</f>
        <v>0</v>
      </c>
      <c r="K350" t="str">
        <f t="shared" si="21"/>
        <v/>
      </c>
    </row>
    <row r="351" spans="1:11" x14ac:dyDescent="0.3">
      <c r="E351" s="73">
        <f t="shared" si="19"/>
        <v>10</v>
      </c>
      <c r="F351" s="73" t="str">
        <f t="shared" si="20"/>
        <v/>
      </c>
      <c r="G351" s="385" t="str">
        <f>IF(H351="","",IF(AND(G346="",G347="",G348="",G349="",G350=""),"Staterooms",""))</f>
        <v/>
      </c>
      <c r="H351" s="12" t="str">
        <f>IF('11-Staterooms'!C20=0,"",TEXT('11-Staterooms'!C20,"#,###")&amp;"x "&amp;'11-Staterooms'!A20)</f>
        <v/>
      </c>
      <c r="I351" s="4">
        <f>'11-Staterooms'!H20</f>
        <v>0</v>
      </c>
      <c r="J351" s="262">
        <f>'11-Staterooms'!F20</f>
        <v>0</v>
      </c>
      <c r="K351" t="str">
        <f t="shared" si="21"/>
        <v/>
      </c>
    </row>
    <row r="352" spans="1:11" x14ac:dyDescent="0.3">
      <c r="E352" s="73">
        <f t="shared" si="19"/>
        <v>10</v>
      </c>
      <c r="F352" s="73" t="str">
        <f t="shared" si="20"/>
        <v/>
      </c>
      <c r="G352" s="385" t="str">
        <f>IF(H352="","",IF(AND(G346="",G347="",G348="",G349="",G350="",G351=""),"Staterooms",""))</f>
        <v/>
      </c>
      <c r="H352" s="12" t="str">
        <f>IF('11-Staterooms'!C21+'11-Staterooms'!C44=0,"",TEXT('11-Staterooms'!C21+'11-Staterooms'!C44,"#,##0.00")&amp;" tons of "&amp;'11-Staterooms'!A21)</f>
        <v/>
      </c>
      <c r="I352" s="4">
        <f>'11-Staterooms'!H21+'11-Staterooms'!H44</f>
        <v>0</v>
      </c>
      <c r="J352" s="262">
        <f>'11-Staterooms'!F21+'11-Staterooms'!F44</f>
        <v>0</v>
      </c>
      <c r="K352" t="str">
        <f t="shared" si="21"/>
        <v/>
      </c>
    </row>
    <row r="353" spans="5:11" x14ac:dyDescent="0.3">
      <c r="E353" s="73">
        <f t="shared" si="19"/>
        <v>10</v>
      </c>
      <c r="F353" s="73" t="str">
        <f t="shared" si="20"/>
        <v/>
      </c>
      <c r="G353" s="385" t="str">
        <f>IF(H353="","",IF(AND(G346="",G347="",G348="",G349="",G350="",G351="",G352=""),"Staterooms",""))</f>
        <v/>
      </c>
      <c r="H353" s="12" t="str">
        <f>IF('11-Staterooms'!C22=0,"",TEXT('11-Staterooms'!C22,"#,###")&amp;"x "&amp;'11-Staterooms'!A22)</f>
        <v/>
      </c>
      <c r="I353" s="4">
        <f>'11-Staterooms'!H22</f>
        <v>0</v>
      </c>
      <c r="J353" s="262">
        <f>'11-Staterooms'!F22</f>
        <v>0</v>
      </c>
      <c r="K353" t="str">
        <f t="shared" si="21"/>
        <v/>
      </c>
    </row>
    <row r="354" spans="5:11" x14ac:dyDescent="0.3">
      <c r="E354" s="73">
        <f t="shared" si="19"/>
        <v>10</v>
      </c>
      <c r="F354" s="73" t="str">
        <f t="shared" si="20"/>
        <v/>
      </c>
      <c r="G354" s="385" t="str">
        <f>IF(H354="","",IF(AND(G346="",G347="",G348="",G349="",G350="",G351="",G352="",G353=""),"Staterooms",""))</f>
        <v/>
      </c>
      <c r="H354" s="12" t="str">
        <f>IF('11-Staterooms'!C23+'11-Staterooms'!C45=0,"",TEXT('11-Staterooms'!C23+'11-Staterooms'!C45,"#,###")&amp;"x "&amp;'11-Staterooms'!A23)</f>
        <v/>
      </c>
      <c r="I354" s="4">
        <f>'11-Staterooms'!H23+'11-Staterooms'!H45</f>
        <v>0</v>
      </c>
      <c r="J354" s="262">
        <f>'11-Staterooms'!F23+'11-Staterooms'!F45</f>
        <v>0</v>
      </c>
      <c r="K354" t="str">
        <f t="shared" si="21"/>
        <v/>
      </c>
    </row>
    <row r="355" spans="5:11" x14ac:dyDescent="0.3">
      <c r="E355" s="73">
        <f t="shared" si="19"/>
        <v>10</v>
      </c>
      <c r="F355" s="73" t="str">
        <f t="shared" si="20"/>
        <v/>
      </c>
      <c r="G355" s="385" t="str">
        <f>IF(H355="","",IF(AND(G346="",G347="",G348="",G349="",G350="",G351="",G352="",G353="",G354=""),"Staterooms",""))</f>
        <v/>
      </c>
      <c r="H355" s="12" t="str">
        <f>IF('11-Staterooms'!C24+'11-Staterooms'!C46=0,"",TEXT('11-Staterooms'!C24+'11-Staterooms'!C46,"#,###")&amp;"x "&amp;'11-Staterooms'!A24)</f>
        <v/>
      </c>
      <c r="I355" s="4">
        <f>'11-Staterooms'!H24+'11-Staterooms'!H46</f>
        <v>0</v>
      </c>
      <c r="J355" s="262">
        <f>'11-Staterooms'!F24+'11-Staterooms'!F46</f>
        <v>0</v>
      </c>
      <c r="K355" t="str">
        <f t="shared" si="21"/>
        <v/>
      </c>
    </row>
    <row r="356" spans="5:11" x14ac:dyDescent="0.3">
      <c r="E356" s="73">
        <f t="shared" si="19"/>
        <v>10</v>
      </c>
      <c r="F356" s="73" t="str">
        <f t="shared" si="20"/>
        <v/>
      </c>
      <c r="G356" s="385" t="str">
        <f>IF(H356="","",IF(AND(G346="",G347="",G348="",G349="",G350="",G351="",G352="",G353="",G354="",G355=""),"Staterooms",""))</f>
        <v/>
      </c>
      <c r="H356" s="12" t="str">
        <f>IF('11-Staterooms'!C25+'11-Staterooms'!C47=0,"",TEXT('11-Staterooms'!C25+'11-Staterooms'!C47,"#,###")&amp;"x "&amp;'11-Staterooms'!A25)</f>
        <v/>
      </c>
      <c r="I356" s="4">
        <f>'11-Staterooms'!H25+'11-Staterooms'!H47</f>
        <v>0</v>
      </c>
      <c r="J356" s="262">
        <f>'11-Staterooms'!F25+'11-Staterooms'!F47</f>
        <v>0</v>
      </c>
      <c r="K356" t="str">
        <f t="shared" si="21"/>
        <v/>
      </c>
    </row>
    <row r="357" spans="5:11" x14ac:dyDescent="0.3">
      <c r="E357" s="73">
        <f t="shared" si="19"/>
        <v>10</v>
      </c>
      <c r="F357" s="73" t="str">
        <f t="shared" si="20"/>
        <v/>
      </c>
      <c r="G357" s="385" t="str">
        <f>IF(H357="","",IF(AND(G346="",G347="",G348="",G349="",G350="",G351="",G352="",G353="",G354="",G355="",G356=""),"Staterooms",""))</f>
        <v/>
      </c>
      <c r="H357" s="12" t="str">
        <f>IF('11-Staterooms'!C26+'11-Staterooms'!C48=0,"",TEXT('11-Staterooms'!C26+'11-Staterooms'!C48,"#,###")&amp;"x "&amp;'11-Staterooms'!A26)</f>
        <v/>
      </c>
      <c r="I357" s="4">
        <f>'11-Staterooms'!H26+'11-Staterooms'!H48</f>
        <v>0</v>
      </c>
      <c r="J357" s="262">
        <f>'11-Staterooms'!F26+'11-Staterooms'!F48</f>
        <v>0</v>
      </c>
      <c r="K357" t="str">
        <f t="shared" si="21"/>
        <v/>
      </c>
    </row>
    <row r="358" spans="5:11" x14ac:dyDescent="0.3">
      <c r="E358" s="73">
        <f t="shared" si="19"/>
        <v>10</v>
      </c>
      <c r="F358" s="73" t="str">
        <f t="shared" si="20"/>
        <v/>
      </c>
      <c r="G358" s="385" t="str">
        <f>IF(H358="","",IF(AND(G346="",G347="",G348="",G349="",G350="",G351="",G352="",G353="",G354="",G355="",G356="",G357=""),"Staterooms",""))</f>
        <v/>
      </c>
      <c r="H358" s="12" t="str">
        <f>IF('11-Staterooms'!C27+'11-Staterooms'!C49=0,"",TEXT('11-Staterooms'!C27+'11-Staterooms'!C49,"#,###")&amp;"x "&amp;'11-Staterooms'!A27)</f>
        <v/>
      </c>
      <c r="I358" s="4">
        <f>'11-Staterooms'!H27+'11-Staterooms'!H49</f>
        <v>0</v>
      </c>
      <c r="J358" s="262">
        <f>'11-Staterooms'!F27+'11-Staterooms'!F49</f>
        <v>0</v>
      </c>
      <c r="K358" t="str">
        <f t="shared" si="21"/>
        <v/>
      </c>
    </row>
    <row r="359" spans="5:11" x14ac:dyDescent="0.3">
      <c r="E359" s="73">
        <f t="shared" si="19"/>
        <v>10</v>
      </c>
      <c r="F359" s="73" t="str">
        <f t="shared" si="20"/>
        <v/>
      </c>
      <c r="G359" s="385" t="str">
        <f>IF(H359="","",IF(AND(G346="",G347="",G348="",G349="",G350="",G351="",G352="",G353="",G354="",G355="",G356="",G357="",G358=""),"Staterooms",""))</f>
        <v/>
      </c>
      <c r="H359" s="12" t="str">
        <f>IF('11-Staterooms'!C28+'11-Staterooms'!C50=0,"",TEXT('11-Staterooms'!C28+'11-Staterooms'!C50,"#,###")&amp;"x "&amp;'11-Staterooms'!A28)</f>
        <v/>
      </c>
      <c r="I359" s="4">
        <f>'11-Staterooms'!H28+'11-Staterooms'!H50</f>
        <v>0</v>
      </c>
      <c r="J359" s="262">
        <f>'11-Staterooms'!F28+'11-Staterooms'!F50</f>
        <v>0</v>
      </c>
      <c r="K359" t="str">
        <f t="shared" si="21"/>
        <v/>
      </c>
    </row>
    <row r="360" spans="5:11" x14ac:dyDescent="0.3">
      <c r="E360" s="73">
        <f t="shared" si="19"/>
        <v>10</v>
      </c>
      <c r="F360" s="73" t="str">
        <f t="shared" si="20"/>
        <v/>
      </c>
      <c r="G360" s="388" t="str">
        <f>IF(H360="","",IF(AND(G346="",G347="",G348="",G349="",G350="",G351="",G352="",G353="",G354="",G355="",G356="",G357="",G358="",G359=""),"Staterooms",""))</f>
        <v/>
      </c>
      <c r="H360" s="12" t="str">
        <f>IF(I360=0,"",TEXT('11-Staterooms'!C29+'11-Staterooms'!C51,"#,###")&amp;"x "&amp;'11-Staterooms'!A29)</f>
        <v/>
      </c>
      <c r="I360" s="4">
        <f>'11-Staterooms'!H29+'11-Staterooms'!H51</f>
        <v>0</v>
      </c>
      <c r="J360" s="4">
        <f>'11-Staterooms'!F29+'11-Staterooms'!F51</f>
        <v>0</v>
      </c>
      <c r="K360" t="str">
        <f t="shared" si="21"/>
        <v/>
      </c>
    </row>
    <row r="361" spans="5:11" x14ac:dyDescent="0.3">
      <c r="E361" s="73">
        <f t="shared" si="19"/>
        <v>10</v>
      </c>
      <c r="F361" s="73" t="str">
        <f t="shared" si="20"/>
        <v/>
      </c>
      <c r="G361" s="388" t="str">
        <f>IF(H361="","",IF(AND(G346="",G347="",G348="",G349="",G350="",G351="",G352="",G353="",G354="",G355="",G356="",G357="",G358="",G359="",G360=""),"Staterooms",""))</f>
        <v/>
      </c>
      <c r="H361" s="12" t="str">
        <f>IF(I361=0,"",TEXT('11-Staterooms'!C52,"#,###")&amp;"x "&amp;'11-Staterooms'!A52)</f>
        <v/>
      </c>
      <c r="I361" s="4">
        <f>'11-Staterooms'!H52</f>
        <v>0</v>
      </c>
      <c r="J361" s="4">
        <f>'11-Staterooms'!F52</f>
        <v>0</v>
      </c>
      <c r="K361" t="str">
        <f t="shared" si="21"/>
        <v/>
      </c>
    </row>
    <row r="362" spans="5:11" x14ac:dyDescent="0.3">
      <c r="E362" s="73">
        <f t="shared" si="19"/>
        <v>10</v>
      </c>
      <c r="F362" s="73" t="str">
        <f t="shared" si="20"/>
        <v/>
      </c>
      <c r="G362" s="388" t="str">
        <f>IF(H362="","",IF(AND(G346="",G347="",G348="",G349="",G350="",G351="",G352="",G353="",G354="",G355="",G356="",G357="",G358="",G359="",G360="",G361=""),"Staterooms",""))</f>
        <v/>
      </c>
      <c r="H362" s="12" t="str">
        <f>IF(I362=0,"",TEXT('11-Staterooms'!C53,"#,###")&amp;"x "&amp;'11-Staterooms'!A53)</f>
        <v/>
      </c>
      <c r="I362" s="4">
        <f>'11-Staterooms'!H53</f>
        <v>0</v>
      </c>
      <c r="J362" s="4">
        <f>'11-Staterooms'!F53</f>
        <v>0</v>
      </c>
      <c r="K362" t="str">
        <f t="shared" si="21"/>
        <v/>
      </c>
    </row>
    <row r="363" spans="5:11" x14ac:dyDescent="0.3">
      <c r="E363" s="73">
        <f t="shared" si="19"/>
        <v>10</v>
      </c>
      <c r="F363" s="73" t="str">
        <f t="shared" si="20"/>
        <v/>
      </c>
      <c r="G363" s="385" t="str">
        <f>IF(H363="","",IF(AND(G346="",G347="",G348="",G349="",G350="",G351="",G352="",G353="",G354="",G355="",G356="",G357="",G358="",G359="",G360="",G361="",G362=""),"Staterooms",""))</f>
        <v/>
      </c>
      <c r="H363" s="12" t="str">
        <f>IF('11-Staterooms'!C30=0,"",'11-Staterooms'!A30&amp;" ("&amp;TEXT('11-Staterooms'!C30*6,"#,###")&amp;" Droyne Occupants)")</f>
        <v/>
      </c>
      <c r="I363" s="4">
        <f>'11-Staterooms'!H30</f>
        <v>0</v>
      </c>
      <c r="J363" s="4">
        <f>'11-Staterooms'!F30</f>
        <v>0</v>
      </c>
      <c r="K363" t="str">
        <f t="shared" si="21"/>
        <v/>
      </c>
    </row>
    <row r="364" spans="5:11" x14ac:dyDescent="0.3">
      <c r="E364" s="73">
        <f t="shared" si="19"/>
        <v>10</v>
      </c>
      <c r="F364" s="73" t="str">
        <f t="shared" si="20"/>
        <v/>
      </c>
      <c r="G364" s="388" t="str">
        <f>IF(H363="","",IF(AND(G346="",G347="",G348="",G349="",G350="",G351="",G352="",G353="",G354="",G355="",G356="",G357="",G358="",G359="",G360="",G361="",G362="",G363=""),"Staterooms",""))</f>
        <v/>
      </c>
      <c r="H364" s="12" t="str">
        <f>IF('11-Staterooms'!C31=0,"",'11-Staterooms'!A31&amp;" ("&amp;TEXT('11-Staterooms'!C31*6,"#,###")&amp;" Droyne Occupants)")</f>
        <v/>
      </c>
      <c r="I364" s="4">
        <f>'11-Staterooms'!H31</f>
        <v>0</v>
      </c>
      <c r="J364" s="4">
        <f>'11-Staterooms'!F31</f>
        <v>0</v>
      </c>
      <c r="K364" t="str">
        <f t="shared" si="21"/>
        <v/>
      </c>
    </row>
    <row r="365" spans="5:11" x14ac:dyDescent="0.3">
      <c r="E365" s="73">
        <f t="shared" ref="E365:E428" si="22">IF(H365="",E364,E364+1)</f>
        <v>10</v>
      </c>
      <c r="F365" s="73" t="str">
        <f t="shared" ref="F365:F428" si="23">IF(E365=E364,"",E365)</f>
        <v/>
      </c>
      <c r="G365" s="385" t="str">
        <f>IF(H365="","",IF(AND(G346="",G347="",G348="",G349="",G350="",G351="",G352="",G353="",G354="",G355="",G356="",G357="",G358="",G359="",G360="",G361="",G362="",G363="",G364=""),"Staterooms",""))</f>
        <v/>
      </c>
      <c r="H365" s="12" t="str">
        <f>IF('11-Staterooms'!C32=0,"",TEXT('11-Staterooms'!C32,"#,###")&amp;"x "&amp;'11-Staterooms'!A32)</f>
        <v/>
      </c>
      <c r="I365" s="4">
        <f>'11-Staterooms'!H32</f>
        <v>0</v>
      </c>
      <c r="J365" s="262">
        <f>'11-Staterooms'!F32</f>
        <v>0</v>
      </c>
      <c r="K365" t="str">
        <f t="shared" si="21"/>
        <v/>
      </c>
    </row>
    <row r="366" spans="5:11" x14ac:dyDescent="0.3">
      <c r="E366" s="73">
        <f t="shared" si="22"/>
        <v>10</v>
      </c>
      <c r="F366" s="73" t="str">
        <f t="shared" si="23"/>
        <v/>
      </c>
      <c r="G366" s="385" t="str">
        <f>IF(H366="","",IF(AND(G346="",G347="",G348="",G349="",G350="",G351="",G352="",G353="",G354="",G355="",G356="",G357="",G358="",G359="",G360="",G361="",G362="",G363="",G364="",G365=""),"Staterooms",""))</f>
        <v/>
      </c>
      <c r="H366" s="12" t="str">
        <f>IF('11-Staterooms'!C33=0,"",'11-Staterooms'!A33&amp;" x"&amp;TEXT('11-Staterooms'!C33,"#,###"))</f>
        <v/>
      </c>
      <c r="I366" s="4">
        <f>'11-Staterooms'!H33</f>
        <v>0</v>
      </c>
      <c r="J366" s="262">
        <f>'11-Staterooms'!F33</f>
        <v>0</v>
      </c>
      <c r="K366" t="str">
        <f t="shared" si="21"/>
        <v/>
      </c>
    </row>
    <row r="367" spans="5:11" x14ac:dyDescent="0.3">
      <c r="E367" s="73">
        <f t="shared" si="22"/>
        <v>10</v>
      </c>
      <c r="F367" s="73" t="str">
        <f t="shared" si="23"/>
        <v/>
      </c>
      <c r="G367" s="385" t="str">
        <f>IF(H367="","",IF(AND(G346="",G347="",G348="",G349="",G350="",G351="",G352="",G353="",G354="",G355="",G356="",G357="",G358="",G359="",G360="",G361="",G362="",G363="",G364="",G365="",G366=""),"Staterooms",""))</f>
        <v/>
      </c>
      <c r="H367" s="12" t="str">
        <f>IF('11-Staterooms'!C34=0,"","Custom: "&amp;'11-Staterooms'!C34&amp;"x "&amp;'11-Staterooms'!B34)</f>
        <v/>
      </c>
      <c r="I367" s="4">
        <f>'11-Staterooms'!H34</f>
        <v>0</v>
      </c>
      <c r="J367" s="4">
        <f>'11-Staterooms'!F34</f>
        <v>0</v>
      </c>
      <c r="K367" t="str">
        <f t="shared" si="21"/>
        <v/>
      </c>
    </row>
    <row r="368" spans="5:11" x14ac:dyDescent="0.3">
      <c r="E368" s="73">
        <f t="shared" si="22"/>
        <v>10</v>
      </c>
      <c r="F368" s="73" t="str">
        <f t="shared" si="23"/>
        <v/>
      </c>
      <c r="G368" s="385" t="str">
        <f>IF(H368="","",IF(AND(G346="",G347="",G348="",G349="",G350="",G351="",G352="",G353="",G354="",G355="",G356="",G357="",G358="",G359="",G360="",G361="",G362="",G363="",G364="",G365="",G366="",G367=""),"Staterooms",""))</f>
        <v/>
      </c>
      <c r="H368" s="12" t="str">
        <f>IF('11-Staterooms'!C35=0,"","Custom: "&amp;'11-Staterooms'!C35&amp;"x "&amp;'11-Staterooms'!B35)</f>
        <v/>
      </c>
      <c r="I368" s="4">
        <f>'11-Staterooms'!H35</f>
        <v>0</v>
      </c>
      <c r="J368" s="4">
        <f>'11-Staterooms'!F35</f>
        <v>0</v>
      </c>
      <c r="K368" t="str">
        <f t="shared" si="21"/>
        <v/>
      </c>
    </row>
    <row r="369" spans="5:11" x14ac:dyDescent="0.3">
      <c r="E369" s="73">
        <f t="shared" si="22"/>
        <v>10</v>
      </c>
      <c r="F369" s="73" t="str">
        <f t="shared" si="23"/>
        <v/>
      </c>
      <c r="G369" s="385" t="str">
        <f>IF(H369="","",IF(AND(G346="",G347="",G348="",G349="",G350="",G351="",G352="",G353="",G354="",G355="",G356="",G357="",G358="",G359="",G360="",G361="",G362="",G363="",G364="",G365="",G366="",G367="",G368=""),"Staterooms",""))</f>
        <v/>
      </c>
      <c r="H369" s="12" t="str">
        <f>IF('11-Staterooms'!C54=0,"","Custom: "&amp;'11-Staterooms'!C54&amp;"x "&amp;'11-Staterooms'!B54)</f>
        <v/>
      </c>
      <c r="I369" s="4">
        <f>'11-Staterooms'!H54</f>
        <v>0</v>
      </c>
      <c r="J369" s="4">
        <f>'11-Staterooms'!F54</f>
        <v>0</v>
      </c>
      <c r="K369" t="str">
        <f t="shared" si="21"/>
        <v/>
      </c>
    </row>
    <row r="370" spans="5:11" x14ac:dyDescent="0.3">
      <c r="E370" s="73">
        <f t="shared" si="22"/>
        <v>10</v>
      </c>
      <c r="F370" s="73" t="str">
        <f t="shared" si="23"/>
        <v/>
      </c>
      <c r="G370" s="385" t="str">
        <f>IF(H370="","",IF(AND(G346="",G347="",G348="",G349="",G350="",G351="",G352="",G353="",G354="",G355="",G356="",G357="",G358="",G359="",G360="",G361="",G362="",G363="",G364="",G365="",G366="",G367="",G368="",G369=""),"Staterooms",""))</f>
        <v/>
      </c>
      <c r="H370" s="12" t="str">
        <f>IF('11-Staterooms'!C55=0,"","Custom: "&amp;'11-Staterooms'!C55&amp;"x "&amp;'11-Staterooms'!B55)</f>
        <v/>
      </c>
      <c r="I370" s="4">
        <f>'11-Staterooms'!H55</f>
        <v>0</v>
      </c>
      <c r="J370" s="4">
        <f>'11-Staterooms'!F55</f>
        <v>0</v>
      </c>
      <c r="K370" t="str">
        <f t="shared" si="21"/>
        <v/>
      </c>
    </row>
    <row r="371" spans="5:11" x14ac:dyDescent="0.3">
      <c r="E371" s="73">
        <f t="shared" si="22"/>
        <v>10</v>
      </c>
      <c r="F371" s="73" t="str">
        <f t="shared" si="23"/>
        <v/>
      </c>
      <c r="G371" s="385" t="str">
        <f>IF(H371="","",IF(AND(G346="",G347="",G348="",G349="",G350="",G351="",G352="",G353="",G354="",G355="",G356="",G357="",G358="",G363="",G360="",G361="",G362="",G365="",G364="",G366="",G359="",G367="",G368="",G369="",G370=""),"Staterooms",""))</f>
        <v/>
      </c>
      <c r="H371" s="12" t="str">
        <f>IF('11-Staterooms'!C76=0,"",TEXT('11-Staterooms'!C76,"#,###")&amp;"x "&amp;'11-Staterooms'!A76)</f>
        <v/>
      </c>
      <c r="I371" s="4">
        <f>'11-Staterooms'!H76</f>
        <v>0</v>
      </c>
      <c r="J371" s="262">
        <f>'11-Staterooms'!F76</f>
        <v>0</v>
      </c>
      <c r="K371" t="str">
        <f t="shared" si="21"/>
        <v/>
      </c>
    </row>
    <row r="372" spans="5:11" x14ac:dyDescent="0.3">
      <c r="E372" s="73">
        <f t="shared" si="22"/>
        <v>10</v>
      </c>
      <c r="F372" s="73" t="str">
        <f t="shared" si="23"/>
        <v/>
      </c>
      <c r="G372" s="385" t="str">
        <f>IF(H372="","",IF(AND(G346="",G347="",G348="",G349="",G350="",G351="",G352="",G353="",G354="",G355="",G356="",G357="",G358="",G359="",G360="",G361="",G362="",G363="",G364="",G365="",G366="",G371="",G367="",G368="",G369="",G370=""),"Staterooms",""))</f>
        <v/>
      </c>
      <c r="H372" s="12" t="str">
        <f>IF('11-Staterooms'!C77=0,"",TEXT('11-Staterooms'!C77,"#,###")&amp;"x "&amp;'11-Staterooms'!A77)</f>
        <v/>
      </c>
      <c r="I372" s="4">
        <f>'11-Staterooms'!H77</f>
        <v>0</v>
      </c>
      <c r="J372" s="262">
        <f>'11-Staterooms'!F77</f>
        <v>0</v>
      </c>
      <c r="K372" t="str">
        <f t="shared" si="21"/>
        <v/>
      </c>
    </row>
    <row r="373" spans="5:11" x14ac:dyDescent="0.3">
      <c r="E373" s="73">
        <f t="shared" si="22"/>
        <v>10</v>
      </c>
      <c r="F373" s="73" t="str">
        <f t="shared" si="23"/>
        <v/>
      </c>
      <c r="G373" s="388" t="str">
        <f>IF(H373="","",IF(AND(G346="",G347="",G348="",G349="",G350="",G351="",G352="",G353="",G354="",G355="",G356="",G357="",G358="",G359="",G360="",G361="",G362="",G363="",G364="",G365="",G366="",G371="",G367="",G368="",G369="",G370="",G372=""),"Staterooms",""))</f>
        <v/>
      </c>
      <c r="H373" s="12" t="str">
        <f>IF(I373=0,"",TEXT(SUM('11-Staterooms'!L39:L55),"#,###")&amp;"x (SOL) Secure Accomodations")</f>
        <v/>
      </c>
      <c r="I373" s="4">
        <f>'11-Staterooms'!H57</f>
        <v>0</v>
      </c>
      <c r="J373" s="262">
        <f>'11-Staterooms'!F57</f>
        <v>0</v>
      </c>
      <c r="K373" t="str">
        <f t="shared" si="21"/>
        <v/>
      </c>
    </row>
    <row r="374" spans="5:11" x14ac:dyDescent="0.3">
      <c r="E374" s="73">
        <f t="shared" si="22"/>
        <v>10</v>
      </c>
      <c r="F374" s="73" t="str">
        <f t="shared" si="23"/>
        <v/>
      </c>
      <c r="G374" s="385" t="str">
        <f>IF(H374="","",IF(AND(G346="",G347="",G348="",G349="",G350="",G351="",G352="",G353="",G354="",G355="",G356="",G357="",G358="",G359="",G360="",G361="",G362="",G363="",G364="",G365="",G366="",G367="",G368="",G369="",G370="",G371="",G372="",G373=""),"Staterooms",""))</f>
        <v/>
      </c>
      <c r="H374" s="12" t="str">
        <f>IF('11-Staterooms'!C58='11-Staterooms'!S2,"",LEFT('11-Staterooms'!B58,17))</f>
        <v/>
      </c>
      <c r="I374" s="4">
        <f>'11-Staterooms'!H58</f>
        <v>0</v>
      </c>
      <c r="J374" s="262">
        <f>'11-Staterooms'!F58</f>
        <v>0</v>
      </c>
      <c r="K374" t="str">
        <f t="shared" si="21"/>
        <v/>
      </c>
    </row>
    <row r="375" spans="5:11" x14ac:dyDescent="0.3">
      <c r="E375" s="73">
        <f t="shared" si="22"/>
        <v>10</v>
      </c>
      <c r="F375" s="73" t="str">
        <f t="shared" si="23"/>
        <v/>
      </c>
      <c r="G375" s="385" t="str">
        <f>IF(H375="","",IF(AND(G346="",G347="",G348="",G349="",G350="",G351="",G352="",G353="",G354="",G355="",G356="",G357="",G358="",G359="",G360="",G361="",G362="",G363="",G364="",G365="",G366="",G367="",G368="",G369="",G370="",G371="",G372="",G373="",G374=""),"Staterooms",""))</f>
        <v/>
      </c>
      <c r="H375" s="12" t="str">
        <f>IF('11-Staterooms'!C59='11-Staterooms'!S2,"",LEFT('11-Staterooms'!B59,11))</f>
        <v/>
      </c>
      <c r="J375" s="262">
        <f>'11-Staterooms'!F59</f>
        <v>0</v>
      </c>
      <c r="K375" t="str">
        <f t="shared" si="21"/>
        <v/>
      </c>
    </row>
    <row r="376" spans="5:11" x14ac:dyDescent="0.3">
      <c r="E376" s="73">
        <f t="shared" si="22"/>
        <v>10</v>
      </c>
      <c r="F376" s="73" t="str">
        <f t="shared" si="23"/>
        <v/>
      </c>
      <c r="G376" s="389" t="str">
        <f>IF(H376="","",IF(AND(G346="",G347="",G348="",G349="",G350="",G351="",G352="",G353="",G354="",G355="",G356="",G357="",G358="",G359="",G363="",G365="",G366="",G367="",G364="",G368="",G369="",G370="",G371="",G372="",G374="",G375=""),"Staterooms",""))</f>
        <v/>
      </c>
      <c r="H376" s="379" t="str">
        <f>IF('11-Staterooms'!C78=0,"",TEXT('11-Staterooms'!C78,"#,##0.00")&amp;"x "&amp;'11-Staterooms'!A78)</f>
        <v/>
      </c>
      <c r="I376" s="234">
        <f>'11-Staterooms'!H79</f>
        <v>0</v>
      </c>
      <c r="J376" s="375">
        <f>'11-Staterooms'!F79</f>
        <v>0</v>
      </c>
      <c r="K376" t="str">
        <f t="shared" si="21"/>
        <v/>
      </c>
    </row>
    <row r="377" spans="5:11" x14ac:dyDescent="0.3">
      <c r="E377" s="73">
        <f t="shared" si="22"/>
        <v>10</v>
      </c>
      <c r="F377" s="73" t="str">
        <f t="shared" si="23"/>
        <v/>
      </c>
      <c r="G377" s="385"/>
      <c r="H377" s="12" t="str">
        <f>IF($H$376="","",IF('11-Staterooms'!C87=0,"","     Multi-Environmental Cargo: "&amp;TEXT('11-Staterooms'!C87,"#,##0.00")&amp;" tons"))</f>
        <v/>
      </c>
      <c r="J377" s="262"/>
      <c r="K377" t="str">
        <f t="shared" si="21"/>
        <v/>
      </c>
    </row>
    <row r="378" spans="5:11" x14ac:dyDescent="0.3">
      <c r="E378" s="73">
        <f t="shared" si="22"/>
        <v>10</v>
      </c>
      <c r="F378" s="73" t="str">
        <f t="shared" si="23"/>
        <v/>
      </c>
      <c r="G378" s="385"/>
      <c r="H378" s="12" t="str">
        <f>IF($H$376="","",IF('11-Staterooms'!C88=0,"","     Multi-Environmental Barracks x"&amp;TEXT('11-Staterooms'!C88,"#,###")))</f>
        <v/>
      </c>
      <c r="J378" s="262"/>
      <c r="K378" t="str">
        <f t="shared" si="21"/>
        <v/>
      </c>
    </row>
    <row r="379" spans="5:11" x14ac:dyDescent="0.3">
      <c r="E379" s="73">
        <f t="shared" si="22"/>
        <v>10</v>
      </c>
      <c r="F379" s="73" t="str">
        <f t="shared" si="23"/>
        <v/>
      </c>
      <c r="G379" s="385"/>
      <c r="H379" s="12" t="str">
        <f>IF($H$376="","",IF('11-Staterooms'!C89=0,"","     Multi-Environmental Common Areas: "&amp;TEXT('11-Staterooms'!C89,"#,##0.00")&amp;" tons"))</f>
        <v/>
      </c>
      <c r="J379" s="262"/>
      <c r="K379" t="str">
        <f t="shared" si="21"/>
        <v/>
      </c>
    </row>
    <row r="380" spans="5:11" x14ac:dyDescent="0.3">
      <c r="E380" s="73">
        <f t="shared" si="22"/>
        <v>10</v>
      </c>
      <c r="F380" s="73" t="str">
        <f t="shared" si="23"/>
        <v/>
      </c>
      <c r="G380" s="385"/>
      <c r="H380" s="12" t="str">
        <f>IF($H$376="","",IF('11-Staterooms'!C90=0,"","     Multi-Environmental Middle Staterooms x"&amp;TEXT('11-Staterooms'!C90,"#,###")))</f>
        <v/>
      </c>
      <c r="J380" s="262"/>
      <c r="K380" t="str">
        <f t="shared" si="21"/>
        <v/>
      </c>
    </row>
    <row r="381" spans="5:11" x14ac:dyDescent="0.3">
      <c r="E381" s="73">
        <f t="shared" si="22"/>
        <v>10</v>
      </c>
      <c r="F381" s="73" t="str">
        <f t="shared" si="23"/>
        <v/>
      </c>
      <c r="G381" s="385"/>
      <c r="H381" s="12" t="str">
        <f>IF($H$376="","",IF('11-Staterooms'!C91=0,"","     Multi-Environmental High Staterooms x"&amp;TEXT('11-Staterooms'!C91,"#,###")))</f>
        <v/>
      </c>
      <c r="J381" s="262"/>
      <c r="K381" t="str">
        <f t="shared" si="21"/>
        <v/>
      </c>
    </row>
    <row r="382" spans="5:11" x14ac:dyDescent="0.3">
      <c r="E382" s="73">
        <f t="shared" si="22"/>
        <v>10</v>
      </c>
      <c r="F382" s="73" t="str">
        <f t="shared" si="23"/>
        <v/>
      </c>
      <c r="G382" s="385"/>
      <c r="H382" s="12" t="str">
        <f>IF($H$376="","",IF('11-Staterooms'!C92=0,"","     Multi-Environmental Luxury Staterooms x"&amp;TEXT('11-Staterooms'!C92,"#,###")))</f>
        <v/>
      </c>
      <c r="J382" s="262"/>
      <c r="K382" t="str">
        <f t="shared" si="21"/>
        <v/>
      </c>
    </row>
    <row r="383" spans="5:11" x14ac:dyDescent="0.3">
      <c r="E383" s="73">
        <f t="shared" si="22"/>
        <v>10</v>
      </c>
      <c r="F383" s="73" t="str">
        <f t="shared" si="23"/>
        <v/>
      </c>
      <c r="G383" s="385"/>
      <c r="H383" s="12" t="str">
        <f>IF($H$376="","",IF('11-Staterooms'!C96=0,"","     Multi-Environmental Brig x"&amp;TEXT('11-Staterooms'!C96,"#,###")))</f>
        <v/>
      </c>
      <c r="J383" s="262"/>
      <c r="K383" t="str">
        <f t="shared" si="21"/>
        <v/>
      </c>
    </row>
    <row r="384" spans="5:11" x14ac:dyDescent="0.3">
      <c r="E384" s="73">
        <f t="shared" si="22"/>
        <v>10</v>
      </c>
      <c r="F384" s="73" t="str">
        <f t="shared" si="23"/>
        <v/>
      </c>
      <c r="G384" s="385"/>
      <c r="H384" s="12" t="str">
        <f>IF($H$376="","",IF('11-Staterooms'!C97=0,"","     Multi-Environmental Stables x"&amp;TEXT('11-Staterooms'!C97,"#,###")))</f>
        <v/>
      </c>
      <c r="J384" s="262"/>
      <c r="K384" t="str">
        <f t="shared" si="21"/>
        <v/>
      </c>
    </row>
    <row r="385" spans="5:11" x14ac:dyDescent="0.3">
      <c r="E385" s="73">
        <f t="shared" si="22"/>
        <v>10</v>
      </c>
      <c r="F385" s="73" t="str">
        <f t="shared" si="23"/>
        <v/>
      </c>
      <c r="G385" s="385"/>
      <c r="H385" s="12" t="str">
        <f>IF($H$376="","",IF('11-Staterooms'!C98=0,"","     Multi-Environmental Engineering Spaces: "&amp;TEXT('11-Staterooms'!C98,"#,##0.00")&amp;" tons"))</f>
        <v/>
      </c>
      <c r="J385" s="262"/>
      <c r="K385" t="str">
        <f t="shared" si="21"/>
        <v/>
      </c>
    </row>
    <row r="386" spans="5:11" x14ac:dyDescent="0.3">
      <c r="E386" s="73">
        <f t="shared" si="22"/>
        <v>10</v>
      </c>
      <c r="F386" s="73" t="str">
        <f t="shared" si="23"/>
        <v/>
      </c>
      <c r="G386" s="385"/>
      <c r="H386" s="12" t="str">
        <f>IF($H$376="","",IF('11-Staterooms'!C99=0,"","     Multi-Environmental Bridge Spaces: "&amp;TEXT('11-Staterooms'!C99,"#,##0.00")&amp;" tons"))</f>
        <v/>
      </c>
      <c r="J386" s="262"/>
      <c r="K386" t="str">
        <f t="shared" si="21"/>
        <v/>
      </c>
    </row>
    <row r="387" spans="5:11" ht="15" customHeight="1" x14ac:dyDescent="0.3">
      <c r="E387" s="73">
        <f t="shared" si="22"/>
        <v>10</v>
      </c>
      <c r="F387" s="73" t="str">
        <f t="shared" si="23"/>
        <v/>
      </c>
      <c r="G387" s="385"/>
      <c r="H387" s="12" t="str">
        <f>IF($H$376="","",IF('11-Staterooms'!C100=0,"","     Multi-Environmental Sensors Spaces: "&amp;TEXT('11-Staterooms'!C100,"#,##0.00")&amp;" tons"))</f>
        <v/>
      </c>
      <c r="J387" s="262"/>
      <c r="K387" t="str">
        <f t="shared" si="21"/>
        <v/>
      </c>
    </row>
    <row r="388" spans="5:11" x14ac:dyDescent="0.3">
      <c r="E388" s="73">
        <f t="shared" si="22"/>
        <v>10</v>
      </c>
      <c r="F388" s="73" t="str">
        <f t="shared" si="23"/>
        <v/>
      </c>
      <c r="G388" s="385"/>
      <c r="H388" s="12" t="str">
        <f>IF($H$376="","",IF('11-Staterooms'!C101=0,"","     Multi-Environmental Weapons Spaces: "&amp;TEXT('11-Staterooms'!C101,"#,##0.00")&amp;" tons"))</f>
        <v/>
      </c>
      <c r="J388" s="262"/>
      <c r="K388" t="str">
        <f t="shared" si="21"/>
        <v/>
      </c>
    </row>
    <row r="389" spans="5:11" x14ac:dyDescent="0.3">
      <c r="E389" s="73">
        <f t="shared" si="22"/>
        <v>10</v>
      </c>
      <c r="F389" s="73" t="str">
        <f t="shared" si="23"/>
        <v/>
      </c>
      <c r="G389" s="385"/>
      <c r="H389" s="12" t="str">
        <f>IF($H$376="","",IF('11-Staterooms'!C102=0,"","     Multi-Environmental Screens Spaces: "&amp;TEXT('11-Staterooms'!C102,"#,##0.00")&amp;" tons"))</f>
        <v/>
      </c>
      <c r="J389" s="262"/>
      <c r="K389" t="str">
        <f t="shared" ref="K389:K452" si="24">IF(B389="","",IF(A389="",K388,K388+1))</f>
        <v/>
      </c>
    </row>
    <row r="390" spans="5:11" x14ac:dyDescent="0.3">
      <c r="E390" s="73">
        <f t="shared" si="22"/>
        <v>10</v>
      </c>
      <c r="F390" s="73" t="str">
        <f t="shared" si="23"/>
        <v/>
      </c>
      <c r="G390" s="385"/>
      <c r="H390" s="12" t="str">
        <f>IF($H$376="","",IF('11-Staterooms'!C103=0,"","     Multi-Environmental Docking/Hangar Spaces: "&amp;TEXT('11-Staterooms'!C103,"#,##0.00")&amp;" tons"))</f>
        <v/>
      </c>
      <c r="J390" s="262"/>
      <c r="K390" t="str">
        <f t="shared" si="24"/>
        <v/>
      </c>
    </row>
    <row r="391" spans="5:11" x14ac:dyDescent="0.3">
      <c r="E391" s="73">
        <f t="shared" si="22"/>
        <v>10</v>
      </c>
      <c r="F391" s="73" t="str">
        <f t="shared" si="23"/>
        <v/>
      </c>
      <c r="G391" s="385"/>
      <c r="H391" s="12" t="str">
        <f>IF($H$376="","",IF('11-Staterooms'!C104=0,"","     Multi-Environmental Facilities Spaces: "&amp;TEXT('11-Staterooms'!C104,"#,##0.00")&amp;" tons"))</f>
        <v/>
      </c>
      <c r="J391" s="262"/>
      <c r="K391" t="str">
        <f t="shared" si="24"/>
        <v/>
      </c>
    </row>
    <row r="392" spans="5:11" x14ac:dyDescent="0.3">
      <c r="E392" s="73">
        <f t="shared" si="22"/>
        <v>10</v>
      </c>
      <c r="F392" s="73" t="str">
        <f t="shared" si="23"/>
        <v/>
      </c>
      <c r="G392" s="385"/>
      <c r="H392" s="12" t="str">
        <f>IF($H$376="","",IF('11-Staterooms'!C105=0,"","     Multi-Environmental "&amp;'11-Staterooms'!B105&amp;": "&amp;TEXT('11-Staterooms'!C105,"#,##0.00")&amp;" tons"))</f>
        <v/>
      </c>
      <c r="J392" s="262"/>
      <c r="K392" t="str">
        <f t="shared" si="24"/>
        <v/>
      </c>
    </row>
    <row r="393" spans="5:11" x14ac:dyDescent="0.3">
      <c r="E393" s="73">
        <f t="shared" si="22"/>
        <v>10</v>
      </c>
      <c r="F393" s="73" t="str">
        <f t="shared" si="23"/>
        <v/>
      </c>
      <c r="G393" s="385"/>
      <c r="H393" s="12" t="str">
        <f>IF($H$376="","",IF('11-Staterooms'!C106=0,"","     Multi-Environmental "&amp;'11-Staterooms'!B106&amp;": "&amp;TEXT('11-Staterooms'!C106,"#,##0.00")&amp;" tons"))</f>
        <v/>
      </c>
      <c r="J393" s="262"/>
      <c r="K393" t="str">
        <f t="shared" si="24"/>
        <v/>
      </c>
    </row>
    <row r="394" spans="5:11" x14ac:dyDescent="0.3">
      <c r="E394" s="73">
        <f t="shared" si="22"/>
        <v>10</v>
      </c>
      <c r="F394" s="73" t="str">
        <f t="shared" si="23"/>
        <v/>
      </c>
      <c r="G394" s="385"/>
      <c r="H394" s="12" t="str">
        <f>IF($H$376="","",IF('11-Staterooms'!C107=0,"","     Multi-Environmental "&amp;'11-Staterooms'!B107&amp;": "&amp;TEXT('11-Staterooms'!C107,"#,##0.00")&amp;" tons"))</f>
        <v/>
      </c>
      <c r="J394" s="262"/>
      <c r="K394" t="str">
        <f t="shared" si="24"/>
        <v/>
      </c>
    </row>
    <row r="395" spans="5:11" x14ac:dyDescent="0.3">
      <c r="E395" s="73">
        <f t="shared" si="22"/>
        <v>10</v>
      </c>
      <c r="F395" s="73" t="str">
        <f t="shared" si="23"/>
        <v/>
      </c>
      <c r="G395" s="385"/>
      <c r="H395" s="12" t="str">
        <f>IF($H$376="","",IF('11-Staterooms'!C108=0,"","     Multi-Environmental "&amp;'11-Staterooms'!B108&amp;": "&amp;TEXT('11-Staterooms'!C108,"#,##0.00")&amp;" tons"))</f>
        <v/>
      </c>
      <c r="J395" s="262"/>
      <c r="K395" t="str">
        <f t="shared" si="24"/>
        <v/>
      </c>
    </row>
    <row r="396" spans="5:11" x14ac:dyDescent="0.3">
      <c r="E396" s="73">
        <f t="shared" si="22"/>
        <v>10</v>
      </c>
      <c r="F396" s="73" t="str">
        <f t="shared" si="23"/>
        <v/>
      </c>
      <c r="G396" s="386"/>
      <c r="H396" s="380" t="str">
        <f>IF($H$376="","",IF('11-Staterooms'!C109=0,"","     Multi-Environmental "&amp;'11-Staterooms'!B109&amp;": "&amp;TEXT('11-Staterooms'!C109,"#,##0.00")&amp;" tons"))</f>
        <v/>
      </c>
      <c r="I396" s="391"/>
      <c r="J396" s="263"/>
      <c r="K396" t="str">
        <f t="shared" si="24"/>
        <v/>
      </c>
    </row>
    <row r="397" spans="5:11" x14ac:dyDescent="0.3">
      <c r="E397" s="73">
        <f t="shared" si="22"/>
        <v>10</v>
      </c>
      <c r="F397" s="73" t="str">
        <f t="shared" si="23"/>
        <v/>
      </c>
      <c r="G397" s="388" t="str">
        <f>IF(H397="","",IF(AND(G346="",G347="",G348="",G349="",G350="",G351="",G352="",#REF!="",G354="",G355="",G356="",G357="",G358="",G359="",G363="",G365="",G366="",G371="",G372="",G374="",G375="",G376=""),"Staterooms",""))</f>
        <v/>
      </c>
      <c r="H397" s="12" t="str">
        <f>IF('11-Staterooms'!B80='11-Staterooms'!S120,"",IF('11-Staterooms'!B80='11-Staterooms'!S121,'11-Staterooms'!A80&amp;", "&amp;'11-Staterooms'!B80,TEXT('11-Staterooms'!C80,"#,##0.00")&amp;"x "&amp;'11-Staterooms'!A80&amp;" "&amp;'11-Staterooms'!B80))</f>
        <v/>
      </c>
      <c r="I397" s="4">
        <f>'11-Staterooms'!H81</f>
        <v>0</v>
      </c>
      <c r="J397" s="4">
        <f>'11-Staterooms'!F81</f>
        <v>0</v>
      </c>
      <c r="K397" t="str">
        <f t="shared" si="24"/>
        <v/>
      </c>
    </row>
    <row r="398" spans="5:11" x14ac:dyDescent="0.3">
      <c r="E398" s="73">
        <f t="shared" si="22"/>
        <v>10</v>
      </c>
      <c r="F398" s="73" t="str">
        <f t="shared" si="23"/>
        <v/>
      </c>
      <c r="H398" s="12" t="str">
        <f>IF($H$397="","",IF('11-Staterooms'!F$87=0,"","     Internal Aquatic Cargo: "&amp;TEXT('11-Staterooms'!F$87,"#,##0.00")&amp;" tons"))</f>
        <v/>
      </c>
      <c r="K398" t="str">
        <f t="shared" si="24"/>
        <v/>
      </c>
    </row>
    <row r="399" spans="5:11" x14ac:dyDescent="0.3">
      <c r="E399" s="73">
        <f t="shared" si="22"/>
        <v>10</v>
      </c>
      <c r="F399" s="73" t="str">
        <f t="shared" si="23"/>
        <v/>
      </c>
      <c r="H399" s="12" t="str">
        <f>IF($H$397="","",IF('11-Staterooms'!F$88=0,"","     Internal Aquatic Barracks x"&amp;TEXT('11-Staterooms'!F$88,"#,###")))</f>
        <v/>
      </c>
      <c r="K399" t="str">
        <f t="shared" si="24"/>
        <v/>
      </c>
    </row>
    <row r="400" spans="5:11" x14ac:dyDescent="0.3">
      <c r="E400" s="73">
        <f t="shared" si="22"/>
        <v>10</v>
      </c>
      <c r="F400" s="73" t="str">
        <f t="shared" si="23"/>
        <v/>
      </c>
      <c r="H400" s="12" t="str">
        <f>IF($H$397="","",IF('11-Staterooms'!F$89=0,"","     Internal Aquatic Common Areas: "&amp;TEXT('11-Staterooms'!F$89,"#,##0.00")&amp;" tons"))</f>
        <v/>
      </c>
      <c r="K400" t="str">
        <f t="shared" si="24"/>
        <v/>
      </c>
    </row>
    <row r="401" spans="5:11" x14ac:dyDescent="0.3">
      <c r="E401" s="73">
        <f t="shared" si="22"/>
        <v>10</v>
      </c>
      <c r="F401" s="73" t="str">
        <f t="shared" si="23"/>
        <v/>
      </c>
      <c r="H401" s="12" t="str">
        <f>IF($H$397="","",IF('11-Staterooms'!F$90=0,"","     Internal Aquatic Middle Staterooms x"&amp;TEXT('11-Staterooms'!F$90,"#,###")))</f>
        <v/>
      </c>
      <c r="K401" t="str">
        <f t="shared" si="24"/>
        <v/>
      </c>
    </row>
    <row r="402" spans="5:11" x14ac:dyDescent="0.3">
      <c r="E402" s="73">
        <f t="shared" si="22"/>
        <v>10</v>
      </c>
      <c r="F402" s="73" t="str">
        <f t="shared" si="23"/>
        <v/>
      </c>
      <c r="H402" s="12" t="str">
        <f>IF($H$397="","",IF('11-Staterooms'!F$91=0,"","     Internal Aquatic High Staterooms x"&amp;TEXT('11-Staterooms'!F$91,"#,###")))</f>
        <v/>
      </c>
      <c r="K402" t="str">
        <f t="shared" si="24"/>
        <v/>
      </c>
    </row>
    <row r="403" spans="5:11" x14ac:dyDescent="0.3">
      <c r="E403" s="73">
        <f t="shared" si="22"/>
        <v>10</v>
      </c>
      <c r="F403" s="73" t="str">
        <f t="shared" si="23"/>
        <v/>
      </c>
      <c r="H403" s="12" t="str">
        <f>IF($H$397="","",IF('11-Staterooms'!F$92=0,"","     Internal Aquatic Luxury Staterooms x"&amp;TEXT('11-Staterooms'!F$92,"#,###")))</f>
        <v/>
      </c>
      <c r="K403" t="str">
        <f t="shared" si="24"/>
        <v/>
      </c>
    </row>
    <row r="404" spans="5:11" x14ac:dyDescent="0.3">
      <c r="E404" s="73">
        <f t="shared" si="22"/>
        <v>10</v>
      </c>
      <c r="F404" s="73" t="str">
        <f t="shared" si="23"/>
        <v/>
      </c>
      <c r="H404" s="12" t="str">
        <f>IF($H$397="","",IF('11-Staterooms'!F$96=0,"","     Internal Aquatic Brig x"&amp;TEXT('11-Staterooms'!F$96,"#,###")))</f>
        <v/>
      </c>
      <c r="K404" t="str">
        <f t="shared" si="24"/>
        <v/>
      </c>
    </row>
    <row r="405" spans="5:11" x14ac:dyDescent="0.3">
      <c r="E405" s="73">
        <f t="shared" si="22"/>
        <v>10</v>
      </c>
      <c r="F405" s="73" t="str">
        <f t="shared" si="23"/>
        <v/>
      </c>
      <c r="H405" s="12" t="str">
        <f>IF($H$397="","",IF('11-Staterooms'!F$97=0,"","     Internal Aquatic Stables x"&amp;TEXT('11-Staterooms'!F$97,"#,###")))</f>
        <v/>
      </c>
      <c r="K405" t="str">
        <f t="shared" si="24"/>
        <v/>
      </c>
    </row>
    <row r="406" spans="5:11" x14ac:dyDescent="0.3">
      <c r="E406" s="73">
        <f t="shared" si="22"/>
        <v>10</v>
      </c>
      <c r="F406" s="73" t="str">
        <f t="shared" si="23"/>
        <v/>
      </c>
      <c r="H406" s="12" t="str">
        <f>IF($H$397="","",IF('11-Staterooms'!F$98=0,"","     Internal Aquatic Engineering Spaces: "&amp;TEXT('11-Staterooms'!F$98,"#,##0.00")&amp;" tons"))</f>
        <v/>
      </c>
      <c r="K406" t="str">
        <f t="shared" si="24"/>
        <v/>
      </c>
    </row>
    <row r="407" spans="5:11" x14ac:dyDescent="0.3">
      <c r="E407" s="73">
        <f t="shared" si="22"/>
        <v>10</v>
      </c>
      <c r="F407" s="73" t="str">
        <f t="shared" si="23"/>
        <v/>
      </c>
      <c r="H407" s="12" t="str">
        <f>IF($H$397="","",IF('11-Staterooms'!F$99=0,"","     Internal Aquatic Bridge Spaces: "&amp;TEXT('11-Staterooms'!F$99,"#,##0.00")&amp;" tons"))</f>
        <v/>
      </c>
      <c r="K407" t="str">
        <f t="shared" si="24"/>
        <v/>
      </c>
    </row>
    <row r="408" spans="5:11" x14ac:dyDescent="0.3">
      <c r="E408" s="73">
        <f t="shared" si="22"/>
        <v>10</v>
      </c>
      <c r="F408" s="73" t="str">
        <f t="shared" si="23"/>
        <v/>
      </c>
      <c r="H408" s="12" t="str">
        <f>IF($H$397="","",IF('11-Staterooms'!F$100=0,"","     Internal Aquatic Sensors Spaces: "&amp;TEXT('11-Staterooms'!F$100,"#,##0.00")&amp;" tons"))</f>
        <v/>
      </c>
      <c r="K408" t="str">
        <f t="shared" si="24"/>
        <v/>
      </c>
    </row>
    <row r="409" spans="5:11" x14ac:dyDescent="0.3">
      <c r="E409" s="73">
        <f t="shared" si="22"/>
        <v>10</v>
      </c>
      <c r="F409" s="73" t="str">
        <f t="shared" si="23"/>
        <v/>
      </c>
      <c r="H409" s="12" t="str">
        <f>IF($H$397="","",IF('11-Staterooms'!F$101=0,"","     Internal Aquatic Weapons Spaces: "&amp;TEXT('11-Staterooms'!F$101,"#,##0.00")&amp;" tons"))</f>
        <v/>
      </c>
      <c r="K409" t="str">
        <f t="shared" si="24"/>
        <v/>
      </c>
    </row>
    <row r="410" spans="5:11" x14ac:dyDescent="0.3">
      <c r="E410" s="73">
        <f t="shared" si="22"/>
        <v>10</v>
      </c>
      <c r="F410" s="73" t="str">
        <f t="shared" si="23"/>
        <v/>
      </c>
      <c r="H410" s="12" t="str">
        <f>IF($H$397="","",IF('11-Staterooms'!F$102=0,"","     Internal Aquatic Screens Spaces: "&amp;TEXT('11-Staterooms'!F$102,"#,##0.00")&amp;" tons"))</f>
        <v/>
      </c>
      <c r="K410" t="str">
        <f t="shared" si="24"/>
        <v/>
      </c>
    </row>
    <row r="411" spans="5:11" x14ac:dyDescent="0.3">
      <c r="E411" s="73">
        <f t="shared" si="22"/>
        <v>10</v>
      </c>
      <c r="F411" s="73" t="str">
        <f t="shared" si="23"/>
        <v/>
      </c>
      <c r="H411" s="12" t="str">
        <f>IF($H$397="","",IF('11-Staterooms'!F$103=0,"","     Internal Aquatic Docking/Hangar Spaces: "&amp;TEXT('11-Staterooms'!F$103,"#,##0.00")&amp;" tons"))</f>
        <v/>
      </c>
      <c r="K411" t="str">
        <f t="shared" si="24"/>
        <v/>
      </c>
    </row>
    <row r="412" spans="5:11" x14ac:dyDescent="0.3">
      <c r="E412" s="73">
        <f t="shared" si="22"/>
        <v>10</v>
      </c>
      <c r="F412" s="73" t="str">
        <f t="shared" si="23"/>
        <v/>
      </c>
      <c r="H412" s="12" t="str">
        <f>IF($H$397="","",IF('11-Staterooms'!F$104=0,"","     Internal Aquatic Facilities Spaces: "&amp;TEXT('11-Staterooms'!F$104,"#,##0.00")&amp;" tons"))</f>
        <v/>
      </c>
      <c r="K412" t="str">
        <f t="shared" si="24"/>
        <v/>
      </c>
    </row>
    <row r="413" spans="5:11" x14ac:dyDescent="0.3">
      <c r="E413" s="73">
        <f t="shared" si="22"/>
        <v>10</v>
      </c>
      <c r="F413" s="73" t="str">
        <f t="shared" si="23"/>
        <v/>
      </c>
      <c r="H413" s="12" t="str">
        <f>IF($H$397="","",IF('11-Staterooms'!F$105=0,"","     Internal Aquatic "&amp;'11-Staterooms'!B$105&amp;": "&amp;TEXT('11-Staterooms'!F$105,"#,##0.00")&amp;" tons"))</f>
        <v/>
      </c>
      <c r="K413" t="str">
        <f t="shared" si="24"/>
        <v/>
      </c>
    </row>
    <row r="414" spans="5:11" x14ac:dyDescent="0.3">
      <c r="E414" s="73">
        <f t="shared" si="22"/>
        <v>10</v>
      </c>
      <c r="F414" s="73" t="str">
        <f t="shared" si="23"/>
        <v/>
      </c>
      <c r="H414" s="12" t="str">
        <f>IF($H$397="","",IF('11-Staterooms'!F$106=0,"","     Internal Aquatic "&amp;'11-Staterooms'!B$106&amp;": "&amp;TEXT('11-Staterooms'!F$106,"#,##0.00")&amp;" tons"))</f>
        <v/>
      </c>
      <c r="K414" t="str">
        <f t="shared" si="24"/>
        <v/>
      </c>
    </row>
    <row r="415" spans="5:11" x14ac:dyDescent="0.3">
      <c r="E415" s="73">
        <f t="shared" si="22"/>
        <v>10</v>
      </c>
      <c r="F415" s="73" t="str">
        <f t="shared" si="23"/>
        <v/>
      </c>
      <c r="H415" s="12" t="str">
        <f>IF($H$397="","",IF('11-Staterooms'!F$107=0,"","     Internal Aquatic "&amp;'11-Staterooms'!B$107&amp;": "&amp;TEXT('11-Staterooms'!F$107,"#,##0.00")&amp;" tons"))</f>
        <v/>
      </c>
      <c r="K415" t="str">
        <f t="shared" si="24"/>
        <v/>
      </c>
    </row>
    <row r="416" spans="5:11" x14ac:dyDescent="0.3">
      <c r="E416" s="73">
        <f t="shared" si="22"/>
        <v>10</v>
      </c>
      <c r="F416" s="73" t="str">
        <f t="shared" si="23"/>
        <v/>
      </c>
      <c r="H416" s="12" t="str">
        <f>IF($H$397="","",IF('11-Staterooms'!F$108=0,"","     Internal Aquatic "&amp;'11-Staterooms'!B$108&amp;": "&amp;TEXT('11-Staterooms'!F$108,"#,##0.00")&amp;" tons"))</f>
        <v/>
      </c>
      <c r="K416" t="str">
        <f t="shared" si="24"/>
        <v/>
      </c>
    </row>
    <row r="417" spans="5:11" x14ac:dyDescent="0.3">
      <c r="E417" s="73">
        <f t="shared" si="22"/>
        <v>10</v>
      </c>
      <c r="F417" s="73" t="str">
        <f t="shared" si="23"/>
        <v/>
      </c>
      <c r="G417" s="573"/>
      <c r="H417" s="380" t="str">
        <f>IF($H$397="","",IF('11-Staterooms'!F$109=0,"","     Internal Aquatic "&amp;'11-Staterooms'!B$109&amp;": "&amp;TEXT('11-Staterooms'!F$109,"#,##0.00")&amp;" tons"))</f>
        <v/>
      </c>
      <c r="I417" s="391"/>
      <c r="J417" s="391"/>
      <c r="K417" t="str">
        <f t="shared" si="24"/>
        <v/>
      </c>
    </row>
    <row r="418" spans="5:11" x14ac:dyDescent="0.3">
      <c r="E418" s="73">
        <f t="shared" si="22"/>
        <v>10</v>
      </c>
      <c r="F418" s="73" t="str">
        <f t="shared" si="23"/>
        <v/>
      </c>
      <c r="H418" s="12" t="str">
        <f>IF('11-Staterooms'!B82='11-Staterooms'!S120,"",IF('11-Staterooms'!B82='11-Staterooms'!S121,'11-Staterooms'!A82&amp;", "&amp;'11-Staterooms'!B82,TEXT('11-Staterooms'!C82,"#,##0.00")&amp;"x "&amp;'11-Staterooms'!A82&amp;" "&amp;'11-Staterooms'!B82))</f>
        <v/>
      </c>
      <c r="I418" s="4">
        <f>'11-Staterooms'!H83</f>
        <v>0</v>
      </c>
      <c r="J418" s="4">
        <f>'11-Staterooms'!F83</f>
        <v>0</v>
      </c>
      <c r="K418" t="str">
        <f t="shared" si="24"/>
        <v/>
      </c>
    </row>
    <row r="419" spans="5:11" x14ac:dyDescent="0.3">
      <c r="E419" s="73">
        <f t="shared" si="22"/>
        <v>10</v>
      </c>
      <c r="F419" s="73" t="str">
        <f t="shared" si="23"/>
        <v/>
      </c>
      <c r="H419" s="12" t="str">
        <f>IF($H$418="","",IF('11-Staterooms'!H$87=0,"","     Internal Deepwater Cargo: "&amp;TEXT('11-Staterooms'!H$87,"#,##0.00")&amp;" tons"))</f>
        <v/>
      </c>
      <c r="K419" t="str">
        <f t="shared" si="24"/>
        <v/>
      </c>
    </row>
    <row r="420" spans="5:11" x14ac:dyDescent="0.3">
      <c r="E420" s="73">
        <f t="shared" si="22"/>
        <v>10</v>
      </c>
      <c r="F420" s="73" t="str">
        <f t="shared" si="23"/>
        <v/>
      </c>
      <c r="H420" s="12" t="str">
        <f>IF($H$418="","",IF('11-Staterooms'!H$88=0,"","     Internal Deepwater Barracks x"&amp;TEXT('11-Staterooms'!H$88,"#,###")))</f>
        <v/>
      </c>
      <c r="K420" t="str">
        <f t="shared" si="24"/>
        <v/>
      </c>
    </row>
    <row r="421" spans="5:11" x14ac:dyDescent="0.3">
      <c r="E421" s="73">
        <f t="shared" si="22"/>
        <v>10</v>
      </c>
      <c r="F421" s="73" t="str">
        <f t="shared" si="23"/>
        <v/>
      </c>
      <c r="H421" s="12" t="str">
        <f>IF($H$418="","",IF('11-Staterooms'!H$89=0,"","     Internal Deepwater Common Areas: "&amp;TEXT('11-Staterooms'!H$89,"#,##0.00")&amp;" tons"))</f>
        <v/>
      </c>
      <c r="K421" t="str">
        <f t="shared" si="24"/>
        <v/>
      </c>
    </row>
    <row r="422" spans="5:11" x14ac:dyDescent="0.3">
      <c r="E422" s="73">
        <f t="shared" si="22"/>
        <v>10</v>
      </c>
      <c r="F422" s="73" t="str">
        <f t="shared" si="23"/>
        <v/>
      </c>
      <c r="H422" s="12" t="str">
        <f>IF($H$418="","",IF('11-Staterooms'!H$90=0,"","     Internal Deepwater Middle Staterooms x"&amp;TEXT('11-Staterooms'!H$90,"#,###")))</f>
        <v/>
      </c>
      <c r="K422" t="str">
        <f t="shared" si="24"/>
        <v/>
      </c>
    </row>
    <row r="423" spans="5:11" x14ac:dyDescent="0.3">
      <c r="E423" s="73">
        <f t="shared" si="22"/>
        <v>10</v>
      </c>
      <c r="F423" s="73" t="str">
        <f t="shared" si="23"/>
        <v/>
      </c>
      <c r="H423" s="12" t="str">
        <f>IF($H$418="","",IF('11-Staterooms'!H$91=0,"","     Internal Deepwater High Staterooms x"&amp;TEXT('11-Staterooms'!H$91,"#,###")))</f>
        <v/>
      </c>
      <c r="K423" t="str">
        <f t="shared" si="24"/>
        <v/>
      </c>
    </row>
    <row r="424" spans="5:11" x14ac:dyDescent="0.3">
      <c r="E424" s="73">
        <f t="shared" si="22"/>
        <v>10</v>
      </c>
      <c r="F424" s="73" t="str">
        <f t="shared" si="23"/>
        <v/>
      </c>
      <c r="H424" s="12" t="str">
        <f>IF($H$418="","",IF('11-Staterooms'!H$92=0,"","     Internal Deepwater Luxury Staterooms x"&amp;TEXT('11-Staterooms'!H$92,"#,###")))</f>
        <v/>
      </c>
      <c r="K424" t="str">
        <f t="shared" si="24"/>
        <v/>
      </c>
    </row>
    <row r="425" spans="5:11" x14ac:dyDescent="0.3">
      <c r="E425" s="73">
        <f t="shared" si="22"/>
        <v>10</v>
      </c>
      <c r="F425" s="73" t="str">
        <f t="shared" si="23"/>
        <v/>
      </c>
      <c r="H425" s="12" t="str">
        <f>IF($H$418="","",IF('11-Staterooms'!H$96=0,"","     Internal Deepwater Brig x"&amp;TEXT('11-Staterooms'!H$96,"#,###")))</f>
        <v/>
      </c>
      <c r="K425" t="str">
        <f t="shared" si="24"/>
        <v/>
      </c>
    </row>
    <row r="426" spans="5:11" x14ac:dyDescent="0.3">
      <c r="E426" s="73">
        <f t="shared" si="22"/>
        <v>10</v>
      </c>
      <c r="F426" s="73" t="str">
        <f t="shared" si="23"/>
        <v/>
      </c>
      <c r="H426" s="12" t="str">
        <f>IF($H$418="","",IF('11-Staterooms'!H$97=0,"","     Internal Deepwater Stables x"&amp;TEXT('11-Staterooms'!H$97,"#,###")))</f>
        <v/>
      </c>
      <c r="K426" t="str">
        <f t="shared" si="24"/>
        <v/>
      </c>
    </row>
    <row r="427" spans="5:11" x14ac:dyDescent="0.3">
      <c r="E427" s="73">
        <f t="shared" si="22"/>
        <v>10</v>
      </c>
      <c r="F427" s="73" t="str">
        <f t="shared" si="23"/>
        <v/>
      </c>
      <c r="H427" s="12" t="str">
        <f>IF($H$418="","",IF('11-Staterooms'!H$98=0,"","     Internal Deepwater Engineering Spaces: "&amp;TEXT('11-Staterooms'!H$98,"#,##0.00")&amp;" tons"))</f>
        <v/>
      </c>
      <c r="K427" t="str">
        <f t="shared" si="24"/>
        <v/>
      </c>
    </row>
    <row r="428" spans="5:11" x14ac:dyDescent="0.3">
      <c r="E428" s="73">
        <f t="shared" si="22"/>
        <v>10</v>
      </c>
      <c r="F428" s="73" t="str">
        <f t="shared" si="23"/>
        <v/>
      </c>
      <c r="H428" s="12" t="str">
        <f>IF($H$418="","",IF('11-Staterooms'!H$99=0,"","     Internal Deepwater Bridge Spaces: "&amp;TEXT('11-Staterooms'!H$99,"#,##0.00")&amp;" tons"))</f>
        <v/>
      </c>
      <c r="K428" t="str">
        <f t="shared" si="24"/>
        <v/>
      </c>
    </row>
    <row r="429" spans="5:11" x14ac:dyDescent="0.3">
      <c r="E429" s="73">
        <f t="shared" ref="E429:E492" si="25">IF(H429="",E428,E428+1)</f>
        <v>10</v>
      </c>
      <c r="F429" s="73" t="str">
        <f t="shared" ref="F429:F492" si="26">IF(E429=E428,"",E429)</f>
        <v/>
      </c>
      <c r="H429" s="12" t="str">
        <f>IF($H$418="","",IF('11-Staterooms'!H$100=0,"","     Internal Deepwater Sensors Spaces: "&amp;TEXT('11-Staterooms'!H$100,"#,##0.00")&amp;" tons"))</f>
        <v/>
      </c>
      <c r="K429" t="str">
        <f t="shared" si="24"/>
        <v/>
      </c>
    </row>
    <row r="430" spans="5:11" x14ac:dyDescent="0.3">
      <c r="E430" s="73">
        <f t="shared" si="25"/>
        <v>10</v>
      </c>
      <c r="F430" s="73" t="str">
        <f t="shared" si="26"/>
        <v/>
      </c>
      <c r="H430" s="12" t="str">
        <f>IF($H$418="","",IF('11-Staterooms'!H$101=0,"","     Internal Deepwater Weapons Spaces: "&amp;TEXT('11-Staterooms'!H$101,"#,##0.00")&amp;" tons"))</f>
        <v/>
      </c>
      <c r="K430" t="str">
        <f t="shared" si="24"/>
        <v/>
      </c>
    </row>
    <row r="431" spans="5:11" x14ac:dyDescent="0.3">
      <c r="E431" s="73">
        <f t="shared" si="25"/>
        <v>10</v>
      </c>
      <c r="F431" s="73" t="str">
        <f t="shared" si="26"/>
        <v/>
      </c>
      <c r="H431" s="12" t="str">
        <f>IF($H$418="","",IF('11-Staterooms'!H$102=0,"","     Internal Deepwater Screens Spaces: "&amp;TEXT('11-Staterooms'!H$102,"#,##0.00")&amp;" tons"))</f>
        <v/>
      </c>
      <c r="K431" t="str">
        <f t="shared" si="24"/>
        <v/>
      </c>
    </row>
    <row r="432" spans="5:11" x14ac:dyDescent="0.3">
      <c r="E432" s="73">
        <f t="shared" si="25"/>
        <v>10</v>
      </c>
      <c r="F432" s="73" t="str">
        <f t="shared" si="26"/>
        <v/>
      </c>
      <c r="H432" s="12" t="str">
        <f>IF($H$418="","",IF('11-Staterooms'!H$103=0,"","     Internal Deepwater Docking/Hangar Spaces: "&amp;TEXT('11-Staterooms'!H$103,"#,##0.00")&amp;" tons"))</f>
        <v/>
      </c>
      <c r="K432" t="str">
        <f t="shared" si="24"/>
        <v/>
      </c>
    </row>
    <row r="433" spans="5:11" x14ac:dyDescent="0.3">
      <c r="E433" s="73">
        <f t="shared" si="25"/>
        <v>10</v>
      </c>
      <c r="F433" s="73" t="str">
        <f t="shared" si="26"/>
        <v/>
      </c>
      <c r="H433" s="12" t="str">
        <f>IF($H$418="","",IF('11-Staterooms'!H$104=0,"","     Internal Deepwater Facilities Spaces: "&amp;TEXT('11-Staterooms'!H$104,"#,##0.00")&amp;" tons"))</f>
        <v/>
      </c>
      <c r="K433" t="str">
        <f t="shared" si="24"/>
        <v/>
      </c>
    </row>
    <row r="434" spans="5:11" x14ac:dyDescent="0.3">
      <c r="E434" s="73">
        <f t="shared" si="25"/>
        <v>10</v>
      </c>
      <c r="F434" s="73" t="str">
        <f t="shared" si="26"/>
        <v/>
      </c>
      <c r="H434" s="12" t="str">
        <f>IF($H$418="","",IF('11-Staterooms'!H$105=0,"","     Internal Deepwater "&amp;'11-Staterooms'!B$105&amp;": "&amp;TEXT('11-Staterooms'!H$105,"#,##0.00")&amp;" tons"))</f>
        <v/>
      </c>
      <c r="K434" t="str">
        <f t="shared" si="24"/>
        <v/>
      </c>
    </row>
    <row r="435" spans="5:11" x14ac:dyDescent="0.3">
      <c r="E435" s="73">
        <f t="shared" si="25"/>
        <v>10</v>
      </c>
      <c r="F435" s="73" t="str">
        <f t="shared" si="26"/>
        <v/>
      </c>
      <c r="H435" s="12" t="str">
        <f>IF($H$418="","",IF('11-Staterooms'!H$106=0,"","     Internal Deepwater "&amp;'11-Staterooms'!B$106&amp;": "&amp;TEXT('11-Staterooms'!H$106,"#,##0.00")&amp;" tons"))</f>
        <v/>
      </c>
      <c r="K435" t="str">
        <f t="shared" si="24"/>
        <v/>
      </c>
    </row>
    <row r="436" spans="5:11" x14ac:dyDescent="0.3">
      <c r="E436" s="73">
        <f t="shared" si="25"/>
        <v>10</v>
      </c>
      <c r="F436" s="73" t="str">
        <f t="shared" si="26"/>
        <v/>
      </c>
      <c r="H436" s="12" t="str">
        <f>IF($H$418="","",IF('11-Staterooms'!H$107=0,"","     Internal Deepwater "&amp;'11-Staterooms'!B$107&amp;": "&amp;TEXT('11-Staterooms'!H$107,"#,##0.00")&amp;" tons"))</f>
        <v/>
      </c>
      <c r="K436" t="str">
        <f t="shared" si="24"/>
        <v/>
      </c>
    </row>
    <row r="437" spans="5:11" x14ac:dyDescent="0.3">
      <c r="E437" s="73">
        <f t="shared" si="25"/>
        <v>10</v>
      </c>
      <c r="F437" s="73" t="str">
        <f t="shared" si="26"/>
        <v/>
      </c>
      <c r="H437" s="12" t="str">
        <f>IF($H$418="","",IF('11-Staterooms'!H$108=0,"","     Internal Deepwater "&amp;'11-Staterooms'!B$108&amp;": "&amp;TEXT('11-Staterooms'!H$108,"#,##0.00")&amp;" tons"))</f>
        <v/>
      </c>
      <c r="K437" t="str">
        <f t="shared" si="24"/>
        <v/>
      </c>
    </row>
    <row r="438" spans="5:11" x14ac:dyDescent="0.3">
      <c r="E438" s="73">
        <f t="shared" si="25"/>
        <v>10</v>
      </c>
      <c r="F438" s="73" t="str">
        <f t="shared" si="26"/>
        <v/>
      </c>
      <c r="H438" s="380" t="str">
        <f>IF($H$418="","",IF('11-Staterooms'!H$109=0,"","     Internal Deepwater "&amp;'11-Staterooms'!B$109&amp;": "&amp;TEXT('11-Staterooms'!H$109,"#,##0.00")&amp;" tons"))</f>
        <v/>
      </c>
      <c r="K438" t="str">
        <f t="shared" si="24"/>
        <v/>
      </c>
    </row>
    <row r="439" spans="5:11" x14ac:dyDescent="0.3">
      <c r="E439" s="73">
        <f t="shared" si="25"/>
        <v>10</v>
      </c>
      <c r="F439" s="73" t="str">
        <f t="shared" si="26"/>
        <v/>
      </c>
      <c r="G439" s="389" t="str">
        <f>IF(H439="","","Entertainment")</f>
        <v/>
      </c>
      <c r="H439" s="379" t="str">
        <f>IF('11-Staterooms'!C62='11-Staterooms'!S79,"",'11-Staterooms'!C62&amp;" "&amp;'11-Staterooms'!B62)</f>
        <v/>
      </c>
      <c r="I439" s="234">
        <f>'11-Staterooms'!H62</f>
        <v>0</v>
      </c>
      <c r="J439" s="375">
        <f>'11-Staterooms'!F62</f>
        <v>0</v>
      </c>
      <c r="K439" t="str">
        <f t="shared" si="24"/>
        <v/>
      </c>
    </row>
    <row r="440" spans="5:11" x14ac:dyDescent="0.3">
      <c r="E440" s="73">
        <f t="shared" si="25"/>
        <v>10</v>
      </c>
      <c r="F440" s="73" t="str">
        <f t="shared" si="26"/>
        <v/>
      </c>
      <c r="G440" s="385" t="str">
        <f>IF(H440="","",IF(G439="","Entertainment",""))</f>
        <v/>
      </c>
      <c r="H440" s="12" t="str">
        <f>IF('11-Staterooms'!C63=0,"",'11-Staterooms'!B63&amp;": "&amp;'11-Staterooms'!D63)</f>
        <v/>
      </c>
      <c r="I440" s="4">
        <f>'11-Staterooms'!H63</f>
        <v>0</v>
      </c>
      <c r="J440" s="262">
        <f>'11-Staterooms'!F63</f>
        <v>0</v>
      </c>
      <c r="K440" t="str">
        <f t="shared" si="24"/>
        <v/>
      </c>
    </row>
    <row r="441" spans="5:11" x14ac:dyDescent="0.3">
      <c r="E441" s="73">
        <f t="shared" si="25"/>
        <v>10</v>
      </c>
      <c r="F441" s="73" t="str">
        <f t="shared" si="26"/>
        <v/>
      </c>
      <c r="G441" s="385" t="str">
        <f>IF(H441="","",IF(AND(G439="",G440=""),"Entertainment",""))</f>
        <v/>
      </c>
      <c r="H441" s="12" t="str">
        <f>IF('11-Staterooms'!C64=0,"",'11-Staterooms'!B64&amp;": "&amp;'11-Staterooms'!D64)</f>
        <v/>
      </c>
      <c r="I441" s="4">
        <f>'11-Staterooms'!H64</f>
        <v>0</v>
      </c>
      <c r="J441" s="262">
        <f>'11-Staterooms'!F64</f>
        <v>0</v>
      </c>
      <c r="K441" t="str">
        <f t="shared" si="24"/>
        <v/>
      </c>
    </row>
    <row r="442" spans="5:11" x14ac:dyDescent="0.3">
      <c r="E442" s="73">
        <f t="shared" si="25"/>
        <v>10</v>
      </c>
      <c r="F442" s="73" t="str">
        <f t="shared" si="26"/>
        <v/>
      </c>
      <c r="G442" s="385" t="str">
        <f>IF(H442="","",IF(AND(G439="",G440="",G441=""),"Entertainment",""))</f>
        <v/>
      </c>
      <c r="H442" s="12" t="str">
        <f>IF('11-Staterooms'!C65=0,"",'11-Staterooms'!B65&amp;": "&amp;'11-Staterooms'!D65)</f>
        <v/>
      </c>
      <c r="I442" s="4">
        <f>'11-Staterooms'!H65</f>
        <v>0</v>
      </c>
      <c r="J442" s="262">
        <f>'11-Staterooms'!F65</f>
        <v>0</v>
      </c>
      <c r="K442" t="str">
        <f t="shared" si="24"/>
        <v/>
      </c>
    </row>
    <row r="443" spans="5:11" x14ac:dyDescent="0.3">
      <c r="E443" s="73">
        <f t="shared" si="25"/>
        <v>10</v>
      </c>
      <c r="F443" s="73" t="str">
        <f t="shared" si="26"/>
        <v/>
      </c>
      <c r="G443" s="385" t="str">
        <f>IF(H443="","",IF(AND(G439="",G440="",G441="",G442=""),"Entertainment",""))</f>
        <v/>
      </c>
      <c r="H443" s="12" t="str">
        <f>IF('11-Staterooms'!C66=0,"",'11-Staterooms'!B66&amp;": "&amp;'11-Staterooms'!D66)</f>
        <v/>
      </c>
      <c r="I443" s="4">
        <f>'11-Staterooms'!H66</f>
        <v>0</v>
      </c>
      <c r="J443" s="262">
        <f>'11-Staterooms'!F66</f>
        <v>0</v>
      </c>
      <c r="K443" t="str">
        <f t="shared" si="24"/>
        <v/>
      </c>
    </row>
    <row r="444" spans="5:11" x14ac:dyDescent="0.3">
      <c r="E444" s="73">
        <f t="shared" si="25"/>
        <v>10</v>
      </c>
      <c r="F444" s="73" t="str">
        <f t="shared" si="26"/>
        <v/>
      </c>
      <c r="G444" s="385" t="str">
        <f>IF(H444="","",IF(AND(G439="",G440="",G441="",G442="",G443=""),"Entertainment",""))</f>
        <v/>
      </c>
      <c r="H444" s="12" t="str">
        <f>IF('11-Staterooms'!C67=0,"",'11-Staterooms'!B67)</f>
        <v/>
      </c>
      <c r="I444" s="4">
        <f>'11-Staterooms'!H67</f>
        <v>0</v>
      </c>
      <c r="J444" s="262">
        <f>'11-Staterooms'!F67</f>
        <v>0</v>
      </c>
      <c r="K444" t="str">
        <f t="shared" si="24"/>
        <v/>
      </c>
    </row>
    <row r="445" spans="5:11" x14ac:dyDescent="0.3">
      <c r="E445" s="73">
        <f t="shared" si="25"/>
        <v>10</v>
      </c>
      <c r="F445" s="73" t="str">
        <f t="shared" si="26"/>
        <v/>
      </c>
      <c r="G445" s="385" t="str">
        <f>IF(H445="","",IF(AND(G439="",G440="",G441="",G442="",G443="",G444=""),"Entertainment",""))</f>
        <v/>
      </c>
      <c r="H445" s="12" t="str">
        <f>IF('11-Staterooms'!C68=0,"",'11-Staterooms'!B68)</f>
        <v/>
      </c>
      <c r="I445" s="4">
        <f>'11-Staterooms'!H68</f>
        <v>0</v>
      </c>
      <c r="J445" s="262">
        <f>'11-Staterooms'!F68</f>
        <v>0</v>
      </c>
      <c r="K445" t="str">
        <f t="shared" si="24"/>
        <v/>
      </c>
    </row>
    <row r="446" spans="5:11" x14ac:dyDescent="0.3">
      <c r="E446" s="73">
        <f t="shared" si="25"/>
        <v>10</v>
      </c>
      <c r="F446" s="73" t="str">
        <f t="shared" si="26"/>
        <v/>
      </c>
      <c r="G446" s="385" t="str">
        <f>IF(H446="","",IF(AND(G439="",G440="",G441="",G442="",G443="",G444="",G445=""),"Entertainment",""))</f>
        <v/>
      </c>
      <c r="H446" s="12" t="str">
        <f>IF('11-Staterooms'!C69=0,"",'11-Staterooms'!B69)</f>
        <v/>
      </c>
      <c r="I446" s="4">
        <f>'11-Staterooms'!H69</f>
        <v>0</v>
      </c>
      <c r="J446" s="262">
        <f>'11-Staterooms'!F69</f>
        <v>0</v>
      </c>
      <c r="K446" t="str">
        <f t="shared" si="24"/>
        <v/>
      </c>
    </row>
    <row r="447" spans="5:11" x14ac:dyDescent="0.3">
      <c r="E447" s="73">
        <f t="shared" si="25"/>
        <v>10</v>
      </c>
      <c r="F447" s="73" t="str">
        <f t="shared" si="26"/>
        <v/>
      </c>
      <c r="G447" s="385" t="str">
        <f>IF(H447="","",IF(AND(G439="",G440="",G441="",G442="",G443="",G444="",G445="",G446=""),"Entertainment",""))</f>
        <v/>
      </c>
      <c r="H447" s="12" t="str">
        <f>IF('11-Staterooms'!C70=0,"",TEXT('11-Staterooms'!C70,"#,###")&amp;"x "&amp;'11-Staterooms'!B70)</f>
        <v/>
      </c>
      <c r="I447" s="4">
        <f>'11-Staterooms'!H70</f>
        <v>0</v>
      </c>
      <c r="J447" s="262">
        <f>'11-Staterooms'!F70</f>
        <v>0</v>
      </c>
      <c r="K447" t="str">
        <f t="shared" si="24"/>
        <v/>
      </c>
    </row>
    <row r="448" spans="5:11" x14ac:dyDescent="0.3">
      <c r="E448" s="73">
        <f t="shared" si="25"/>
        <v>10</v>
      </c>
      <c r="F448" s="73" t="str">
        <f t="shared" si="26"/>
        <v/>
      </c>
      <c r="G448" s="386" t="str">
        <f>IF(H448="","",IF(AND(G439="",G440="",G441="",G442="",G443="",G444="",G445="",G446="",G447=""),"Entertainment",""))</f>
        <v/>
      </c>
      <c r="H448" s="380" t="str">
        <f>IF('11-Staterooms'!C71=0,"",'11-Staterooms'!B71)</f>
        <v/>
      </c>
      <c r="I448" s="391">
        <f>'11-Staterooms'!H71</f>
        <v>0</v>
      </c>
      <c r="J448" s="263">
        <f>'11-Staterooms'!F71</f>
        <v>0</v>
      </c>
      <c r="K448" t="str">
        <f t="shared" si="24"/>
        <v/>
      </c>
    </row>
    <row r="449" spans="5:11" x14ac:dyDescent="0.3">
      <c r="E449" s="73">
        <f t="shared" si="25"/>
        <v>10</v>
      </c>
      <c r="F449" s="73" t="str">
        <f t="shared" si="26"/>
        <v/>
      </c>
      <c r="G449" s="389" t="str">
        <f>IF(H449="","","Cargo")</f>
        <v/>
      </c>
      <c r="H449" s="379" t="str">
        <f>IF('12-Cargo'!H9=0,"",TEXT('12-Cargo'!C9,"#,###")&amp;"x "&amp;'12-Cargo'!A9)</f>
        <v/>
      </c>
      <c r="I449" s="234">
        <f>'12-Cargo'!H9</f>
        <v>0</v>
      </c>
      <c r="J449" s="375">
        <f>'12-Cargo'!F9</f>
        <v>0</v>
      </c>
      <c r="K449" t="str">
        <f t="shared" si="24"/>
        <v/>
      </c>
    </row>
    <row r="450" spans="5:11" x14ac:dyDescent="0.3">
      <c r="E450" s="73">
        <f t="shared" si="25"/>
        <v>10</v>
      </c>
      <c r="F450" s="73" t="str">
        <f t="shared" si="26"/>
        <v/>
      </c>
      <c r="G450" s="385" t="str">
        <f>IF(H450="","",IF(G449="","Cargo",""))</f>
        <v/>
      </c>
      <c r="H450" s="12" t="str">
        <f>IF('12-Cargo'!H10=0,"",'12-Cargo'!A10)</f>
        <v/>
      </c>
      <c r="I450" s="4">
        <f>'12-Cargo'!H10</f>
        <v>0</v>
      </c>
      <c r="J450" s="262">
        <f>'12-Cargo'!F10</f>
        <v>0</v>
      </c>
      <c r="K450" t="str">
        <f t="shared" si="24"/>
        <v/>
      </c>
    </row>
    <row r="451" spans="5:11" x14ac:dyDescent="0.3">
      <c r="E451" s="73">
        <f t="shared" si="25"/>
        <v>10</v>
      </c>
      <c r="F451" s="73" t="str">
        <f t="shared" si="26"/>
        <v/>
      </c>
      <c r="G451" s="385" t="str">
        <f>IF(H451="","",IF(AND(G449="",G450=""),"Cargo",""))</f>
        <v/>
      </c>
      <c r="H451" s="12" t="str">
        <f>IF('12-Cargo'!F11=0,"",TEXT('12-Cargo'!D11,"#,##0.00")&amp;" Ton "&amp;'12-Cargo'!A11)</f>
        <v/>
      </c>
      <c r="I451" s="4">
        <f>'12-Cargo'!H11</f>
        <v>0</v>
      </c>
      <c r="J451" s="262">
        <f>'12-Cargo'!F11</f>
        <v>0</v>
      </c>
      <c r="K451" t="str">
        <f t="shared" si="24"/>
        <v/>
      </c>
    </row>
    <row r="452" spans="5:11" x14ac:dyDescent="0.3">
      <c r="E452" s="73">
        <f t="shared" si="25"/>
        <v>10</v>
      </c>
      <c r="F452" s="73" t="str">
        <f t="shared" si="26"/>
        <v/>
      </c>
      <c r="G452" s="385" t="str">
        <f>IF(H452="","",IF(AND(G449="",G450="",G451=""),"Cargo",""))</f>
        <v/>
      </c>
      <c r="H452" s="12" t="str">
        <f>IF('12-Cargo'!H12=0,"",TEXT('12-Cargo'!D12,"#,##0.00")&amp;" Ton Capacity "&amp;'12-Cargo'!A12)</f>
        <v/>
      </c>
      <c r="I452" s="4">
        <f>'12-Cargo'!H12</f>
        <v>0</v>
      </c>
      <c r="J452" s="262">
        <f>'12-Cargo'!F12</f>
        <v>0</v>
      </c>
      <c r="K452" t="str">
        <f t="shared" si="24"/>
        <v/>
      </c>
    </row>
    <row r="453" spans="5:11" x14ac:dyDescent="0.3">
      <c r="E453" s="73">
        <f t="shared" si="25"/>
        <v>10</v>
      </c>
      <c r="F453" s="73" t="str">
        <f t="shared" si="26"/>
        <v/>
      </c>
      <c r="G453" s="385" t="str">
        <f>IF(H453="","",IF(AND(G449="",G450="",G451="",G452=""),"Cargo",""))</f>
        <v/>
      </c>
      <c r="H453" s="12" t="str">
        <f>IF('12-Cargo'!H13=0,"",TEXT('12-Cargo'!D13,"#,##0.00")&amp;" Ton Capacity "&amp;'12-Cargo'!A13)</f>
        <v/>
      </c>
      <c r="I453" s="4">
        <f>'12-Cargo'!H13</f>
        <v>0</v>
      </c>
      <c r="J453" s="262">
        <f>'12-Cargo'!F13</f>
        <v>0</v>
      </c>
      <c r="K453" t="str">
        <f t="shared" ref="K453:K516" si="27">IF(B453="","",IF(A453="",K452,K452+1))</f>
        <v/>
      </c>
    </row>
    <row r="454" spans="5:11" x14ac:dyDescent="0.3">
      <c r="E454" s="73">
        <f t="shared" si="25"/>
        <v>10</v>
      </c>
      <c r="F454" s="73" t="str">
        <f t="shared" si="26"/>
        <v/>
      </c>
      <c r="G454" s="385" t="str">
        <f>IF(H454="","",IF(AND(G449="",G450="",G451="",G452="",G453=""),"Cargo",""))</f>
        <v/>
      </c>
      <c r="H454" s="12" t="str">
        <f>IF('12-Cargo'!H18=0,"",TEXT('12-Cargo'!C18,"#,###")&amp;"x "&amp;TEXT('12-Cargo'!D18,"#,##0.00")&amp;" Ton "&amp;'12-Cargo'!A18&amp;": "&amp;'12-Cargo'!B18)</f>
        <v/>
      </c>
      <c r="I454" s="4">
        <f>'12-Cargo'!H18</f>
        <v>0</v>
      </c>
      <c r="J454" s="262">
        <f>'12-Cargo'!F18</f>
        <v>0</v>
      </c>
      <c r="K454" t="str">
        <f t="shared" si="27"/>
        <v/>
      </c>
    </row>
    <row r="455" spans="5:11" x14ac:dyDescent="0.3">
      <c r="E455" s="73">
        <f t="shared" si="25"/>
        <v>10</v>
      </c>
      <c r="F455" s="73" t="str">
        <f t="shared" si="26"/>
        <v/>
      </c>
      <c r="G455" s="385" t="str">
        <f>IF(H455="","",IF(AND(G449="",G450="",G451="",G452="",G453="",G454=""),"Cargo",""))</f>
        <v/>
      </c>
      <c r="H455" s="12" t="str">
        <f>IF('12-Cargo'!H18=0,"",IF('12-Cargo'!B19='12-Cargo'!S4,"",TEXT('12-Cargo'!C18,"#,###")&amp;"x "&amp;'12-Cargo'!A19))</f>
        <v/>
      </c>
      <c r="I455" s="4">
        <f>'12-Cargo'!H19</f>
        <v>0</v>
      </c>
      <c r="J455" s="262">
        <f>'12-Cargo'!F19</f>
        <v>0</v>
      </c>
      <c r="K455" t="str">
        <f t="shared" si="27"/>
        <v/>
      </c>
    </row>
    <row r="456" spans="5:11" x14ac:dyDescent="0.3">
      <c r="E456" s="73">
        <f t="shared" si="25"/>
        <v>10</v>
      </c>
      <c r="F456" s="73" t="str">
        <f t="shared" si="26"/>
        <v/>
      </c>
      <c r="G456" s="385" t="str">
        <f>IF(H456="","",IF(AND(G449="",G450="",G451="",G452="",G453="",G454="",G455=""),"Cargo",""))</f>
        <v/>
      </c>
      <c r="H456" s="12" t="str">
        <f>IF('12-Cargo'!H18=0,"",IF('12-Cargo'!B20='12-Cargo'!S7,"",TEXT('12-Cargo'!C18*'12-Cargo'!C20,"#,###")&amp;"x "&amp;'12-Cargo'!B20&amp;" "&amp;'12-Cargo'!A20))</f>
        <v/>
      </c>
      <c r="I456" s="4">
        <f>'12-Cargo'!H20</f>
        <v>0</v>
      </c>
      <c r="J456" s="262">
        <f>'12-Cargo'!F20</f>
        <v>0</v>
      </c>
      <c r="K456" t="str">
        <f t="shared" si="27"/>
        <v/>
      </c>
    </row>
    <row r="457" spans="5:11" x14ac:dyDescent="0.3">
      <c r="E457" s="73">
        <f t="shared" si="25"/>
        <v>10</v>
      </c>
      <c r="F457" s="73" t="str">
        <f t="shared" si="26"/>
        <v/>
      </c>
      <c r="G457" s="385" t="str">
        <f>IF(H457="","",IF(AND(G449="",G450="",G451="",G452="",G453="",G454="",G455="",G456=""),"Cargo",""))</f>
        <v/>
      </c>
      <c r="H457" s="12" t="str">
        <f>IF('12-Cargo'!H18=0,"",IF('12-Cargo'!B21='12-Cargo'!S4,"",'12-Cargo'!A21&amp;" for "&amp;H454))</f>
        <v/>
      </c>
      <c r="I457" s="4">
        <f>'12-Cargo'!H21</f>
        <v>0</v>
      </c>
      <c r="J457" s="262">
        <f>'12-Cargo'!F21</f>
        <v>0</v>
      </c>
      <c r="K457" t="str">
        <f t="shared" si="27"/>
        <v/>
      </c>
    </row>
    <row r="458" spans="5:11" x14ac:dyDescent="0.3">
      <c r="E458" s="73">
        <f t="shared" si="25"/>
        <v>10</v>
      </c>
      <c r="F458" s="73" t="str">
        <f t="shared" si="26"/>
        <v/>
      </c>
      <c r="G458" s="385" t="str">
        <f>IF(H458="","",IF(AND(G449="",G450="",G451="",G452="",G453="",G454="",G455="",G456="",G457=""),"Cargo",""))</f>
        <v/>
      </c>
      <c r="H458" s="12" t="str">
        <f>IF('12-Cargo'!H22=0,"",TEXT('12-Cargo'!C22,"#,###")&amp;"x "&amp;TEXT('12-Cargo'!D22,"#,##0.00")&amp;" Ton "&amp;'12-Cargo'!A22&amp;": "&amp;'12-Cargo'!B22)</f>
        <v/>
      </c>
      <c r="I458" s="4">
        <f>'12-Cargo'!H22</f>
        <v>0</v>
      </c>
      <c r="J458" s="262">
        <f>'12-Cargo'!F22</f>
        <v>0</v>
      </c>
      <c r="K458" t="str">
        <f t="shared" si="27"/>
        <v/>
      </c>
    </row>
    <row r="459" spans="5:11" x14ac:dyDescent="0.3">
      <c r="E459" s="73">
        <f t="shared" si="25"/>
        <v>10</v>
      </c>
      <c r="F459" s="73" t="str">
        <f t="shared" si="26"/>
        <v/>
      </c>
      <c r="G459" s="385" t="str">
        <f>IF(H459="","",IF(AND(G449="",G450="",G451="",G452="",G453="",G454="",G455="",G456="",G457="",G458=""),"Cargo",""))</f>
        <v/>
      </c>
      <c r="H459" s="12" t="str">
        <f>IF('12-Cargo'!H22=0,"",IF('12-Cargo'!B23='12-Cargo'!S4,"",TEXT('12-Cargo'!C22,"#,###")&amp;"x "&amp;'12-Cargo'!A23))</f>
        <v/>
      </c>
      <c r="I459" s="4">
        <f>'12-Cargo'!H23</f>
        <v>0</v>
      </c>
      <c r="J459" s="262">
        <f>'12-Cargo'!F23</f>
        <v>0</v>
      </c>
      <c r="K459" t="str">
        <f t="shared" si="27"/>
        <v/>
      </c>
    </row>
    <row r="460" spans="5:11" x14ac:dyDescent="0.3">
      <c r="E460" s="73">
        <f t="shared" si="25"/>
        <v>10</v>
      </c>
      <c r="F460" s="73" t="str">
        <f t="shared" si="26"/>
        <v/>
      </c>
      <c r="G460" s="385" t="str">
        <f>IF(H460="","",IF(AND(G449="",G450="",G451="",G452="",G453="",G454="",G455="",G456="",G457="",G458="",G459=""),"Cargo",""))</f>
        <v/>
      </c>
      <c r="H460" s="12" t="str">
        <f>IF('12-Cargo'!H22=0,"",IF('12-Cargo'!B24='12-Cargo'!S7,"",TEXT('12-Cargo'!C22*'12-Cargo'!C24,"#,###")&amp;"x "&amp;'12-Cargo'!B24&amp;" "&amp;'12-Cargo'!A24))</f>
        <v/>
      </c>
      <c r="I460" s="4">
        <f>'12-Cargo'!H24</f>
        <v>0</v>
      </c>
      <c r="J460" s="262">
        <f>'12-Cargo'!F24</f>
        <v>0</v>
      </c>
      <c r="K460" t="str">
        <f t="shared" si="27"/>
        <v/>
      </c>
    </row>
    <row r="461" spans="5:11" x14ac:dyDescent="0.3">
      <c r="E461" s="73">
        <f t="shared" si="25"/>
        <v>10</v>
      </c>
      <c r="F461" s="73" t="str">
        <f t="shared" si="26"/>
        <v/>
      </c>
      <c r="G461" s="385" t="str">
        <f>IF(H461="","",IF(AND(G449="",G450="",G451="",G452="",G453="",G454="",G455="",G456="",G457="",G458="",G459="",G460=""),"Cargo",""))</f>
        <v/>
      </c>
      <c r="H461" s="12" t="str">
        <f>IF('12-Cargo'!H22=0,"",IF('12-Cargo'!B25='12-Cargo'!S4,"",'12-Cargo'!A25&amp;" for "&amp;H458))</f>
        <v/>
      </c>
      <c r="I461" s="4">
        <f>'12-Cargo'!H25</f>
        <v>0</v>
      </c>
      <c r="J461" s="262">
        <f>'12-Cargo'!F25</f>
        <v>0</v>
      </c>
      <c r="K461" t="str">
        <f t="shared" si="27"/>
        <v/>
      </c>
    </row>
    <row r="462" spans="5:11" x14ac:dyDescent="0.3">
      <c r="E462" s="73">
        <f t="shared" si="25"/>
        <v>10</v>
      </c>
      <c r="F462" s="73" t="str">
        <f t="shared" si="26"/>
        <v/>
      </c>
      <c r="G462" s="385" t="str">
        <f>IF(H462="","",IF(AND(G449="",G450="",G451="",G452="",G453="",G454="",G455="",G456="",G457="",G458="",G459="",G460="",G461=""),"Cargo",""))</f>
        <v/>
      </c>
      <c r="H462" s="12" t="str">
        <f>IF('12-Cargo'!H26=0,"",TEXT('12-Cargo'!C26,"#,###")&amp;"x "&amp;TEXT('12-Cargo'!D26,"#,##0.00")&amp;" Ton "&amp;'12-Cargo'!A26&amp;": "&amp;'12-Cargo'!B26)</f>
        <v/>
      </c>
      <c r="I462" s="4">
        <f>'12-Cargo'!H26</f>
        <v>0</v>
      </c>
      <c r="J462" s="262">
        <f>'12-Cargo'!F26</f>
        <v>0</v>
      </c>
      <c r="K462" t="str">
        <f t="shared" si="27"/>
        <v/>
      </c>
    </row>
    <row r="463" spans="5:11" x14ac:dyDescent="0.3">
      <c r="E463" s="73">
        <f t="shared" si="25"/>
        <v>10</v>
      </c>
      <c r="F463" s="73" t="str">
        <f t="shared" si="26"/>
        <v/>
      </c>
      <c r="G463" s="385" t="str">
        <f>IF(H463="","",IF(AND(G449="",G450="",G451="",G452="",G453="",G454="",G455="",G456="",G457="",G458="",G459="",G460="",G461="",G462=""),"Cargo",""))</f>
        <v/>
      </c>
      <c r="H463" s="12" t="str">
        <f>IF('12-Cargo'!H26=0,"",IF('12-Cargo'!B27='12-Cargo'!S4,"",TEXT('12-Cargo'!C26,"#,###")&amp;"x "&amp;'12-Cargo'!A27))</f>
        <v/>
      </c>
      <c r="I463" s="4">
        <f>'12-Cargo'!H27</f>
        <v>0</v>
      </c>
      <c r="J463" s="262">
        <f>'12-Cargo'!F27</f>
        <v>0</v>
      </c>
      <c r="K463" t="str">
        <f t="shared" si="27"/>
        <v/>
      </c>
    </row>
    <row r="464" spans="5:11" x14ac:dyDescent="0.3">
      <c r="E464" s="73">
        <f t="shared" si="25"/>
        <v>10</v>
      </c>
      <c r="F464" s="73" t="str">
        <f t="shared" si="26"/>
        <v/>
      </c>
      <c r="G464" s="385" t="str">
        <f>IF(H464="","",IF(AND(G449="",G450="",G451="",G452="",G453="",G454="",G455="",G456="",G457="",G458="",G459="",G460="",G461="",G462="",G463=""),"Cargo",""))</f>
        <v/>
      </c>
      <c r="H464" s="12" t="str">
        <f>IF('12-Cargo'!H26=0,"",IF('12-Cargo'!B28='12-Cargo'!S7,"",TEXT('12-Cargo'!C26*'12-Cargo'!C28,"#,###")&amp;"x "&amp;'12-Cargo'!B28&amp;" "&amp;'12-Cargo'!A28))</f>
        <v/>
      </c>
      <c r="I464" s="4">
        <f>'12-Cargo'!H28</f>
        <v>0</v>
      </c>
      <c r="J464" s="262">
        <f>'12-Cargo'!F28</f>
        <v>0</v>
      </c>
      <c r="K464" t="str">
        <f t="shared" si="27"/>
        <v/>
      </c>
    </row>
    <row r="465" spans="5:11" x14ac:dyDescent="0.3">
      <c r="E465" s="73">
        <f t="shared" si="25"/>
        <v>10</v>
      </c>
      <c r="F465" s="73" t="str">
        <f t="shared" si="26"/>
        <v/>
      </c>
      <c r="G465" s="385" t="str">
        <f>IF(H465="","",IF(AND(G449="",G450="",G451="",G452="",G453="",G454="",G455="",G456="",G457="",G458="",G459="",G460="",G461="",G462="",G463="",G464=""),"Cargo",""))</f>
        <v/>
      </c>
      <c r="H465" s="12" t="str">
        <f>IF('12-Cargo'!H26=0,"",IF('12-Cargo'!B29='12-Cargo'!S4,"",'12-Cargo'!A29&amp;" for "&amp;H462))</f>
        <v/>
      </c>
      <c r="I465" s="4">
        <f>'12-Cargo'!H29</f>
        <v>0</v>
      </c>
      <c r="J465" s="262">
        <f>'12-Cargo'!F29</f>
        <v>0</v>
      </c>
      <c r="K465" t="str">
        <f t="shared" si="27"/>
        <v/>
      </c>
    </row>
    <row r="466" spans="5:11" x14ac:dyDescent="0.3">
      <c r="E466" s="73">
        <f t="shared" si="25"/>
        <v>10</v>
      </c>
      <c r="F466" s="73" t="str">
        <f t="shared" si="26"/>
        <v/>
      </c>
      <c r="G466" s="385" t="str">
        <f>IF(H466="","",IF(AND(G449="",G450="",G451="",G452="",G453="",G454="",G455="",G456="",G457="",G458="",G459="",G460="",G461="",G462="",G463="",G464="",G465=""),"Cargo",""))</f>
        <v/>
      </c>
      <c r="H466" s="12" t="str">
        <f>IF('12-Cargo'!D30=0,"",'12-Cargo'!A30)</f>
        <v/>
      </c>
      <c r="I466" s="4">
        <f>'12-Cargo'!H30</f>
        <v>0</v>
      </c>
      <c r="J466" s="262">
        <f>'12-Cargo'!F30</f>
        <v>0</v>
      </c>
      <c r="K466" t="str">
        <f t="shared" si="27"/>
        <v/>
      </c>
    </row>
    <row r="467" spans="5:11" x14ac:dyDescent="0.3">
      <c r="E467" s="73">
        <f t="shared" si="25"/>
        <v>10</v>
      </c>
      <c r="F467" s="73" t="str">
        <f t="shared" si="26"/>
        <v/>
      </c>
      <c r="G467" s="385" t="str">
        <f>IF(H467="","",IF(AND(G449="",G450="",G451="",G452="",G453="",G454="",G455="",G456="",G457="",G458="",G459="",G460="",G461="",G462="",G463="",G464="",G465="",G466=""),"Cargo",""))</f>
        <v/>
      </c>
      <c r="H467" s="12" t="str">
        <f>IF('12-Cargo'!H32=0,"",'12-Cargo'!A32)</f>
        <v/>
      </c>
      <c r="I467" s="4">
        <f>'12-Cargo'!H32</f>
        <v>0</v>
      </c>
      <c r="J467" s="262" t="str">
        <f>""</f>
        <v/>
      </c>
      <c r="K467" t="str">
        <f t="shared" si="27"/>
        <v/>
      </c>
    </row>
    <row r="468" spans="5:11" x14ac:dyDescent="0.3">
      <c r="E468" s="73">
        <f t="shared" si="25"/>
        <v>10</v>
      </c>
      <c r="F468" s="73" t="str">
        <f t="shared" si="26"/>
        <v/>
      </c>
      <c r="G468" s="385" t="str">
        <f>IF(H468="","",IF(AND(G449="",G450="",G451="",G452="",G453="",G454="",G455="",G456="",G457="",G458="",G459="",G460="",G461="",G462="",G463="",G464="",G465="",G466="",G467=""),"Cargo",""))</f>
        <v/>
      </c>
      <c r="H468" s="12" t="str">
        <f>IF('12-Cargo'!C33="Ignore","",IF(I468=0,"","Passenger Storage Capacity:"))</f>
        <v/>
      </c>
      <c r="I468" s="4">
        <f>IF('12-Cargo'!H35="",0,'12-Cargo'!H35)</f>
        <v>0</v>
      </c>
      <c r="J468" s="262"/>
      <c r="K468" t="str">
        <f t="shared" si="27"/>
        <v/>
      </c>
    </row>
    <row r="469" spans="5:11" x14ac:dyDescent="0.3">
      <c r="E469" s="73">
        <f t="shared" si="25"/>
        <v>10</v>
      </c>
      <c r="F469" s="73" t="str">
        <f t="shared" si="26"/>
        <v/>
      </c>
      <c r="G469" s="385" t="str">
        <f>IF(H469="","",IF(AND(G449="",G450="",G451="",G452="",G453="",G454="",G455="",G456="",G457="",G458="",G459="",G460="",G461="",G462="",G463="",G464="",G465="",G466="",G467="",G468=""),"Cargo",""))</f>
        <v/>
      </c>
      <c r="H469" s="12" t="str">
        <f>IF('12-Cargo'!D36=0,"",'12-Cargo'!A36&amp;" : "&amp;TEXT(ROUND('12-Cargo'!D36*100/(Tonnage/100),2),"#,##0.00")&amp;" Days")</f>
        <v/>
      </c>
      <c r="I469" s="4">
        <f>'12-Cargo'!H36</f>
        <v>0</v>
      </c>
      <c r="J469" s="262" t="str">
        <f>""</f>
        <v/>
      </c>
      <c r="K469" t="str">
        <f t="shared" si="27"/>
        <v/>
      </c>
    </row>
    <row r="470" spans="5:11" x14ac:dyDescent="0.3">
      <c r="E470" s="73">
        <f t="shared" si="25"/>
        <v>10</v>
      </c>
      <c r="F470" s="73" t="str">
        <f t="shared" si="26"/>
        <v/>
      </c>
      <c r="G470" s="385" t="str">
        <f>IF(H470="","",IF(AND(G449="",G450="",G451="",G452="",G453="",G454="",G455="",G456="",G457="",G458="",G459="",G460="",G461="",G462="",G463="",G464="",G465="",G466="",G467="",G468="",G469=""),"Cargo",""))</f>
        <v/>
      </c>
      <c r="H470" s="380" t="str">
        <f>IF('Ship Info'!C35="Off","",IF('Ship Info'!I3&lt;'Ship Info'!C36,"","Unused Space Notification: "&amp;TEXT('Ship Info'!I3,"#,###.###")&amp;" Tons Available"))</f>
        <v/>
      </c>
      <c r="I470" s="391" t="str">
        <f>""</f>
        <v/>
      </c>
      <c r="J470" s="263" t="str">
        <f>""</f>
        <v/>
      </c>
      <c r="K470" t="str">
        <f t="shared" si="27"/>
        <v/>
      </c>
    </row>
    <row r="471" spans="5:11" x14ac:dyDescent="0.3">
      <c r="E471" s="73">
        <f t="shared" si="25"/>
        <v>10</v>
      </c>
      <c r="F471" s="73" t="str">
        <f t="shared" si="26"/>
        <v/>
      </c>
      <c r="G471" s="389" t="str">
        <f>IF(H471="","","Magazine")</f>
        <v/>
      </c>
      <c r="H471" s="379" t="str">
        <f>IF('12-Cargo'!D40=0,"",IF('12-Cargo'!D41='12-Cargo'!T3,"","Armored ")&amp;'12-Cargo'!B40&amp;" Storage ("&amp;TEXT(ROUNDDOWN(IF('8a-Weapons'!B36='8a-Weapons'!Z122,20,12)*'12-Cargo'!D40,0),"#,###")&amp;")")</f>
        <v/>
      </c>
      <c r="I471" s="234">
        <f>SUM('12-Cargo'!H40:H41)</f>
        <v>0</v>
      </c>
      <c r="J471" s="375">
        <f>'12-Cargo'!F41</f>
        <v>0</v>
      </c>
      <c r="K471" t="str">
        <f t="shared" si="27"/>
        <v/>
      </c>
    </row>
    <row r="472" spans="5:11" x14ac:dyDescent="0.3">
      <c r="E472" s="73">
        <f t="shared" si="25"/>
        <v>10</v>
      </c>
      <c r="F472" s="73" t="str">
        <f t="shared" si="26"/>
        <v/>
      </c>
      <c r="G472" s="385" t="str">
        <f>IF(H472="","",IF(G471="","Magazine",""))</f>
        <v/>
      </c>
      <c r="H472" s="12" t="str">
        <f>IF('12-Cargo'!D42=0,"",IF('12-Cargo'!D43='12-Cargo'!$T$3,"","Armored ")&amp;'12-Cargo'!B42&amp;" Storage ("&amp;TEXT(ROUNDDOWN(3*'12-Cargo'!D42,0),"#,###")&amp;")")</f>
        <v/>
      </c>
      <c r="I472" s="4">
        <f>SUM('12-Cargo'!H42:H43)</f>
        <v>0</v>
      </c>
      <c r="J472" s="262">
        <f>'12-Cargo'!F43</f>
        <v>0</v>
      </c>
      <c r="K472" t="str">
        <f t="shared" si="27"/>
        <v/>
      </c>
    </row>
    <row r="473" spans="5:11" x14ac:dyDescent="0.3">
      <c r="E473" s="73">
        <f t="shared" si="25"/>
        <v>10</v>
      </c>
      <c r="F473" s="73" t="str">
        <f t="shared" si="26"/>
        <v/>
      </c>
      <c r="G473" s="385" t="str">
        <f>IF(H473="","",IF(AND(G471="",G472=""),"Magazine",""))</f>
        <v/>
      </c>
      <c r="H473" s="12" t="str">
        <f>IF('12-Cargo'!D44=0,"",IF('12-Cargo'!D45='12-Cargo'!$T$3,"","Armored ")&amp;'12-Cargo'!B44&amp;" Storage ("&amp;TEXT(ROUNDDOWN(20*'12-Cargo'!D44,0),"#,###")&amp;")")</f>
        <v/>
      </c>
      <c r="I473" s="4">
        <f>SUM('12-Cargo'!H44:H45)</f>
        <v>0</v>
      </c>
      <c r="J473" s="262">
        <f>'12-Cargo'!F45</f>
        <v>0</v>
      </c>
      <c r="K473" t="str">
        <f t="shared" si="27"/>
        <v/>
      </c>
    </row>
    <row r="474" spans="5:11" x14ac:dyDescent="0.3">
      <c r="E474" s="73">
        <f t="shared" si="25"/>
        <v>10</v>
      </c>
      <c r="F474" s="73" t="str">
        <f t="shared" si="26"/>
        <v/>
      </c>
      <c r="G474" s="385"/>
      <c r="H474" s="12" t="str">
        <f>IF('12-Cargo'!D46=0,"",IF('12-Cargo'!D47='12-Cargo'!$T$3,"","Armored ")&amp;'12-Cargo'!B46&amp;" Storage")</f>
        <v/>
      </c>
      <c r="I474" s="4">
        <f>SUM('12-Cargo'!H46:H47)</f>
        <v>0</v>
      </c>
      <c r="J474" s="262">
        <f>'12-Cargo'!F47</f>
        <v>0</v>
      </c>
      <c r="K474" t="str">
        <f t="shared" si="27"/>
        <v/>
      </c>
    </row>
    <row r="475" spans="5:11" x14ac:dyDescent="0.3">
      <c r="E475" s="73">
        <f t="shared" si="25"/>
        <v>10</v>
      </c>
      <c r="F475" s="73" t="str">
        <f t="shared" si="26"/>
        <v/>
      </c>
      <c r="G475" s="385"/>
      <c r="H475" s="12" t="str">
        <f>IF('12-Cargo'!D48=0,"",IF('12-Cargo'!D49='12-Cargo'!$T$3,"","Armored ")&amp;'12-Cargo'!B48&amp;" Storage")</f>
        <v/>
      </c>
      <c r="I475" s="4">
        <f>SUM('12-Cargo'!H48:H49)</f>
        <v>0</v>
      </c>
      <c r="J475" s="262">
        <f>'12-Cargo'!F49</f>
        <v>0</v>
      </c>
      <c r="K475" t="str">
        <f t="shared" si="27"/>
        <v/>
      </c>
    </row>
    <row r="476" spans="5:11" x14ac:dyDescent="0.3">
      <c r="E476" s="73">
        <f t="shared" si="25"/>
        <v>10</v>
      </c>
      <c r="F476" s="73" t="str">
        <f t="shared" si="26"/>
        <v/>
      </c>
      <c r="G476" s="386"/>
      <c r="H476" s="380" t="str">
        <f>IF('12-Cargo'!D50=0,"",IF('12-Cargo'!D51='12-Cargo'!$T$3,"","Armored ")&amp;'12-Cargo'!B50&amp;" Storage")</f>
        <v/>
      </c>
      <c r="I476" s="391">
        <f>SUM('12-Cargo'!H50:H51)</f>
        <v>0</v>
      </c>
      <c r="J476" s="263">
        <f>'12-Cargo'!F51</f>
        <v>0</v>
      </c>
      <c r="K476" t="str">
        <f t="shared" si="27"/>
        <v/>
      </c>
    </row>
    <row r="477" spans="5:11" x14ac:dyDescent="0.3">
      <c r="E477" s="73">
        <f t="shared" si="25"/>
        <v>10</v>
      </c>
      <c r="F477" s="73" t="str">
        <f t="shared" si="26"/>
        <v/>
      </c>
      <c r="G477" s="387" t="str">
        <f>IF(H477="","","Automation")</f>
        <v/>
      </c>
      <c r="H477" s="381" t="str">
        <f>IF('Ship Info'!G22="Standard Automation","",'Ship Info'!G22&amp;": Cost x "&amp;'Ship Info'!G31&amp;"; Crew x "&amp;'Ship Info'!H31)</f>
        <v/>
      </c>
      <c r="I477" s="405"/>
      <c r="J477" s="376"/>
      <c r="K477" t="str">
        <f t="shared" si="27"/>
        <v/>
      </c>
    </row>
    <row r="478" spans="5:11" x14ac:dyDescent="0.3">
      <c r="E478" s="73">
        <f t="shared" si="25"/>
        <v>10</v>
      </c>
      <c r="F478" s="73" t="str">
        <f t="shared" si="26"/>
        <v/>
      </c>
      <c r="H478" s="12" t="str">
        <f>""</f>
        <v/>
      </c>
      <c r="J478" s="4" t="s">
        <v>1705</v>
      </c>
      <c r="K478" t="str">
        <f t="shared" si="27"/>
        <v/>
      </c>
    </row>
    <row r="479" spans="5:11" x14ac:dyDescent="0.3">
      <c r="E479" s="73">
        <f t="shared" si="25"/>
        <v>10</v>
      </c>
      <c r="F479" s="73" t="str">
        <f t="shared" si="26"/>
        <v/>
      </c>
      <c r="H479" s="12" t="str">
        <f>""</f>
        <v/>
      </c>
      <c r="J479" s="4" t="s">
        <v>1705</v>
      </c>
      <c r="K479" t="str">
        <f t="shared" si="27"/>
        <v/>
      </c>
    </row>
    <row r="480" spans="5:11" x14ac:dyDescent="0.3">
      <c r="E480" s="73">
        <f t="shared" si="25"/>
        <v>10</v>
      </c>
      <c r="F480" s="73" t="str">
        <f t="shared" si="26"/>
        <v/>
      </c>
      <c r="H480" s="12" t="str">
        <f>""</f>
        <v/>
      </c>
      <c r="J480" s="4" t="s">
        <v>1705</v>
      </c>
      <c r="K480" t="str">
        <f t="shared" si="27"/>
        <v/>
      </c>
    </row>
    <row r="481" spans="5:11" x14ac:dyDescent="0.3">
      <c r="E481" s="73">
        <f t="shared" si="25"/>
        <v>10</v>
      </c>
      <c r="F481" s="73" t="str">
        <f t="shared" si="26"/>
        <v/>
      </c>
      <c r="H481" s="12" t="str">
        <f>""</f>
        <v/>
      </c>
      <c r="J481" s="4" t="s">
        <v>1705</v>
      </c>
      <c r="K481" t="str">
        <f t="shared" si="27"/>
        <v/>
      </c>
    </row>
    <row r="482" spans="5:11" x14ac:dyDescent="0.3">
      <c r="E482" s="73">
        <f t="shared" si="25"/>
        <v>10</v>
      </c>
      <c r="F482" s="73" t="str">
        <f t="shared" si="26"/>
        <v/>
      </c>
      <c r="H482" s="12" t="str">
        <f>""</f>
        <v/>
      </c>
      <c r="J482" s="4" t="s">
        <v>1705</v>
      </c>
      <c r="K482" t="str">
        <f t="shared" si="27"/>
        <v/>
      </c>
    </row>
    <row r="483" spans="5:11" x14ac:dyDescent="0.3">
      <c r="E483" s="73">
        <f t="shared" si="25"/>
        <v>11</v>
      </c>
      <c r="F483" s="73">
        <f t="shared" si="26"/>
        <v>11</v>
      </c>
      <c r="G483" s="389" t="s">
        <v>637</v>
      </c>
      <c r="H483" s="470">
        <f>SUM(J2:J482)</f>
        <v>6863333.333333333</v>
      </c>
      <c r="I483" s="234" t="s">
        <v>1706</v>
      </c>
      <c r="J483" s="375" t="str">
        <f>""</f>
        <v/>
      </c>
      <c r="K483" t="str">
        <f t="shared" si="27"/>
        <v/>
      </c>
    </row>
    <row r="484" spans="5:11" x14ac:dyDescent="0.3">
      <c r="E484" s="73">
        <f t="shared" si="25"/>
        <v>12</v>
      </c>
      <c r="F484" s="73">
        <f t="shared" si="26"/>
        <v>12</v>
      </c>
      <c r="G484" s="385"/>
      <c r="H484" s="12" t="str">
        <f>IF('Ship Info'!F3="No","","Purchase Price: ")</f>
        <v xml:space="preserve">Purchase Price: </v>
      </c>
      <c r="I484" s="4" t="str">
        <f>""</f>
        <v/>
      </c>
      <c r="J484" s="262">
        <f>'Ship Info'!G2</f>
        <v>6177000</v>
      </c>
      <c r="K484" t="str">
        <f t="shared" si="27"/>
        <v/>
      </c>
    </row>
    <row r="485" spans="5:11" x14ac:dyDescent="0.3">
      <c r="E485" s="73">
        <f t="shared" si="25"/>
        <v>13</v>
      </c>
      <c r="F485" s="73">
        <f t="shared" si="26"/>
        <v>13</v>
      </c>
      <c r="G485" s="385" t="str">
        <f>"Ship Expenses"</f>
        <v>Ship Expenses</v>
      </c>
      <c r="H485" s="12" t="str">
        <f>'Ship Info'!A24&amp;IF('Ship Info'!S67="No",""," Revised Principle: Cr: "&amp;TEXT('Ship Info'!O70,"#,###"))</f>
        <v>Mortgage:</v>
      </c>
      <c r="I485" s="4" t="str">
        <f>""</f>
        <v/>
      </c>
      <c r="J485" s="262">
        <f>'Ship Info'!B24</f>
        <v>25737.5</v>
      </c>
      <c r="K485" t="str">
        <f t="shared" si="27"/>
        <v/>
      </c>
    </row>
    <row r="486" spans="5:11" x14ac:dyDescent="0.3">
      <c r="E486" s="73">
        <f t="shared" si="25"/>
        <v>14</v>
      </c>
      <c r="F486" s="73">
        <f t="shared" si="26"/>
        <v>14</v>
      </c>
      <c r="G486" s="385"/>
      <c r="H486" s="12" t="str">
        <f>'Ship Info'!A25</f>
        <v>Maintenance Cost</v>
      </c>
      <c r="I486" s="4" t="str">
        <f>""</f>
        <v/>
      </c>
      <c r="J486" s="262">
        <f>'Ship Info'!B25</f>
        <v>515</v>
      </c>
      <c r="K486" t="str">
        <f t="shared" si="27"/>
        <v/>
      </c>
    </row>
    <row r="487" spans="5:11" x14ac:dyDescent="0.3">
      <c r="E487" s="73">
        <f t="shared" si="25"/>
        <v>15</v>
      </c>
      <c r="F487" s="73">
        <f t="shared" si="26"/>
        <v>15</v>
      </c>
      <c r="G487" s="385"/>
      <c r="H487" s="12" t="str">
        <f>'Ship Info'!A26</f>
        <v>Life Support:</v>
      </c>
      <c r="I487" s="4" t="str">
        <f>""</f>
        <v/>
      </c>
      <c r="J487" s="262">
        <f>'Ship Info'!B26</f>
        <v>0</v>
      </c>
      <c r="K487" t="str">
        <f t="shared" si="27"/>
        <v/>
      </c>
    </row>
    <row r="488" spans="5:11" x14ac:dyDescent="0.3">
      <c r="E488" s="73">
        <f t="shared" si="25"/>
        <v>16</v>
      </c>
      <c r="F488" s="73">
        <f t="shared" si="26"/>
        <v>16</v>
      </c>
      <c r="G488" s="385"/>
      <c r="H488" s="12" t="str">
        <f>'Ship Info'!A27</f>
        <v>Crew Salaries:</v>
      </c>
      <c r="I488" s="4" t="str">
        <f>""</f>
        <v/>
      </c>
      <c r="J488" s="262">
        <f>'Ship Info'!B27</f>
        <v>19000</v>
      </c>
      <c r="K488" t="str">
        <f t="shared" si="27"/>
        <v/>
      </c>
    </row>
    <row r="489" spans="5:11" x14ac:dyDescent="0.3">
      <c r="E489" s="73">
        <f t="shared" si="25"/>
        <v>17</v>
      </c>
      <c r="F489" s="73">
        <f t="shared" si="26"/>
        <v>17</v>
      </c>
      <c r="G489" s="385"/>
      <c r="H489" s="12" t="str">
        <f>'Ship Info'!A28</f>
        <v>Fuel:</v>
      </c>
      <c r="I489" s="4" t="str">
        <f>""</f>
        <v/>
      </c>
      <c r="J489" s="262">
        <f>'Ship Info'!B28</f>
        <v>0</v>
      </c>
      <c r="K489" t="str">
        <f t="shared" si="27"/>
        <v/>
      </c>
    </row>
    <row r="490" spans="5:11" x14ac:dyDescent="0.3">
      <c r="E490" s="73">
        <f t="shared" si="25"/>
        <v>18</v>
      </c>
      <c r="F490" s="73">
        <f t="shared" si="26"/>
        <v>18</v>
      </c>
      <c r="G490" s="386"/>
      <c r="H490" s="380" t="str">
        <f>'Ship Info'!A29</f>
        <v>Total Expenses:</v>
      </c>
      <c r="I490" s="391" t="str">
        <f>""</f>
        <v/>
      </c>
      <c r="J490" s="263">
        <f>'Ship Info'!B29</f>
        <v>45252.5</v>
      </c>
      <c r="K490" t="str">
        <f t="shared" si="27"/>
        <v/>
      </c>
    </row>
    <row r="491" spans="5:11" x14ac:dyDescent="0.3">
      <c r="E491" s="73">
        <f t="shared" si="25"/>
        <v>19</v>
      </c>
      <c r="F491" s="73">
        <f t="shared" si="26"/>
        <v>19</v>
      </c>
      <c r="G491" s="385" t="str">
        <f>"Ship Income"</f>
        <v>Ship Income</v>
      </c>
      <c r="H491" s="12" t="str">
        <f>"Total Income:"</f>
        <v>Total Income:</v>
      </c>
      <c r="I491" s="4" t="str">
        <f>""</f>
        <v/>
      </c>
      <c r="J491" s="262">
        <f>Profitability!H6</f>
        <v>0</v>
      </c>
      <c r="K491" t="str">
        <f t="shared" si="27"/>
        <v/>
      </c>
    </row>
    <row r="492" spans="5:11" x14ac:dyDescent="0.3">
      <c r="E492" s="73">
        <f t="shared" si="25"/>
        <v>20</v>
      </c>
      <c r="F492" s="73">
        <f t="shared" si="26"/>
        <v>20</v>
      </c>
      <c r="G492" s="386"/>
      <c r="H492" s="380" t="str">
        <f>"Total "&amp;Profitability!E3&amp;":"</f>
        <v>Total Loss:</v>
      </c>
      <c r="I492" s="391" t="str">
        <f>""</f>
        <v/>
      </c>
      <c r="J492" s="263">
        <f>Profitability!E4</f>
        <v>-45252.5</v>
      </c>
      <c r="K492" t="str">
        <f t="shared" si="27"/>
        <v/>
      </c>
    </row>
    <row r="493" spans="5:11" x14ac:dyDescent="0.3">
      <c r="E493" s="73">
        <f t="shared" ref="E493:E556" si="28">IF(H493="",E492,E492+1)</f>
        <v>20</v>
      </c>
      <c r="F493" s="73" t="str">
        <f t="shared" ref="F493:F556" si="29">IF(E493=E492,"",E493)</f>
        <v/>
      </c>
      <c r="G493" s="389" t="str">
        <f>IF(H493="","","Crew")</f>
        <v/>
      </c>
      <c r="H493" s="379" t="str">
        <f>IF('10-Crew'!F10=0,"",TEXT('10-Crew'!F10,"#,###")&amp;"x CAPTAIN")</f>
        <v/>
      </c>
      <c r="I493" s="234" t="str">
        <f>""</f>
        <v/>
      </c>
      <c r="J493" s="375">
        <f>'10-Crew'!G10</f>
        <v>0</v>
      </c>
      <c r="K493" t="str">
        <f t="shared" si="27"/>
        <v/>
      </c>
    </row>
    <row r="494" spans="5:11" x14ac:dyDescent="0.3">
      <c r="E494" s="73">
        <f t="shared" si="28"/>
        <v>21</v>
      </c>
      <c r="F494" s="73">
        <f t="shared" si="29"/>
        <v>21</v>
      </c>
      <c r="G494" s="385" t="str">
        <f>IF(H494="","",IF(G493="","Crew",""))</f>
        <v>Crew</v>
      </c>
      <c r="H494" s="12" t="str">
        <f>IF('10-Crew'!F11=0,"",TEXT('10-Crew'!F11,"#,###")&amp;"x "&amp;'10-Crew'!A11)</f>
        <v>1x PILOT</v>
      </c>
      <c r="I494" s="4" t="str">
        <f>""</f>
        <v/>
      </c>
      <c r="J494" s="262">
        <f>'10-Crew'!G11</f>
        <v>6000</v>
      </c>
      <c r="K494" t="str">
        <f t="shared" si="27"/>
        <v/>
      </c>
    </row>
    <row r="495" spans="5:11" x14ac:dyDescent="0.3">
      <c r="E495" s="73">
        <f t="shared" si="28"/>
        <v>21</v>
      </c>
      <c r="F495" s="73" t="str">
        <f t="shared" si="29"/>
        <v/>
      </c>
      <c r="G495" s="385" t="str">
        <f>IF(H495="","",IF(AND(G493="",G494=""),"Crew",""))</f>
        <v/>
      </c>
      <c r="H495" s="12" t="str">
        <f>IF('10-Crew'!F12=0,"",TEXT('10-Crew'!F12,"#,###")&amp;"x "&amp;'10-Crew'!A12)</f>
        <v/>
      </c>
      <c r="I495" s="4" t="str">
        <f>""</f>
        <v/>
      </c>
      <c r="J495" s="262">
        <f>'10-Crew'!G12</f>
        <v>0</v>
      </c>
      <c r="K495" t="str">
        <f t="shared" si="27"/>
        <v/>
      </c>
    </row>
    <row r="496" spans="5:11" x14ac:dyDescent="0.3">
      <c r="E496" s="73">
        <f t="shared" si="28"/>
        <v>22</v>
      </c>
      <c r="F496" s="73">
        <f t="shared" si="29"/>
        <v>22</v>
      </c>
      <c r="G496" s="385" t="str">
        <f>IF(H496="","",IF(AND(G493="",G494="",G495=""),"Crew",""))</f>
        <v/>
      </c>
      <c r="H496" s="12" t="str">
        <f>IF('10-Crew'!F13=0,"",TEXT('10-Crew'!F13,"#,###")&amp;"x "&amp;'10-Crew'!A13)</f>
        <v>1x ENGINEER</v>
      </c>
      <c r="I496" s="4" t="str">
        <f>""</f>
        <v/>
      </c>
      <c r="J496" s="262">
        <f>'10-Crew'!G13</f>
        <v>4000</v>
      </c>
      <c r="K496" t="str">
        <f t="shared" si="27"/>
        <v/>
      </c>
    </row>
    <row r="497" spans="5:11" x14ac:dyDescent="0.3">
      <c r="E497" s="73">
        <f t="shared" si="28"/>
        <v>23</v>
      </c>
      <c r="F497" s="73">
        <f t="shared" si="29"/>
        <v>23</v>
      </c>
      <c r="G497" s="385" t="str">
        <f>IF(H497="","",IF(AND(G493="",G494="",G495="",G496=""),"Crew",""))</f>
        <v/>
      </c>
      <c r="H497" s="12" t="str">
        <f>IF('10-Crew'!F14=0,"",TEXT('10-Crew'!F14,"#,###")&amp;"x "&amp;'10-Crew'!A14)</f>
        <v>1x MAINTENANCE</v>
      </c>
      <c r="I497" s="4" t="str">
        <f>""</f>
        <v/>
      </c>
      <c r="J497" s="262">
        <f>'10-Crew'!G14</f>
        <v>1000</v>
      </c>
      <c r="K497" t="str">
        <f t="shared" si="27"/>
        <v/>
      </c>
    </row>
    <row r="498" spans="5:11" x14ac:dyDescent="0.3">
      <c r="E498" s="73">
        <f t="shared" si="28"/>
        <v>24</v>
      </c>
      <c r="F498" s="73">
        <f t="shared" si="29"/>
        <v>24</v>
      </c>
      <c r="G498" s="385" t="str">
        <f>IF(H498="","",IF(AND(G494="",G495="",G493="",G496="",G497=""),"Crew",""))</f>
        <v/>
      </c>
      <c r="H498" s="12" t="str">
        <f>IF('10-Crew'!F15=0,"",TEXT('10-Crew'!F15,"#,###")&amp;"x "&amp;'10-Crew'!A15)</f>
        <v>1x MEDIC</v>
      </c>
      <c r="I498" s="4" t="str">
        <f>""</f>
        <v/>
      </c>
      <c r="J498" s="262">
        <f>'10-Crew'!G15</f>
        <v>4000</v>
      </c>
      <c r="K498" t="str">
        <f t="shared" si="27"/>
        <v/>
      </c>
    </row>
    <row r="499" spans="5:11" x14ac:dyDescent="0.3">
      <c r="E499" s="73">
        <f t="shared" si="28"/>
        <v>24</v>
      </c>
      <c r="F499" s="73" t="str">
        <f t="shared" si="29"/>
        <v/>
      </c>
      <c r="G499" s="385" t="str">
        <f>IF(H499="","",IF(AND(G493="",G495="",G496="",G494="",G497="",G498=""),"Crew",""))</f>
        <v/>
      </c>
      <c r="H499" s="12" t="str">
        <f>IF('10-Crew'!F16=0,"",TEXT('10-Crew'!F16,"#,###")&amp;"x "&amp;'10-Crew'!A16)</f>
        <v/>
      </c>
      <c r="I499" s="4" t="str">
        <f>""</f>
        <v/>
      </c>
      <c r="J499" s="262">
        <f>'10-Crew'!G16</f>
        <v>0</v>
      </c>
      <c r="K499" t="str">
        <f t="shared" si="27"/>
        <v/>
      </c>
    </row>
    <row r="500" spans="5:11" x14ac:dyDescent="0.3">
      <c r="E500" s="73">
        <f t="shared" si="28"/>
        <v>25</v>
      </c>
      <c r="F500" s="73">
        <f t="shared" si="29"/>
        <v>25</v>
      </c>
      <c r="G500" s="385" t="str">
        <f>IF(H500="","",IF(AND(G493="",G494="",G496="",G497="",G495="",G498="",G499=""),"Crew",""))</f>
        <v/>
      </c>
      <c r="H500" s="12" t="str">
        <f>IF('10-Crew'!F17=0,"",TEXT('10-Crew'!F17,"#,###")&amp;"x "&amp;'10-Crew'!A17&amp;", "&amp;TEXT('7-Sensors'!C13,"#,###")&amp;" Sensor Actions per Round")</f>
        <v>1x SENSOP, 1 Sensor Actions per Round</v>
      </c>
      <c r="I500" s="4" t="str">
        <f>""</f>
        <v/>
      </c>
      <c r="J500" s="262">
        <f>'10-Crew'!G17</f>
        <v>4000</v>
      </c>
      <c r="K500" t="str">
        <f t="shared" si="27"/>
        <v/>
      </c>
    </row>
    <row r="501" spans="5:11" x14ac:dyDescent="0.3">
      <c r="E501" s="73">
        <f t="shared" si="28"/>
        <v>25</v>
      </c>
      <c r="F501" s="73" t="str">
        <f t="shared" si="29"/>
        <v/>
      </c>
      <c r="G501" s="385" t="str">
        <f>IF(H501="","",IF(AND(G493="",G494="",G495="",G497="",G498="",G496="",G499="",G500=""),"Crew",""))</f>
        <v/>
      </c>
      <c r="H501" s="12" t="str">
        <f>IF('10-Crew'!F18=0,"",TEXT('10-Crew'!F18,"#,###")&amp;"x "&amp;'10-Crew'!A18)</f>
        <v/>
      </c>
      <c r="I501" s="4" t="str">
        <f>""</f>
        <v/>
      </c>
      <c r="J501" s="262">
        <f>'10-Crew'!G18</f>
        <v>0</v>
      </c>
      <c r="K501" t="str">
        <f t="shared" si="27"/>
        <v/>
      </c>
    </row>
    <row r="502" spans="5:11" x14ac:dyDescent="0.3">
      <c r="E502" s="73">
        <f t="shared" si="28"/>
        <v>25</v>
      </c>
      <c r="F502" s="73" t="str">
        <f t="shared" si="29"/>
        <v/>
      </c>
      <c r="G502" s="385" t="str">
        <f>IF(H502="","",IF(AND(G493="",G494="",G495="",G496="",G498="",G499="",G497="",G500="",G501=""),"Crew",""))</f>
        <v/>
      </c>
      <c r="H502" s="12" t="str">
        <f>IF('10-Crew'!F19=0,"",TEXT('10-Crew'!F19,"#,###")&amp;"x "&amp;'10-Crew'!A19)</f>
        <v/>
      </c>
      <c r="I502" s="4" t="str">
        <f>""</f>
        <v/>
      </c>
      <c r="J502" s="262">
        <f>'10-Crew'!G19</f>
        <v>0</v>
      </c>
      <c r="K502" t="str">
        <f t="shared" si="27"/>
        <v/>
      </c>
    </row>
    <row r="503" spans="5:11" x14ac:dyDescent="0.3">
      <c r="E503" s="73">
        <f t="shared" si="28"/>
        <v>25</v>
      </c>
      <c r="F503" s="73" t="str">
        <f t="shared" si="29"/>
        <v/>
      </c>
      <c r="G503" s="385" t="str">
        <f>IF(H503="","",IF(AND(G493="",G494="",G495="",G496="",G497="",G499="",G500="",G498="",G501="",G502=""),"Crew",""))</f>
        <v/>
      </c>
      <c r="H503" s="12" t="str">
        <f>IF('10-Crew'!F20=0,"",TEXT('10-Crew'!F20,"#,###")&amp;"x "&amp;'10-Crew'!A20)</f>
        <v/>
      </c>
      <c r="I503" s="4" t="str">
        <f>""</f>
        <v/>
      </c>
      <c r="J503" s="262">
        <f>'10-Crew'!G20</f>
        <v>0</v>
      </c>
      <c r="K503" t="str">
        <f t="shared" si="27"/>
        <v/>
      </c>
    </row>
    <row r="504" spans="5:11" x14ac:dyDescent="0.3">
      <c r="E504" s="73">
        <f t="shared" si="28"/>
        <v>25</v>
      </c>
      <c r="F504" s="73" t="str">
        <f t="shared" si="29"/>
        <v/>
      </c>
      <c r="G504" s="385" t="str">
        <f>IF(H504="","",IF(AND(G493="",G494="",G495="",G496="",G497="",G498="",G500="",G501="",G499="",G502="",G503=""),"Crew",""))</f>
        <v/>
      </c>
      <c r="H504" s="12" t="str">
        <f>IF('10-Crew'!F21=0,"",TEXT('10-Crew'!F21,"#,###")&amp;"x "&amp;IF('10-Crew'!B21="",'10-Crew'!A21,'10-Crew'!B21))</f>
        <v/>
      </c>
      <c r="I504" s="4" t="str">
        <f>""</f>
        <v/>
      </c>
      <c r="J504" s="262">
        <f>'10-Crew'!G21</f>
        <v>0</v>
      </c>
      <c r="K504" t="str">
        <f t="shared" si="27"/>
        <v/>
      </c>
    </row>
    <row r="505" spans="5:11" x14ac:dyDescent="0.3">
      <c r="E505" s="73">
        <f t="shared" si="28"/>
        <v>25</v>
      </c>
      <c r="F505" s="73" t="str">
        <f t="shared" si="29"/>
        <v/>
      </c>
      <c r="G505" s="385" t="str">
        <f>IF(H505="","",IF(AND(G493="",G494="",G495="",G496="",G497="",G498="",G499="",G501="",G502="",G500="",G503="",G504=""),"Crew",""))</f>
        <v/>
      </c>
      <c r="H505" s="12" t="str">
        <f>IF('10-Crew'!F22=0,"",TEXT('10-Crew'!F22,"#,###")&amp;"x "&amp;IF('10-Crew'!B22="",'10-Crew'!A22,'10-Crew'!B22))</f>
        <v/>
      </c>
      <c r="I505" s="4" t="str">
        <f>""</f>
        <v/>
      </c>
      <c r="J505" s="262">
        <f>'10-Crew'!G22</f>
        <v>0</v>
      </c>
      <c r="K505" t="str">
        <f t="shared" si="27"/>
        <v/>
      </c>
    </row>
    <row r="506" spans="5:11" x14ac:dyDescent="0.3">
      <c r="E506" s="73">
        <f t="shared" si="28"/>
        <v>25</v>
      </c>
      <c r="F506" s="73" t="str">
        <f t="shared" si="29"/>
        <v/>
      </c>
      <c r="G506" s="385" t="str">
        <f>IF(H506="","",IF(AND(G493="",G494="",G495="",G496="",G497="",G498="",G499="",G500="",G502="",G503="",G501="",G504="",G505=""),"Crew",""))</f>
        <v/>
      </c>
      <c r="H506" s="12" t="str">
        <f>IF('10-Crew'!F23=0,"",TEXT('10-Crew'!F23,"#,###")&amp;"x "&amp;IF('10-Crew'!B23="",'10-Crew'!A23,'10-Crew'!B23))</f>
        <v/>
      </c>
      <c r="I506" s="4" t="str">
        <f>""</f>
        <v/>
      </c>
      <c r="J506" s="262">
        <f>'10-Crew'!G23</f>
        <v>0</v>
      </c>
      <c r="K506" t="str">
        <f t="shared" si="27"/>
        <v/>
      </c>
    </row>
    <row r="507" spans="5:11" x14ac:dyDescent="0.3">
      <c r="E507" s="73">
        <f t="shared" si="28"/>
        <v>25</v>
      </c>
      <c r="F507" s="73" t="str">
        <f t="shared" si="29"/>
        <v/>
      </c>
      <c r="G507" s="385" t="str">
        <f>IF(H507="","",IF(AND(G493="",G494="",G495="",G496="",G497="",G498="",G499="",G500="",G501="",G503="",G504="",G502="",G505="",G506=""),"Crew",""))</f>
        <v/>
      </c>
      <c r="H507" s="12" t="str">
        <f>IF('10-Crew'!F24=0,"",TEXT('10-Crew'!F24,"#,###")&amp;"x "&amp;IF('10-Crew'!B24="",'10-Crew'!A24,'10-Crew'!B24))</f>
        <v/>
      </c>
      <c r="I507" s="4" t="str">
        <f>""</f>
        <v/>
      </c>
      <c r="J507" s="262">
        <f>'10-Crew'!G24</f>
        <v>0</v>
      </c>
      <c r="K507" t="str">
        <f t="shared" si="27"/>
        <v/>
      </c>
    </row>
    <row r="508" spans="5:11" x14ac:dyDescent="0.3">
      <c r="E508" s="73">
        <f t="shared" si="28"/>
        <v>25</v>
      </c>
      <c r="F508" s="73" t="str">
        <f t="shared" si="29"/>
        <v/>
      </c>
      <c r="G508" s="385" t="str">
        <f>IF(H508="","",IF(AND(G493="",G494="",G495="",G496="",G497="",G498="",G499="",G500="",G501="",G502="",G504="",G505="",G503="",G506="",G507=""),"Crew",""))</f>
        <v/>
      </c>
      <c r="H508" s="12" t="str">
        <f>IF('10-Crew'!F25=0,"",TEXT('10-Crew'!F25,"#,###")&amp;"x "&amp;IF('10-Crew'!B25="",'10-Crew'!A25,'10-Crew'!B25))</f>
        <v/>
      </c>
      <c r="I508" s="4" t="str">
        <f>""</f>
        <v/>
      </c>
      <c r="J508" s="262">
        <f>'10-Crew'!G25</f>
        <v>0</v>
      </c>
      <c r="K508" t="str">
        <f t="shared" si="27"/>
        <v/>
      </c>
    </row>
    <row r="509" spans="5:11" x14ac:dyDescent="0.3">
      <c r="E509" s="73">
        <f t="shared" si="28"/>
        <v>25</v>
      </c>
      <c r="F509" s="73" t="str">
        <f t="shared" si="29"/>
        <v/>
      </c>
      <c r="G509" s="385" t="str">
        <f>IF(H509="","",IF(AND(G493="",G494="",G495="",G496="",G497="",G498="",G499="",G500="",G501="",G502="",G503="",G505="",G506="",G504="",G507="",G508=""),"Crew",""))</f>
        <v/>
      </c>
      <c r="H509" s="12" t="str">
        <f>IF('10-Crew'!F26=0,"",TEXT('10-Crew'!F26,"#,###")&amp;"x "&amp;'10-Crew'!A26)</f>
        <v/>
      </c>
      <c r="I509" s="4" t="str">
        <f>""</f>
        <v/>
      </c>
      <c r="J509" s="262">
        <f>'10-Crew'!G26</f>
        <v>0</v>
      </c>
      <c r="K509" t="str">
        <f t="shared" si="27"/>
        <v/>
      </c>
    </row>
    <row r="510" spans="5:11" x14ac:dyDescent="0.3">
      <c r="E510" s="73">
        <f t="shared" si="28"/>
        <v>25</v>
      </c>
      <c r="F510" s="73" t="str">
        <f t="shared" si="29"/>
        <v/>
      </c>
      <c r="G510" s="385" t="str">
        <f>IF(H510="","",IF(AND(G493="",G494="",G495="",G496="",G497="",G498="",G499="",G500="",G501="",G502="",G503="",G504="",G506="",G507="",G505="",G508="",G509=""),"Crew",""))</f>
        <v/>
      </c>
      <c r="H510" s="12" t="str">
        <f>IF('10-Crew'!F27=0,"",TEXT('10-Crew'!F27,"#,###")&amp;"x "&amp;'10-Crew'!A27)</f>
        <v/>
      </c>
      <c r="I510" s="4" t="str">
        <f>""</f>
        <v/>
      </c>
      <c r="J510" s="262">
        <f>'10-Crew'!G27</f>
        <v>0</v>
      </c>
      <c r="K510" t="str">
        <f t="shared" si="27"/>
        <v/>
      </c>
    </row>
    <row r="511" spans="5:11" x14ac:dyDescent="0.3">
      <c r="E511" s="73">
        <f t="shared" si="28"/>
        <v>25</v>
      </c>
      <c r="F511" s="73" t="str">
        <f t="shared" si="29"/>
        <v/>
      </c>
      <c r="G511" s="385" t="str">
        <f>IF(H511="","",IF(AND(G493="",G494="",G495="",G496="",G497="",G498="",G499="",G500="",G501="",G502="",G503="",G504="",G505="",G507="",G508="",G506="",G509="",G510=""),"Crew",""))</f>
        <v/>
      </c>
      <c r="H511" s="12" t="str">
        <f>IF('10-Crew'!F28=0,"",TEXT('10-Crew'!F28,"#,###")&amp;"x "&amp;'10-Crew'!A28)</f>
        <v/>
      </c>
      <c r="I511" s="4" t="str">
        <f>""</f>
        <v/>
      </c>
      <c r="J511" s="262">
        <f>'10-Crew'!G28</f>
        <v>0</v>
      </c>
      <c r="K511" t="str">
        <f t="shared" si="27"/>
        <v/>
      </c>
    </row>
    <row r="512" spans="5:11" x14ac:dyDescent="0.3">
      <c r="E512" s="73">
        <f t="shared" si="28"/>
        <v>25</v>
      </c>
      <c r="F512" s="73" t="str">
        <f t="shared" si="29"/>
        <v/>
      </c>
      <c r="G512" s="385" t="str">
        <f>IF(H512="","",IF(AND(G493="",G494="",G495="",G496="",G497="",G498="",G499="",G500="",G501="",G502="",G503="",G504="",G505="",G506="",G508="",G509="",G507="",G510="",G511=""),"Crew",""))</f>
        <v/>
      </c>
      <c r="H512" s="12" t="str">
        <f>IF('11-Staterooms'!D18=0,"",TEXT('11-Staterooms'!D18,"#,###")&amp;"x Frozen Watch Capacity")</f>
        <v/>
      </c>
      <c r="I512" s="4" t="str">
        <f>""</f>
        <v/>
      </c>
      <c r="J512" s="262">
        <v>0</v>
      </c>
      <c r="K512" t="str">
        <f t="shared" si="27"/>
        <v/>
      </c>
    </row>
    <row r="513" spans="5:11" x14ac:dyDescent="0.3">
      <c r="E513" s="73">
        <f t="shared" si="28"/>
        <v>25</v>
      </c>
      <c r="F513" s="73" t="str">
        <f t="shared" si="29"/>
        <v/>
      </c>
      <c r="G513" s="385" t="str">
        <f>IF(H513="","",IF(AND(G493="",G494="",G495="",G496="",G497="",G498="",G499="",G500="",G501="",G502="",G503="",G504="",G505="",G506="",G507="",G509="",G510="",G508="",G511="",G512=""),"Crew",""))</f>
        <v/>
      </c>
      <c r="H513" s="12" t="str">
        <f>IF('10-Crew'!C40=0,"","Robot: "&amp;'10-Crew'!U40)</f>
        <v/>
      </c>
      <c r="I513" s="4" t="str">
        <f>""</f>
        <v/>
      </c>
      <c r="J513" s="262" t="str">
        <f>""</f>
        <v/>
      </c>
      <c r="K513" t="str">
        <f t="shared" si="27"/>
        <v/>
      </c>
    </row>
    <row r="514" spans="5:11" x14ac:dyDescent="0.3">
      <c r="E514" s="73">
        <f t="shared" si="28"/>
        <v>25</v>
      </c>
      <c r="F514" s="73" t="str">
        <f t="shared" si="29"/>
        <v/>
      </c>
      <c r="G514" s="385" t="str">
        <f>IF(H514="","",IF(AND(G493="",G494="",G495="",G496="",G497="",G498="",G499="",G500="",G501="",G502="",G503="",G504="",G505="",G506="",G507="",G508="",G510="",G511="",G509="",G512="",G513=""),"Crew",""))</f>
        <v/>
      </c>
      <c r="H514" s="12" t="str">
        <f>IF('10-Crew'!C41=0,"","Robot: "&amp;'10-Crew'!U41)</f>
        <v/>
      </c>
      <c r="I514" s="4" t="str">
        <f>""</f>
        <v/>
      </c>
      <c r="J514" s="262" t="str">
        <f>""</f>
        <v/>
      </c>
      <c r="K514" t="str">
        <f t="shared" si="27"/>
        <v/>
      </c>
    </row>
    <row r="515" spans="5:11" x14ac:dyDescent="0.3">
      <c r="E515" s="73">
        <f t="shared" si="28"/>
        <v>25</v>
      </c>
      <c r="F515" s="73" t="str">
        <f t="shared" si="29"/>
        <v/>
      </c>
      <c r="G515" s="385" t="str">
        <f>IF(H515="","",IF(AND(G493="",G494="",G495="",G496="",G497="",G498="",G499="",G500="",G501="",G502="",G503="",G504="",G505="",G506="",G507="",G508="",G509="",G511="",G512="",G510="",G513="",G514=""),"Crew",""))</f>
        <v/>
      </c>
      <c r="H515" s="12" t="str">
        <f>IF('10-Crew'!C42=0,"","Robot: "&amp;'10-Crew'!U42)</f>
        <v/>
      </c>
      <c r="I515" s="4" t="str">
        <f>""</f>
        <v/>
      </c>
      <c r="J515" s="262" t="str">
        <f>""</f>
        <v/>
      </c>
      <c r="K515" t="str">
        <f t="shared" si="27"/>
        <v/>
      </c>
    </row>
    <row r="516" spans="5:11" x14ac:dyDescent="0.3">
      <c r="E516" s="73">
        <f t="shared" si="28"/>
        <v>25</v>
      </c>
      <c r="F516" s="73" t="str">
        <f t="shared" si="29"/>
        <v/>
      </c>
      <c r="G516" s="385" t="str">
        <f>IF(H516="","",IF(AND(G493="",G494="",G495="",G496="",G497="",G498="",G499="",G500="",G501="",G502="",G503="",G504="",G505="",G506="",G507="",G508="",G509="",G510="",G512="",G513="",G511="",G514="",G515=""),"Crew",""))</f>
        <v/>
      </c>
      <c r="H516" s="12" t="str">
        <f>IF('10-Crew'!C43=0,"","Robot: "&amp;'10-Crew'!U43)</f>
        <v/>
      </c>
      <c r="I516" s="4" t="str">
        <f>""</f>
        <v/>
      </c>
      <c r="J516" s="262" t="str">
        <f>""</f>
        <v/>
      </c>
      <c r="K516" t="str">
        <f t="shared" si="27"/>
        <v/>
      </c>
    </row>
    <row r="517" spans="5:11" x14ac:dyDescent="0.3">
      <c r="E517" s="73">
        <f t="shared" si="28"/>
        <v>25</v>
      </c>
      <c r="F517" s="73" t="str">
        <f t="shared" si="29"/>
        <v/>
      </c>
      <c r="G517" s="385" t="str">
        <f>IF(H517="","",IF(AND(G493="",G494="",G495="",G496="",G497="",G498="",G499="",G500="",G501="",G502="",G503="",G504="",G505="",G506="",G507="",G508="",G509="",G510="",G511="",G513="",G514="",G512="",G515="",G516=""),"Crew",""))</f>
        <v/>
      </c>
      <c r="H517" s="12" t="str">
        <f>IF('10-Crew'!C44=0,"","Robot: "&amp;'10-Crew'!U44)</f>
        <v/>
      </c>
      <c r="I517" s="4" t="str">
        <f>""</f>
        <v/>
      </c>
      <c r="J517" s="262" t="str">
        <f>""</f>
        <v/>
      </c>
      <c r="K517" t="str">
        <f t="shared" ref="K517:K580" si="30">IF(B517="","",IF(A517="",K516,K516+1))</f>
        <v/>
      </c>
    </row>
    <row r="518" spans="5:11" x14ac:dyDescent="0.3">
      <c r="E518" s="73">
        <f t="shared" si="28"/>
        <v>25</v>
      </c>
      <c r="F518" s="73" t="str">
        <f t="shared" si="29"/>
        <v/>
      </c>
      <c r="G518" s="385" t="str">
        <f>IF(H518="","",IF(AND(G493="",G494="",G495="",G496="",G497="",G498="",G499="",G500="",G501="",G502="",G503="",G504="",G505="",G506="",G507="",G508="",G509="",G510="",G511="",G512="",G514="",G515="",G513="",G516="",G517=""),"Crew",""))</f>
        <v/>
      </c>
      <c r="H518" s="12" t="str">
        <f>IF('10-Crew'!C45=0,"","Robot: "&amp;'10-Crew'!U45)</f>
        <v/>
      </c>
      <c r="I518" s="4" t="str">
        <f>""</f>
        <v/>
      </c>
      <c r="J518" s="262" t="str">
        <f>""</f>
        <v/>
      </c>
      <c r="K518" t="str">
        <f t="shared" si="30"/>
        <v/>
      </c>
    </row>
    <row r="519" spans="5:11" x14ac:dyDescent="0.3">
      <c r="E519" s="73">
        <f t="shared" si="28"/>
        <v>25</v>
      </c>
      <c r="F519" s="73" t="str">
        <f t="shared" si="29"/>
        <v/>
      </c>
      <c r="G519" s="385" t="str">
        <f>IF(H519="","",IF(AND(G493="",G494="",G495="",G496="",G497="",G498="",G499="",G500="",G501="",G502="",G503="",G504="",G505="",G506="",G507="",G508="",G509="",G510="",G511="",G512="",G513="",G515="",G516="",G514="",G517="",G518=""),"Crew",""))</f>
        <v/>
      </c>
      <c r="H519" s="12" t="str">
        <f>IF('10-Crew'!C46=0,"","Robot: "&amp;'10-Crew'!U46)</f>
        <v/>
      </c>
      <c r="I519" s="4" t="str">
        <f>""</f>
        <v/>
      </c>
      <c r="J519" s="262" t="str">
        <f>""</f>
        <v/>
      </c>
      <c r="K519" t="str">
        <f t="shared" si="30"/>
        <v/>
      </c>
    </row>
    <row r="520" spans="5:11" x14ac:dyDescent="0.3">
      <c r="E520" s="73">
        <f t="shared" si="28"/>
        <v>25</v>
      </c>
      <c r="F520" s="73" t="str">
        <f t="shared" si="29"/>
        <v/>
      </c>
      <c r="G520" s="385" t="str">
        <f>IF(H520="","",IF(AND(G493="",G494="",G495="",G496="",G497="",G498="",G499="",G500="",G501="",G502="",G503="",G504="",G505="",G506="",G507="",G508="",G509="",G510="",G511="",G512="",G513="",G514="",G516="",G517="",G515="",G518="",G519=""),"Crew",""))</f>
        <v/>
      </c>
      <c r="H520" s="12" t="str">
        <f>IF('10-Crew'!C47=0,"","Robot: "&amp;'10-Crew'!U47)</f>
        <v/>
      </c>
      <c r="I520" s="4" t="str">
        <f>""</f>
        <v/>
      </c>
      <c r="J520" s="262" t="str">
        <f>""</f>
        <v/>
      </c>
      <c r="K520" t="str">
        <f t="shared" si="30"/>
        <v/>
      </c>
    </row>
    <row r="521" spans="5:11" x14ac:dyDescent="0.3">
      <c r="E521" s="73">
        <f t="shared" si="28"/>
        <v>25</v>
      </c>
      <c r="F521" s="73" t="str">
        <f t="shared" si="29"/>
        <v/>
      </c>
      <c r="G521" s="385" t="str">
        <f>IF(H521="","",IF(AND(G493="",G494="",G495="",G496="",G497="",G498="",G499="",G500="",G501="",G502="",G503="",G504="",G505="",G506="",G507="",G508="",G509="",G510="",G511="",G512="",G513="",G514="",G515="",G517="",G518="",G516="",G519="",G520=""),"Crew",""))</f>
        <v/>
      </c>
      <c r="H521" s="12" t="str">
        <f>IF('10-Crew'!C48=0,"","Robot: "&amp;'10-Crew'!U48)</f>
        <v/>
      </c>
      <c r="I521" s="4" t="str">
        <f>""</f>
        <v/>
      </c>
      <c r="J521" s="262" t="str">
        <f>""</f>
        <v/>
      </c>
      <c r="K521" t="str">
        <f t="shared" si="30"/>
        <v/>
      </c>
    </row>
    <row r="522" spans="5:11" x14ac:dyDescent="0.3">
      <c r="E522" s="73">
        <f t="shared" si="28"/>
        <v>25</v>
      </c>
      <c r="F522" s="73" t="str">
        <f t="shared" si="29"/>
        <v/>
      </c>
      <c r="G522" s="385" t="str">
        <f>IF(H522="","",IF(AND(G493="",G494="",G495="",G496="",G497="",G498="",G499="",G500="",G501="",G502="",G503="",G504="",G505="",G506="",G507="",G508="",G509="",G510="",G511="",G512="",G513="",G514="",G515="",G516="",G518="",G519="",G517="",G520="",G521=""),"Crew",""))</f>
        <v/>
      </c>
      <c r="H522" s="12" t="str">
        <f>IF('10-Crew'!C49=0,"","Robot: "&amp;'10-Crew'!U49)</f>
        <v/>
      </c>
      <c r="I522" s="4" t="str">
        <f>""</f>
        <v/>
      </c>
      <c r="J522" s="262" t="str">
        <f>""</f>
        <v/>
      </c>
      <c r="K522" t="str">
        <f t="shared" si="30"/>
        <v/>
      </c>
    </row>
    <row r="523" spans="5:11" x14ac:dyDescent="0.3">
      <c r="E523" s="73">
        <f t="shared" si="28"/>
        <v>25</v>
      </c>
      <c r="F523" s="73" t="str">
        <f t="shared" si="29"/>
        <v/>
      </c>
      <c r="G523" s="385"/>
      <c r="H523" s="12" t="str">
        <f>IF(SUM('10-Crew'!C40:C49)=0,"",SUM('10-Crew'!C40:C49)&amp;" ROBOTIC CREW")</f>
        <v/>
      </c>
      <c r="I523" s="4" t="str">
        <f>""</f>
        <v/>
      </c>
      <c r="J523" s="262" t="str">
        <f>""</f>
        <v/>
      </c>
      <c r="K523" t="str">
        <f t="shared" si="30"/>
        <v/>
      </c>
    </row>
    <row r="524" spans="5:11" x14ac:dyDescent="0.3">
      <c r="E524" s="73">
        <f t="shared" si="28"/>
        <v>26</v>
      </c>
      <c r="F524" s="73">
        <f t="shared" si="29"/>
        <v>26</v>
      </c>
      <c r="G524" s="386"/>
      <c r="H524" s="380" t="str">
        <f>IF(AND('10-Crew'!E5=0,'10-Crew'!E7=0),"",IF('10-Crew'!E5=0,"",TEXT('10-Crew'!E5+'10-Crew'!E7,"#,###")&amp;" TOTAL SOPHONT CREW"))</f>
        <v>5 TOTAL SOPHONT CREW</v>
      </c>
      <c r="I524" s="391" t="str">
        <f>""</f>
        <v/>
      </c>
      <c r="J524" s="263" t="str">
        <f>""</f>
        <v/>
      </c>
      <c r="K524" t="str">
        <f t="shared" si="30"/>
        <v/>
      </c>
    </row>
    <row r="525" spans="5:11" x14ac:dyDescent="0.3">
      <c r="E525" s="73">
        <f t="shared" si="28"/>
        <v>27</v>
      </c>
      <c r="F525" s="73">
        <f t="shared" si="29"/>
        <v>27</v>
      </c>
      <c r="G525" s="389" t="s">
        <v>54</v>
      </c>
      <c r="H525" s="379" t="s">
        <v>1801</v>
      </c>
      <c r="I525" s="234" t="str">
        <f>"Available:"</f>
        <v>Available:</v>
      </c>
      <c r="J525" s="375" t="str">
        <f>TEXT('3-Pwr Plant'!L6,"#,###")&amp;" PP"</f>
        <v>20 PP</v>
      </c>
      <c r="K525" t="str">
        <f t="shared" si="30"/>
        <v/>
      </c>
    </row>
    <row r="526" spans="5:11" x14ac:dyDescent="0.3">
      <c r="E526" s="73">
        <f t="shared" si="28"/>
        <v>28</v>
      </c>
      <c r="F526" s="73">
        <f t="shared" si="29"/>
        <v>28</v>
      </c>
      <c r="G526" s="385"/>
      <c r="H526" s="12" t="s">
        <v>715</v>
      </c>
      <c r="I526" s="4" t="str">
        <f>""</f>
        <v/>
      </c>
      <c r="J526" s="262" t="str">
        <f>TEXT('3-Pwr Plant'!O9,"#,###")&amp;"/"&amp;TEXT('3-Pwr Plant'!O10,"#,###")&amp;" ("&amp;TEXT('3-Pwr Plant'!O9/2,"#,###")&amp;") PP"</f>
        <v>20/ (10) PP</v>
      </c>
      <c r="K526" t="str">
        <f t="shared" si="30"/>
        <v/>
      </c>
    </row>
    <row r="527" spans="5:11" x14ac:dyDescent="0.3">
      <c r="E527" s="73">
        <f t="shared" si="28"/>
        <v>28</v>
      </c>
      <c r="F527" s="73" t="str">
        <f t="shared" si="29"/>
        <v/>
      </c>
      <c r="G527" s="385"/>
      <c r="H527" s="12" t="str">
        <f>IF(SUM('3-Pwr Plant'!O12,'3-Pwr Plant'!O14)=0,"","Jump")</f>
        <v/>
      </c>
      <c r="I527" s="4" t="str">
        <f>""</f>
        <v/>
      </c>
      <c r="J527" s="262" t="str">
        <f>TEXT('3-Pwr Plant'!O12,"#,###")&amp;"/"&amp;TEXT('3-Pwr Plant'!O14,"#,###")&amp;" PP"</f>
        <v>/ PP</v>
      </c>
      <c r="K527" t="str">
        <f t="shared" si="30"/>
        <v/>
      </c>
    </row>
    <row r="528" spans="5:11" x14ac:dyDescent="0.3">
      <c r="E528" s="73">
        <f t="shared" si="28"/>
        <v>28</v>
      </c>
      <c r="F528" s="73" t="str">
        <f t="shared" si="29"/>
        <v/>
      </c>
      <c r="G528" s="385"/>
      <c r="H528" s="12" t="str">
        <f>IF(SUM('3-Pwr Plant'!O11,'3-Pwr Plant'!O13)=0,"","Maneuver")</f>
        <v/>
      </c>
      <c r="I528" s="4" t="str">
        <f>""</f>
        <v/>
      </c>
      <c r="J528" s="262" t="str">
        <f>TEXT('3-Pwr Plant'!O11,"#,###")&amp;" ("&amp;TEXT('3-Pwr Plant'!O11,"#,###")&amp;"/"&amp;TEXT('3-Pwr Plant'!O13,"#,###")&amp;") PP"</f>
        <v xml:space="preserve"> (/) PP</v>
      </c>
      <c r="K528" t="str">
        <f t="shared" si="30"/>
        <v/>
      </c>
    </row>
    <row r="529" spans="5:11" x14ac:dyDescent="0.3">
      <c r="E529" s="73">
        <f t="shared" si="28"/>
        <v>28</v>
      </c>
      <c r="F529" s="73" t="str">
        <f t="shared" si="29"/>
        <v/>
      </c>
      <c r="G529" s="385"/>
      <c r="H529" s="12" t="str">
        <f>IF('3-Pwr Plant'!O15=0,"",'3-Pwr Plant'!N15)</f>
        <v/>
      </c>
      <c r="I529" s="4" t="str">
        <f>""</f>
        <v/>
      </c>
      <c r="J529" s="262" t="str">
        <f>TEXT('3-Pwr Plant'!O15,"#,###")&amp;" PP"</f>
        <v xml:space="preserve"> PP</v>
      </c>
      <c r="K529" t="str">
        <f t="shared" si="30"/>
        <v/>
      </c>
    </row>
    <row r="530" spans="5:11" x14ac:dyDescent="0.3">
      <c r="E530" s="73">
        <f t="shared" si="28"/>
        <v>28</v>
      </c>
      <c r="F530" s="73" t="str">
        <f t="shared" si="29"/>
        <v/>
      </c>
      <c r="G530" s="385"/>
      <c r="H530" s="12" t="str">
        <f>IF('3-Pwr Plant'!O16=0,"",'3-Pwr Plant'!N16)</f>
        <v/>
      </c>
      <c r="I530" s="4" t="str">
        <f>""</f>
        <v/>
      </c>
      <c r="J530" s="262" t="str">
        <f>TEXT('3-Pwr Plant'!O16,"#,###")&amp;" PP"</f>
        <v xml:space="preserve"> PP</v>
      </c>
      <c r="K530" t="str">
        <f t="shared" si="30"/>
        <v/>
      </c>
    </row>
    <row r="531" spans="5:11" x14ac:dyDescent="0.3">
      <c r="E531" s="73">
        <f t="shared" si="28"/>
        <v>28</v>
      </c>
      <c r="F531" s="73" t="str">
        <f t="shared" si="29"/>
        <v/>
      </c>
      <c r="G531" s="385"/>
      <c r="H531" s="12" t="str">
        <f>IF('3-Pwr Plant'!O17=0,"","Weapons")</f>
        <v/>
      </c>
      <c r="I531" s="4" t="str">
        <f>""</f>
        <v/>
      </c>
      <c r="J531" s="262" t="str">
        <f>TEXT('3-Pwr Plant'!O17,"#,###")&amp;" ("&amp;TEXT('3-Pwr Plant'!O17,"#,###")&amp;") PP"</f>
        <v xml:space="preserve"> () PP</v>
      </c>
      <c r="K531" t="str">
        <f t="shared" si="30"/>
        <v/>
      </c>
    </row>
    <row r="532" spans="5:11" x14ac:dyDescent="0.3">
      <c r="E532" s="73">
        <f t="shared" si="28"/>
        <v>28</v>
      </c>
      <c r="F532" s="73" t="str">
        <f t="shared" si="29"/>
        <v/>
      </c>
      <c r="G532" s="385"/>
      <c r="H532" s="12" t="str">
        <f>IF('3-Pwr Plant'!O18=0,"","Screens")</f>
        <v/>
      </c>
      <c r="I532" s="4" t="str">
        <f>""</f>
        <v/>
      </c>
      <c r="J532" s="262" t="str">
        <f>TEXT('3-Pwr Plant'!O18,"#,###")&amp;" ("&amp;TEXT('3-Pwr Plant'!O18,"#,###")&amp;") PP"</f>
        <v xml:space="preserve"> () PP</v>
      </c>
      <c r="K532" t="str">
        <f t="shared" si="30"/>
        <v/>
      </c>
    </row>
    <row r="533" spans="5:11" x14ac:dyDescent="0.3">
      <c r="E533" s="73">
        <f t="shared" si="28"/>
        <v>28</v>
      </c>
      <c r="F533" s="73" t="str">
        <f t="shared" si="29"/>
        <v/>
      </c>
      <c r="G533" s="385"/>
      <c r="H533" s="12" t="str">
        <f>IF('9a-Optional'!AG32=0,"","Extra-Vehicular Operations")</f>
        <v/>
      </c>
      <c r="I533" s="4" t="str">
        <f>""</f>
        <v/>
      </c>
      <c r="J533" s="262" t="str">
        <f>TEXT('9a-Optional'!AG32,"#,###")&amp;" PP"</f>
        <v xml:space="preserve"> PP</v>
      </c>
      <c r="K533" t="str">
        <f t="shared" si="30"/>
        <v/>
      </c>
    </row>
    <row r="534" spans="5:11" x14ac:dyDescent="0.3">
      <c r="E534" s="73">
        <f t="shared" si="28"/>
        <v>28</v>
      </c>
      <c r="F534" s="73" t="str">
        <f t="shared" si="29"/>
        <v/>
      </c>
      <c r="G534" s="385"/>
      <c r="H534" s="12" t="str">
        <f>IF('9b-Optional'!S13=0,"","Optional Components")</f>
        <v/>
      </c>
      <c r="I534" s="4" t="str">
        <f>""</f>
        <v/>
      </c>
      <c r="J534" s="262" t="str">
        <f>TEXT('9b-Optional'!S13,"#,###")&amp;" PP"</f>
        <v xml:space="preserve"> PP</v>
      </c>
      <c r="K534" t="str">
        <f t="shared" si="30"/>
        <v/>
      </c>
    </row>
    <row r="535" spans="5:11" x14ac:dyDescent="0.3">
      <c r="E535" s="73">
        <f t="shared" si="28"/>
        <v>28</v>
      </c>
      <c r="F535" s="73" t="str">
        <f t="shared" si="29"/>
        <v/>
      </c>
      <c r="G535" s="385"/>
      <c r="H535" s="12" t="str">
        <f>IF(SUM('3-Pwr Plant'!O20:O22)=0,"","Miscellaneous")</f>
        <v/>
      </c>
      <c r="I535" s="4" t="str">
        <f>""</f>
        <v/>
      </c>
      <c r="J535" s="262" t="str">
        <f>TEXT(SUM('3-Pwr Plant'!O20:O22),"#,###")&amp;" PP"</f>
        <v xml:space="preserve"> PP</v>
      </c>
      <c r="K535" t="str">
        <f t="shared" si="30"/>
        <v/>
      </c>
    </row>
    <row r="536" spans="5:11" x14ac:dyDescent="0.3">
      <c r="E536" s="73">
        <f t="shared" si="28"/>
        <v>29</v>
      </c>
      <c r="F536" s="73">
        <f t="shared" si="29"/>
        <v>29</v>
      </c>
      <c r="G536" s="386"/>
      <c r="H536" s="380" t="s">
        <v>1802</v>
      </c>
      <c r="I536" s="391" t="str">
        <f>""</f>
        <v/>
      </c>
      <c r="J536" s="263" t="str">
        <f>TEXT('3-Pwr Plant'!O23,"#,###")&amp;" ("&amp;TEXT('3-Pwr Plant'!O26,"#,###")&amp;")"</f>
        <v>20 (10)</v>
      </c>
      <c r="K536" t="str">
        <f t="shared" si="30"/>
        <v/>
      </c>
    </row>
    <row r="537" spans="5:11" x14ac:dyDescent="0.3">
      <c r="E537" s="73">
        <f t="shared" si="28"/>
        <v>29</v>
      </c>
      <c r="F537" s="73" t="str">
        <f t="shared" si="29"/>
        <v/>
      </c>
      <c r="G537" s="389" t="str">
        <f>IF(H537="","","Passengers")</f>
        <v/>
      </c>
      <c r="H537" s="379" t="str">
        <f>IF(SUM('11-Staterooms'!D39:D41)=0,"",SUM('11-Staterooms'!D39:D41)&amp;"x Interplanetary Seating Capacity")</f>
        <v/>
      </c>
      <c r="I537" s="234" t="str">
        <f>""</f>
        <v/>
      </c>
      <c r="J537" s="375" t="str">
        <f>""</f>
        <v/>
      </c>
      <c r="K537" t="str">
        <f t="shared" si="30"/>
        <v/>
      </c>
    </row>
    <row r="538" spans="5:11" x14ac:dyDescent="0.3">
      <c r="E538" s="73">
        <f t="shared" si="28"/>
        <v>29</v>
      </c>
      <c r="F538" s="73" t="str">
        <f t="shared" si="29"/>
        <v/>
      </c>
      <c r="G538" s="385" t="str">
        <f>IF(H538="","",IF(G537="","Passengers",""))</f>
        <v/>
      </c>
      <c r="H538" s="12" t="str">
        <f>IF('11-Staterooms'!D42=0,"",'11-Staterooms'!D42&amp;"x Low Passage Capacity")</f>
        <v/>
      </c>
      <c r="I538" s="4" t="str">
        <f>""</f>
        <v/>
      </c>
      <c r="J538" s="262" t="str">
        <f>""</f>
        <v/>
      </c>
      <c r="K538" t="str">
        <f t="shared" si="30"/>
        <v/>
      </c>
    </row>
    <row r="539" spans="5:11" x14ac:dyDescent="0.3">
      <c r="E539" s="73">
        <f t="shared" si="28"/>
        <v>29</v>
      </c>
      <c r="F539" s="73" t="str">
        <f t="shared" si="29"/>
        <v/>
      </c>
      <c r="G539" s="388" t="str">
        <f>IF(H538="","",IF(AND(G537="",G538=""),"Passengers",""))</f>
        <v/>
      </c>
      <c r="H539" s="12" t="str">
        <f>IF('11-Staterooms'!C53=0,"",TEXT('11-Staterooms'!D53,"#,###")&amp;"x Basic PassageCapacity")</f>
        <v/>
      </c>
      <c r="K539" t="str">
        <f t="shared" si="30"/>
        <v/>
      </c>
    </row>
    <row r="540" spans="5:11" x14ac:dyDescent="0.3">
      <c r="E540" s="73">
        <f t="shared" si="28"/>
        <v>29</v>
      </c>
      <c r="F540" s="73" t="str">
        <f t="shared" si="29"/>
        <v/>
      </c>
      <c r="G540" s="385" t="str">
        <f>IF(H540="","",IF(AND(G537="",G538="",G539=""),"Passengers",""))</f>
        <v/>
      </c>
      <c r="H540" s="12" t="str">
        <f>IF(SUM('11-Staterooms'!D45:D46)=0,"",TEXT(SUM('11-Staterooms'!D45:D46),"#,###")&amp;"x Middle Passage Capacity")</f>
        <v/>
      </c>
      <c r="I540" s="4" t="str">
        <f>""</f>
        <v/>
      </c>
      <c r="J540" s="262" t="str">
        <f>""</f>
        <v/>
      </c>
      <c r="K540" t="str">
        <f t="shared" si="30"/>
        <v/>
      </c>
    </row>
    <row r="541" spans="5:11" x14ac:dyDescent="0.3">
      <c r="E541" s="73">
        <f t="shared" si="28"/>
        <v>29</v>
      </c>
      <c r="F541" s="73" t="str">
        <f t="shared" si="29"/>
        <v/>
      </c>
      <c r="G541" s="385" t="str">
        <f>IF(H541="","",IF(AND(G537="",G538="",G539="",G540=""),"Passengers",""))</f>
        <v/>
      </c>
      <c r="H541" s="12" t="str">
        <f>IF(SUM('11-Staterooms'!D47:D48)=0,"",TEXT(SUM('11-Staterooms'!D47:D48,'11-Staterooms'!D51:D52),"#,###")&amp;"x High Passage Capacity")</f>
        <v/>
      </c>
      <c r="I541" s="4" t="str">
        <f>""</f>
        <v/>
      </c>
      <c r="J541" s="262" t="str">
        <f>""</f>
        <v/>
      </c>
      <c r="K541" t="str">
        <f t="shared" si="30"/>
        <v/>
      </c>
    </row>
    <row r="542" spans="5:11" x14ac:dyDescent="0.3">
      <c r="E542" s="73">
        <f t="shared" si="28"/>
        <v>29</v>
      </c>
      <c r="F542" s="73" t="str">
        <f t="shared" si="29"/>
        <v/>
      </c>
      <c r="G542" s="385" t="str">
        <f>IF(H542="","",IF(AND(G537="",G538="",G539="",G540="",G541=""),"Passengers",""))</f>
        <v/>
      </c>
      <c r="H542" s="12" t="str">
        <f>IF(SUM('11-Staterooms'!D49:D50)=0,"",TEXT(SUM('11-Staterooms'!D49:D50),"#,###")&amp;"x Luxury Passage Capacity")</f>
        <v/>
      </c>
      <c r="I542" s="4" t="str">
        <f>""</f>
        <v/>
      </c>
      <c r="J542" s="262" t="str">
        <f>""</f>
        <v/>
      </c>
      <c r="K542" t="str">
        <f t="shared" si="30"/>
        <v/>
      </c>
    </row>
    <row r="543" spans="5:11" x14ac:dyDescent="0.3">
      <c r="E543" s="73">
        <f t="shared" si="28"/>
        <v>29</v>
      </c>
      <c r="F543" s="73" t="str">
        <f t="shared" si="29"/>
        <v/>
      </c>
      <c r="G543" s="386" t="str">
        <f>IF(H543="","",IF(AND(G537="",G538="",G539="",G540="",G541="",G542=""),"Passengers",""))</f>
        <v/>
      </c>
      <c r="H543" s="380" t="str">
        <f>IF(SUM('11-Staterooms'!D39:D50)=0,"","TOTAL PASSENGER CAPACITY: "&amp;TEXT(SUM('11-Staterooms'!D39:D50),"#,###"))</f>
        <v/>
      </c>
      <c r="I543" s="391" t="str">
        <f>""</f>
        <v/>
      </c>
      <c r="J543" s="263" t="str">
        <f>""</f>
        <v/>
      </c>
      <c r="K543" t="str">
        <f t="shared" si="30"/>
        <v/>
      </c>
    </row>
    <row r="544" spans="5:11" x14ac:dyDescent="0.3">
      <c r="E544" s="73">
        <f t="shared" si="28"/>
        <v>29</v>
      </c>
      <c r="F544" s="73" t="str">
        <f t="shared" si="29"/>
        <v/>
      </c>
      <c r="G544" s="385" t="str">
        <f>IF(H544="","","Narrative")</f>
        <v/>
      </c>
      <c r="H544" s="51" t="str">
        <f>'Ship Info'!A38</f>
        <v/>
      </c>
      <c r="I544" s="4" t="str">
        <f>""</f>
        <v/>
      </c>
      <c r="J544" s="262" t="str">
        <f>""</f>
        <v/>
      </c>
      <c r="K544" t="str">
        <f t="shared" si="30"/>
        <v/>
      </c>
    </row>
    <row r="545" spans="5:11" x14ac:dyDescent="0.3">
      <c r="E545" s="73">
        <f t="shared" si="28"/>
        <v>29</v>
      </c>
      <c r="F545" s="73" t="str">
        <f t="shared" si="29"/>
        <v/>
      </c>
      <c r="G545" s="385"/>
      <c r="H545" s="51" t="str">
        <f>'Ship Info'!A39</f>
        <v/>
      </c>
      <c r="I545" s="4" t="str">
        <f>""</f>
        <v/>
      </c>
      <c r="J545" s="262" t="str">
        <f>""</f>
        <v/>
      </c>
      <c r="K545" t="str">
        <f t="shared" si="30"/>
        <v/>
      </c>
    </row>
    <row r="546" spans="5:11" x14ac:dyDescent="0.3">
      <c r="E546" s="73">
        <f t="shared" si="28"/>
        <v>29</v>
      </c>
      <c r="F546" s="73" t="str">
        <f t="shared" si="29"/>
        <v/>
      </c>
      <c r="G546" s="385"/>
      <c r="H546" s="51" t="str">
        <f>'Ship Info'!A40</f>
        <v/>
      </c>
      <c r="I546" s="4" t="str">
        <f>""</f>
        <v/>
      </c>
      <c r="J546" s="262" t="str">
        <f>""</f>
        <v/>
      </c>
      <c r="K546" t="str">
        <f t="shared" si="30"/>
        <v/>
      </c>
    </row>
    <row r="547" spans="5:11" x14ac:dyDescent="0.3">
      <c r="E547" s="73">
        <f t="shared" si="28"/>
        <v>29</v>
      </c>
      <c r="F547" s="73" t="str">
        <f t="shared" si="29"/>
        <v/>
      </c>
      <c r="G547" s="385"/>
      <c r="H547" s="51" t="str">
        <f>'Ship Info'!A41</f>
        <v/>
      </c>
      <c r="I547" s="4" t="str">
        <f>""</f>
        <v/>
      </c>
      <c r="J547" s="262" t="str">
        <f>""</f>
        <v/>
      </c>
      <c r="K547" t="str">
        <f t="shared" si="30"/>
        <v/>
      </c>
    </row>
    <row r="548" spans="5:11" x14ac:dyDescent="0.3">
      <c r="E548" s="73">
        <f t="shared" si="28"/>
        <v>29</v>
      </c>
      <c r="F548" s="73" t="str">
        <f t="shared" si="29"/>
        <v/>
      </c>
      <c r="G548" s="385"/>
      <c r="H548" s="51" t="str">
        <f>'Ship Info'!A42</f>
        <v/>
      </c>
      <c r="I548" s="4" t="str">
        <f>""</f>
        <v/>
      </c>
      <c r="J548" s="262" t="str">
        <f>""</f>
        <v/>
      </c>
      <c r="K548" t="str">
        <f t="shared" si="30"/>
        <v/>
      </c>
    </row>
    <row r="549" spans="5:11" x14ac:dyDescent="0.3">
      <c r="E549" s="73">
        <f t="shared" si="28"/>
        <v>29</v>
      </c>
      <c r="F549" s="73" t="str">
        <f t="shared" si="29"/>
        <v/>
      </c>
      <c r="G549" s="385"/>
      <c r="H549" s="51" t="str">
        <f>'Ship Info'!A43</f>
        <v/>
      </c>
      <c r="I549" s="4" t="str">
        <f>""</f>
        <v/>
      </c>
      <c r="J549" s="262" t="str">
        <f>""</f>
        <v/>
      </c>
      <c r="K549" t="str">
        <f t="shared" si="30"/>
        <v/>
      </c>
    </row>
    <row r="550" spans="5:11" x14ac:dyDescent="0.3">
      <c r="E550" s="73">
        <f t="shared" si="28"/>
        <v>29</v>
      </c>
      <c r="F550" s="73" t="str">
        <f t="shared" si="29"/>
        <v/>
      </c>
      <c r="G550" s="385"/>
      <c r="H550" s="51" t="str">
        <f>'Ship Info'!A44</f>
        <v/>
      </c>
      <c r="I550" s="4" t="str">
        <f>""</f>
        <v/>
      </c>
      <c r="J550" s="262" t="str">
        <f>""</f>
        <v/>
      </c>
      <c r="K550" t="str">
        <f t="shared" si="30"/>
        <v/>
      </c>
    </row>
    <row r="551" spans="5:11" x14ac:dyDescent="0.3">
      <c r="E551" s="73">
        <f t="shared" si="28"/>
        <v>29</v>
      </c>
      <c r="F551" s="73" t="str">
        <f t="shared" si="29"/>
        <v/>
      </c>
      <c r="G551" s="385"/>
      <c r="H551" s="51" t="str">
        <f>'Ship Info'!A45</f>
        <v/>
      </c>
      <c r="I551" s="4" t="str">
        <f>""</f>
        <v/>
      </c>
      <c r="J551" s="262" t="str">
        <f>""</f>
        <v/>
      </c>
      <c r="K551" t="str">
        <f t="shared" si="30"/>
        <v/>
      </c>
    </row>
    <row r="552" spans="5:11" x14ac:dyDescent="0.3">
      <c r="E552" s="73">
        <f t="shared" si="28"/>
        <v>29</v>
      </c>
      <c r="F552" s="73" t="str">
        <f t="shared" si="29"/>
        <v/>
      </c>
      <c r="G552" s="385"/>
      <c r="H552" s="51" t="str">
        <f>'Ship Info'!A46</f>
        <v/>
      </c>
      <c r="I552" s="4" t="str">
        <f>""</f>
        <v/>
      </c>
      <c r="J552" s="262" t="str">
        <f>""</f>
        <v/>
      </c>
      <c r="K552" t="str">
        <f t="shared" si="30"/>
        <v/>
      </c>
    </row>
    <row r="553" spans="5:11" x14ac:dyDescent="0.3">
      <c r="E553" s="73">
        <f t="shared" si="28"/>
        <v>29</v>
      </c>
      <c r="F553" s="73" t="str">
        <f t="shared" si="29"/>
        <v/>
      </c>
      <c r="G553" s="385"/>
      <c r="H553" s="51" t="str">
        <f>'Ship Info'!A47</f>
        <v/>
      </c>
      <c r="I553" s="4" t="str">
        <f>""</f>
        <v/>
      </c>
      <c r="J553" s="262" t="str">
        <f>""</f>
        <v/>
      </c>
      <c r="K553" t="str">
        <f t="shared" si="30"/>
        <v/>
      </c>
    </row>
    <row r="554" spans="5:11" x14ac:dyDescent="0.3">
      <c r="E554" s="73">
        <f t="shared" si="28"/>
        <v>29</v>
      </c>
      <c r="F554" s="73" t="str">
        <f t="shared" si="29"/>
        <v/>
      </c>
      <c r="G554" s="385"/>
      <c r="H554" s="51" t="str">
        <f>'Ship Info'!A48</f>
        <v/>
      </c>
      <c r="I554" s="4" t="str">
        <f>""</f>
        <v/>
      </c>
      <c r="J554" s="262" t="str">
        <f>""</f>
        <v/>
      </c>
      <c r="K554" t="str">
        <f t="shared" si="30"/>
        <v/>
      </c>
    </row>
    <row r="555" spans="5:11" x14ac:dyDescent="0.3">
      <c r="E555" s="73">
        <f t="shared" si="28"/>
        <v>29</v>
      </c>
      <c r="F555" s="73" t="str">
        <f t="shared" si="29"/>
        <v/>
      </c>
      <c r="G555" s="385"/>
      <c r="H555" s="51" t="str">
        <f>'Ship Info'!A49</f>
        <v/>
      </c>
      <c r="I555" s="4" t="str">
        <f>""</f>
        <v/>
      </c>
      <c r="J555" s="262" t="str">
        <f>""</f>
        <v/>
      </c>
      <c r="K555" t="str">
        <f t="shared" si="30"/>
        <v/>
      </c>
    </row>
    <row r="556" spans="5:11" x14ac:dyDescent="0.3">
      <c r="E556" s="73">
        <f t="shared" si="28"/>
        <v>29</v>
      </c>
      <c r="F556" s="73" t="str">
        <f t="shared" si="29"/>
        <v/>
      </c>
      <c r="G556" s="385"/>
      <c r="H556" s="51" t="str">
        <f>'Ship Info'!A50</f>
        <v/>
      </c>
      <c r="I556" s="4" t="str">
        <f>""</f>
        <v/>
      </c>
      <c r="J556" s="262" t="str">
        <f>""</f>
        <v/>
      </c>
      <c r="K556" t="str">
        <f t="shared" si="30"/>
        <v/>
      </c>
    </row>
    <row r="557" spans="5:11" x14ac:dyDescent="0.3">
      <c r="E557" s="73">
        <f t="shared" ref="E557:E596" si="31">IF(H557="",E556,E556+1)</f>
        <v>29</v>
      </c>
      <c r="F557" s="73" t="str">
        <f t="shared" ref="F557:F596" si="32">IF(E557=E556,"",E557)</f>
        <v/>
      </c>
      <c r="G557" s="385"/>
      <c r="H557" s="51" t="str">
        <f>'Ship Info'!A51</f>
        <v/>
      </c>
      <c r="I557" s="4" t="str">
        <f>""</f>
        <v/>
      </c>
      <c r="J557" s="262" t="str">
        <f>""</f>
        <v/>
      </c>
      <c r="K557" t="str">
        <f t="shared" si="30"/>
        <v/>
      </c>
    </row>
    <row r="558" spans="5:11" x14ac:dyDescent="0.3">
      <c r="E558" s="73">
        <f t="shared" si="31"/>
        <v>29</v>
      </c>
      <c r="F558" s="73" t="str">
        <f t="shared" si="32"/>
        <v/>
      </c>
      <c r="G558" s="385"/>
      <c r="H558" s="51" t="str">
        <f>'Ship Info'!A52</f>
        <v/>
      </c>
      <c r="I558" s="4" t="str">
        <f>""</f>
        <v/>
      </c>
      <c r="J558" s="262" t="str">
        <f>""</f>
        <v/>
      </c>
      <c r="K558" t="str">
        <f t="shared" si="30"/>
        <v/>
      </c>
    </row>
    <row r="559" spans="5:11" x14ac:dyDescent="0.3">
      <c r="E559" s="73">
        <f t="shared" si="31"/>
        <v>29</v>
      </c>
      <c r="F559" s="73" t="str">
        <f t="shared" si="32"/>
        <v/>
      </c>
      <c r="G559" s="385"/>
      <c r="H559" s="51" t="str">
        <f>'Ship Info'!A53</f>
        <v/>
      </c>
      <c r="I559" s="4" t="str">
        <f>""</f>
        <v/>
      </c>
      <c r="J559" s="262" t="str">
        <f>""</f>
        <v/>
      </c>
      <c r="K559" t="str">
        <f t="shared" si="30"/>
        <v/>
      </c>
    </row>
    <row r="560" spans="5:11" x14ac:dyDescent="0.3">
      <c r="E560" s="73">
        <f t="shared" si="31"/>
        <v>29</v>
      </c>
      <c r="F560" s="73" t="str">
        <f t="shared" si="32"/>
        <v/>
      </c>
      <c r="G560" s="385"/>
      <c r="H560" s="51" t="str">
        <f>'Ship Info'!A54</f>
        <v/>
      </c>
      <c r="I560" s="4" t="str">
        <f>""</f>
        <v/>
      </c>
      <c r="J560" s="262" t="str">
        <f>""</f>
        <v/>
      </c>
      <c r="K560" t="str">
        <f t="shared" si="30"/>
        <v/>
      </c>
    </row>
    <row r="561" spans="5:11" x14ac:dyDescent="0.3">
      <c r="E561" s="73">
        <f t="shared" si="31"/>
        <v>29</v>
      </c>
      <c r="F561" s="73" t="str">
        <f t="shared" si="32"/>
        <v/>
      </c>
      <c r="G561" s="385"/>
      <c r="H561" s="51" t="str">
        <f>'Ship Info'!A55</f>
        <v/>
      </c>
      <c r="I561" s="4" t="str">
        <f>""</f>
        <v/>
      </c>
      <c r="J561" s="262" t="str">
        <f>""</f>
        <v/>
      </c>
      <c r="K561" t="str">
        <f t="shared" si="30"/>
        <v/>
      </c>
    </row>
    <row r="562" spans="5:11" x14ac:dyDescent="0.3">
      <c r="E562" s="73">
        <f t="shared" si="31"/>
        <v>29</v>
      </c>
      <c r="F562" s="73" t="str">
        <f t="shared" si="32"/>
        <v/>
      </c>
      <c r="G562" s="385"/>
      <c r="H562" s="51" t="str">
        <f>'Ship Info'!A56</f>
        <v/>
      </c>
      <c r="I562" s="4" t="str">
        <f>""</f>
        <v/>
      </c>
      <c r="J562" s="262" t="str">
        <f>""</f>
        <v/>
      </c>
      <c r="K562" t="str">
        <f t="shared" si="30"/>
        <v/>
      </c>
    </row>
    <row r="563" spans="5:11" x14ac:dyDescent="0.3">
      <c r="E563" s="73">
        <f t="shared" si="31"/>
        <v>29</v>
      </c>
      <c r="F563" s="73" t="str">
        <f t="shared" si="32"/>
        <v/>
      </c>
      <c r="G563" s="386"/>
      <c r="H563" s="380" t="str">
        <f>'Ship Info'!A57</f>
        <v/>
      </c>
      <c r="I563" s="391"/>
      <c r="J563" s="263"/>
      <c r="K563" t="str">
        <f t="shared" si="30"/>
        <v/>
      </c>
    </row>
    <row r="564" spans="5:11" x14ac:dyDescent="0.3">
      <c r="E564" s="73">
        <f t="shared" si="31"/>
        <v>29</v>
      </c>
      <c r="F564" s="73" t="str">
        <f t="shared" si="32"/>
        <v/>
      </c>
      <c r="G564" s="389" t="str">
        <f>IF(H564="","","Quirks")</f>
        <v/>
      </c>
      <c r="H564" s="379" t="str">
        <f>IF('Ship Info'!P31="New","","Outdated/Used Ship, Age: "&amp;'Ship Info'!P31&amp;" Years Old, "&amp;'Ship Info'!X30&amp;" Quirk(s)")</f>
        <v/>
      </c>
      <c r="I564" s="234" t="str">
        <f>""</f>
        <v/>
      </c>
      <c r="J564" s="375" t="str">
        <f>""</f>
        <v/>
      </c>
      <c r="K564" t="str">
        <f t="shared" si="30"/>
        <v/>
      </c>
    </row>
    <row r="565" spans="5:11" x14ac:dyDescent="0.3">
      <c r="E565" s="73">
        <f t="shared" si="31"/>
        <v>29</v>
      </c>
      <c r="F565" s="73" t="str">
        <f t="shared" si="32"/>
        <v/>
      </c>
      <c r="G565" s="385"/>
      <c r="H565" s="12" t="str">
        <f>IF('Ship Info'!X30&lt;1,"",'Ship Info'!O33)</f>
        <v/>
      </c>
      <c r="I565" s="4" t="str">
        <f>""</f>
        <v/>
      </c>
      <c r="J565" s="262" t="str">
        <f>""</f>
        <v/>
      </c>
      <c r="K565" t="str">
        <f t="shared" si="30"/>
        <v/>
      </c>
    </row>
    <row r="566" spans="5:11" x14ac:dyDescent="0.3">
      <c r="E566" s="73">
        <f t="shared" si="31"/>
        <v>29</v>
      </c>
      <c r="F566" s="73" t="str">
        <f t="shared" si="32"/>
        <v/>
      </c>
      <c r="G566" s="385"/>
      <c r="H566" s="12" t="str">
        <f>IF('Ship Info'!X30&lt;2,"",'Ship Info'!O34)</f>
        <v/>
      </c>
      <c r="I566" s="4" t="str">
        <f>""</f>
        <v/>
      </c>
      <c r="J566" s="262" t="str">
        <f>""</f>
        <v/>
      </c>
      <c r="K566" t="str">
        <f t="shared" si="30"/>
        <v/>
      </c>
    </row>
    <row r="567" spans="5:11" x14ac:dyDescent="0.3">
      <c r="E567" s="73">
        <f t="shared" si="31"/>
        <v>29</v>
      </c>
      <c r="F567" s="73" t="str">
        <f t="shared" si="32"/>
        <v/>
      </c>
      <c r="G567" s="385"/>
      <c r="H567" s="12" t="str">
        <f>IF('Ship Info'!X30&lt;3,"",'Ship Info'!O35)</f>
        <v/>
      </c>
      <c r="I567" s="4" t="str">
        <f>""</f>
        <v/>
      </c>
      <c r="J567" s="262" t="str">
        <f>""</f>
        <v/>
      </c>
      <c r="K567" t="str">
        <f t="shared" si="30"/>
        <v/>
      </c>
    </row>
    <row r="568" spans="5:11" x14ac:dyDescent="0.3">
      <c r="E568" s="73">
        <f t="shared" si="31"/>
        <v>29</v>
      </c>
      <c r="F568" s="73" t="str">
        <f t="shared" si="32"/>
        <v/>
      </c>
      <c r="G568" s="385"/>
      <c r="H568" s="12" t="str">
        <f>IF('Ship Info'!X30&lt;4,"",'Ship Info'!O36)</f>
        <v/>
      </c>
      <c r="I568" s="4" t="str">
        <f>""</f>
        <v/>
      </c>
      <c r="J568" s="262" t="str">
        <f>""</f>
        <v/>
      </c>
      <c r="K568" t="str">
        <f t="shared" si="30"/>
        <v/>
      </c>
    </row>
    <row r="569" spans="5:11" x14ac:dyDescent="0.3">
      <c r="E569" s="73">
        <f t="shared" si="31"/>
        <v>29</v>
      </c>
      <c r="F569" s="73" t="str">
        <f t="shared" si="32"/>
        <v/>
      </c>
      <c r="G569" s="385"/>
      <c r="H569" s="12" t="str">
        <f>IF('Ship Info'!X30&lt;5,"",'Ship Info'!O37)</f>
        <v/>
      </c>
      <c r="I569" s="4" t="str">
        <f>""</f>
        <v/>
      </c>
      <c r="J569" s="262" t="str">
        <f>""</f>
        <v/>
      </c>
      <c r="K569" t="str">
        <f t="shared" si="30"/>
        <v/>
      </c>
    </row>
    <row r="570" spans="5:11" x14ac:dyDescent="0.3">
      <c r="E570" s="73">
        <f t="shared" si="31"/>
        <v>29</v>
      </c>
      <c r="F570" s="73" t="str">
        <f t="shared" si="32"/>
        <v/>
      </c>
      <c r="G570" s="385"/>
      <c r="H570" s="12" t="str">
        <f>IF('Ship Info'!X30&lt;6,"",'Ship Info'!O58)</f>
        <v/>
      </c>
      <c r="I570" s="4" t="str">
        <f>""</f>
        <v/>
      </c>
      <c r="J570" s="262" t="str">
        <f>""</f>
        <v/>
      </c>
      <c r="K570" t="str">
        <f t="shared" si="30"/>
        <v/>
      </c>
    </row>
    <row r="571" spans="5:11" x14ac:dyDescent="0.3">
      <c r="E571" s="73">
        <f t="shared" si="31"/>
        <v>29</v>
      </c>
      <c r="F571" s="73" t="str">
        <f t="shared" si="32"/>
        <v/>
      </c>
      <c r="G571" s="385"/>
      <c r="H571" s="12" t="str">
        <f>IF('Ship Info'!X30&lt;7,"",'Ship Info'!O59)</f>
        <v/>
      </c>
      <c r="I571" s="4" t="str">
        <f>""</f>
        <v/>
      </c>
      <c r="J571" s="262" t="str">
        <f>""</f>
        <v/>
      </c>
      <c r="K571" t="str">
        <f t="shared" si="30"/>
        <v/>
      </c>
    </row>
    <row r="572" spans="5:11" x14ac:dyDescent="0.3">
      <c r="E572" s="73">
        <f t="shared" si="31"/>
        <v>29</v>
      </c>
      <c r="F572" s="73" t="str">
        <f t="shared" si="32"/>
        <v/>
      </c>
      <c r="G572" s="385"/>
      <c r="H572" s="12" t="str">
        <f>IF('Ship Info'!X30&lt;8,"",'Ship Info'!O60)</f>
        <v/>
      </c>
      <c r="I572" s="4" t="str">
        <f>""</f>
        <v/>
      </c>
      <c r="J572" s="262" t="str">
        <f>""</f>
        <v/>
      </c>
      <c r="K572" t="str">
        <f t="shared" si="30"/>
        <v/>
      </c>
    </row>
    <row r="573" spans="5:11" x14ac:dyDescent="0.3">
      <c r="E573" s="73">
        <f t="shared" si="31"/>
        <v>29</v>
      </c>
      <c r="F573" s="73" t="str">
        <f t="shared" si="32"/>
        <v/>
      </c>
      <c r="G573" s="385"/>
      <c r="H573" s="12" t="str">
        <f>IF('Ship Info'!X30&lt;9,"",'Ship Info'!O61)</f>
        <v/>
      </c>
      <c r="I573" s="4" t="str">
        <f>""</f>
        <v/>
      </c>
      <c r="J573" s="262" t="str">
        <f>""</f>
        <v/>
      </c>
      <c r="K573" t="str">
        <f t="shared" si="30"/>
        <v/>
      </c>
    </row>
    <row r="574" spans="5:11" x14ac:dyDescent="0.3">
      <c r="E574" s="73">
        <f t="shared" si="31"/>
        <v>29</v>
      </c>
      <c r="F574" s="73" t="str">
        <f t="shared" si="32"/>
        <v/>
      </c>
      <c r="G574" s="385"/>
      <c r="H574" s="12" t="str">
        <f>IF('Ship Info'!X30&lt;10,"",'Ship Info'!O62)</f>
        <v/>
      </c>
      <c r="I574" s="4" t="str">
        <f>""</f>
        <v/>
      </c>
      <c r="J574" s="262" t="str">
        <f>""</f>
        <v/>
      </c>
      <c r="K574" t="str">
        <f t="shared" si="30"/>
        <v/>
      </c>
    </row>
    <row r="575" spans="5:11" x14ac:dyDescent="0.3">
      <c r="E575" s="73">
        <f t="shared" si="31"/>
        <v>29</v>
      </c>
      <c r="F575" s="73" t="str">
        <f t="shared" si="32"/>
        <v/>
      </c>
      <c r="G575" s="385" t="str">
        <f>IF(H575="","",IF(H564="","Quirks"))</f>
        <v/>
      </c>
      <c r="H575" s="12" t="str">
        <f>IF('Ship Info'!K63="No","",IF('Ship Info'!O63=OR(0,""),"",'Ship Info'!O63))</f>
        <v/>
      </c>
      <c r="I575" s="4" t="str">
        <f>""</f>
        <v/>
      </c>
      <c r="J575" s="262" t="str">
        <f>""</f>
        <v/>
      </c>
      <c r="K575" t="str">
        <f t="shared" si="30"/>
        <v/>
      </c>
    </row>
    <row r="576" spans="5:11" x14ac:dyDescent="0.3">
      <c r="E576" s="73">
        <f t="shared" si="31"/>
        <v>29</v>
      </c>
      <c r="F576" s="73" t="str">
        <f t="shared" si="32"/>
        <v/>
      </c>
      <c r="G576" s="386" t="str">
        <f>IF(H576="","",IF(AND(G564="",G575=""),"Quirks",""))</f>
        <v/>
      </c>
      <c r="H576" s="380" t="str">
        <f>IF('Ship Info'!K63="No","",IF('Ship Info'!O64=OR(0,""),"",'Ship Info'!O64))</f>
        <v/>
      </c>
      <c r="I576" s="391" t="str">
        <f>""</f>
        <v/>
      </c>
      <c r="J576" s="263" t="str">
        <f>""</f>
        <v/>
      </c>
      <c r="K576" t="str">
        <f t="shared" si="30"/>
        <v/>
      </c>
    </row>
    <row r="577" spans="5:11" x14ac:dyDescent="0.3">
      <c r="E577" s="73">
        <f t="shared" si="31"/>
        <v>29</v>
      </c>
      <c r="F577" s="73" t="str">
        <f t="shared" si="32"/>
        <v/>
      </c>
      <c r="K577" t="str">
        <f t="shared" si="30"/>
        <v/>
      </c>
    </row>
    <row r="578" spans="5:11" x14ac:dyDescent="0.3">
      <c r="E578" s="73">
        <f t="shared" si="31"/>
        <v>29</v>
      </c>
      <c r="F578" s="73" t="str">
        <f t="shared" si="32"/>
        <v/>
      </c>
      <c r="K578" t="str">
        <f t="shared" si="30"/>
        <v/>
      </c>
    </row>
    <row r="579" spans="5:11" x14ac:dyDescent="0.3">
      <c r="E579" s="73">
        <f t="shared" si="31"/>
        <v>29</v>
      </c>
      <c r="F579" s="73" t="str">
        <f t="shared" si="32"/>
        <v/>
      </c>
      <c r="K579" t="str">
        <f t="shared" si="30"/>
        <v/>
      </c>
    </row>
    <row r="580" spans="5:11" x14ac:dyDescent="0.3">
      <c r="E580" s="73">
        <f t="shared" si="31"/>
        <v>29</v>
      </c>
      <c r="F580" s="73" t="str">
        <f t="shared" si="32"/>
        <v/>
      </c>
      <c r="K580" t="str">
        <f t="shared" si="30"/>
        <v/>
      </c>
    </row>
    <row r="581" spans="5:11" x14ac:dyDescent="0.3">
      <c r="E581" s="73">
        <f t="shared" si="31"/>
        <v>29</v>
      </c>
      <c r="F581" s="73" t="str">
        <f t="shared" si="32"/>
        <v/>
      </c>
      <c r="K581" t="str">
        <f t="shared" ref="K581:K596" si="33">IF(B581="","",IF(A581="",K580,K580+1))</f>
        <v/>
      </c>
    </row>
    <row r="582" spans="5:11" x14ac:dyDescent="0.3">
      <c r="E582" s="73">
        <f t="shared" si="31"/>
        <v>29</v>
      </c>
      <c r="F582" s="73" t="str">
        <f t="shared" si="32"/>
        <v/>
      </c>
      <c r="G582" s="502" t="str">
        <f t="shared" ref="G582" si="34">IF(H582="","","ERROR")</f>
        <v/>
      </c>
      <c r="H582" s="503" t="str">
        <f>IF('Ship Info'!C58="No","",IF('1-Hull'!T81=0,"","HULL ERROR"))</f>
        <v/>
      </c>
      <c r="I582" s="4" t="str">
        <f>IF('1-Hull'!H6&lt;0,'1-Hull'!H6,"")</f>
        <v/>
      </c>
      <c r="J582" s="4" t="str">
        <f>IF('1-Hull'!H6&lt;0," Available","")</f>
        <v/>
      </c>
      <c r="K582" t="str">
        <f t="shared" si="33"/>
        <v/>
      </c>
    </row>
    <row r="583" spans="5:11" x14ac:dyDescent="0.3">
      <c r="E583" s="73">
        <f t="shared" si="31"/>
        <v>29</v>
      </c>
      <c r="F583" s="73" t="str">
        <f t="shared" si="32"/>
        <v/>
      </c>
      <c r="G583" s="502" t="str">
        <f t="shared" ref="G583:G592" si="35">IF(H583="","","ERROR")</f>
        <v/>
      </c>
      <c r="H583" s="503" t="str">
        <f>IF('Ship Info'!C58="No","",IF('2-Drives'!T72=0,"","DRIVE ERROR"))</f>
        <v/>
      </c>
      <c r="I583" s="504" t="str">
        <f>""</f>
        <v/>
      </c>
      <c r="J583" s="504" t="str">
        <f>""</f>
        <v/>
      </c>
      <c r="K583" t="str">
        <f t="shared" si="33"/>
        <v/>
      </c>
    </row>
    <row r="584" spans="5:11" x14ac:dyDescent="0.3">
      <c r="E584" s="73">
        <f t="shared" si="31"/>
        <v>29</v>
      </c>
      <c r="F584" s="73" t="str">
        <f t="shared" si="32"/>
        <v/>
      </c>
      <c r="G584" s="388" t="str">
        <f t="shared" si="35"/>
        <v/>
      </c>
      <c r="H584" s="12" t="str">
        <f>IF('Ship Info'!C58="No","",IF('3-Pwr Plant'!T43=0,"","POWER PLANT ERROR"))</f>
        <v/>
      </c>
      <c r="I584" s="4" t="str">
        <f>""</f>
        <v/>
      </c>
      <c r="J584" s="4" t="str">
        <f>""</f>
        <v/>
      </c>
      <c r="K584" t="str">
        <f t="shared" si="33"/>
        <v/>
      </c>
    </row>
    <row r="585" spans="5:11" x14ac:dyDescent="0.3">
      <c r="E585" s="73">
        <f t="shared" si="31"/>
        <v>29</v>
      </c>
      <c r="F585" s="73" t="str">
        <f t="shared" si="32"/>
        <v/>
      </c>
      <c r="G585" s="388" t="str">
        <f t="shared" si="35"/>
        <v/>
      </c>
      <c r="H585" s="12" t="str">
        <f>IF('Ship Info'!C58="No","",IF('4-Fuel'!T29=0,"","FUEL ERROR"))</f>
        <v/>
      </c>
      <c r="I585" s="4" t="str">
        <f>""</f>
        <v/>
      </c>
      <c r="J585" s="4" t="str">
        <f>""</f>
        <v/>
      </c>
      <c r="K585" t="str">
        <f t="shared" si="33"/>
        <v/>
      </c>
    </row>
    <row r="586" spans="5:11" x14ac:dyDescent="0.3">
      <c r="E586" s="73">
        <f t="shared" si="31"/>
        <v>29</v>
      </c>
      <c r="F586" s="73" t="str">
        <f t="shared" si="32"/>
        <v/>
      </c>
      <c r="G586" s="388" t="str">
        <f t="shared" si="35"/>
        <v/>
      </c>
      <c r="H586" s="12" t="str">
        <f>IF('Ship Info'!C58="No","",IF('5-Bridge'!T40=0,"","BRIDGE ERROR"))</f>
        <v/>
      </c>
      <c r="I586" s="4" t="str">
        <f>""</f>
        <v/>
      </c>
      <c r="J586" s="4" t="str">
        <f>""</f>
        <v/>
      </c>
      <c r="K586" t="str">
        <f t="shared" si="33"/>
        <v/>
      </c>
    </row>
    <row r="587" spans="5:11" x14ac:dyDescent="0.3">
      <c r="E587" s="73">
        <f t="shared" si="31"/>
        <v>29</v>
      </c>
      <c r="F587" s="73" t="str">
        <f t="shared" si="32"/>
        <v/>
      </c>
      <c r="G587" s="388" t="str">
        <f t="shared" si="35"/>
        <v/>
      </c>
      <c r="H587" s="12" t="str">
        <f>IF('Ship Info'!C58="No","",IF('6-Comp'!Y20=0,"","COMPUTER ERROR"))</f>
        <v/>
      </c>
      <c r="I587" s="4" t="str">
        <f>""</f>
        <v/>
      </c>
      <c r="J587" s="4" t="str">
        <f>""</f>
        <v/>
      </c>
      <c r="K587" t="str">
        <f t="shared" si="33"/>
        <v/>
      </c>
    </row>
    <row r="588" spans="5:11" x14ac:dyDescent="0.3">
      <c r="E588" s="73">
        <f t="shared" si="31"/>
        <v>29</v>
      </c>
      <c r="F588" s="73" t="str">
        <f t="shared" si="32"/>
        <v/>
      </c>
      <c r="G588" s="388" t="str">
        <f t="shared" si="35"/>
        <v/>
      </c>
      <c r="H588" s="12" t="str">
        <f>IF('Ship Info'!C58="No","",IF('7-Sensors'!Y14=0,"","SENSORS ERROR"))</f>
        <v/>
      </c>
      <c r="I588" s="4" t="str">
        <f>""</f>
        <v/>
      </c>
      <c r="J588" s="4" t="str">
        <f>""</f>
        <v/>
      </c>
      <c r="K588" t="str">
        <f t="shared" si="33"/>
        <v/>
      </c>
    </row>
    <row r="589" spans="5:11" x14ac:dyDescent="0.3">
      <c r="E589" s="73">
        <f t="shared" si="31"/>
        <v>29</v>
      </c>
      <c r="F589" s="73" t="str">
        <f t="shared" si="32"/>
        <v/>
      </c>
      <c r="G589" s="388" t="str">
        <f t="shared" si="35"/>
        <v/>
      </c>
      <c r="H589" s="12" t="str">
        <f>IF('Ship Info'!C58="No","",IF('8a-Weapons'!W55=0,"","WEAPONS ERROR"))</f>
        <v/>
      </c>
      <c r="I589" s="4" t="str">
        <f>""</f>
        <v/>
      </c>
      <c r="J589" s="4" t="str">
        <f>""</f>
        <v/>
      </c>
      <c r="K589" t="str">
        <f t="shared" si="33"/>
        <v/>
      </c>
    </row>
    <row r="590" spans="5:11" x14ac:dyDescent="0.3">
      <c r="E590" s="73">
        <f t="shared" si="31"/>
        <v>29</v>
      </c>
      <c r="F590" s="73" t="str">
        <f t="shared" si="32"/>
        <v/>
      </c>
      <c r="G590" s="388" t="str">
        <f t="shared" si="35"/>
        <v/>
      </c>
      <c r="H590" s="12" t="str">
        <f>IF('Ship Info'!C58="No","",IF('8b-Screens'!T52=0,"","SCREENS ERROR"))</f>
        <v/>
      </c>
      <c r="I590" s="4" t="str">
        <f>""</f>
        <v/>
      </c>
      <c r="J590" s="4" t="str">
        <f>""</f>
        <v/>
      </c>
      <c r="K590" t="str">
        <f t="shared" si="33"/>
        <v/>
      </c>
    </row>
    <row r="591" spans="5:11" x14ac:dyDescent="0.3">
      <c r="E591" s="73">
        <f t="shared" si="31"/>
        <v>29</v>
      </c>
      <c r="F591" s="73" t="str">
        <f t="shared" si="32"/>
        <v/>
      </c>
      <c r="G591" s="388" t="str">
        <f t="shared" si="35"/>
        <v/>
      </c>
      <c r="H591" s="12" t="str">
        <f>IF('Ship Info'!C58="No","",IF('9a-Optional'!AJ28=0,"","9a-OPTIONAL ERROR"))</f>
        <v/>
      </c>
      <c r="I591" s="4" t="str">
        <f>""</f>
        <v/>
      </c>
      <c r="J591" s="4" t="str">
        <f>""</f>
        <v/>
      </c>
      <c r="K591" t="str">
        <f t="shared" si="33"/>
        <v/>
      </c>
    </row>
    <row r="592" spans="5:11" x14ac:dyDescent="0.3">
      <c r="E592" s="73">
        <f t="shared" si="31"/>
        <v>29</v>
      </c>
      <c r="F592" s="73" t="str">
        <f t="shared" si="32"/>
        <v/>
      </c>
      <c r="G592" s="388" t="str">
        <f t="shared" si="35"/>
        <v/>
      </c>
      <c r="H592" s="12" t="str">
        <f>IF('Ship Info'!C58="No","",IF('9b-Optional'!T22=0,"","9b-OPTIONAL ERROR"))</f>
        <v/>
      </c>
      <c r="I592" s="4" t="str">
        <f>""</f>
        <v/>
      </c>
      <c r="J592" s="4" t="str">
        <f>""</f>
        <v/>
      </c>
      <c r="K592" t="str">
        <f t="shared" si="33"/>
        <v/>
      </c>
    </row>
    <row r="593" spans="5:11" x14ac:dyDescent="0.3">
      <c r="E593" s="73">
        <f t="shared" si="31"/>
        <v>29</v>
      </c>
      <c r="F593" s="73" t="str">
        <f t="shared" si="32"/>
        <v/>
      </c>
      <c r="G593" s="388" t="str">
        <f t="shared" ref="G593:G595" si="36">IF(H593="","","ERROR")</f>
        <v/>
      </c>
      <c r="H593" s="12" t="str">
        <f>IF('Ship Info'!C58="No","",IF('10-Crew'!W44&gt;0,"CREW TAB ERROR",""))</f>
        <v/>
      </c>
      <c r="K593" t="str">
        <f t="shared" si="33"/>
        <v/>
      </c>
    </row>
    <row r="594" spans="5:11" x14ac:dyDescent="0.3">
      <c r="E594" s="73">
        <f t="shared" si="31"/>
        <v>30</v>
      </c>
      <c r="F594" s="73">
        <f t="shared" si="32"/>
        <v>30</v>
      </c>
      <c r="G594" s="388" t="str">
        <f t="shared" si="36"/>
        <v>ERROR</v>
      </c>
      <c r="H594" s="12" t="str">
        <f>IF('Ship Info'!C58="No","",IF('11-Staterooms'!T88=0,"","CREW/STATEROOMS ERROR"))</f>
        <v>CREW/STATEROOMS ERROR</v>
      </c>
      <c r="I594" s="4" t="str">
        <f>""</f>
        <v/>
      </c>
      <c r="J594" s="4" t="str">
        <f>""</f>
        <v/>
      </c>
      <c r="K594" t="str">
        <f t="shared" si="33"/>
        <v/>
      </c>
    </row>
    <row r="595" spans="5:11" x14ac:dyDescent="0.3">
      <c r="E595" s="73">
        <f t="shared" si="31"/>
        <v>30</v>
      </c>
      <c r="F595" s="73" t="str">
        <f t="shared" si="32"/>
        <v/>
      </c>
      <c r="G595" s="573" t="str">
        <f t="shared" si="36"/>
        <v/>
      </c>
      <c r="H595" s="380" t="str">
        <f>IF('Ship Info'!C58="No","",IF('12-Cargo'!T47=0,"","CARGO TAB ERROR"))</f>
        <v/>
      </c>
      <c r="I595" s="391" t="str">
        <f>""</f>
        <v/>
      </c>
      <c r="J595" s="391" t="str">
        <f>""</f>
        <v/>
      </c>
      <c r="K595" t="str">
        <f t="shared" si="33"/>
        <v/>
      </c>
    </row>
    <row r="596" spans="5:11" x14ac:dyDescent="0.3">
      <c r="E596" s="73">
        <f t="shared" si="31"/>
        <v>30</v>
      </c>
      <c r="F596" s="73" t="str">
        <f t="shared" si="32"/>
        <v/>
      </c>
      <c r="K596" t="str">
        <f t="shared" si="33"/>
        <v/>
      </c>
    </row>
  </sheetData>
  <sheetProtection algorithmName="SHA-512" hashValue="rUoOudoZTQL7bmiF9baYxnasUhL9znUO6yj6N+258VymYo4b0dtK7Isg59FEV/KcuGdGypxK0Zln8RF1fIDEJw==" saltValue="jEHyyWAjPHP9y1jte/vv6A==" spinCount="100000" sheet="1" objects="1" scenarios="1"/>
  <mergeCells count="2">
    <mergeCell ref="A1:B1"/>
    <mergeCell ref="A2:B2"/>
  </mergeCells>
  <conditionalFormatting sqref="A1:A1048576">
    <cfRule type="expression" dxfId="894" priority="3343" stopIfTrue="1">
      <formula>AND(A1="Staterooms",$G$594="ERROR")</formula>
    </cfRule>
    <cfRule type="expression" dxfId="893" priority="3344" stopIfTrue="1">
      <formula>AND(A1="Systems",$G$592="ERROR")</formula>
    </cfRule>
    <cfRule type="expression" dxfId="892" priority="3345" stopIfTrue="1">
      <formula>AND(A1="Systems",$G$591="ERROR")</formula>
    </cfRule>
    <cfRule type="expression" dxfId="891" priority="3346" stopIfTrue="1">
      <formula>AND(A1="Screens",$G$590="ERROR")</formula>
    </cfRule>
    <cfRule type="expression" dxfId="890" priority="3347" stopIfTrue="1">
      <formula>AND(A1="Weapons",$G$589="ERROR")</formula>
    </cfRule>
    <cfRule type="expression" dxfId="889" priority="3348" stopIfTrue="1">
      <formula>AND(A1="Sensors",$G$588="ERROR")</formula>
    </cfRule>
    <cfRule type="expression" dxfId="888" priority="3349" stopIfTrue="1">
      <formula>AND(A1="Computer",$G$587="ERROR")</formula>
    </cfRule>
    <cfRule type="expression" dxfId="887" priority="3350" stopIfTrue="1">
      <formula>AND(A1="Bridge",$G$586="ERROR")</formula>
    </cfRule>
    <cfRule type="expression" dxfId="886" priority="3351" stopIfTrue="1">
      <formula>AND(A1="Power Plant",$G$584="ERROR")</formula>
    </cfRule>
    <cfRule type="expression" dxfId="885" priority="3352" stopIfTrue="1">
      <formula>AND(A1="Fuel",$G$585="ERROR")</formula>
    </cfRule>
    <cfRule type="expression" dxfId="884" priority="3353" stopIfTrue="1">
      <formula>AND(RIGHT(A1,5)="Drive",$G$583="ERROR")</formula>
    </cfRule>
    <cfRule type="expression" dxfId="883" priority="3354" stopIfTrue="1">
      <formula>$A1="ERROR"</formula>
    </cfRule>
    <cfRule type="expression" dxfId="882" priority="3355" stopIfTrue="1">
      <formula>AND(A1="Hull",#REF!="ERROR")</formula>
    </cfRule>
  </conditionalFormatting>
  <conditionalFormatting sqref="A1:D1048576">
    <cfRule type="expression" dxfId="880" priority="4">
      <formula>$A1&lt;&gt;""</formula>
    </cfRule>
  </conditionalFormatting>
  <conditionalFormatting sqref="A3:D584">
    <cfRule type="expression" dxfId="879" priority="1">
      <formula>AND($K3&lt;&gt;0,$K$2="On",ISODD($K3))</formula>
    </cfRule>
  </conditionalFormatting>
  <conditionalFormatting sqref="B3:B416">
    <cfRule type="expression" priority="3357">
      <formula>$B1048166=$H$485</formula>
    </cfRule>
  </conditionalFormatting>
  <conditionalFormatting sqref="G1:G3 G6:G14 G16:G23 G25:G27 G29:G30 G32:G42 G45:G47 G49:G87 G89:G210 G212:G222 G225:G237 G244:G291 G295:G335 G346:G359 G363 G365:G372 G374:G376 G439:G483 G494:G522 G525:G536 G538 G540:G561 G564:G1048576">
    <cfRule type="expression" dxfId="878" priority="29">
      <formula>$G1="ERROR"</formula>
    </cfRule>
  </conditionalFormatting>
  <pageMargins left="0.2" right="0.2" top="0.25" bottom="0.25" header="0" footer="0"/>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 id="{2A8B3948-1A75-4B85-8B36-14CCF23DEA40}">
            <xm:f>'Ship Info'!$C$60="No"</xm:f>
            <x14:dxf>
              <border>
                <left/>
                <right/>
                <top/>
                <bottom/>
                <vertical/>
                <horizontal/>
              </border>
            </x14:dxf>
          </x14:cfRule>
          <xm:sqref>A1:D340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D4AD-13AC-4211-845E-A06DA289BBC7}">
  <dimension ref="A1:AA53"/>
  <sheetViews>
    <sheetView workbookViewId="0">
      <selection activeCell="G13" sqref="G13"/>
    </sheetView>
  </sheetViews>
  <sheetFormatPr defaultRowHeight="14.4" x14ac:dyDescent="0.3"/>
  <cols>
    <col min="1" max="1" width="31" customWidth="1"/>
    <col min="2" max="2" width="17.33203125" customWidth="1"/>
    <col min="3" max="3" width="17.88671875" customWidth="1"/>
    <col min="4" max="4" width="27.33203125" customWidth="1"/>
    <col min="5" max="5" width="21.6640625" customWidth="1"/>
    <col min="6" max="6" width="4" customWidth="1"/>
    <col min="7" max="7" width="21.6640625" customWidth="1"/>
    <col min="8" max="8" width="14.6640625" customWidth="1"/>
    <col min="10" max="10" width="10.5546875" customWidth="1"/>
    <col min="11" max="11" width="14.33203125" customWidth="1"/>
    <col min="14" max="14" width="11.33203125" customWidth="1"/>
    <col min="15" max="15" width="11" customWidth="1"/>
    <col min="16" max="17" width="10.109375" bestFit="1" customWidth="1"/>
    <col min="18" max="18" width="12" customWidth="1"/>
    <col min="19" max="19" width="14.44140625" customWidth="1"/>
    <col min="20" max="20" width="9.109375" customWidth="1"/>
    <col min="21" max="25" width="9.109375" hidden="1" customWidth="1"/>
    <col min="26" max="27" width="0" hidden="1" customWidth="1"/>
  </cols>
  <sheetData>
    <row r="1" spans="1:27" ht="15" thickBot="1" x14ac:dyDescent="0.35">
      <c r="A1" s="751" t="s">
        <v>1779</v>
      </c>
      <c r="B1" s="752"/>
      <c r="C1" s="753"/>
      <c r="E1" s="743" t="s">
        <v>2502</v>
      </c>
      <c r="F1" s="744"/>
      <c r="G1" s="744"/>
      <c r="H1" s="745"/>
      <c r="J1" s="743" t="s">
        <v>2503</v>
      </c>
      <c r="K1" s="744"/>
      <c r="L1" s="744"/>
      <c r="M1" s="745"/>
      <c r="U1" t="s">
        <v>2490</v>
      </c>
      <c r="AA1" s="9" t="s">
        <v>2212</v>
      </c>
    </row>
    <row r="2" spans="1:27" ht="15" thickBot="1" x14ac:dyDescent="0.35">
      <c r="A2" s="610"/>
      <c r="B2" s="749"/>
      <c r="C2" s="750"/>
      <c r="E2" s="44"/>
      <c r="H2" s="629"/>
      <c r="J2" s="78"/>
      <c r="M2" s="46"/>
    </row>
    <row r="3" spans="1:27" ht="15" thickBot="1" x14ac:dyDescent="0.35">
      <c r="A3" s="458" t="s">
        <v>1778</v>
      </c>
      <c r="B3" s="748">
        <f>'Ship Info'!B24</f>
        <v>25737.5</v>
      </c>
      <c r="C3" s="748"/>
      <c r="E3" s="193" t="str">
        <f>IF(E4&lt;0,"Loss","Profit")</f>
        <v>Loss</v>
      </c>
      <c r="F3" s="1"/>
      <c r="G3" s="7" t="s">
        <v>2491</v>
      </c>
      <c r="H3" s="607">
        <v>7</v>
      </c>
      <c r="J3" s="78"/>
      <c r="K3" s="7" t="s">
        <v>2504</v>
      </c>
      <c r="L3" s="607">
        <v>14</v>
      </c>
      <c r="M3" s="46"/>
    </row>
    <row r="4" spans="1:27" ht="15" thickBot="1" x14ac:dyDescent="0.35">
      <c r="A4" s="458" t="s">
        <v>636</v>
      </c>
      <c r="B4" s="748">
        <f>'Ship Info'!B25</f>
        <v>515</v>
      </c>
      <c r="C4" s="748"/>
      <c r="E4" s="624">
        <f>H6+H7</f>
        <v>-45252.5</v>
      </c>
      <c r="F4" s="284"/>
      <c r="G4" s="7" t="s">
        <v>2492</v>
      </c>
      <c r="H4" s="630">
        <f>28/(7+H3)</f>
        <v>2</v>
      </c>
      <c r="J4" s="78"/>
      <c r="K4" s="7" t="s">
        <v>2505</v>
      </c>
      <c r="L4" s="607">
        <v>1</v>
      </c>
      <c r="M4" s="46"/>
    </row>
    <row r="5" spans="1:27" x14ac:dyDescent="0.3">
      <c r="A5" s="459" t="s">
        <v>1780</v>
      </c>
      <c r="B5" s="748">
        <f>'Ship Info'!B26</f>
        <v>0</v>
      </c>
      <c r="C5" s="748"/>
      <c r="E5" s="78"/>
      <c r="H5" s="46"/>
      <c r="J5" s="78"/>
      <c r="M5" s="46"/>
    </row>
    <row r="6" spans="1:27" ht="15" thickBot="1" x14ac:dyDescent="0.35">
      <c r="A6" s="459" t="s">
        <v>1781</v>
      </c>
      <c r="B6" s="748">
        <f>'10-Crew'!G32</f>
        <v>19000</v>
      </c>
      <c r="C6" s="748"/>
      <c r="E6" s="628"/>
      <c r="G6" s="7" t="s">
        <v>2493</v>
      </c>
      <c r="H6" s="631">
        <f>D40*H4</f>
        <v>0</v>
      </c>
      <c r="J6" s="78"/>
      <c r="K6" s="7" t="s">
        <v>2506</v>
      </c>
      <c r="L6" s="746">
        <f>L4*D40</f>
        <v>0</v>
      </c>
      <c r="M6" s="747"/>
    </row>
    <row r="7" spans="1:27" ht="15" thickBot="1" x14ac:dyDescent="0.35">
      <c r="A7" s="459" t="s">
        <v>2496</v>
      </c>
      <c r="B7" s="748">
        <f>IF(E7="No",0,IF(E7="Unrefined",('4-Fuel'!H9*Profitability!H4+('4-Fuel'!H10/'4-Fuel'!C10)*4)*100,(('4-Fuel'!H9+E8+('4-Fuel'!H10/'4-Fuel'!C10)*4)*Profitability!H4)*500))</f>
        <v>0</v>
      </c>
      <c r="C7" s="748"/>
      <c r="D7" s="7" t="s">
        <v>2494</v>
      </c>
      <c r="E7" s="625" t="s">
        <v>92</v>
      </c>
      <c r="F7" s="455"/>
      <c r="G7" s="74" t="s">
        <v>2495</v>
      </c>
      <c r="H7" s="632">
        <f>('Ship Info'!B29*-1)-E8</f>
        <v>-45252.5</v>
      </c>
      <c r="J7" s="78"/>
      <c r="K7" s="7" t="s">
        <v>2507</v>
      </c>
      <c r="L7" s="741">
        <f>-1*L3*B8/28</f>
        <v>-22626.25</v>
      </c>
      <c r="M7" s="742"/>
    </row>
    <row r="8" spans="1:27" ht="16.2" thickBot="1" x14ac:dyDescent="0.35">
      <c r="A8" s="460" t="s">
        <v>1782</v>
      </c>
      <c r="B8" s="754">
        <f>SUM(B3:B7)</f>
        <v>45252.5</v>
      </c>
      <c r="C8" s="755"/>
      <c r="D8" s="7" t="s">
        <v>2512</v>
      </c>
      <c r="E8" s="507">
        <v>0</v>
      </c>
      <c r="J8" s="86"/>
      <c r="K8" s="633" t="str">
        <f>IF(L8&lt;0,"Loss:","Profit:")</f>
        <v>Loss:</v>
      </c>
      <c r="L8" s="741">
        <f>L6+L7</f>
        <v>-22626.25</v>
      </c>
      <c r="M8" s="742"/>
    </row>
    <row r="9" spans="1:27" x14ac:dyDescent="0.3">
      <c r="H9" s="7" t="s">
        <v>2540</v>
      </c>
      <c r="J9" s="738" t="s">
        <v>2508</v>
      </c>
      <c r="K9" s="738"/>
    </row>
    <row r="10" spans="1:27" x14ac:dyDescent="0.3">
      <c r="B10" t="s">
        <v>2419</v>
      </c>
      <c r="E10" s="738" t="s">
        <v>419</v>
      </c>
      <c r="F10" s="738"/>
      <c r="G10" s="738"/>
      <c r="H10" s="738" t="s">
        <v>2511</v>
      </c>
      <c r="I10" s="738"/>
      <c r="J10" s="738" t="s">
        <v>2511</v>
      </c>
      <c r="K10" s="738"/>
      <c r="M10" t="s">
        <v>2427</v>
      </c>
    </row>
    <row r="11" spans="1:27" ht="15" thickBot="1" x14ac:dyDescent="0.35">
      <c r="A11" s="1" t="s">
        <v>588</v>
      </c>
      <c r="B11" s="1" t="s">
        <v>110</v>
      </c>
      <c r="C11" s="1" t="s">
        <v>2427</v>
      </c>
      <c r="D11" s="1" t="s">
        <v>2428</v>
      </c>
      <c r="E11" s="1" t="s">
        <v>1039</v>
      </c>
      <c r="F11" s="1"/>
      <c r="G11" s="1" t="s">
        <v>27</v>
      </c>
      <c r="H11" s="738" t="s">
        <v>2510</v>
      </c>
      <c r="I11" s="738"/>
      <c r="J11" s="738" t="s">
        <v>2510</v>
      </c>
      <c r="K11" s="738"/>
      <c r="M11">
        <v>0</v>
      </c>
      <c r="N11">
        <v>1</v>
      </c>
      <c r="O11">
        <v>2</v>
      </c>
      <c r="P11">
        <v>3</v>
      </c>
      <c r="Q11">
        <v>4</v>
      </c>
      <c r="R11">
        <v>5</v>
      </c>
      <c r="S11">
        <v>6</v>
      </c>
    </row>
    <row r="12" spans="1:27" ht="15" thickBot="1" x14ac:dyDescent="0.35">
      <c r="A12" s="3" t="s">
        <v>2420</v>
      </c>
      <c r="B12" s="219">
        <v>0</v>
      </c>
      <c r="C12" s="607">
        <v>0</v>
      </c>
      <c r="D12" s="4">
        <f>B12*INDEX(M11:S14,2,MATCH(C12,M11:S11,0))</f>
        <v>0</v>
      </c>
      <c r="E12" s="10" t="e">
        <f>G12-B12-B13-B14</f>
        <v>#N/A</v>
      </c>
      <c r="F12" s="266" t="s">
        <v>2454</v>
      </c>
      <c r="G12" s="10" t="e">
        <f>IF(C12 &gt; '2-Drives'!D29, 0,
   ('12-Cargo'!C18 * '12-Cargo'!D18) +
   ('12-Cargo'!C22 * '12-Cargo'!D22) +
   ('12-Cargo'!C26 * '12-Cargo'!D26) +
   '12-Cargo'!D30 +
   '12-Cargo'!D32 +
   IF(SUM(B19:B36)=0, '12-Cargo'!C35, 0) +
   IF(AND(C12 &lt;&gt; '4-Fuel'!B9, '4-Fuel'!B29 &gt; 0), ('4-Fuel'!B9 - C12) * '4-Fuel'!C29, 0) +
   J12 + H12 +
   MIN('12-Cargo'!D11 + '12-Cargo'!D13, ABS(HLOOKUP(C12, '2-Drives'!$BC$8:$BT$14, 7, FALSE)) - '1-Hull'!B4)
)</f>
        <v>#N/A</v>
      </c>
      <c r="H12" s="734">
        <f>SUMPRODUCT('9a-Optional'!P27:P56,'9a-Optional'!R27:R56)</f>
        <v>0</v>
      </c>
      <c r="I12" s="735"/>
      <c r="J12" s="756">
        <v>0</v>
      </c>
      <c r="K12" s="757"/>
      <c r="L12" s="9" t="s">
        <v>2431</v>
      </c>
      <c r="M12" s="44">
        <v>0</v>
      </c>
      <c r="N12" s="556">
        <v>1000</v>
      </c>
      <c r="O12" s="556">
        <v>1600</v>
      </c>
      <c r="P12" s="556">
        <v>2600</v>
      </c>
      <c r="Q12" s="556">
        <v>4400</v>
      </c>
      <c r="R12" s="556">
        <v>8500</v>
      </c>
      <c r="S12" s="611">
        <v>32000</v>
      </c>
    </row>
    <row r="13" spans="1:27" ht="15" thickBot="1" x14ac:dyDescent="0.35">
      <c r="A13" s="3" t="s">
        <v>2421</v>
      </c>
      <c r="B13" s="607">
        <v>0</v>
      </c>
      <c r="C13" s="607">
        <v>0</v>
      </c>
      <c r="D13" s="4">
        <f>B13*INDEX(M11:S14,3,MATCH(C13,M11:S11,0))</f>
        <v>0</v>
      </c>
      <c r="M13" s="80">
        <v>0</v>
      </c>
      <c r="N13" s="328">
        <v>5000</v>
      </c>
      <c r="O13" s="328">
        <v>5000</v>
      </c>
      <c r="P13" s="328">
        <v>5000</v>
      </c>
      <c r="Q13" s="328">
        <v>5000</v>
      </c>
      <c r="R13" s="328">
        <v>5000</v>
      </c>
      <c r="S13" s="612">
        <v>5000</v>
      </c>
    </row>
    <row r="14" spans="1:27" ht="15" thickBot="1" x14ac:dyDescent="0.35">
      <c r="A14" s="3" t="s">
        <v>2441</v>
      </c>
      <c r="B14" s="285">
        <v>0</v>
      </c>
      <c r="C14" s="607">
        <v>0</v>
      </c>
      <c r="D14" s="4">
        <f>B14*INDEX(M11:S14,4,MATCH(C14,M11:S11,0))</f>
        <v>0</v>
      </c>
      <c r="M14" s="86">
        <v>0</v>
      </c>
      <c r="N14" s="557">
        <v>1000</v>
      </c>
      <c r="O14" s="557">
        <v>1500</v>
      </c>
      <c r="P14" s="557">
        <v>2500</v>
      </c>
      <c r="Q14" s="557">
        <v>4000</v>
      </c>
      <c r="R14" s="557">
        <v>7000</v>
      </c>
      <c r="S14" s="613">
        <v>27500</v>
      </c>
    </row>
    <row r="15" spans="1:27" ht="15" thickBot="1" x14ac:dyDescent="0.35">
      <c r="A15" s="3" t="s">
        <v>2430</v>
      </c>
      <c r="D15" s="219">
        <v>0</v>
      </c>
    </row>
    <row r="16" spans="1:27" x14ac:dyDescent="0.3">
      <c r="C16" s="7" t="s">
        <v>2438</v>
      </c>
      <c r="D16" s="149">
        <f>SUM(D12:D15)</f>
        <v>0</v>
      </c>
      <c r="H16" s="738" t="s">
        <v>2540</v>
      </c>
      <c r="I16" s="738"/>
      <c r="J16" s="738" t="s">
        <v>2508</v>
      </c>
      <c r="K16" s="738"/>
    </row>
    <row r="17" spans="1:20" x14ac:dyDescent="0.3">
      <c r="E17" s="738" t="s">
        <v>419</v>
      </c>
      <c r="F17" s="738"/>
      <c r="G17" s="738"/>
      <c r="H17" s="738" t="s">
        <v>2509</v>
      </c>
      <c r="I17" s="738"/>
      <c r="J17" s="738" t="s">
        <v>2509</v>
      </c>
      <c r="K17" s="738"/>
      <c r="M17" t="s">
        <v>2427</v>
      </c>
    </row>
    <row r="18" spans="1:20" ht="15" thickBot="1" x14ac:dyDescent="0.35">
      <c r="A18" s="1" t="s">
        <v>2153</v>
      </c>
      <c r="B18" s="3" t="s">
        <v>2429</v>
      </c>
      <c r="C18" s="3" t="s">
        <v>2427</v>
      </c>
      <c r="D18" s="1" t="s">
        <v>2428</v>
      </c>
      <c r="E18" s="1" t="s">
        <v>1039</v>
      </c>
      <c r="F18" s="1"/>
      <c r="G18" s="1" t="s">
        <v>27</v>
      </c>
      <c r="H18" s="738" t="s">
        <v>2510</v>
      </c>
      <c r="I18" s="738"/>
      <c r="J18" s="738" t="s">
        <v>2510</v>
      </c>
      <c r="K18" s="738"/>
      <c r="M18">
        <v>0</v>
      </c>
      <c r="N18">
        <v>1</v>
      </c>
      <c r="O18">
        <v>2</v>
      </c>
      <c r="P18">
        <v>3</v>
      </c>
      <c r="Q18">
        <v>4</v>
      </c>
      <c r="R18">
        <v>5</v>
      </c>
      <c r="S18">
        <v>6</v>
      </c>
    </row>
    <row r="19" spans="1:20" ht="15" thickBot="1" x14ac:dyDescent="0.35">
      <c r="A19" s="3" t="s">
        <v>729</v>
      </c>
      <c r="B19" s="285">
        <v>0</v>
      </c>
      <c r="C19" s="607">
        <v>0</v>
      </c>
      <c r="D19" s="4">
        <f>B19*INDEX($M$18:$S$28,2,MATCH(C19,$M$18:$S$18,0))</f>
        <v>0</v>
      </c>
      <c r="E19" s="266">
        <f>G19-B19</f>
        <v>0</v>
      </c>
      <c r="F19" s="266" t="s">
        <v>2454</v>
      </c>
      <c r="G19" s="266">
        <f>'11-Staterooms'!C42+J19+H19</f>
        <v>0</v>
      </c>
      <c r="H19" s="734">
        <f>SUMPRODUCT('9a-Optional'!P27:P56,'9a-Optional'!S27:S56)</f>
        <v>0</v>
      </c>
      <c r="I19" s="735"/>
      <c r="J19" s="732">
        <v>0</v>
      </c>
      <c r="K19" s="733"/>
      <c r="L19" s="9" t="s">
        <v>2432</v>
      </c>
      <c r="M19" s="44">
        <v>0</v>
      </c>
      <c r="N19" s="556">
        <v>700</v>
      </c>
      <c r="O19" s="556">
        <v>1300</v>
      </c>
      <c r="P19" s="556">
        <v>2200</v>
      </c>
      <c r="Q19" s="556">
        <v>3900</v>
      </c>
      <c r="R19" s="556">
        <v>7200</v>
      </c>
      <c r="S19" s="611">
        <v>27000</v>
      </c>
      <c r="T19" t="s">
        <v>2446</v>
      </c>
    </row>
    <row r="20" spans="1:20" ht="15" thickBot="1" x14ac:dyDescent="0.35">
      <c r="A20" s="614" t="s">
        <v>880</v>
      </c>
      <c r="B20" s="609">
        <v>0</v>
      </c>
      <c r="C20" s="608">
        <v>0</v>
      </c>
      <c r="D20" s="23">
        <f>B20*INDEX($M$18:$S$28,3,MATCH(C20,$M$18:$S$18,0))</f>
        <v>0</v>
      </c>
      <c r="E20" s="616">
        <f>G20-B20-B22</f>
        <v>0</v>
      </c>
      <c r="F20" s="318" t="s">
        <v>2454</v>
      </c>
      <c r="G20" s="318">
        <f>'11-Staterooms'!C46+J20+J22+H20</f>
        <v>0</v>
      </c>
      <c r="H20" s="736">
        <f>SUMPRODUCT('9a-Optional'!P27:P56,'9a-Optional'!T27:T56)</f>
        <v>0</v>
      </c>
      <c r="I20" s="737"/>
      <c r="J20" s="739">
        <v>0</v>
      </c>
      <c r="K20" s="740"/>
      <c r="L20" s="22"/>
      <c r="M20" s="80">
        <v>0</v>
      </c>
      <c r="N20" s="328">
        <v>4000</v>
      </c>
      <c r="O20" s="328">
        <v>6000</v>
      </c>
      <c r="P20" s="328">
        <v>10000</v>
      </c>
      <c r="Q20" s="328">
        <v>16000</v>
      </c>
      <c r="R20" s="328">
        <v>28000</v>
      </c>
      <c r="S20" s="612">
        <v>110000</v>
      </c>
      <c r="T20" t="s">
        <v>2433</v>
      </c>
    </row>
    <row r="21" spans="1:20" ht="15" thickBot="1" x14ac:dyDescent="0.35">
      <c r="A21" s="3" t="s">
        <v>2422</v>
      </c>
      <c r="B21" s="285">
        <v>0</v>
      </c>
      <c r="C21" s="607">
        <v>0</v>
      </c>
      <c r="D21" s="4">
        <f>B21*INDEX($M$18:$S$28,4,MATCH(C21,$M$18:$S$18,0))</f>
        <v>0</v>
      </c>
      <c r="E21" s="266">
        <f>G21-B21</f>
        <v>0</v>
      </c>
      <c r="F21" s="266" t="s">
        <v>2454</v>
      </c>
      <c r="G21" s="266">
        <f>'11-Staterooms'!C45+J21+H21</f>
        <v>0</v>
      </c>
      <c r="H21" s="734">
        <f>SUMPRODUCT('9a-Optional'!P27:P56,'9a-Optional'!U27:U56)</f>
        <v>0</v>
      </c>
      <c r="I21" s="735"/>
      <c r="J21" s="732">
        <v>0</v>
      </c>
      <c r="K21" s="733"/>
      <c r="M21" s="78">
        <v>0</v>
      </c>
      <c r="N21" s="260">
        <v>6500</v>
      </c>
      <c r="O21" s="260">
        <v>10000</v>
      </c>
      <c r="P21" s="260">
        <v>14000</v>
      </c>
      <c r="Q21" s="260">
        <v>23000</v>
      </c>
      <c r="R21" s="260">
        <v>40000</v>
      </c>
      <c r="S21" s="558">
        <v>130000</v>
      </c>
      <c r="T21" t="s">
        <v>2435</v>
      </c>
    </row>
    <row r="22" spans="1:20" ht="15" thickBot="1" x14ac:dyDescent="0.35">
      <c r="A22" s="614" t="s">
        <v>2442</v>
      </c>
      <c r="B22" s="398">
        <v>0</v>
      </c>
      <c r="C22" s="608">
        <v>0</v>
      </c>
      <c r="D22" s="23">
        <f>B22*INDEX($M$18:$S$28,5,MATCH(C22,$M$18:$S$18,0))</f>
        <v>0</v>
      </c>
      <c r="E22" s="616">
        <f>G20-B20-B22</f>
        <v>0</v>
      </c>
      <c r="F22" s="318" t="s">
        <v>2454</v>
      </c>
      <c r="G22" s="318">
        <f>G20</f>
        <v>0</v>
      </c>
      <c r="H22" s="736">
        <f>SUMPRODUCT('9a-Optional'!P27:P56,'9a-Optional'!V27:V56)</f>
        <v>0</v>
      </c>
      <c r="I22" s="737"/>
      <c r="J22" s="739">
        <v>0</v>
      </c>
      <c r="K22" s="740"/>
      <c r="L22" s="22"/>
      <c r="M22" s="80">
        <v>0</v>
      </c>
      <c r="N22" s="328">
        <f t="shared" ref="N22:S22" si="0">1.5*N21</f>
        <v>9750</v>
      </c>
      <c r="O22" s="328">
        <f t="shared" si="0"/>
        <v>15000</v>
      </c>
      <c r="P22" s="328">
        <f t="shared" si="0"/>
        <v>21000</v>
      </c>
      <c r="Q22" s="328">
        <f t="shared" si="0"/>
        <v>34500</v>
      </c>
      <c r="R22" s="328">
        <f t="shared" si="0"/>
        <v>60000</v>
      </c>
      <c r="S22" s="612">
        <f t="shared" si="0"/>
        <v>195000</v>
      </c>
      <c r="T22" t="s">
        <v>2434</v>
      </c>
    </row>
    <row r="23" spans="1:20" ht="15" thickBot="1" x14ac:dyDescent="0.35">
      <c r="A23" s="3" t="s">
        <v>2423</v>
      </c>
      <c r="B23" s="285">
        <v>0</v>
      </c>
      <c r="C23" s="607">
        <v>0</v>
      </c>
      <c r="D23" s="4">
        <f>B23*INDEX($M$18:$S$28,6,MATCH(C23,$M$18:$S$18,0))</f>
        <v>0</v>
      </c>
      <c r="E23" s="266">
        <f>G23-B23-B25</f>
        <v>0</v>
      </c>
      <c r="F23" s="266" t="s">
        <v>2454</v>
      </c>
      <c r="G23" s="266">
        <f>'11-Staterooms'!C47+J23+J25+H23</f>
        <v>0</v>
      </c>
      <c r="H23" s="734">
        <f>SUMPRODUCT('9a-Optional'!P27:P56,'9a-Optional'!W27:W56)</f>
        <v>0</v>
      </c>
      <c r="I23" s="735"/>
      <c r="J23" s="732">
        <v>0</v>
      </c>
      <c r="K23" s="733"/>
      <c r="M23" s="78">
        <v>0</v>
      </c>
      <c r="N23" s="260">
        <v>9000</v>
      </c>
      <c r="O23" s="260">
        <v>14000</v>
      </c>
      <c r="P23" s="260">
        <v>21000</v>
      </c>
      <c r="Q23" s="260">
        <v>34000</v>
      </c>
      <c r="R23" s="260">
        <v>60000</v>
      </c>
      <c r="S23" s="558">
        <v>210000</v>
      </c>
      <c r="T23" t="s">
        <v>2436</v>
      </c>
    </row>
    <row r="24" spans="1:20" ht="15" thickBot="1" x14ac:dyDescent="0.35">
      <c r="A24" s="614" t="s">
        <v>2426</v>
      </c>
      <c r="B24" s="398">
        <v>0</v>
      </c>
      <c r="C24" s="608">
        <v>0</v>
      </c>
      <c r="D24" s="23">
        <f>B24*INDEX($M$18:$S$28,7,MATCH(C24,$M$18:$S$18,0))</f>
        <v>0</v>
      </c>
      <c r="E24" s="318">
        <f>G24-B24-B26</f>
        <v>0</v>
      </c>
      <c r="F24" s="318" t="s">
        <v>2454</v>
      </c>
      <c r="G24" s="318">
        <f>'11-Staterooms'!C48+J24+J26+H24</f>
        <v>0</v>
      </c>
      <c r="H24" s="736">
        <f>SUMPRODUCT('9a-Optional'!P27:P56,'9a-Optional'!X27:X56)</f>
        <v>0</v>
      </c>
      <c r="I24" s="737"/>
      <c r="J24" s="739">
        <v>0</v>
      </c>
      <c r="K24" s="740"/>
      <c r="L24" s="22"/>
      <c r="M24" s="80">
        <v>0</v>
      </c>
      <c r="N24" s="328">
        <f>1.5*N23</f>
        <v>13500</v>
      </c>
      <c r="O24" s="328">
        <f t="shared" ref="O24:S24" si="1">1.5*O23</f>
        <v>21000</v>
      </c>
      <c r="P24" s="328">
        <f t="shared" si="1"/>
        <v>31500</v>
      </c>
      <c r="Q24" s="328">
        <f t="shared" si="1"/>
        <v>51000</v>
      </c>
      <c r="R24" s="328">
        <f t="shared" si="1"/>
        <v>90000</v>
      </c>
      <c r="S24" s="612">
        <f t="shared" si="1"/>
        <v>315000</v>
      </c>
      <c r="T24" t="s">
        <v>2434</v>
      </c>
    </row>
    <row r="25" spans="1:20" ht="15" thickBot="1" x14ac:dyDescent="0.35">
      <c r="A25" s="3" t="s">
        <v>2452</v>
      </c>
      <c r="B25" s="285">
        <v>0</v>
      </c>
      <c r="C25" s="607">
        <v>0</v>
      </c>
      <c r="D25" s="4">
        <f>B25*INDEX($M$18:$S$28,6,MATCH(C25,$M$18:$S$18,0))</f>
        <v>0</v>
      </c>
      <c r="E25" s="2">
        <f>E23</f>
        <v>0</v>
      </c>
      <c r="F25" s="266" t="s">
        <v>2454</v>
      </c>
      <c r="G25" s="266">
        <f>G23</f>
        <v>0</v>
      </c>
      <c r="H25" s="734"/>
      <c r="I25" s="735"/>
      <c r="J25" s="732">
        <v>0</v>
      </c>
      <c r="K25" s="733"/>
      <c r="M25" s="78">
        <v>0</v>
      </c>
      <c r="N25" s="260">
        <v>15000</v>
      </c>
      <c r="O25" s="260">
        <v>20000</v>
      </c>
      <c r="P25" s="260">
        <v>50000</v>
      </c>
      <c r="Q25" s="260">
        <v>60000</v>
      </c>
      <c r="R25" s="260">
        <v>90000</v>
      </c>
      <c r="S25" s="558">
        <v>320000</v>
      </c>
      <c r="T25" t="s">
        <v>2448</v>
      </c>
    </row>
    <row r="26" spans="1:20" ht="15" thickBot="1" x14ac:dyDescent="0.35">
      <c r="A26" s="614" t="s">
        <v>2453</v>
      </c>
      <c r="B26" s="398">
        <v>0</v>
      </c>
      <c r="C26" s="608">
        <v>0</v>
      </c>
      <c r="D26" s="23">
        <f>B26*INDEX($M$18:$S$28,7,MATCH(C26,$M$18:$S$18,0))</f>
        <v>0</v>
      </c>
      <c r="E26" s="27">
        <f>E24</f>
        <v>0</v>
      </c>
      <c r="F26" s="318" t="s">
        <v>2454</v>
      </c>
      <c r="G26" s="318">
        <f>G24</f>
        <v>0</v>
      </c>
      <c r="H26" s="736"/>
      <c r="I26" s="737"/>
      <c r="J26" s="739">
        <v>0</v>
      </c>
      <c r="K26" s="740"/>
      <c r="L26" s="22"/>
      <c r="M26" s="80">
        <v>0</v>
      </c>
      <c r="N26" s="328">
        <f>1.5*N25</f>
        <v>22500</v>
      </c>
      <c r="O26" s="328">
        <f t="shared" ref="O26:S26" si="2">1.5*O25</f>
        <v>30000</v>
      </c>
      <c r="P26" s="328">
        <f t="shared" si="2"/>
        <v>75000</v>
      </c>
      <c r="Q26" s="328">
        <f t="shared" si="2"/>
        <v>90000</v>
      </c>
      <c r="R26" s="328">
        <f t="shared" si="2"/>
        <v>135000</v>
      </c>
      <c r="S26" s="612">
        <f t="shared" si="2"/>
        <v>480000</v>
      </c>
      <c r="T26" t="s">
        <v>2434</v>
      </c>
    </row>
    <row r="27" spans="1:20" ht="15" thickBot="1" x14ac:dyDescent="0.35">
      <c r="A27" s="3" t="s">
        <v>2424</v>
      </c>
      <c r="B27" s="285">
        <v>0</v>
      </c>
      <c r="C27" s="607">
        <v>0</v>
      </c>
      <c r="D27" s="4">
        <f>B27*INDEX($M$18:$S$28,10,MATCH(C27,$M$18:$S$18,0))</f>
        <v>0</v>
      </c>
      <c r="E27" s="266">
        <f>G27-B27</f>
        <v>0</v>
      </c>
      <c r="F27" s="266" t="s">
        <v>2454</v>
      </c>
      <c r="G27" s="266">
        <f>'11-Staterooms'!C49+J27+H27</f>
        <v>0</v>
      </c>
      <c r="H27" s="734">
        <f>SUMPRODUCT('9a-Optional'!P27:P56,'9a-Optional'!Y27:Y56)</f>
        <v>0</v>
      </c>
      <c r="I27" s="735"/>
      <c r="J27" s="732">
        <v>0</v>
      </c>
      <c r="K27" s="733"/>
      <c r="M27" s="78">
        <v>0</v>
      </c>
      <c r="N27" s="260">
        <v>36000</v>
      </c>
      <c r="O27" s="260">
        <v>48000</v>
      </c>
      <c r="P27" s="260">
        <v>70000</v>
      </c>
      <c r="Q27" s="260">
        <v>125000</v>
      </c>
      <c r="R27" s="260">
        <v>200000</v>
      </c>
      <c r="S27" s="558">
        <v>750000</v>
      </c>
      <c r="T27" t="s">
        <v>2437</v>
      </c>
    </row>
    <row r="28" spans="1:20" ht="15" thickBot="1" x14ac:dyDescent="0.35">
      <c r="A28" s="614" t="s">
        <v>2425</v>
      </c>
      <c r="B28" s="398">
        <v>0</v>
      </c>
      <c r="C28" s="608">
        <v>0</v>
      </c>
      <c r="D28" s="23">
        <f>B28*INDEX($M$18:$S$28,11,MATCH(C28,$M$18:$S$18,0))</f>
        <v>0</v>
      </c>
      <c r="E28" s="318">
        <f>G28-B28</f>
        <v>0</v>
      </c>
      <c r="F28" s="318" t="s">
        <v>2454</v>
      </c>
      <c r="G28" s="318">
        <f>'11-Staterooms'!C50+J28+H28</f>
        <v>0</v>
      </c>
      <c r="H28" s="736">
        <f>SUMPRODUCT('9a-Optional'!P27:P56,'9a-Optional'!Z27:Z56)</f>
        <v>0</v>
      </c>
      <c r="I28" s="737"/>
      <c r="J28" s="739">
        <v>0</v>
      </c>
      <c r="K28" s="740"/>
      <c r="L28" s="22"/>
      <c r="M28" s="80">
        <v>0</v>
      </c>
      <c r="N28" s="328">
        <f t="shared" ref="N28:S28" si="3">1.5*N27</f>
        <v>54000</v>
      </c>
      <c r="O28" s="328">
        <f t="shared" si="3"/>
        <v>72000</v>
      </c>
      <c r="P28" s="328">
        <f t="shared" si="3"/>
        <v>105000</v>
      </c>
      <c r="Q28" s="328">
        <f t="shared" si="3"/>
        <v>187500</v>
      </c>
      <c r="R28" s="328">
        <f t="shared" si="3"/>
        <v>300000</v>
      </c>
      <c r="S28" s="612">
        <f t="shared" si="3"/>
        <v>1125000</v>
      </c>
      <c r="T28" t="s">
        <v>2434</v>
      </c>
    </row>
    <row r="29" spans="1:20" ht="15" thickBot="1" x14ac:dyDescent="0.35">
      <c r="A29" s="3" t="s">
        <v>2685</v>
      </c>
      <c r="B29" s="285">
        <v>0</v>
      </c>
      <c r="C29" s="607">
        <v>0</v>
      </c>
      <c r="D29" s="23">
        <f>B29*INDEX($M$18:$S$31,12,MATCH(C29,$M$18:$S$18,0))</f>
        <v>0</v>
      </c>
      <c r="E29" s="266">
        <f>G29-B29</f>
        <v>0</v>
      </c>
      <c r="F29" s="266" t="s">
        <v>2454</v>
      </c>
      <c r="G29" s="266">
        <f>'11-Staterooms'!C51+J29+H29</f>
        <v>0</v>
      </c>
      <c r="H29" s="734">
        <f>SUMPRODUCT('9a-Optional'!P27:P56,'9a-Optional'!AA27:AA56)</f>
        <v>0</v>
      </c>
      <c r="I29" s="735"/>
      <c r="J29" s="732">
        <v>0</v>
      </c>
      <c r="K29" s="733"/>
      <c r="M29" s="78">
        <v>0</v>
      </c>
      <c r="N29" s="4">
        <f>9000*'11-Staterooms'!M51</f>
        <v>36000</v>
      </c>
      <c r="O29" s="4">
        <f>O23*'11-Staterooms'!M51</f>
        <v>56000</v>
      </c>
      <c r="P29" s="4">
        <f>P23*'11-Staterooms'!M51</f>
        <v>84000</v>
      </c>
      <c r="Q29" s="4">
        <f>Q23*'11-Staterooms'!M51</f>
        <v>136000</v>
      </c>
      <c r="R29" s="4">
        <f>R23*'11-Staterooms'!M51</f>
        <v>240000</v>
      </c>
      <c r="S29" s="262">
        <f>S23*'11-Staterooms'!M51</f>
        <v>840000</v>
      </c>
    </row>
    <row r="30" spans="1:20" ht="15" thickBot="1" x14ac:dyDescent="0.35">
      <c r="A30" s="614" t="s">
        <v>2691</v>
      </c>
      <c r="B30" s="398">
        <v>0</v>
      </c>
      <c r="C30" s="608">
        <v>0</v>
      </c>
      <c r="D30" s="23">
        <f>B30*INDEX($M$18:$S$31,13,MATCH(C30,$M$18:$S$18,0))</f>
        <v>0</v>
      </c>
      <c r="E30" s="318">
        <f>G30-B30</f>
        <v>0</v>
      </c>
      <c r="F30" s="318" t="s">
        <v>2454</v>
      </c>
      <c r="G30" s="318">
        <f>'11-Staterooms'!C52+J30+H30</f>
        <v>0</v>
      </c>
      <c r="H30" s="736">
        <f>SUMPRODUCT('9a-Optional'!P27:P56,'9a-Optional'!AB27:AB56)</f>
        <v>0</v>
      </c>
      <c r="I30" s="737"/>
      <c r="J30" s="739">
        <v>0</v>
      </c>
      <c r="K30" s="740"/>
      <c r="L30" s="22"/>
      <c r="M30" s="80">
        <v>0</v>
      </c>
      <c r="N30" s="23">
        <f>N23*'11-Staterooms'!$M$52</f>
        <v>54000</v>
      </c>
      <c r="O30" s="23">
        <f>O23*'11-Staterooms'!$M$52</f>
        <v>84000</v>
      </c>
      <c r="P30" s="23">
        <f>P23*'11-Staterooms'!$M$52</f>
        <v>126000</v>
      </c>
      <c r="Q30" s="23">
        <f>Q23*'11-Staterooms'!$M$52</f>
        <v>204000</v>
      </c>
      <c r="R30" s="23">
        <f>R23*'11-Staterooms'!$M$52</f>
        <v>360000</v>
      </c>
      <c r="S30" s="554">
        <f>S23*'11-Staterooms'!$M$52</f>
        <v>1260000</v>
      </c>
    </row>
    <row r="31" spans="1:20" ht="15" thickBot="1" x14ac:dyDescent="0.35">
      <c r="A31" s="3" t="s">
        <v>2687</v>
      </c>
      <c r="B31" s="219">
        <v>0</v>
      </c>
      <c r="C31" s="607">
        <v>0</v>
      </c>
      <c r="D31" s="23">
        <f>B31*INDEX($M$18:$S$31,14,MATCH(C31,$M$18:$S$18,0))</f>
        <v>0</v>
      </c>
      <c r="E31" s="10">
        <f>G31-B31</f>
        <v>0</v>
      </c>
      <c r="F31" s="266" t="s">
        <v>2454</v>
      </c>
      <c r="G31" s="266">
        <f>'11-Staterooms'!C53+J31+H31</f>
        <v>0</v>
      </c>
      <c r="H31" s="734">
        <f>SUMPRODUCT('9a-Optional'!P27:P56,'9a-Optional'!AC27:AC56)</f>
        <v>0</v>
      </c>
      <c r="I31" s="735"/>
      <c r="J31" s="732">
        <v>0</v>
      </c>
      <c r="K31" s="733"/>
      <c r="M31" s="86">
        <v>0</v>
      </c>
      <c r="N31" s="391">
        <f>N20/2*'11-Staterooms'!$M$53</f>
        <v>48000</v>
      </c>
      <c r="O31" s="391">
        <f>O20/2*'11-Staterooms'!$M$53</f>
        <v>72000</v>
      </c>
      <c r="P31" s="391">
        <f>P20/2*'11-Staterooms'!$M$53</f>
        <v>120000</v>
      </c>
      <c r="Q31" s="391">
        <f>Q20/2*'11-Staterooms'!$M$53</f>
        <v>192000</v>
      </c>
      <c r="R31" s="391">
        <f>R20/2*'11-Staterooms'!$M$53</f>
        <v>336000</v>
      </c>
      <c r="S31" s="263">
        <f>S20/2*'11-Staterooms'!$M$53</f>
        <v>1320000</v>
      </c>
      <c r="T31" t="s">
        <v>2692</v>
      </c>
    </row>
    <row r="33" spans="1:27" x14ac:dyDescent="0.3">
      <c r="M33" t="s">
        <v>2427</v>
      </c>
    </row>
    <row r="34" spans="1:27" ht="15" thickBot="1" x14ac:dyDescent="0.35">
      <c r="E34" t="s">
        <v>2153</v>
      </c>
      <c r="G34" t="s">
        <v>2534</v>
      </c>
      <c r="M34">
        <v>0</v>
      </c>
      <c r="N34">
        <v>1</v>
      </c>
      <c r="O34">
        <v>2</v>
      </c>
      <c r="P34">
        <v>3</v>
      </c>
      <c r="Q34">
        <v>4</v>
      </c>
      <c r="R34">
        <v>5</v>
      </c>
      <c r="S34">
        <v>6</v>
      </c>
      <c r="T34" t="s">
        <v>2535</v>
      </c>
    </row>
    <row r="35" spans="1:27" ht="15" thickBot="1" x14ac:dyDescent="0.35">
      <c r="A35" s="3" t="str">
        <f>'11-Staterooms'!$B$54</f>
        <v/>
      </c>
      <c r="B35" s="285">
        <v>0</v>
      </c>
      <c r="C35" s="607">
        <v>1</v>
      </c>
      <c r="D35" s="649">
        <f>IF(V52=$U$45,MAX(B35,E35)*INDEX(M34:S35,2,MATCH(C35,M34:S34,0)),IF(V52=$U$46,MAX(B35,E35)*INDEX(M34:S35,2,MATCH(C35,M34:S34,0)),IF(E35&lt;B35,B35*INDEX(M34:S35,2,MATCH(C35,M34:S34,0)),(B35+0.5*(E35-B35))*INDEX(M34:S35,2,MATCH(C35,M34:S34,0)))))</f>
        <v>0</v>
      </c>
      <c r="E35" s="285">
        <v>0</v>
      </c>
      <c r="F35" s="260"/>
      <c r="G35" s="266">
        <f>('11-Staterooms'!C54+J35)*'11-Staterooms'!D54</f>
        <v>0</v>
      </c>
      <c r="H35" s="734">
        <f>SUMPRODUCT('9a-Optional'!P27:P56,'9a-Optional'!AD27:AD56)</f>
        <v>0</v>
      </c>
      <c r="I35" s="735"/>
      <c r="J35" s="732">
        <v>0</v>
      </c>
      <c r="K35" s="733"/>
      <c r="M35" s="44">
        <v>0</v>
      </c>
      <c r="N35" s="556">
        <f>IF(U52&gt;0,U52*INDEX(U44:AA49,MATCH(V52,U44:U49,0),2),INDEX(U37:AA42,MATCH(V52,U37:U42,0),2))</f>
        <v>0</v>
      </c>
      <c r="O35" s="556">
        <f>IF(U52&gt;0,U52*INDEX(U44:AA49,MATCH(V52,U44:U49,0),3),INDEX(U37:AA42,MATCH(V52,U37:U42,0),3))</f>
        <v>0</v>
      </c>
      <c r="P35" s="556">
        <f>IF(U52&gt;0,U52*INDEX(U44:AA49,MATCH(V52,U44:U49,0),4),INDEX(U37:AA42,MATCH(V52,U37:U42,0),4))</f>
        <v>0</v>
      </c>
      <c r="Q35" s="556">
        <f>IF(U52&gt;0,U52*INDEX(U44:AA49,MATCH(V52,U44:U49,0),5),INDEX(U37:AA42,MATCH(V52,U37:U42,0),5))</f>
        <v>0</v>
      </c>
      <c r="R35" s="556">
        <f>IF(U52&gt;0,U52*INDEX(U44:AA49,MATCH(V52,U44:U49,0),6),INDEX(U37:AA42,MATCH(V52,U37:U42,0),6))</f>
        <v>0</v>
      </c>
      <c r="S35" s="611">
        <f>IF(U52&gt;0,U52*INDEX(U44:AA49,MATCH(V52,U44:U49,0),7),INDEX(U37:AA42,MATCH(V52,U37:U42,0),7))</f>
        <v>0</v>
      </c>
    </row>
    <row r="36" spans="1:27" ht="15" thickBot="1" x14ac:dyDescent="0.35">
      <c r="A36" s="614" t="str">
        <f>'11-Staterooms'!$B$55</f>
        <v/>
      </c>
      <c r="B36" s="398">
        <v>0</v>
      </c>
      <c r="C36" s="608">
        <v>1</v>
      </c>
      <c r="D36" s="650">
        <f>IF(V52=$U$45,MAX(B36,E36)*INDEX(M34:S36,3,MATCH(C36,M34:S34,0)),IF(V52=$U$46,MAX(B36,E36)*INDEX(M34:S36,3,MATCH(C36,M34:S34,0)),IF(E36&lt;B36,B36*INDEX(M34:S36,3,MATCH(C36,M34:S34,0)),(B36+0.5*(E36-B35))*INDEX(M34:S36,3,MATCH(C35,M34:S34,0)))))</f>
        <v>0</v>
      </c>
      <c r="E36" s="398">
        <v>0</v>
      </c>
      <c r="F36" s="328"/>
      <c r="G36" s="318">
        <f>('11-Staterooms'!C55+J36)*'11-Staterooms'!D55</f>
        <v>0</v>
      </c>
      <c r="H36" s="736">
        <f>SUMPRODUCT('9a-Optional'!P27:P56,'9a-Optional'!AE27:AE56)</f>
        <v>0</v>
      </c>
      <c r="I36" s="737"/>
      <c r="J36" s="739">
        <v>0</v>
      </c>
      <c r="K36" s="740"/>
      <c r="L36" s="328"/>
      <c r="M36" s="635">
        <v>0</v>
      </c>
      <c r="N36" s="636">
        <f>IF(U53&gt;0,U53*INDEX(U44:AA49,MATCH(V53,U44:U49,0),2),INDEX(U37:AA42,MATCH(V53,U37:U42,0),2))</f>
        <v>0</v>
      </c>
      <c r="O36" s="636">
        <f>IF(U53&gt;0,U53*INDEX(U44:AA49,MATCH(V53,U44:U49,0),3),INDEX(U37:AA42,MATCH(V53,U37:U42,0),3))</f>
        <v>0</v>
      </c>
      <c r="P36" s="636">
        <f>IF(U53&gt;0,U53*INDEX(U44:AA49,MATCH(V53,U44:U49,0),4),INDEX(U37:AA42,MATCH(V53,U37:U42,0),4))</f>
        <v>0</v>
      </c>
      <c r="Q36" s="636">
        <f>IF(U53&gt;0,U53*INDEX(U44:AA49,MATCH(V53,U44:U49,0),5),INDEX(U37:AA42,MATCH(V53,U37:U42,0),5))</f>
        <v>0</v>
      </c>
      <c r="R36" s="636">
        <f>IF(U53&gt;0,U53*INDEX(U44:AA49,MATCH(V53,U44:U49,0),6),INDEX(U37:AA42,MATCH(V53,U37:U42,0),6))</f>
        <v>0</v>
      </c>
      <c r="S36" s="615">
        <f>IF(U53&gt;0,U53*INDEX(U44:AA49,MATCH(V53,U44:U49,0),7),INDEX(U37:AA42,MATCH(V53,U37:U42,0),7))</f>
        <v>0</v>
      </c>
      <c r="V36">
        <v>1</v>
      </c>
      <c r="W36">
        <v>2</v>
      </c>
      <c r="X36">
        <v>3</v>
      </c>
      <c r="Y36">
        <v>4</v>
      </c>
      <c r="Z36">
        <v>5</v>
      </c>
      <c r="AA36">
        <v>6</v>
      </c>
    </row>
    <row r="37" spans="1:27" x14ac:dyDescent="0.3">
      <c r="C37" s="7" t="s">
        <v>2439</v>
      </c>
      <c r="D37" s="149">
        <f>SUM(D19:D36)</f>
        <v>0</v>
      </c>
      <c r="M37" t="s">
        <v>2447</v>
      </c>
      <c r="U37" t="str">
        <f>""</f>
        <v/>
      </c>
      <c r="V37">
        <v>0</v>
      </c>
      <c r="W37">
        <v>0</v>
      </c>
      <c r="X37">
        <v>0</v>
      </c>
      <c r="Y37">
        <v>0</v>
      </c>
      <c r="Z37">
        <v>0</v>
      </c>
      <c r="AA37">
        <v>0</v>
      </c>
    </row>
    <row r="38" spans="1:27" x14ac:dyDescent="0.3">
      <c r="M38" t="s">
        <v>2445</v>
      </c>
      <c r="U38" t="s">
        <v>503</v>
      </c>
      <c r="V38">
        <v>700</v>
      </c>
      <c r="W38">
        <v>1300</v>
      </c>
      <c r="X38">
        <v>2200</v>
      </c>
      <c r="Y38">
        <v>3900</v>
      </c>
      <c r="Z38">
        <v>7200</v>
      </c>
      <c r="AA38">
        <v>27000</v>
      </c>
    </row>
    <row r="39" spans="1:27" x14ac:dyDescent="0.3">
      <c r="J39" t="s">
        <v>2513</v>
      </c>
      <c r="U39" t="s">
        <v>880</v>
      </c>
      <c r="V39">
        <v>4000</v>
      </c>
      <c r="W39">
        <v>6000</v>
      </c>
      <c r="X39">
        <v>10000</v>
      </c>
      <c r="Y39">
        <v>16000</v>
      </c>
      <c r="Z39">
        <v>28000</v>
      </c>
      <c r="AA39">
        <v>110000</v>
      </c>
    </row>
    <row r="40" spans="1:27" x14ac:dyDescent="0.3">
      <c r="C40" s="7" t="s">
        <v>2440</v>
      </c>
      <c r="D40" s="149">
        <f>D16+D37</f>
        <v>0</v>
      </c>
      <c r="J40" t="s">
        <v>2514</v>
      </c>
      <c r="U40" t="s">
        <v>504</v>
      </c>
      <c r="V40">
        <v>6500</v>
      </c>
      <c r="W40">
        <v>10000</v>
      </c>
      <c r="X40">
        <v>14000</v>
      </c>
      <c r="Y40">
        <v>23000</v>
      </c>
      <c r="Z40">
        <v>40000</v>
      </c>
      <c r="AA40">
        <v>130000</v>
      </c>
    </row>
    <row r="41" spans="1:27" x14ac:dyDescent="0.3">
      <c r="J41" t="s">
        <v>2515</v>
      </c>
      <c r="U41" t="s">
        <v>505</v>
      </c>
      <c r="V41">
        <v>9000</v>
      </c>
      <c r="W41">
        <v>14000</v>
      </c>
      <c r="X41">
        <v>21000</v>
      </c>
      <c r="Y41">
        <v>34000</v>
      </c>
      <c r="Z41">
        <v>60000</v>
      </c>
      <c r="AA41">
        <v>210000</v>
      </c>
    </row>
    <row r="42" spans="1:27" x14ac:dyDescent="0.3">
      <c r="A42" t="s">
        <v>2450</v>
      </c>
      <c r="J42" t="s">
        <v>2516</v>
      </c>
      <c r="U42" t="s">
        <v>1286</v>
      </c>
      <c r="V42">
        <v>36000</v>
      </c>
      <c r="W42">
        <v>48000</v>
      </c>
      <c r="X42">
        <v>70000</v>
      </c>
      <c r="Y42">
        <v>125000</v>
      </c>
      <c r="Z42">
        <v>200000</v>
      </c>
      <c r="AA42">
        <v>750000</v>
      </c>
    </row>
    <row r="43" spans="1:27" x14ac:dyDescent="0.3">
      <c r="A43" t="s">
        <v>2451</v>
      </c>
      <c r="V43">
        <v>1</v>
      </c>
      <c r="W43">
        <v>2</v>
      </c>
      <c r="X43">
        <v>3</v>
      </c>
      <c r="Y43">
        <v>4</v>
      </c>
      <c r="Z43">
        <v>5</v>
      </c>
      <c r="AA43">
        <v>6</v>
      </c>
    </row>
    <row r="44" spans="1:27" x14ac:dyDescent="0.3">
      <c r="A44" t="s">
        <v>2449</v>
      </c>
      <c r="U44" t="str">
        <f>""</f>
        <v/>
      </c>
      <c r="V44">
        <v>0</v>
      </c>
      <c r="W44">
        <v>0</v>
      </c>
      <c r="X44">
        <v>0</v>
      </c>
      <c r="Y44">
        <v>0</v>
      </c>
      <c r="Z44">
        <v>0</v>
      </c>
      <c r="AA44">
        <v>0</v>
      </c>
    </row>
    <row r="45" spans="1:27" x14ac:dyDescent="0.3">
      <c r="U45" t="s">
        <v>503</v>
      </c>
      <c r="V45">
        <v>1</v>
      </c>
      <c r="W45">
        <v>1.857</v>
      </c>
      <c r="X45">
        <v>3.1429999999999998</v>
      </c>
      <c r="Y45">
        <v>5.5709999999999997</v>
      </c>
      <c r="Z45">
        <v>10.286</v>
      </c>
      <c r="AA45">
        <v>38.570999999999998</v>
      </c>
    </row>
    <row r="46" spans="1:27" x14ac:dyDescent="0.3">
      <c r="D46">
        <f>IF(V52=$U$45,MAX(B35,E35)*INDEX(M34:S35,2,MATCH(C35,M34:S34,0)),IF(V52=$U$46,MAX(B35,E35)*INDEX(M34:S35,2,MATCH(C35,M34:S34,0)),IF(E35&lt;B35,B35*INDEX(M34:S35,2,MATCH(C35,M34:S34,0)),(B35+0.5*(E35-B35))*INDEX(M34:S35,2,MATCH(C35,M34:S34,0)))))</f>
        <v>0</v>
      </c>
      <c r="U46" t="s">
        <v>880</v>
      </c>
      <c r="V46">
        <v>1</v>
      </c>
      <c r="W46">
        <v>1.5</v>
      </c>
      <c r="X46">
        <v>2.5</v>
      </c>
      <c r="Y46">
        <v>4</v>
      </c>
      <c r="Z46">
        <v>7</v>
      </c>
      <c r="AA46">
        <v>27.5</v>
      </c>
    </row>
    <row r="47" spans="1:27" x14ac:dyDescent="0.3">
      <c r="U47" t="s">
        <v>504</v>
      </c>
      <c r="V47">
        <v>1</v>
      </c>
      <c r="W47">
        <v>1.538</v>
      </c>
      <c r="X47">
        <v>2.1539999999999999</v>
      </c>
      <c r="Y47">
        <v>3.5379999999999998</v>
      </c>
      <c r="Z47">
        <v>6.1539999999999999</v>
      </c>
      <c r="AA47">
        <v>20</v>
      </c>
    </row>
    <row r="48" spans="1:27" x14ac:dyDescent="0.3">
      <c r="U48" t="s">
        <v>505</v>
      </c>
      <c r="V48">
        <v>1</v>
      </c>
      <c r="W48">
        <v>1.556</v>
      </c>
      <c r="X48">
        <v>2.3330000000000002</v>
      </c>
      <c r="Y48">
        <v>3.778</v>
      </c>
      <c r="Z48">
        <v>6.6669999999999998</v>
      </c>
      <c r="AA48">
        <v>23.332999999999998</v>
      </c>
    </row>
    <row r="49" spans="21:27" x14ac:dyDescent="0.3">
      <c r="U49" t="s">
        <v>1286</v>
      </c>
      <c r="V49">
        <v>1</v>
      </c>
      <c r="W49">
        <v>1.333</v>
      </c>
      <c r="X49">
        <v>1.944</v>
      </c>
      <c r="Y49">
        <v>3.472</v>
      </c>
      <c r="Z49">
        <v>5.556</v>
      </c>
      <c r="AA49">
        <v>20.832999999999998</v>
      </c>
    </row>
    <row r="51" spans="21:27" x14ac:dyDescent="0.3">
      <c r="U51" t="s">
        <v>2536</v>
      </c>
      <c r="V51" t="s">
        <v>260</v>
      </c>
      <c r="X51" s="2" t="s">
        <v>2538</v>
      </c>
    </row>
    <row r="52" spans="21:27" x14ac:dyDescent="0.3">
      <c r="U52">
        <f>IF('11-Staterooms'!C54=0,0,INDEX('11-Staterooms'!B116:L119,MATCH(Profitability!A35,'11-Staterooms'!B116:B119,0),10))</f>
        <v>0</v>
      </c>
      <c r="V52" t="str">
        <f>IF('11-Staterooms'!C54=0,"",INDEX('11-Staterooms'!B116:L119,MATCH(Profitability!A35,'11-Staterooms'!B116:B119,0),11))</f>
        <v/>
      </c>
      <c r="X52" s="266">
        <f>J35+'11-Staterooms'!C54</f>
        <v>0</v>
      </c>
    </row>
    <row r="53" spans="21:27" x14ac:dyDescent="0.3">
      <c r="U53">
        <f>IF('11-Staterooms'!C55=0,0,INDEX('11-Staterooms'!B116:L119,MATCH(Profitability!A36,'11-Staterooms'!B116:B119,0),10))</f>
        <v>0</v>
      </c>
      <c r="V53" t="str">
        <f>IF('11-Staterooms'!C55=0,"",INDEX('11-Staterooms'!B116:L119,MATCH(Profitability!A36,'11-Staterooms'!B116:B119,0),11))</f>
        <v/>
      </c>
      <c r="X53" s="266">
        <f>J36+'11-Staterooms'!C55</f>
        <v>0</v>
      </c>
    </row>
  </sheetData>
  <mergeCells count="58">
    <mergeCell ref="E17:G17"/>
    <mergeCell ref="E10:G10"/>
    <mergeCell ref="J19:K19"/>
    <mergeCell ref="J20:K20"/>
    <mergeCell ref="J21:K21"/>
    <mergeCell ref="J17:K17"/>
    <mergeCell ref="J12:K12"/>
    <mergeCell ref="H10:I10"/>
    <mergeCell ref="H11:I11"/>
    <mergeCell ref="H12:I12"/>
    <mergeCell ref="H19:I19"/>
    <mergeCell ref="H20:I20"/>
    <mergeCell ref="H17:I17"/>
    <mergeCell ref="H16:I16"/>
    <mergeCell ref="J16:K16"/>
    <mergeCell ref="J18:K18"/>
    <mergeCell ref="B8:C8"/>
    <mergeCell ref="B6:C6"/>
    <mergeCell ref="B7:C7"/>
    <mergeCell ref="B4:C4"/>
    <mergeCell ref="B5:C5"/>
    <mergeCell ref="E1:H1"/>
    <mergeCell ref="J1:M1"/>
    <mergeCell ref="L6:M6"/>
    <mergeCell ref="B3:C3"/>
    <mergeCell ref="B2:C2"/>
    <mergeCell ref="A1:C1"/>
    <mergeCell ref="J9:K9"/>
    <mergeCell ref="J10:K10"/>
    <mergeCell ref="J11:K11"/>
    <mergeCell ref="L7:M7"/>
    <mergeCell ref="L8:M8"/>
    <mergeCell ref="J35:K35"/>
    <mergeCell ref="J36:K36"/>
    <mergeCell ref="H21:I21"/>
    <mergeCell ref="H22:I22"/>
    <mergeCell ref="H24:I24"/>
    <mergeCell ref="H26:I26"/>
    <mergeCell ref="H25:I25"/>
    <mergeCell ref="H23:I23"/>
    <mergeCell ref="H27:I27"/>
    <mergeCell ref="H28:I28"/>
    <mergeCell ref="H35:I35"/>
    <mergeCell ref="H31:I31"/>
    <mergeCell ref="H36:I36"/>
    <mergeCell ref="J30:K30"/>
    <mergeCell ref="J31:K31"/>
    <mergeCell ref="J22:K22"/>
    <mergeCell ref="J29:K29"/>
    <mergeCell ref="H29:I29"/>
    <mergeCell ref="H30:I30"/>
    <mergeCell ref="H18:I18"/>
    <mergeCell ref="J23:K23"/>
    <mergeCell ref="J24:K24"/>
    <mergeCell ref="J25:K25"/>
    <mergeCell ref="J26:K26"/>
    <mergeCell ref="J27:K27"/>
    <mergeCell ref="J28:K28"/>
  </mergeCells>
  <conditionalFormatting sqref="A3:B3">
    <cfRule type="expression" dxfId="877" priority="3132">
      <formula>$C$40="Yes"</formula>
    </cfRule>
  </conditionalFormatting>
  <conditionalFormatting sqref="B14">
    <cfRule type="expression" dxfId="876" priority="20">
      <formula>ISODD($B$14)</formula>
    </cfRule>
  </conditionalFormatting>
  <conditionalFormatting sqref="B19:B31">
    <cfRule type="expression" dxfId="875" priority="16">
      <formula>$E19&lt;0</formula>
    </cfRule>
  </conditionalFormatting>
  <conditionalFormatting sqref="B20 F20:G20 B22 F22:G22">
    <cfRule type="expression" dxfId="874" priority="2595">
      <formula>SUM($B$20,$B$22)&gt;$G$20</formula>
    </cfRule>
  </conditionalFormatting>
  <conditionalFormatting sqref="B35:B36">
    <cfRule type="cellIs" dxfId="873" priority="2621" operator="greaterThan">
      <formula>$X52</formula>
    </cfRule>
  </conditionalFormatting>
  <conditionalFormatting sqref="E3">
    <cfRule type="expression" dxfId="872" priority="10">
      <formula>$E$4&lt;0</formula>
    </cfRule>
    <cfRule type="expression" dxfId="871" priority="11">
      <formula>$E$4&gt;0</formula>
    </cfRule>
  </conditionalFormatting>
  <conditionalFormatting sqref="E4">
    <cfRule type="cellIs" dxfId="870" priority="9" operator="greaterThan">
      <formula>0</formula>
    </cfRule>
    <cfRule type="cellIs" dxfId="869" priority="15" operator="lessThan">
      <formula>0</formula>
    </cfRule>
  </conditionalFormatting>
  <conditionalFormatting sqref="E7">
    <cfRule type="expression" dxfId="868" priority="13">
      <formula>$C$4="No"</formula>
    </cfRule>
  </conditionalFormatting>
  <conditionalFormatting sqref="E35:E36">
    <cfRule type="cellIs" dxfId="867" priority="2" operator="greaterThan">
      <formula>$G35</formula>
    </cfRule>
  </conditionalFormatting>
  <conditionalFormatting sqref="F12:G12 B12:B14">
    <cfRule type="expression" dxfId="866" priority="2603">
      <formula>SUM($B$12:$B$14)&gt;$G$12</formula>
    </cfRule>
  </conditionalFormatting>
  <conditionalFormatting sqref="H6">
    <cfRule type="cellIs" dxfId="865" priority="12" operator="greaterThan">
      <formula>0</formula>
    </cfRule>
  </conditionalFormatting>
  <conditionalFormatting sqref="H6:H7">
    <cfRule type="cellIs" dxfId="864" priority="14" operator="lessThan">
      <formula>0</formula>
    </cfRule>
  </conditionalFormatting>
  <conditionalFormatting sqref="K8">
    <cfRule type="expression" dxfId="863" priority="3">
      <formula>$L$8&gt;0</formula>
    </cfRule>
    <cfRule type="expression" dxfId="862" priority="4">
      <formula>$L$8&lt;0</formula>
    </cfRule>
  </conditionalFormatting>
  <conditionalFormatting sqref="L6:M6">
    <cfRule type="cellIs" dxfId="861" priority="8" operator="greaterThan">
      <formula>0</formula>
    </cfRule>
  </conditionalFormatting>
  <conditionalFormatting sqref="L7:M8">
    <cfRule type="cellIs" dxfId="860" priority="6" operator="lessThan">
      <formula>0</formula>
    </cfRule>
  </conditionalFormatting>
  <conditionalFormatting sqref="L8:M8">
    <cfRule type="cellIs" dxfId="859" priority="5" operator="greaterThan">
      <formula>0</formula>
    </cfRule>
  </conditionalFormatting>
  <dataValidations count="14">
    <dataValidation type="decimal" operator="greaterThanOrEqual" allowBlank="1" showInputMessage="1" showErrorMessage="1" sqref="D12:D14 J12:K12 D35:D36 D19:D31" xr:uid="{6C6773D6-35AF-4EE7-A963-D13BE3FC056A}">
      <formula1>0</formula1>
    </dataValidation>
    <dataValidation type="list" operator="greaterThanOrEqual" allowBlank="1" showInputMessage="1" showErrorMessage="1" sqref="C12:C14 C35:C36 C19:C31" xr:uid="{AC787A70-28F7-4841-A655-32D5EC7839BF}">
      <formula1>"0,1,2,3,4,5,6"</formula1>
    </dataValidation>
    <dataValidation type="list" operator="greaterThanOrEqual" allowBlank="1" showInputMessage="1" showErrorMessage="1" sqref="B13" xr:uid="{A11AF3F1-C350-46D9-B239-074F71957841}">
      <formula1>"0,5,10,15,20,25,30"</formula1>
    </dataValidation>
    <dataValidation type="whole" allowBlank="1" showInputMessage="1" showErrorMessage="1" sqref="B19" xr:uid="{00290652-550F-4C26-9FB8-B3002893A7A1}">
      <formula1>0</formula1>
      <formula2>G19</formula2>
    </dataValidation>
    <dataValidation type="decimal" allowBlank="1" showInputMessage="1" showErrorMessage="1" sqref="B21 B27:B31" xr:uid="{9B65E52E-928C-4D58-958A-C9FDE9B8291B}">
      <formula1>0</formula1>
      <formula2>G21</formula2>
    </dataValidation>
    <dataValidation type="decimal" allowBlank="1" showInputMessage="1" showErrorMessage="1" sqref="B20 B23:B24" xr:uid="{5DA41569-5BF1-49D2-B544-59FC1BFEFBBA}">
      <formula1>0</formula1>
      <formula2>G20-B22</formula2>
    </dataValidation>
    <dataValidation type="decimal" allowBlank="1" showInputMessage="1" showErrorMessage="1" sqref="B25:B26 B22" xr:uid="{1B5473F4-A635-42AF-BFF4-957A0D09E1A7}">
      <formula1>0</formula1>
      <formula2>G20-B20</formula2>
    </dataValidation>
    <dataValidation type="list" allowBlank="1" showInputMessage="1" showErrorMessage="1" sqref="E7" xr:uid="{5C32DA82-C015-4C7D-A2DC-7DE3AADDB05E}">
      <formula1>"No,Unrefined,Refined"</formula1>
    </dataValidation>
    <dataValidation type="whole" operator="greaterThanOrEqual" allowBlank="1" showInputMessage="1" showErrorMessage="1" sqref="H3 L3:L4 J35:K36 J19:K31" xr:uid="{7E5C7700-C78D-4301-97FD-180A7D268266}">
      <formula1>0</formula1>
    </dataValidation>
    <dataValidation type="decimal" allowBlank="1" showInputMessage="1" showErrorMessage="1" sqref="B12" xr:uid="{58986104-39B7-4818-9F73-211849D95080}">
      <formula1>0</formula1>
      <formula2>G12-B13-B14</formula2>
    </dataValidation>
    <dataValidation type="whole" allowBlank="1" showInputMessage="1" showErrorMessage="1" sqref="B14" xr:uid="{46226978-5CF7-497D-B6C1-C1B9FEFEEFEE}">
      <formula1>0</formula1>
      <formula2>G12-B13-B12</formula2>
    </dataValidation>
    <dataValidation type="decimal" operator="greaterThanOrEqual" allowBlank="1" showInputMessage="1" showErrorMessage="1" prompt="Adds more fuel to expenses calculation. Cost in Cr." sqref="E8" xr:uid="{4C7D80F6-EF45-44E7-A1D3-5A8189D86B4B}">
      <formula1>0</formula1>
    </dataValidation>
    <dataValidation type="whole" allowBlank="1" showInputMessage="1" showErrorMessage="1" sqref="E35:E36" xr:uid="{7D545A8E-1E60-400A-8131-20E50DD552DA}">
      <formula1>0</formula1>
      <formula2>G35</formula2>
    </dataValidation>
    <dataValidation type="decimal" allowBlank="1" showInputMessage="1" showErrorMessage="1" sqref="B35:B36" xr:uid="{37AB5571-3F40-42A7-B99D-F80BFBB90EBF}">
      <formula1>0</formula1>
      <formula2>X52</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A653-63AA-4017-8998-E2E85094350F}">
  <sheetPr>
    <tabColor rgb="FF00B050"/>
  </sheetPr>
  <dimension ref="A1:X76"/>
  <sheetViews>
    <sheetView workbookViewId="0">
      <selection activeCell="B1" sqref="B1"/>
    </sheetView>
  </sheetViews>
  <sheetFormatPr defaultRowHeight="14.4" x14ac:dyDescent="0.3"/>
  <cols>
    <col min="1" max="1" width="24.109375" customWidth="1"/>
    <col min="2" max="2" width="32.109375" customWidth="1"/>
    <col min="3" max="3" width="13.44140625" customWidth="1"/>
    <col min="4" max="4" width="9.109375" customWidth="1"/>
    <col min="5" max="5" width="17.109375" customWidth="1"/>
    <col min="6" max="6" width="3.6640625" customWidth="1"/>
    <col min="7" max="7" width="20.5546875" customWidth="1"/>
    <col min="8" max="8" width="13" customWidth="1"/>
    <col min="9" max="9" width="12.5546875" customWidth="1"/>
    <col min="10" max="10" width="10.33203125" customWidth="1"/>
    <col min="12" max="13" width="9.109375" customWidth="1"/>
    <col min="17" max="17" width="9.109375" customWidth="1"/>
    <col min="22" max="24" width="9.109375" hidden="1" customWidth="1"/>
  </cols>
  <sheetData>
    <row r="1" spans="1:24" ht="15" thickBot="1" x14ac:dyDescent="0.35">
      <c r="A1" s="3" t="str">
        <f>IF($F$5,"Ship's Class Name",IF($F$6,"Station's Class Name",IF($F$7,"Module's Class Name","Ship's Class Name")))</f>
        <v>Ship's Class Name</v>
      </c>
      <c r="B1" s="196"/>
      <c r="G1" s="6" t="s">
        <v>1</v>
      </c>
      <c r="I1" s="760" t="s">
        <v>45</v>
      </c>
      <c r="J1" s="760"/>
      <c r="L1" s="760" t="s">
        <v>46</v>
      </c>
      <c r="M1" s="760"/>
      <c r="S1" s="118" t="s">
        <v>92</v>
      </c>
    </row>
    <row r="2" spans="1:24" ht="15" thickBot="1" x14ac:dyDescent="0.35">
      <c r="A2" s="3" t="s">
        <v>418</v>
      </c>
      <c r="B2" s="196"/>
      <c r="E2" s="7" t="s">
        <v>0</v>
      </c>
      <c r="F2" s="197">
        <v>12</v>
      </c>
      <c r="G2" s="4">
        <f>W30*SUM('1-Hull'!F4,'2-Drives'!F5,'3-Pwr Plant'!F5,'4-Fuel'!F5,'5-Bridge'!F5,'6-Comp'!F5,'7-Sensors'!F5,'8a-Weapons'!L5,'8b-Screens'!F5,'9a-Optional'!F5,'9b-Optional'!F5,'11-Staterooms'!F5,'12-Cargo'!F5)*IF(F3="No",1,0.9)+IF('10-Crew'!Q34="Yes",SUM('10-Crew'!S40:T49),0)</f>
        <v>6177000</v>
      </c>
      <c r="I2" s="1" t="s">
        <v>390</v>
      </c>
      <c r="J2" s="1" t="s">
        <v>27</v>
      </c>
      <c r="L2" s="1" t="s">
        <v>390</v>
      </c>
      <c r="M2" s="738" t="s">
        <v>27</v>
      </c>
      <c r="N2" s="738"/>
      <c r="S2" s="118" t="s">
        <v>93</v>
      </c>
    </row>
    <row r="3" spans="1:24" ht="15" thickBot="1" x14ac:dyDescent="0.35">
      <c r="E3" s="7" t="s">
        <v>990</v>
      </c>
      <c r="F3" s="196" t="s">
        <v>93</v>
      </c>
      <c r="G3" s="6" t="s">
        <v>2168</v>
      </c>
      <c r="I3" s="10">
        <f>ROUND(J3-'1-Hull'!S63-'2-Drives'!S63-'3-Pwr Plant'!S41-'4-Fuel'!S24-'5-Bridge'!S20-'7-Sensors'!S14-'8a-Weapons'!N9-'8b-Screens'!S44-'9a-Optional'!AG29-'9b-Optional'!S10-'11-Staterooms'!S35-'12-Cargo'!S19,2)-IF('1-Hull'!C34="No",'1-Hull'!C32,0)</f>
        <v>92.53</v>
      </c>
      <c r="J3" s="266">
        <f>'1-Hull'!I6</f>
        <v>100</v>
      </c>
      <c r="L3" s="10">
        <f>M3-'2-Drives'!S66-'7-Sensors'!S17-'8a-Weapons'!Q9-'8b-Screens'!S47-'1-Hull'!T63-'9a-Optional'!AG32-'9b-Optional'!S13-'11-Staterooms'!S39-'12-Cargo'!S22-'4-Fuel'!S27-'6-Comp'!S101</f>
        <v>0</v>
      </c>
      <c r="M3" s="734">
        <f>'3-Pwr Plant'!L6</f>
        <v>20</v>
      </c>
      <c r="N3" s="734"/>
    </row>
    <row r="4" spans="1:24" ht="15" thickBot="1" x14ac:dyDescent="0.35">
      <c r="A4" s="3" t="str">
        <f>IF($F$5,"Ship's Name",IF($F$6,"Station's Name",IF($F$7,"Base Ship's Class Name","Ship's Name")))</f>
        <v>Ship's Name</v>
      </c>
      <c r="B4" s="198"/>
      <c r="F4" s="118">
        <f>IF(E6="Pod",1,0)</f>
        <v>0</v>
      </c>
      <c r="G4" s="4">
        <f>W30*SUM('1-Hull'!F4,'2-Drives'!F5,'3-Pwr Plant'!F5,'4-Fuel'!F5,'5-Bridge'!F5,'6-Comp'!F5,'7-Sensors'!F5,'8a-Weapons'!L5,'8b-Screens'!F5,'9a-Optional'!F5,'9b-Optional'!F5,'11-Staterooms'!F5,'12-Cargo'!F5)*1.01+IF('10-Crew'!Q34="Yes",SUM('10-Crew'!S40:T49),0)</f>
        <v>6931966.666666666</v>
      </c>
      <c r="L4" s="7" t="s">
        <v>393</v>
      </c>
      <c r="M4" s="734" t="str">
        <f>'3-Pwr Plant'!L15</f>
        <v xml:space="preserve"> </v>
      </c>
      <c r="N4" s="734"/>
    </row>
    <row r="5" spans="1:24" ht="15" thickBot="1" x14ac:dyDescent="0.35">
      <c r="B5" s="7" t="s">
        <v>1356</v>
      </c>
      <c r="C5" s="197">
        <v>1500</v>
      </c>
      <c r="E5" t="s">
        <v>1351</v>
      </c>
      <c r="F5" s="118">
        <f>IF(E6="Ship",1,0)</f>
        <v>1</v>
      </c>
      <c r="L5" s="7" t="s">
        <v>394</v>
      </c>
      <c r="M5" s="734">
        <f>'3-Pwr Plant'!L18</f>
        <v>0</v>
      </c>
      <c r="N5" s="734"/>
      <c r="V5" t="s">
        <v>2490</v>
      </c>
      <c r="X5" t="s">
        <v>2212</v>
      </c>
    </row>
    <row r="6" spans="1:24" ht="15" thickBot="1" x14ac:dyDescent="0.35">
      <c r="B6" s="7" t="s">
        <v>1352</v>
      </c>
      <c r="C6" s="197">
        <v>6</v>
      </c>
      <c r="E6" s="196" t="s">
        <v>2392</v>
      </c>
      <c r="F6" s="118">
        <f>IF(E6="Station",1,0)</f>
        <v>0</v>
      </c>
      <c r="G6" s="472"/>
      <c r="H6" s="473" t="str">
        <f>"* Is module a fully spaceworthy pod?"</f>
        <v>* Is module a fully spaceworthy pod?</v>
      </c>
      <c r="I6" s="474" t="s">
        <v>92</v>
      </c>
    </row>
    <row r="7" spans="1:24" ht="15" customHeight="1" thickBot="1" x14ac:dyDescent="0.35">
      <c r="A7" s="3" t="s">
        <v>561</v>
      </c>
      <c r="D7" s="113"/>
      <c r="F7" s="118">
        <f>IF(E6="Module",1,0)</f>
        <v>0</v>
      </c>
      <c r="G7" s="1" t="s">
        <v>940</v>
      </c>
    </row>
    <row r="8" spans="1:24" ht="15" customHeight="1" thickTop="1" x14ac:dyDescent="0.3">
      <c r="A8" s="761"/>
      <c r="B8" s="762"/>
      <c r="C8" s="763"/>
      <c r="D8" s="600"/>
      <c r="E8" s="191" t="s">
        <v>938</v>
      </c>
      <c r="F8" s="192"/>
      <c r="G8" s="193" t="s">
        <v>1</v>
      </c>
      <c r="H8" s="193" t="s">
        <v>110</v>
      </c>
      <c r="I8" s="193" t="s">
        <v>54</v>
      </c>
      <c r="K8" s="271" t="s">
        <v>1357</v>
      </c>
      <c r="L8" s="776" t="s">
        <v>1374</v>
      </c>
      <c r="M8" s="777"/>
      <c r="N8" s="777"/>
      <c r="O8" s="777"/>
      <c r="P8" s="777"/>
      <c r="Q8" s="778"/>
    </row>
    <row r="9" spans="1:24" x14ac:dyDescent="0.3">
      <c r="A9" s="764"/>
      <c r="B9" s="765"/>
      <c r="C9" s="766"/>
      <c r="D9" s="600"/>
      <c r="E9" s="135" t="s">
        <v>553</v>
      </c>
      <c r="F9" s="136"/>
      <c r="G9" s="188">
        <f>'1-Hull'!F4</f>
        <v>5000000</v>
      </c>
      <c r="H9" s="314">
        <f>'1-Hull'!S63</f>
        <v>0</v>
      </c>
      <c r="I9" s="314">
        <f>'1-Hull'!T63</f>
        <v>20</v>
      </c>
      <c r="K9" s="272" t="s">
        <v>1371</v>
      </c>
      <c r="L9" s="779"/>
      <c r="M9" s="780"/>
      <c r="N9" s="780"/>
      <c r="O9" s="780"/>
      <c r="P9" s="780"/>
      <c r="Q9" s="781"/>
    </row>
    <row r="10" spans="1:24" x14ac:dyDescent="0.3">
      <c r="A10" s="764"/>
      <c r="B10" s="765"/>
      <c r="C10" s="766"/>
      <c r="D10" s="600"/>
      <c r="E10" s="92" t="s">
        <v>939</v>
      </c>
      <c r="F10" s="46"/>
      <c r="G10" s="189">
        <f>'2-Drives'!F5</f>
        <v>0</v>
      </c>
      <c r="H10" s="315">
        <f>'2-Drives'!S63</f>
        <v>0</v>
      </c>
      <c r="I10" s="315">
        <f>'2-Drives'!S66</f>
        <v>0</v>
      </c>
      <c r="K10" s="273" t="str">
        <f>IF(K21=5,"*A*","A")</f>
        <v>A</v>
      </c>
      <c r="L10" s="122"/>
      <c r="M10" s="122"/>
      <c r="N10" s="122"/>
      <c r="O10" s="122"/>
      <c r="P10" s="122"/>
      <c r="Q10" s="280"/>
    </row>
    <row r="11" spans="1:24" x14ac:dyDescent="0.3">
      <c r="A11" s="764"/>
      <c r="B11" s="765"/>
      <c r="C11" s="766"/>
      <c r="D11" s="600"/>
      <c r="E11" s="135" t="s">
        <v>63</v>
      </c>
      <c r="F11" s="136"/>
      <c r="G11" s="188">
        <f>'3-Pwr Plant'!F5</f>
        <v>1333333.3333333333</v>
      </c>
      <c r="H11" s="314">
        <f>'3-Pwr Plant'!S41</f>
        <v>1.3333333333333333</v>
      </c>
      <c r="I11" s="314" t="s">
        <v>557</v>
      </c>
      <c r="K11" s="274" t="str">
        <f>IF(K21=4,"*B*","B")</f>
        <v>B</v>
      </c>
      <c r="L11" s="122"/>
      <c r="M11" s="122"/>
      <c r="N11" s="122"/>
      <c r="O11" s="122"/>
      <c r="P11" s="122"/>
      <c r="Q11" s="278"/>
    </row>
    <row r="12" spans="1:24" x14ac:dyDescent="0.3">
      <c r="A12" s="764"/>
      <c r="B12" s="765"/>
      <c r="C12" s="766"/>
      <c r="D12" s="600"/>
      <c r="E12" s="92" t="s">
        <v>66</v>
      </c>
      <c r="F12" s="46"/>
      <c r="G12" s="189">
        <f>'4-Fuel'!F5</f>
        <v>0</v>
      </c>
      <c r="H12" s="315">
        <f>'4-Fuel'!S24</f>
        <v>0.13333333333333333</v>
      </c>
      <c r="I12" s="315">
        <f>'4-Fuel'!S27</f>
        <v>0</v>
      </c>
      <c r="K12" s="275" t="str">
        <f>IF(K21=3,"*C*","C")</f>
        <v>C</v>
      </c>
      <c r="L12" s="122"/>
      <c r="M12" s="122"/>
      <c r="N12" s="122"/>
      <c r="O12" s="122"/>
      <c r="P12" s="122"/>
      <c r="Q12" s="278"/>
    </row>
    <row r="13" spans="1:24" x14ac:dyDescent="0.3">
      <c r="A13" s="764"/>
      <c r="B13" s="765"/>
      <c r="C13" s="766"/>
      <c r="D13" s="600"/>
      <c r="E13" s="135" t="s">
        <v>71</v>
      </c>
      <c r="F13" s="136"/>
      <c r="G13" s="188">
        <f>'5-Bridge'!F5</f>
        <v>500000</v>
      </c>
      <c r="H13" s="314">
        <f>'5-Bridge'!S20</f>
        <v>6</v>
      </c>
      <c r="I13" s="314">
        <v>0</v>
      </c>
      <c r="K13" s="276" t="str">
        <f>IF(K21=2,"*D*","D")</f>
        <v>D</v>
      </c>
      <c r="L13" s="122"/>
      <c r="M13" s="122"/>
      <c r="N13" s="122"/>
      <c r="O13" s="122"/>
      <c r="P13" s="122"/>
      <c r="Q13" s="278"/>
    </row>
    <row r="14" spans="1:24" x14ac:dyDescent="0.3">
      <c r="A14" s="764"/>
      <c r="B14" s="765"/>
      <c r="C14" s="766"/>
      <c r="D14" s="600"/>
      <c r="E14" s="92" t="s">
        <v>83</v>
      </c>
      <c r="F14" s="46"/>
      <c r="G14" s="189">
        <f>'6-Comp'!F5</f>
        <v>30000</v>
      </c>
      <c r="H14" s="315">
        <v>0</v>
      </c>
      <c r="I14" s="315">
        <v>0</v>
      </c>
      <c r="K14" s="277" t="str">
        <f>IF(K21=1,"*E*","E")</f>
        <v>*E*</v>
      </c>
      <c r="L14" s="122"/>
      <c r="M14" s="122"/>
      <c r="N14" s="122"/>
      <c r="O14" s="122"/>
      <c r="P14" s="122"/>
      <c r="Q14" s="279"/>
    </row>
    <row r="15" spans="1:24" ht="15" customHeight="1" x14ac:dyDescent="0.3">
      <c r="A15" s="764"/>
      <c r="B15" s="765"/>
      <c r="C15" s="766"/>
      <c r="D15" s="600"/>
      <c r="E15" s="135" t="s">
        <v>587</v>
      </c>
      <c r="F15" s="136"/>
      <c r="G15" s="188">
        <f>'7-Sensors'!F5</f>
        <v>0</v>
      </c>
      <c r="H15" s="314">
        <f>'7-Sensors'!S14</f>
        <v>0</v>
      </c>
      <c r="I15" s="314">
        <f>'7-Sensors'!S17</f>
        <v>0</v>
      </c>
      <c r="K15" s="269"/>
      <c r="L15" s="773" t="s">
        <v>587</v>
      </c>
      <c r="M15" s="770" t="s">
        <v>616</v>
      </c>
      <c r="N15" s="773" t="s">
        <v>1372</v>
      </c>
      <c r="O15" s="770" t="s">
        <v>1348</v>
      </c>
      <c r="P15" s="773" t="s">
        <v>1342</v>
      </c>
      <c r="Q15" s="787" t="s">
        <v>1373</v>
      </c>
    </row>
    <row r="16" spans="1:24" ht="15" customHeight="1" x14ac:dyDescent="0.3">
      <c r="A16" s="764"/>
      <c r="B16" s="765"/>
      <c r="C16" s="766"/>
      <c r="D16" s="600"/>
      <c r="E16" s="92" t="s">
        <v>295</v>
      </c>
      <c r="F16" s="46"/>
      <c r="G16" s="189">
        <f>'8a-Weapons'!L5</f>
        <v>0</v>
      </c>
      <c r="H16" s="315">
        <f>'8a-Weapons'!N9</f>
        <v>0</v>
      </c>
      <c r="I16" s="315">
        <f>'8a-Weapons'!Q9</f>
        <v>0</v>
      </c>
      <c r="K16" s="269"/>
      <c r="L16" s="774"/>
      <c r="M16" s="771"/>
      <c r="N16" s="774"/>
      <c r="O16" s="771"/>
      <c r="P16" s="774"/>
      <c r="Q16" s="788"/>
    </row>
    <row r="17" spans="1:24" x14ac:dyDescent="0.3">
      <c r="A17" s="764"/>
      <c r="B17" s="765"/>
      <c r="C17" s="766"/>
      <c r="D17" s="600"/>
      <c r="E17" s="135" t="s">
        <v>886</v>
      </c>
      <c r="F17" s="136"/>
      <c r="G17" s="188">
        <f>'8b-Screens'!F5</f>
        <v>0</v>
      </c>
      <c r="H17" s="314">
        <f>'8b-Screens'!S44</f>
        <v>0</v>
      </c>
      <c r="I17" s="314">
        <f>'8b-Screens'!S47</f>
        <v>0</v>
      </c>
      <c r="K17" s="269"/>
      <c r="L17" s="774"/>
      <c r="M17" s="771"/>
      <c r="N17" s="774"/>
      <c r="O17" s="771"/>
      <c r="P17" s="774"/>
      <c r="Q17" s="788"/>
    </row>
    <row r="18" spans="1:24" x14ac:dyDescent="0.3">
      <c r="A18" s="764"/>
      <c r="B18" s="765"/>
      <c r="C18" s="766"/>
      <c r="D18" s="600"/>
      <c r="E18" s="92" t="s">
        <v>614</v>
      </c>
      <c r="F18" s="46"/>
      <c r="G18" s="189">
        <f>'9a-Optional'!F5+'9b-Optional'!F5</f>
        <v>0</v>
      </c>
      <c r="H18" s="315">
        <f>'9a-Optional'!AG29+'9b-Optional'!S10</f>
        <v>0</v>
      </c>
      <c r="I18" s="315">
        <f>'9a-Optional'!AG32+'9b-Optional'!S13</f>
        <v>0</v>
      </c>
      <c r="K18" s="269"/>
      <c r="L18" s="774"/>
      <c r="M18" s="771"/>
      <c r="N18" s="774"/>
      <c r="O18" s="771"/>
      <c r="P18" s="774"/>
      <c r="Q18" s="788"/>
    </row>
    <row r="19" spans="1:24" ht="15" customHeight="1" thickBot="1" x14ac:dyDescent="0.35">
      <c r="A19" s="767"/>
      <c r="B19" s="768"/>
      <c r="C19" s="769"/>
      <c r="D19" s="29"/>
      <c r="E19" s="135" t="s">
        <v>591</v>
      </c>
      <c r="F19" s="136"/>
      <c r="G19" s="188">
        <f>'11-Staterooms'!F5</f>
        <v>0</v>
      </c>
      <c r="H19" s="314">
        <f>'11-Staterooms'!S35</f>
        <v>0</v>
      </c>
      <c r="I19" s="314">
        <f>'11-Staterooms'!S39</f>
        <v>0</v>
      </c>
      <c r="K19" s="269"/>
      <c r="L19" s="774"/>
      <c r="M19" s="771"/>
      <c r="N19" s="774"/>
      <c r="O19" s="771"/>
      <c r="P19" s="774"/>
      <c r="Q19" s="788"/>
      <c r="R19" s="267"/>
    </row>
    <row r="20" spans="1:24" ht="15" thickBot="1" x14ac:dyDescent="0.35">
      <c r="A20" s="2"/>
      <c r="E20" s="140" t="s">
        <v>588</v>
      </c>
      <c r="F20" s="79"/>
      <c r="G20" s="190">
        <f>'12-Cargo'!F5</f>
        <v>0</v>
      </c>
      <c r="H20" s="316">
        <f>'12-Cargo'!S19</f>
        <v>0</v>
      </c>
      <c r="I20" s="316">
        <f>'12-Cargo'!S22</f>
        <v>0</v>
      </c>
      <c r="K20" s="270"/>
      <c r="L20" s="775"/>
      <c r="M20" s="772"/>
      <c r="N20" s="775"/>
      <c r="O20" s="772"/>
      <c r="P20" s="775"/>
      <c r="Q20" s="789"/>
    </row>
    <row r="21" spans="1:24" ht="15.6" thickTop="1" thickBot="1" x14ac:dyDescent="0.35">
      <c r="K21" s="118">
        <f>MIN(L21:Q21)</f>
        <v>1</v>
      </c>
      <c r="L21" s="118">
        <f>'7-Sensors'!W41</f>
        <v>2</v>
      </c>
      <c r="M21" s="118">
        <f>'9b-Optional'!T180</f>
        <v>1</v>
      </c>
      <c r="N21" s="118">
        <f>'9b-Optional'!T187</f>
        <v>3</v>
      </c>
      <c r="O21" s="118">
        <f>'9b-Optional'!T177</f>
        <v>1</v>
      </c>
      <c r="P21" s="118">
        <f>'9b-Optional'!T173</f>
        <v>2</v>
      </c>
      <c r="Q21" s="118">
        <f>'9b-Optional'!T194</f>
        <v>2</v>
      </c>
    </row>
    <row r="22" spans="1:24" ht="15" thickBot="1" x14ac:dyDescent="0.35">
      <c r="A22" s="751" t="s">
        <v>1779</v>
      </c>
      <c r="B22" s="759"/>
      <c r="E22" s="3" t="s">
        <v>1453</v>
      </c>
      <c r="G22" s="196" t="s">
        <v>1456</v>
      </c>
      <c r="V22" s="44" t="s">
        <v>2465</v>
      </c>
      <c r="W22" s="45">
        <v>1</v>
      </c>
      <c r="X22" s="47">
        <v>0</v>
      </c>
    </row>
    <row r="23" spans="1:24" ht="15" thickBot="1" x14ac:dyDescent="0.35">
      <c r="A23" s="457"/>
      <c r="B23" s="297"/>
      <c r="G23" s="1" t="s">
        <v>1460</v>
      </c>
      <c r="H23" s="281" t="s">
        <v>1461</v>
      </c>
      <c r="P23" s="7" t="s">
        <v>2169</v>
      </c>
      <c r="Q23" s="784" t="str">
        <f>TEXT(ROUNDUP((G2/1000000)*(1-(Q25/100))*(1-IF(Tech_Level&lt;12,0,IF(Tech_Level&gt;16,0.5,(Tech_Level-11)*0.1))),0),"#,###")&amp;" Days"</f>
        <v>6 Days</v>
      </c>
      <c r="R23" s="784"/>
      <c r="V23" s="623" t="str">
        <f>"6-10"</f>
        <v>6-10</v>
      </c>
      <c r="W23">
        <v>0.95</v>
      </c>
      <c r="X23" s="46">
        <v>1</v>
      </c>
    </row>
    <row r="24" spans="1:24" ht="15" thickBot="1" x14ac:dyDescent="0.35">
      <c r="A24" s="458" t="s">
        <v>1778</v>
      </c>
      <c r="B24" s="461">
        <f>IF(C31="Yes",0,IF(S67="No",G2/240,O70/240))</f>
        <v>25737.5</v>
      </c>
      <c r="E24" s="287" t="s">
        <v>1454</v>
      </c>
      <c r="F24" s="288"/>
      <c r="G24" s="289">
        <v>0.6</v>
      </c>
      <c r="H24" s="290">
        <v>2</v>
      </c>
      <c r="I24" s="291" t="s">
        <v>1462</v>
      </c>
      <c r="J24" s="288"/>
      <c r="K24" s="288"/>
      <c r="L24" s="288"/>
      <c r="M24" s="292"/>
      <c r="V24" s="78" t="str">
        <f>"11-15"</f>
        <v>11-15</v>
      </c>
      <c r="W24">
        <v>0.9</v>
      </c>
      <c r="X24" s="46">
        <v>2</v>
      </c>
    </row>
    <row r="25" spans="1:24" ht="15" thickBot="1" x14ac:dyDescent="0.35">
      <c r="A25" s="458" t="s">
        <v>636</v>
      </c>
      <c r="B25" s="461">
        <f>IF('10-Crew'!Q34="No",ROUND(G2/W30/12/1000,0),ROUND((G2-SUM('10-Crew'!S40:T49))/W30/12/1000,0))+SUM('10-Crew'!AA40:AA49)</f>
        <v>515</v>
      </c>
      <c r="E25" s="293" t="s">
        <v>1455</v>
      </c>
      <c r="G25" s="90">
        <v>0.8</v>
      </c>
      <c r="H25" s="2">
        <v>1.4</v>
      </c>
      <c r="I25" s="78" t="s">
        <v>1463</v>
      </c>
      <c r="K25" s="268"/>
      <c r="L25" s="268"/>
      <c r="M25" s="294"/>
      <c r="O25" s="522"/>
      <c r="P25" s="382" t="s">
        <v>2170</v>
      </c>
      <c r="Q25" s="785">
        <v>0</v>
      </c>
      <c r="R25" s="786"/>
      <c r="V25" s="78" t="str">
        <f>"16-25"</f>
        <v>16-25</v>
      </c>
      <c r="W25">
        <v>0.85</v>
      </c>
      <c r="X25" s="46">
        <v>3</v>
      </c>
    </row>
    <row r="26" spans="1:24" x14ac:dyDescent="0.3">
      <c r="A26" s="459" t="s">
        <v>1780</v>
      </c>
      <c r="B26" s="461">
        <f>'11-Staterooms'!F7</f>
        <v>0</v>
      </c>
      <c r="E26" s="295" t="s">
        <v>1456</v>
      </c>
      <c r="F26" s="22"/>
      <c r="G26" s="187">
        <v>1</v>
      </c>
      <c r="H26" s="27">
        <v>1</v>
      </c>
      <c r="I26" s="80" t="str">
        <f>""</f>
        <v/>
      </c>
      <c r="J26" s="22"/>
      <c r="K26" s="286"/>
      <c r="L26" s="286"/>
      <c r="M26" s="296"/>
      <c r="O26" s="522"/>
      <c r="P26" s="522"/>
      <c r="Q26" s="522"/>
      <c r="V26" s="78" t="str">
        <f>"26-50"</f>
        <v>26-50</v>
      </c>
      <c r="W26">
        <v>0.8</v>
      </c>
      <c r="X26" s="46">
        <v>4</v>
      </c>
    </row>
    <row r="27" spans="1:24" x14ac:dyDescent="0.3">
      <c r="A27" s="459" t="s">
        <v>1781</v>
      </c>
      <c r="B27" s="461">
        <f>'10-Crew'!G32</f>
        <v>19000</v>
      </c>
      <c r="E27" s="293" t="s">
        <v>1457</v>
      </c>
      <c r="G27" s="90">
        <v>1.25</v>
      </c>
      <c r="H27" s="2">
        <v>0.9</v>
      </c>
      <c r="I27" s="78" t="str">
        <f>""</f>
        <v/>
      </c>
      <c r="M27" s="297"/>
      <c r="O27" t="s">
        <v>2171</v>
      </c>
      <c r="V27" s="78" t="str">
        <f>"51-100"</f>
        <v>51-100</v>
      </c>
      <c r="W27">
        <v>0.75</v>
      </c>
      <c r="X27" s="46">
        <v>6</v>
      </c>
    </row>
    <row r="28" spans="1:24" x14ac:dyDescent="0.3">
      <c r="A28" s="459" t="s">
        <v>2496</v>
      </c>
      <c r="B28" s="461">
        <f>Profitability!B7</f>
        <v>0</v>
      </c>
      <c r="E28" s="295" t="s">
        <v>1458</v>
      </c>
      <c r="F28" s="22"/>
      <c r="G28" s="187">
        <v>1.5</v>
      </c>
      <c r="H28" s="27">
        <v>0.75</v>
      </c>
      <c r="I28" s="80" t="s">
        <v>1464</v>
      </c>
      <c r="J28" s="22"/>
      <c r="K28" s="22"/>
      <c r="L28" s="22"/>
      <c r="M28" s="298"/>
      <c r="V28" s="78" t="str">
        <f>"101-250"</f>
        <v>101-250</v>
      </c>
      <c r="W28">
        <v>0.7</v>
      </c>
      <c r="X28" s="46">
        <v>8</v>
      </c>
    </row>
    <row r="29" spans="1:24" ht="15" thickBot="1" x14ac:dyDescent="0.35">
      <c r="A29" s="460" t="s">
        <v>1782</v>
      </c>
      <c r="B29" s="462">
        <f>SUM(B24:B28)</f>
        <v>45252.5</v>
      </c>
      <c r="E29" s="299" t="s">
        <v>1459</v>
      </c>
      <c r="F29" s="300"/>
      <c r="G29" s="301">
        <v>2</v>
      </c>
      <c r="H29" s="302">
        <v>0.6</v>
      </c>
      <c r="I29" s="303" t="s">
        <v>1465</v>
      </c>
      <c r="J29" s="300"/>
      <c r="K29" s="300"/>
      <c r="L29" s="300"/>
      <c r="M29" s="304"/>
      <c r="O29" s="3" t="s">
        <v>2463</v>
      </c>
      <c r="R29" t="str">
        <f>IF(W30=1,"",(1-W30)*100&amp;"% Discount")</f>
        <v/>
      </c>
      <c r="V29" s="86" t="str">
        <f>"251+"</f>
        <v>251+</v>
      </c>
      <c r="W29" s="28">
        <v>0.6</v>
      </c>
      <c r="X29" s="79">
        <v>10</v>
      </c>
    </row>
    <row r="30" spans="1:24" ht="15" thickBot="1" x14ac:dyDescent="0.35">
      <c r="A30" s="3"/>
      <c r="V30" s="559" t="s">
        <v>2486</v>
      </c>
      <c r="W30" s="539">
        <f>INDEX(V22:X29,MATCH(P31,V22:V29,0),2)</f>
        <v>1</v>
      </c>
      <c r="X30" s="540">
        <f>INDEX(V22:X29,MATCH(P31,V22:V29,0),3)</f>
        <v>0</v>
      </c>
    </row>
    <row r="31" spans="1:24" ht="15" thickBot="1" x14ac:dyDescent="0.35">
      <c r="A31" s="478"/>
      <c r="B31" s="479" t="s">
        <v>2001</v>
      </c>
      <c r="C31" s="498" t="s">
        <v>92</v>
      </c>
      <c r="E31" s="3" t="s">
        <v>1466</v>
      </c>
      <c r="G31" s="1">
        <f>INDEX(E24:I29,MATCH(G22,E24:E29,0),3)</f>
        <v>1</v>
      </c>
      <c r="H31" s="1">
        <f>INDEX(E24:I29,MATCH(G22,E24:E29,0),4)</f>
        <v>1</v>
      </c>
      <c r="I31" s="3" t="str">
        <f>INDEX(E24:I29,MATCH(G22,E24:E29,0),5)</f>
        <v/>
      </c>
      <c r="O31" s="9" t="s">
        <v>2464</v>
      </c>
      <c r="P31" s="196" t="s">
        <v>2465</v>
      </c>
      <c r="Q31" t="str">
        <f>IF(P31="New","","Years Old")</f>
        <v/>
      </c>
      <c r="V31" t="str">
        <f>""</f>
        <v/>
      </c>
    </row>
    <row r="32" spans="1:24" ht="15" thickBot="1" x14ac:dyDescent="0.35">
      <c r="A32" s="478"/>
      <c r="B32" s="479"/>
      <c r="C32" s="478"/>
      <c r="O32" s="3" t="s">
        <v>2487</v>
      </c>
      <c r="V32" t="s">
        <v>2466</v>
      </c>
    </row>
    <row r="33" spans="1:22" ht="15" thickBot="1" x14ac:dyDescent="0.35">
      <c r="A33" s="478"/>
      <c r="B33" s="479" t="s">
        <v>2166</v>
      </c>
      <c r="C33" s="498" t="s">
        <v>2167</v>
      </c>
      <c r="E33" t="s">
        <v>1467</v>
      </c>
      <c r="O33" s="782" t="s">
        <v>1020</v>
      </c>
      <c r="P33" s="782"/>
      <c r="Q33" s="782"/>
      <c r="R33" s="782"/>
      <c r="S33" s="782"/>
      <c r="V33" t="s">
        <v>2467</v>
      </c>
    </row>
    <row r="34" spans="1:22" ht="15" thickBot="1" x14ac:dyDescent="0.35">
      <c r="A34" s="478"/>
      <c r="B34" s="478"/>
      <c r="C34" s="478"/>
      <c r="O34" s="783" t="s">
        <v>1020</v>
      </c>
      <c r="P34" s="783"/>
      <c r="Q34" s="783"/>
      <c r="R34" s="783"/>
      <c r="S34" s="783"/>
      <c r="V34" t="s">
        <v>2468</v>
      </c>
    </row>
    <row r="35" spans="1:22" ht="15" thickBot="1" x14ac:dyDescent="0.35">
      <c r="A35" s="478"/>
      <c r="B35" s="479" t="s">
        <v>2400</v>
      </c>
      <c r="C35" s="498" t="s">
        <v>2401</v>
      </c>
      <c r="E35" t="s">
        <v>1813</v>
      </c>
      <c r="O35" s="782" t="s">
        <v>1020</v>
      </c>
      <c r="P35" s="782"/>
      <c r="Q35" s="782"/>
      <c r="R35" s="782"/>
      <c r="S35" s="782"/>
      <c r="V35" t="s">
        <v>2469</v>
      </c>
    </row>
    <row r="36" spans="1:22" ht="15" thickBot="1" x14ac:dyDescent="0.35">
      <c r="A36" s="478"/>
      <c r="B36" s="479" t="s">
        <v>2402</v>
      </c>
      <c r="C36" s="602">
        <v>0.01</v>
      </c>
      <c r="E36" t="s">
        <v>2735</v>
      </c>
      <c r="O36" s="783" t="s">
        <v>1020</v>
      </c>
      <c r="P36" s="783"/>
      <c r="Q36" s="783"/>
      <c r="R36" s="783"/>
      <c r="S36" s="783"/>
      <c r="V36" t="s">
        <v>2470</v>
      </c>
    </row>
    <row r="37" spans="1:22" ht="15" thickBot="1" x14ac:dyDescent="0.35">
      <c r="A37" s="478"/>
      <c r="B37" s="478"/>
      <c r="C37" s="478"/>
      <c r="E37" t="s">
        <v>2736</v>
      </c>
      <c r="O37" s="782" t="s">
        <v>1020</v>
      </c>
      <c r="P37" s="782"/>
      <c r="Q37" s="782"/>
      <c r="R37" s="782"/>
      <c r="S37" s="782"/>
      <c r="V37" t="s">
        <v>2471</v>
      </c>
    </row>
    <row r="38" spans="1:22" ht="15" hidden="1" thickBot="1" x14ac:dyDescent="0.35">
      <c r="A38" s="478" t="str">
        <f>LEFT(A8,C38)&amp;E38</f>
        <v/>
      </c>
      <c r="B38" s="478"/>
      <c r="C38" s="478">
        <f>IF(MID(A8,D38,1)=" ",D38,IF(MID(A8,D38-1,1)=" ",D38-1,IF(MID(A8,D38-2,1)=" ",D38-2,IF(MID(A8,D38-3,1)=" ",D38-3,IF(MID(A8,D38-4,1)=" ",D38-4,IF(MID(A8,D38-5,1)=" ",D38-5,IF(MID(A8,D38-6,1)=" ",D38-6,IF(MID(A8,D38-7,1)=" ",D38-7,IF(MID(A8,D38-8,1)=" ",D38-8,IF(MID(A8,D38-9,1)=" ",D38-9,IF(MID(A8,D38-10,1)=" ",D38-10,D38-1)))))))))))</f>
        <v>57</v>
      </c>
      <c r="D38">
        <v>58</v>
      </c>
      <c r="E38" t="str">
        <f>IF(D38&gt;LEN($A$8),"",IF(RIGHT(LEFT($A$8,C38),1)=" ","","-"))</f>
        <v/>
      </c>
      <c r="O38" s="196"/>
      <c r="P38" s="196"/>
      <c r="Q38" s="196"/>
      <c r="R38" s="196"/>
      <c r="S38" s="196"/>
    </row>
    <row r="39" spans="1:22" ht="15" hidden="1" thickBot="1" x14ac:dyDescent="0.35">
      <c r="A39" s="478" t="str">
        <f>MID($A$8,C38+1,C39-C38)&amp;E39</f>
        <v/>
      </c>
      <c r="B39" s="478"/>
      <c r="C39" s="478">
        <f>IF(MID($A$8,D39,1)=" ",D39,IF(MID($A$8,D39-1,1)=" ",D39-1,IF(MID($A$8,D39-2,1)=" ",D39-2,IF(MID($A$8,D39-3,1)=" ",D39-3,IF(MID($A$8,D39-4,1)=" ",D39-4,IF(MID($A$8,D39-5,1)=" ",D39-5,IF(MID($A$8,D39-6,1)=" ",D39-6,IF(MID($A$8,D39-7,1)=" ",D39-7,IF(MID($A$8,D39-8,1)=" ",D39-8,IF(MID($A$8,D39-9,1)=" ",D39-9,IF(MID($A$8,D39-10,1)=" ",D39-10,D39-1)))))))))))</f>
        <v>115</v>
      </c>
      <c r="D39">
        <f>$D$38+C38+1</f>
        <v>116</v>
      </c>
      <c r="E39" t="str">
        <f t="shared" ref="E39:E57" si="0">IF(D39&gt;LEN($A$8),"",IF(RIGHT(LEFT($A$8,C39),1)=" ","","-"))</f>
        <v/>
      </c>
      <c r="O39" s="196"/>
      <c r="P39" s="196"/>
      <c r="Q39" s="196"/>
      <c r="R39" s="196"/>
      <c r="S39" s="196"/>
    </row>
    <row r="40" spans="1:22" ht="15" hidden="1" thickBot="1" x14ac:dyDescent="0.35">
      <c r="A40" s="478" t="str">
        <f>MID($A$8,C39+1,C40-C39)&amp;E40</f>
        <v/>
      </c>
      <c r="B40" s="478"/>
      <c r="C40" s="478">
        <f>IF(MID($A$8,D40,1)=" ",D40,IF(MID($A$8,D40-1,1)=" ",D40-1,IF(MID($A$8,D40-2,1)=" ",D40-2,IF(MID($A$8,D40-3,1)=" ",D40-3,IF(MID($A$8,D40-4,1)=" ",D40-4,IF(MID($A$8,D40-5,1)=" ",D40-5,IF(MID($A$8,D40-6,1)=" ",D40-6,IF(MID($A$8,D40-7,1)=" ",D40-7,IF(MID($A$8,D40-8,1)=" ",D40-8,IF(MID($A$8,D40-9,1)=" ",D40-9,IF(MID($A$8,D40-10,1)=" ",D40-10,D40-1)))))))))))</f>
        <v>173</v>
      </c>
      <c r="D40">
        <f>$D$38+C39+1</f>
        <v>174</v>
      </c>
      <c r="E40" t="str">
        <f t="shared" si="0"/>
        <v/>
      </c>
      <c r="O40" s="196"/>
      <c r="P40" s="196"/>
      <c r="Q40" s="196"/>
      <c r="R40" s="196"/>
      <c r="S40" s="196"/>
    </row>
    <row r="41" spans="1:22" ht="15" hidden="1" thickBot="1" x14ac:dyDescent="0.35">
      <c r="A41" s="478" t="str">
        <f t="shared" ref="A41:A57" si="1">MID($A$8,C40+1,C41-C40)&amp;E41</f>
        <v/>
      </c>
      <c r="B41" s="478"/>
      <c r="C41" s="478">
        <f t="shared" ref="C41:C57" si="2">IF(MID($A$8,D41,1)=" ",D41,IF(MID($A$8,D41-1,1)=" ",D41-1,IF(MID($A$8,D41-2,1)=" ",D41-2,IF(MID($A$8,D41-3,1)=" ",D41-3,IF(MID($A$8,D41-4,1)=" ",D41-4,IF(MID($A$8,D41-5,1)=" ",D41-5,IF(MID($A$8,D41-6,1)=" ",D41-6,IF(MID($A$8,D41-7,1)=" ",D41-7,IF(MID($A$8,D41-8,1)=" ",D41-8,IF(MID($A$8,D41-9,1)=" ",D41-9,IF(MID($A$8,D41-10,1)=" ",D41-10,D41-1)))))))))))</f>
        <v>231</v>
      </c>
      <c r="D41">
        <f t="shared" ref="D41:D57" si="3">$D$38+C40+1</f>
        <v>232</v>
      </c>
      <c r="E41" t="str">
        <f t="shared" si="0"/>
        <v/>
      </c>
      <c r="O41" s="196"/>
      <c r="P41" s="196"/>
      <c r="Q41" s="196"/>
      <c r="R41" s="196"/>
      <c r="S41" s="196"/>
    </row>
    <row r="42" spans="1:22" ht="15" hidden="1" thickBot="1" x14ac:dyDescent="0.35">
      <c r="A42" s="478" t="str">
        <f t="shared" si="1"/>
        <v/>
      </c>
      <c r="B42" s="478"/>
      <c r="C42" s="478">
        <f t="shared" si="2"/>
        <v>289</v>
      </c>
      <c r="D42">
        <f t="shared" si="3"/>
        <v>290</v>
      </c>
      <c r="E42" t="str">
        <f t="shared" si="0"/>
        <v/>
      </c>
      <c r="O42" s="196"/>
      <c r="P42" s="196"/>
      <c r="Q42" s="196"/>
      <c r="R42" s="196"/>
      <c r="S42" s="196"/>
    </row>
    <row r="43" spans="1:22" ht="15" hidden="1" thickBot="1" x14ac:dyDescent="0.35">
      <c r="A43" s="478" t="str">
        <f t="shared" si="1"/>
        <v/>
      </c>
      <c r="B43" s="478"/>
      <c r="C43" s="478">
        <f t="shared" si="2"/>
        <v>347</v>
      </c>
      <c r="D43">
        <f t="shared" si="3"/>
        <v>348</v>
      </c>
      <c r="E43" t="str">
        <f t="shared" si="0"/>
        <v/>
      </c>
      <c r="O43" s="196"/>
      <c r="P43" s="196"/>
      <c r="Q43" s="196"/>
      <c r="R43" s="196"/>
      <c r="S43" s="196"/>
    </row>
    <row r="44" spans="1:22" ht="15" hidden="1" thickBot="1" x14ac:dyDescent="0.35">
      <c r="A44" s="478" t="str">
        <f t="shared" si="1"/>
        <v/>
      </c>
      <c r="B44" s="478"/>
      <c r="C44" s="478">
        <f t="shared" si="2"/>
        <v>405</v>
      </c>
      <c r="D44">
        <f t="shared" si="3"/>
        <v>406</v>
      </c>
      <c r="E44" t="str">
        <f t="shared" si="0"/>
        <v/>
      </c>
      <c r="O44" s="196"/>
      <c r="P44" s="196"/>
      <c r="Q44" s="196"/>
      <c r="R44" s="196"/>
      <c r="S44" s="196"/>
    </row>
    <row r="45" spans="1:22" ht="15" hidden="1" thickBot="1" x14ac:dyDescent="0.35">
      <c r="A45" s="478" t="str">
        <f t="shared" si="1"/>
        <v/>
      </c>
      <c r="B45" s="478"/>
      <c r="C45" s="478">
        <f t="shared" si="2"/>
        <v>463</v>
      </c>
      <c r="D45">
        <f t="shared" si="3"/>
        <v>464</v>
      </c>
      <c r="E45" t="str">
        <f t="shared" si="0"/>
        <v/>
      </c>
      <c r="O45" s="196"/>
      <c r="P45" s="196"/>
      <c r="Q45" s="196"/>
      <c r="R45" s="196"/>
      <c r="S45" s="196"/>
    </row>
    <row r="46" spans="1:22" ht="15" hidden="1" thickBot="1" x14ac:dyDescent="0.35">
      <c r="A46" s="478" t="str">
        <f t="shared" si="1"/>
        <v/>
      </c>
      <c r="B46" s="478"/>
      <c r="C46" s="478">
        <f t="shared" si="2"/>
        <v>521</v>
      </c>
      <c r="D46">
        <f t="shared" si="3"/>
        <v>522</v>
      </c>
      <c r="E46" t="str">
        <f t="shared" si="0"/>
        <v/>
      </c>
      <c r="O46" s="196"/>
      <c r="P46" s="196"/>
      <c r="Q46" s="196"/>
      <c r="R46" s="196"/>
      <c r="S46" s="196"/>
    </row>
    <row r="47" spans="1:22" ht="15" hidden="1" thickBot="1" x14ac:dyDescent="0.35">
      <c r="A47" s="478" t="str">
        <f t="shared" si="1"/>
        <v/>
      </c>
      <c r="B47" s="478"/>
      <c r="C47" s="478">
        <f t="shared" si="2"/>
        <v>579</v>
      </c>
      <c r="D47">
        <f t="shared" si="3"/>
        <v>580</v>
      </c>
      <c r="E47" t="str">
        <f t="shared" si="0"/>
        <v/>
      </c>
      <c r="O47" s="196"/>
      <c r="P47" s="196"/>
      <c r="Q47" s="196"/>
      <c r="R47" s="196"/>
      <c r="S47" s="196"/>
    </row>
    <row r="48" spans="1:22" ht="15" hidden="1" thickBot="1" x14ac:dyDescent="0.35">
      <c r="A48" s="478" t="str">
        <f t="shared" si="1"/>
        <v/>
      </c>
      <c r="B48" s="478"/>
      <c r="C48" s="478">
        <f t="shared" si="2"/>
        <v>637</v>
      </c>
      <c r="D48">
        <f t="shared" si="3"/>
        <v>638</v>
      </c>
      <c r="E48" t="str">
        <f t="shared" si="0"/>
        <v/>
      </c>
      <c r="O48" s="196"/>
      <c r="P48" s="196"/>
      <c r="Q48" s="196"/>
      <c r="R48" s="196"/>
      <c r="S48" s="196"/>
    </row>
    <row r="49" spans="1:22" ht="15" hidden="1" thickBot="1" x14ac:dyDescent="0.35">
      <c r="A49" s="478" t="str">
        <f t="shared" si="1"/>
        <v/>
      </c>
      <c r="B49" s="478"/>
      <c r="C49" s="478">
        <f t="shared" si="2"/>
        <v>695</v>
      </c>
      <c r="D49">
        <f t="shared" si="3"/>
        <v>696</v>
      </c>
      <c r="E49" t="str">
        <f t="shared" si="0"/>
        <v/>
      </c>
      <c r="O49" s="196"/>
      <c r="P49" s="196"/>
      <c r="Q49" s="196"/>
      <c r="R49" s="196"/>
      <c r="S49" s="196"/>
    </row>
    <row r="50" spans="1:22" ht="15" hidden="1" thickBot="1" x14ac:dyDescent="0.35">
      <c r="A50" s="478" t="str">
        <f t="shared" si="1"/>
        <v/>
      </c>
      <c r="B50" s="478"/>
      <c r="C50" s="478">
        <f t="shared" si="2"/>
        <v>753</v>
      </c>
      <c r="D50">
        <f t="shared" si="3"/>
        <v>754</v>
      </c>
      <c r="E50" t="str">
        <f t="shared" si="0"/>
        <v/>
      </c>
      <c r="O50" s="196"/>
      <c r="P50" s="196"/>
      <c r="Q50" s="196"/>
      <c r="R50" s="196"/>
      <c r="S50" s="196"/>
    </row>
    <row r="51" spans="1:22" ht="15" hidden="1" thickBot="1" x14ac:dyDescent="0.35">
      <c r="A51" s="478" t="str">
        <f t="shared" si="1"/>
        <v/>
      </c>
      <c r="B51" s="478"/>
      <c r="C51" s="478">
        <f t="shared" si="2"/>
        <v>811</v>
      </c>
      <c r="D51">
        <f t="shared" si="3"/>
        <v>812</v>
      </c>
      <c r="E51" t="str">
        <f t="shared" si="0"/>
        <v/>
      </c>
      <c r="O51" s="196"/>
      <c r="P51" s="196"/>
      <c r="Q51" s="196"/>
      <c r="R51" s="196"/>
      <c r="S51" s="196"/>
    </row>
    <row r="52" spans="1:22" ht="15" hidden="1" thickBot="1" x14ac:dyDescent="0.35">
      <c r="A52" s="478" t="str">
        <f t="shared" si="1"/>
        <v/>
      </c>
      <c r="B52" s="478"/>
      <c r="C52" s="478">
        <f t="shared" si="2"/>
        <v>869</v>
      </c>
      <c r="D52">
        <f t="shared" si="3"/>
        <v>870</v>
      </c>
      <c r="E52" t="str">
        <f t="shared" si="0"/>
        <v/>
      </c>
      <c r="O52" s="196"/>
      <c r="P52" s="196"/>
      <c r="Q52" s="196"/>
      <c r="R52" s="196"/>
      <c r="S52" s="196"/>
    </row>
    <row r="53" spans="1:22" ht="15" hidden="1" thickBot="1" x14ac:dyDescent="0.35">
      <c r="A53" s="478" t="str">
        <f t="shared" si="1"/>
        <v/>
      </c>
      <c r="B53" s="478"/>
      <c r="C53" s="478">
        <f t="shared" si="2"/>
        <v>927</v>
      </c>
      <c r="D53">
        <f t="shared" si="3"/>
        <v>928</v>
      </c>
      <c r="E53" t="str">
        <f t="shared" si="0"/>
        <v/>
      </c>
      <c r="O53" s="196"/>
      <c r="P53" s="196"/>
      <c r="Q53" s="196"/>
      <c r="R53" s="196"/>
      <c r="S53" s="196"/>
    </row>
    <row r="54" spans="1:22" ht="15" hidden="1" thickBot="1" x14ac:dyDescent="0.35">
      <c r="A54" s="478" t="str">
        <f t="shared" si="1"/>
        <v/>
      </c>
      <c r="B54" s="478"/>
      <c r="C54" s="478">
        <f t="shared" si="2"/>
        <v>985</v>
      </c>
      <c r="D54">
        <f t="shared" si="3"/>
        <v>986</v>
      </c>
      <c r="E54" t="str">
        <f t="shared" si="0"/>
        <v/>
      </c>
      <c r="O54" s="196"/>
      <c r="P54" s="196"/>
      <c r="Q54" s="196"/>
      <c r="R54" s="196"/>
      <c r="S54" s="196"/>
    </row>
    <row r="55" spans="1:22" ht="15" hidden="1" thickBot="1" x14ac:dyDescent="0.35">
      <c r="A55" s="478" t="str">
        <f t="shared" si="1"/>
        <v/>
      </c>
      <c r="B55" s="478"/>
      <c r="C55" s="478">
        <f t="shared" si="2"/>
        <v>1043</v>
      </c>
      <c r="D55">
        <f t="shared" si="3"/>
        <v>1044</v>
      </c>
      <c r="E55" t="str">
        <f t="shared" si="0"/>
        <v/>
      </c>
      <c r="O55" s="196"/>
      <c r="P55" s="196"/>
      <c r="Q55" s="196"/>
      <c r="R55" s="196"/>
      <c r="S55" s="196"/>
    </row>
    <row r="56" spans="1:22" ht="15" hidden="1" thickBot="1" x14ac:dyDescent="0.35">
      <c r="A56" s="478" t="str">
        <f t="shared" si="1"/>
        <v/>
      </c>
      <c r="B56" s="478"/>
      <c r="C56" s="478">
        <f t="shared" si="2"/>
        <v>1101</v>
      </c>
      <c r="D56">
        <f t="shared" si="3"/>
        <v>1102</v>
      </c>
      <c r="E56" t="str">
        <f t="shared" si="0"/>
        <v/>
      </c>
      <c r="O56" s="196"/>
      <c r="P56" s="196"/>
      <c r="Q56" s="196"/>
      <c r="R56" s="196"/>
      <c r="S56" s="196"/>
    </row>
    <row r="57" spans="1:22" ht="15" hidden="1" thickBot="1" x14ac:dyDescent="0.35">
      <c r="A57" s="478" t="str">
        <f t="shared" si="1"/>
        <v/>
      </c>
      <c r="B57" s="478"/>
      <c r="C57" s="478">
        <f t="shared" si="2"/>
        <v>1159</v>
      </c>
      <c r="D57">
        <f t="shared" si="3"/>
        <v>1160</v>
      </c>
      <c r="E57" t="str">
        <f t="shared" si="0"/>
        <v/>
      </c>
      <c r="O57" s="196"/>
      <c r="P57" s="196"/>
      <c r="Q57" s="196"/>
      <c r="R57" s="196"/>
      <c r="S57" s="196"/>
    </row>
    <row r="58" spans="1:22" ht="15" thickBot="1" x14ac:dyDescent="0.35">
      <c r="A58" s="478"/>
      <c r="B58" s="479" t="s">
        <v>2529</v>
      </c>
      <c r="C58" s="498" t="s">
        <v>93</v>
      </c>
      <c r="O58" s="783" t="s">
        <v>1020</v>
      </c>
      <c r="P58" s="783"/>
      <c r="Q58" s="783"/>
      <c r="R58" s="783"/>
      <c r="S58" s="783"/>
      <c r="V58" t="s">
        <v>480</v>
      </c>
    </row>
    <row r="59" spans="1:22" ht="15" thickBot="1" x14ac:dyDescent="0.35">
      <c r="A59" s="478"/>
      <c r="B59" s="479"/>
      <c r="C59" s="478"/>
      <c r="O59" s="782" t="s">
        <v>1020</v>
      </c>
      <c r="P59" s="782"/>
      <c r="Q59" s="782"/>
      <c r="R59" s="782"/>
      <c r="S59" s="782"/>
      <c r="V59" t="s">
        <v>2472</v>
      </c>
    </row>
    <row r="60" spans="1:22" ht="15" thickBot="1" x14ac:dyDescent="0.35">
      <c r="A60" s="478"/>
      <c r="B60" s="479" t="s">
        <v>2530</v>
      </c>
      <c r="C60" s="498" t="s">
        <v>93</v>
      </c>
      <c r="O60" s="783" t="s">
        <v>1020</v>
      </c>
      <c r="P60" s="783"/>
      <c r="Q60" s="783"/>
      <c r="R60" s="783"/>
      <c r="S60" s="783"/>
      <c r="V60" t="s">
        <v>2473</v>
      </c>
    </row>
    <row r="61" spans="1:22" ht="15" thickBot="1" x14ac:dyDescent="0.35">
      <c r="A61" s="478"/>
      <c r="B61" s="478"/>
      <c r="C61" s="478"/>
      <c r="O61" s="782" t="s">
        <v>1020</v>
      </c>
      <c r="P61" s="782"/>
      <c r="Q61" s="782"/>
      <c r="R61" s="782"/>
      <c r="S61" s="782"/>
      <c r="V61" t="s">
        <v>2474</v>
      </c>
    </row>
    <row r="62" spans="1:22" ht="15" thickBot="1" x14ac:dyDescent="0.35">
      <c r="A62" s="478"/>
      <c r="B62" s="478"/>
      <c r="C62" s="478"/>
      <c r="O62" s="783" t="s">
        <v>1020</v>
      </c>
      <c r="P62" s="783"/>
      <c r="Q62" s="783"/>
      <c r="R62" s="783"/>
      <c r="S62" s="783"/>
      <c r="V62" t="s">
        <v>2475</v>
      </c>
    </row>
    <row r="63" spans="1:22" ht="15" thickBot="1" x14ac:dyDescent="0.35">
      <c r="A63" s="478"/>
      <c r="B63" s="478"/>
      <c r="C63" s="478"/>
      <c r="J63" s="7" t="s">
        <v>2756</v>
      </c>
      <c r="K63" s="197" t="s">
        <v>92</v>
      </c>
      <c r="N63" s="9" t="s">
        <v>2488</v>
      </c>
      <c r="O63" s="782" t="str">
        <f>""</f>
        <v/>
      </c>
      <c r="P63" s="782"/>
      <c r="Q63" s="782"/>
      <c r="R63" s="782"/>
      <c r="S63" s="782"/>
      <c r="V63" t="s">
        <v>2476</v>
      </c>
    </row>
    <row r="64" spans="1:22" ht="15" thickBot="1" x14ac:dyDescent="0.35">
      <c r="A64" s="478"/>
      <c r="B64" s="478"/>
      <c r="C64" s="478"/>
      <c r="N64" s="9" t="s">
        <v>2489</v>
      </c>
      <c r="O64" s="782" t="str">
        <f>""</f>
        <v/>
      </c>
      <c r="P64" s="782"/>
      <c r="Q64" s="782"/>
      <c r="R64" s="782"/>
      <c r="S64" s="782"/>
      <c r="V64" t="s">
        <v>2477</v>
      </c>
    </row>
    <row r="65" spans="1:22" x14ac:dyDescent="0.3">
      <c r="A65" s="478"/>
      <c r="B65" s="478"/>
      <c r="C65" s="478"/>
      <c r="V65" t="s">
        <v>2478</v>
      </c>
    </row>
    <row r="66" spans="1:22" ht="16.2" thickBot="1" x14ac:dyDescent="0.35">
      <c r="A66" s="478"/>
      <c r="B66" s="478"/>
      <c r="C66" s="478"/>
      <c r="O66" s="627" t="s">
        <v>2501</v>
      </c>
      <c r="V66" t="s">
        <v>2479</v>
      </c>
    </row>
    <row r="67" spans="1:22" ht="15" thickBot="1" x14ac:dyDescent="0.35">
      <c r="A67" s="478"/>
      <c r="B67" s="478"/>
      <c r="C67" s="478"/>
      <c r="O67" s="3" t="s">
        <v>2499</v>
      </c>
      <c r="S67" s="197" t="s">
        <v>92</v>
      </c>
      <c r="V67" t="s">
        <v>2480</v>
      </c>
    </row>
    <row r="68" spans="1:22" x14ac:dyDescent="0.3">
      <c r="A68" s="478"/>
      <c r="B68" s="478"/>
      <c r="C68" s="478"/>
      <c r="V68" t="s">
        <v>2481</v>
      </c>
    </row>
    <row r="69" spans="1:22" ht="15" thickBot="1" x14ac:dyDescent="0.35">
      <c r="A69" s="478"/>
      <c r="B69" s="478"/>
      <c r="C69" s="478"/>
      <c r="P69" s="1" t="s">
        <v>2500</v>
      </c>
      <c r="V69" t="s">
        <v>2482</v>
      </c>
    </row>
    <row r="70" spans="1:22" ht="15" thickBot="1" x14ac:dyDescent="0.35">
      <c r="A70" s="478"/>
      <c r="B70" s="478"/>
      <c r="C70" s="478"/>
      <c r="O70" s="756">
        <v>0</v>
      </c>
      <c r="P70" s="758"/>
      <c r="Q70" s="757"/>
      <c r="V70" t="s">
        <v>2518</v>
      </c>
    </row>
    <row r="71" spans="1:22" x14ac:dyDescent="0.3">
      <c r="A71" s="478"/>
      <c r="B71" s="478"/>
      <c r="C71" s="478"/>
      <c r="V71" t="s">
        <v>2483</v>
      </c>
    </row>
    <row r="72" spans="1:22" x14ac:dyDescent="0.3">
      <c r="A72" s="478"/>
      <c r="B72" s="478"/>
      <c r="C72" s="478"/>
      <c r="V72" t="s">
        <v>2484</v>
      </c>
    </row>
    <row r="73" spans="1:22" x14ac:dyDescent="0.3">
      <c r="A73" s="478"/>
      <c r="B73" s="478"/>
      <c r="C73" s="478"/>
      <c r="V73" t="s">
        <v>2485</v>
      </c>
    </row>
    <row r="74" spans="1:22" x14ac:dyDescent="0.3">
      <c r="A74" s="478"/>
      <c r="B74" s="478"/>
      <c r="C74" s="478"/>
    </row>
    <row r="75" spans="1:22" x14ac:dyDescent="0.3">
      <c r="A75" s="478"/>
      <c r="B75" s="478"/>
      <c r="C75" s="478"/>
    </row>
    <row r="76" spans="1:22" x14ac:dyDescent="0.3">
      <c r="A76" s="478"/>
      <c r="B76" s="478"/>
      <c r="C76" s="478"/>
    </row>
  </sheetData>
  <sheetProtection algorithmName="SHA-512" hashValue="0iSp1RLDIPNsmiHX8nkFfdsB6royph8Q/TOOLX+G3fsdp4T/UMT18O6D81eun5l2v68WfbZocxGWVFVC7AOTuA==" saltValue="8wSb4Ci//eOWy2wR6QTE5A==" spinCount="100000" sheet="1" selectLockedCells="1"/>
  <mergeCells count="30">
    <mergeCell ref="O61:S61"/>
    <mergeCell ref="O62:S62"/>
    <mergeCell ref="O63:S63"/>
    <mergeCell ref="O64:S64"/>
    <mergeCell ref="O37:S37"/>
    <mergeCell ref="O58:S58"/>
    <mergeCell ref="O60:S60"/>
    <mergeCell ref="O59:S59"/>
    <mergeCell ref="O35:S35"/>
    <mergeCell ref="O36:S36"/>
    <mergeCell ref="M5:N5"/>
    <mergeCell ref="Q23:R23"/>
    <mergeCell ref="Q25:R25"/>
    <mergeCell ref="Q15:Q20"/>
    <mergeCell ref="O70:Q70"/>
    <mergeCell ref="A22:B22"/>
    <mergeCell ref="I1:J1"/>
    <mergeCell ref="A8:C19"/>
    <mergeCell ref="O15:O20"/>
    <mergeCell ref="P15:P20"/>
    <mergeCell ref="L1:M1"/>
    <mergeCell ref="L8:Q9"/>
    <mergeCell ref="L15:L20"/>
    <mergeCell ref="M15:M20"/>
    <mergeCell ref="N15:N20"/>
    <mergeCell ref="M2:N2"/>
    <mergeCell ref="M3:N3"/>
    <mergeCell ref="M4:N4"/>
    <mergeCell ref="O33:S33"/>
    <mergeCell ref="O34:S34"/>
  </mergeCells>
  <conditionalFormatting sqref="A24:B24 C31">
    <cfRule type="expression" dxfId="858" priority="14">
      <formula>$C$31="Yes"</formula>
    </cfRule>
  </conditionalFormatting>
  <conditionalFormatting sqref="A5:C6">
    <cfRule type="expression" dxfId="857" priority="32" stopIfTrue="1">
      <formula>OR($F$5,$F$6)</formula>
    </cfRule>
  </conditionalFormatting>
  <conditionalFormatting sqref="C6">
    <cfRule type="expression" dxfId="855" priority="33">
      <formula>OR(AND($C$5&lt;35,$C$6&gt;1),AND($C$5&lt;70,$C$6&gt;2),AND($C$5&lt;100,$C$6&gt;3),AND($C$5&gt;99.9,$C$6&gt;$C$5/100))</formula>
    </cfRule>
  </conditionalFormatting>
  <conditionalFormatting sqref="C58">
    <cfRule type="expression" dxfId="854" priority="2">
      <formula>$C$31="Yes"</formula>
    </cfRule>
  </conditionalFormatting>
  <conditionalFormatting sqref="C60">
    <cfRule type="expression" dxfId="853" priority="1">
      <formula>$C$31="Yes"</formula>
    </cfRule>
  </conditionalFormatting>
  <conditionalFormatting sqref="G6:I6">
    <cfRule type="expression" dxfId="852" priority="15">
      <formula>$E$6="Module"</formula>
    </cfRule>
  </conditionalFormatting>
  <conditionalFormatting sqref="I3">
    <cfRule type="expression" dxfId="851" priority="38">
      <formula>$I$3&lt;0</formula>
    </cfRule>
  </conditionalFormatting>
  <conditionalFormatting sqref="K8:L8 K9 K10:Q15 K16:K20">
    <cfRule type="expression" dxfId="850" priority="13" stopIfTrue="1">
      <formula>$F$4</formula>
    </cfRule>
    <cfRule type="expression" dxfId="849" priority="16" stopIfTrue="1">
      <formula>$F$7</formula>
    </cfRule>
    <cfRule type="expression" dxfId="848" priority="17" stopIfTrue="1">
      <formula>$F$5</formula>
    </cfRule>
  </conditionalFormatting>
  <conditionalFormatting sqref="L3">
    <cfRule type="expression" dxfId="847" priority="37">
      <formula>$L$3&lt;0</formula>
    </cfRule>
  </conditionalFormatting>
  <conditionalFormatting sqref="L10:L14">
    <cfRule type="expression" dxfId="846" priority="28">
      <formula>$L$21=5</formula>
    </cfRule>
  </conditionalFormatting>
  <conditionalFormatting sqref="L11:L14">
    <cfRule type="expression" dxfId="845" priority="29">
      <formula>$L$21=4</formula>
    </cfRule>
  </conditionalFormatting>
  <conditionalFormatting sqref="L13:L14">
    <cfRule type="expression" dxfId="844" priority="30">
      <formula>$L$21=2</formula>
    </cfRule>
  </conditionalFormatting>
  <conditionalFormatting sqref="M10:Q14">
    <cfRule type="expression" dxfId="843" priority="22">
      <formula>M$21=5</formula>
    </cfRule>
  </conditionalFormatting>
  <conditionalFormatting sqref="M11:Q14">
    <cfRule type="expression" dxfId="842" priority="21">
      <formula>M$21=4</formula>
    </cfRule>
  </conditionalFormatting>
  <conditionalFormatting sqref="M12:Q14">
    <cfRule type="expression" dxfId="841" priority="20">
      <formula>M$21=3</formula>
    </cfRule>
  </conditionalFormatting>
  <conditionalFormatting sqref="M13:Q14">
    <cfRule type="expression" dxfId="840" priority="19">
      <formula>M$21=2</formula>
    </cfRule>
  </conditionalFormatting>
  <conditionalFormatting sqref="M14:Q14">
    <cfRule type="expression" dxfId="839" priority="23">
      <formula>M$21=1</formula>
    </cfRule>
  </conditionalFormatting>
  <conditionalFormatting sqref="O33:S33">
    <cfRule type="expression" dxfId="838" priority="12">
      <formula>$X$30&lt;1</formula>
    </cfRule>
  </conditionalFormatting>
  <conditionalFormatting sqref="O34:S34">
    <cfRule type="expression" dxfId="837" priority="11">
      <formula>$X$30&lt;2</formula>
    </cfRule>
  </conditionalFormatting>
  <conditionalFormatting sqref="O35:S35">
    <cfRule type="expression" dxfId="836" priority="10">
      <formula>$X$30&lt;3</formula>
    </cfRule>
  </conditionalFormatting>
  <conditionalFormatting sqref="O36:S36">
    <cfRule type="expression" dxfId="835" priority="9">
      <formula>$X$30&lt;4</formula>
    </cfRule>
  </conditionalFormatting>
  <conditionalFormatting sqref="O37:S37">
    <cfRule type="expression" dxfId="834" priority="8">
      <formula>$X$30&lt;5</formula>
    </cfRule>
  </conditionalFormatting>
  <conditionalFormatting sqref="O58:S58">
    <cfRule type="expression" dxfId="833" priority="7">
      <formula>$X$30&lt;6</formula>
    </cfRule>
  </conditionalFormatting>
  <conditionalFormatting sqref="O59:S59">
    <cfRule type="expression" dxfId="832" priority="6">
      <formula>$X$30&lt;7</formula>
    </cfRule>
  </conditionalFormatting>
  <conditionalFormatting sqref="O60:S60">
    <cfRule type="expression" dxfId="831" priority="5">
      <formula>$X$30&lt;8</formula>
    </cfRule>
  </conditionalFormatting>
  <conditionalFormatting sqref="O61:S61">
    <cfRule type="expression" dxfId="830" priority="4">
      <formula>$X$30&lt;9</formula>
    </cfRule>
  </conditionalFormatting>
  <conditionalFormatting sqref="O62:S62">
    <cfRule type="expression" dxfId="829" priority="3">
      <formula>$X$30&lt;10</formula>
    </cfRule>
  </conditionalFormatting>
  <dataValidations count="11">
    <dataValidation type="list" allowBlank="1" showInputMessage="1" showErrorMessage="1" sqref="F3 I6" xr:uid="{3E48F0A7-BC4D-4CD6-82BA-5DB12EBB6B12}">
      <formula1>$S$1:$S$2</formula1>
    </dataValidation>
    <dataValidation type="whole" operator="greaterThanOrEqual" allowBlank="1" showInputMessage="1" showErrorMessage="1" sqref="F2 C5:C6" xr:uid="{7E28C80D-BB8B-442B-B911-C57DA8795D85}">
      <formula1>0</formula1>
    </dataValidation>
    <dataValidation type="list" allowBlank="1" showInputMessage="1" showErrorMessage="1" sqref="E6" xr:uid="{2C65085E-AEE0-4025-BCDA-B5DA9469CD99}">
      <formula1>"Ship,Station,Module,Pod"</formula1>
    </dataValidation>
    <dataValidation type="list" allowBlank="1" showInputMessage="1" showErrorMessage="1" sqref="G22" xr:uid="{B29BAF81-CA99-4907-8AED-E3C7A74EB8CB}">
      <formula1>$E$24:$E$29</formula1>
    </dataValidation>
    <dataValidation type="list" allowBlank="1" showInputMessage="1" showErrorMessage="1" sqref="C31 C58 C60" xr:uid="{B1EC7208-6D11-415C-9D13-FEB7EF19F83C}">
      <formula1>"No,Yes"</formula1>
    </dataValidation>
    <dataValidation type="list" allowBlank="1" showInputMessage="1" showErrorMessage="1" sqref="C33 C35" xr:uid="{EA95F505-E665-4F5B-8712-3463BBC86811}">
      <formula1>"On,Off"</formula1>
    </dataValidation>
    <dataValidation type="decimal" allowBlank="1" showInputMessage="1" showErrorMessage="1" prompt="Modular construction of large ships saves time. Enter a value between 0 and 90 to reflect multiple yard bays working on a single ship." sqref="Q25:R25" xr:uid="{36C7B257-CC63-47A2-A7B2-52A96CDF933C}">
      <formula1>0</formula1>
      <formula2>90</formula2>
    </dataValidation>
    <dataValidation type="decimal" operator="greaterThan" allowBlank="1" showInputMessage="1" showErrorMessage="1" sqref="C36" xr:uid="{FCFF9944-0D95-4D82-9C5E-EB4461BD92E8}">
      <formula1>0</formula1>
    </dataValidation>
    <dataValidation type="list" allowBlank="1" showInputMessage="1" showErrorMessage="1" sqref="P31" xr:uid="{87050C19-0ECB-4847-9CE2-636E02B9CEBC}">
      <formula1>$V$22:$V$29</formula1>
    </dataValidation>
    <dataValidation type="list" allowBlank="1" showInputMessage="1" showErrorMessage="1" sqref="O33:S62" xr:uid="{AC7B5618-3CAE-46CA-B5C8-1346BC6D6943}">
      <formula1>$V$31:$V$73</formula1>
    </dataValidation>
    <dataValidation type="list" allowBlank="1" showInputMessage="1" showErrorMessage="1" sqref="S67 K63" xr:uid="{16E2B70C-947C-4EC9-AA7C-DBFDE7165568}">
      <formula1>"Yes,No"</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4" id="{C3FC2013-9EF4-49CA-8FFB-58F80D328B26}">
            <xm:f>0.75*$C$5&lt;'1-Hull'!$B$4</xm:f>
            <x14:dxf>
              <fill>
                <patternFill>
                  <bgColor rgb="FFFFFF00"/>
                </patternFill>
              </fill>
            </x14:dxf>
          </x14:cfRule>
          <xm:sqref>C5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66D7E-BDA5-4857-A1BA-2162F12D6F9F}">
  <dimension ref="A1:AE98"/>
  <sheetViews>
    <sheetView workbookViewId="0">
      <selection activeCell="B6" sqref="B6"/>
    </sheetView>
  </sheetViews>
  <sheetFormatPr defaultRowHeight="14.4" x14ac:dyDescent="0.3"/>
  <cols>
    <col min="1" max="1" width="24.109375" customWidth="1"/>
    <col min="2" max="2" width="32.109375" customWidth="1"/>
    <col min="3" max="3" width="13.44140625" customWidth="1"/>
    <col min="4" max="4" width="20.88671875" style="2" customWidth="1"/>
    <col min="5" max="5" width="3.6640625" style="2" customWidth="1"/>
    <col min="6" max="6" width="18" customWidth="1"/>
    <col min="8" max="8" width="10.5546875" customWidth="1"/>
    <col min="10" max="10" width="9.6640625" customWidth="1"/>
    <col min="11" max="11" width="10.5546875" customWidth="1"/>
    <col min="12" max="12" width="11.6640625" customWidth="1"/>
    <col min="13" max="13" width="2.44140625" style="67" customWidth="1"/>
    <col min="14" max="14" width="1.44140625" style="67" customWidth="1"/>
    <col min="15" max="15" width="1" style="67" customWidth="1"/>
    <col min="16" max="16" width="1.44140625" style="67" customWidth="1"/>
    <col min="17" max="17" width="1.33203125" style="67" customWidth="1"/>
    <col min="18" max="18" width="1.109375" style="67" customWidth="1"/>
    <col min="19" max="19" width="19.44140625" style="67" hidden="1" customWidth="1"/>
    <col min="20" max="20" width="13.109375" style="67" hidden="1" customWidth="1"/>
    <col min="21" max="21" width="13" style="67" hidden="1" customWidth="1"/>
    <col min="22" max="22" width="7.88671875" style="67" hidden="1" customWidth="1"/>
    <col min="23" max="23" width="13" style="67" hidden="1" customWidth="1"/>
    <col min="24" max="26" width="9.109375" style="67" hidden="1" customWidth="1"/>
    <col min="27" max="27" width="18.5546875" style="67" hidden="1" customWidth="1"/>
    <col min="28" max="28" width="15.88671875" hidden="1" customWidth="1"/>
    <col min="29" max="29" width="13.33203125" hidden="1" customWidth="1"/>
    <col min="30" max="30" width="13.5546875" hidden="1" customWidth="1"/>
    <col min="31" max="31" width="9.109375" hidden="1" customWidth="1"/>
  </cols>
  <sheetData>
    <row r="1" spans="1:31" x14ac:dyDescent="0.3">
      <c r="A1" s="3" t="str">
        <f>'Ship Info'!A1</f>
        <v>Ship's Class Name</v>
      </c>
      <c r="B1">
        <f>'Ship Info'!B1</f>
        <v>0</v>
      </c>
      <c r="F1" s="6" t="s">
        <v>1</v>
      </c>
      <c r="S1" s="68" t="s">
        <v>3</v>
      </c>
      <c r="T1" s="68" t="s">
        <v>4</v>
      </c>
      <c r="U1" s="68" t="s">
        <v>5</v>
      </c>
      <c r="V1" s="68" t="s">
        <v>1</v>
      </c>
      <c r="W1" s="68" t="s">
        <v>6</v>
      </c>
      <c r="X1" s="68" t="s">
        <v>7</v>
      </c>
      <c r="Y1" s="69" t="s">
        <v>8</v>
      </c>
      <c r="Z1" s="67" t="s">
        <v>1186</v>
      </c>
      <c r="AA1" s="67" t="s">
        <v>1597</v>
      </c>
      <c r="AB1" s="67"/>
      <c r="AE1" t="s">
        <v>2212</v>
      </c>
    </row>
    <row r="2" spans="1:31" x14ac:dyDescent="0.3">
      <c r="A2" s="3" t="s">
        <v>418</v>
      </c>
      <c r="B2">
        <f>'Ship Info'!B2</f>
        <v>0</v>
      </c>
      <c r="D2" t="s">
        <v>0</v>
      </c>
      <c r="E2" s="2">
        <f>'Ship Info'!F2</f>
        <v>12</v>
      </c>
      <c r="F2" s="4">
        <f>'Ship Info'!G2</f>
        <v>6177000</v>
      </c>
      <c r="S2" s="67" t="s">
        <v>9</v>
      </c>
      <c r="T2" s="67" t="s">
        <v>10</v>
      </c>
      <c r="U2" s="67">
        <v>1.5</v>
      </c>
      <c r="V2" s="67">
        <v>0.08</v>
      </c>
      <c r="W2" s="67">
        <v>0.65</v>
      </c>
      <c r="X2" s="67">
        <v>4</v>
      </c>
      <c r="Y2" s="67">
        <v>1</v>
      </c>
      <c r="Z2" s="67">
        <v>0</v>
      </c>
      <c r="AA2" s="67">
        <v>5</v>
      </c>
      <c r="AB2" s="67"/>
      <c r="AC2" t="s">
        <v>740</v>
      </c>
      <c r="AD2" t="s">
        <v>741</v>
      </c>
    </row>
    <row r="3" spans="1:31" ht="15" thickBot="1" x14ac:dyDescent="0.35">
      <c r="B3" s="24" t="str">
        <f>'Ship Info'!G22&amp;" - Costs x "&amp;'Ship Info'!G31</f>
        <v>Standard Automation - Costs x 1</v>
      </c>
      <c r="F3" s="481" t="s">
        <v>1993</v>
      </c>
      <c r="G3" s="44"/>
      <c r="H3" s="483">
        <f>S63</f>
        <v>0</v>
      </c>
      <c r="I3" s="44"/>
      <c r="J3" s="45"/>
      <c r="K3" s="484">
        <f>T63</f>
        <v>20</v>
      </c>
      <c r="S3" s="67" t="s">
        <v>11</v>
      </c>
      <c r="T3" s="67" t="s">
        <v>12</v>
      </c>
      <c r="U3" s="67">
        <v>1</v>
      </c>
      <c r="V3" s="67">
        <v>0.8</v>
      </c>
      <c r="W3" s="67">
        <v>1</v>
      </c>
      <c r="X3" s="67">
        <f>IF($A$21=$S$42,4,0)</f>
        <v>0</v>
      </c>
      <c r="Y3" s="67">
        <v>1.5</v>
      </c>
      <c r="Z3" s="67">
        <v>0.5</v>
      </c>
      <c r="AA3" s="67">
        <v>4</v>
      </c>
      <c r="AB3" s="67" t="s">
        <v>26</v>
      </c>
      <c r="AC3">
        <f>E10</f>
        <v>0</v>
      </c>
      <c r="AD3">
        <f>IF(AC3&gt;E2,1,0)</f>
        <v>0</v>
      </c>
    </row>
    <row r="4" spans="1:31" ht="15" thickBot="1" x14ac:dyDescent="0.35">
      <c r="A4" s="3" t="s">
        <v>2</v>
      </c>
      <c r="B4" s="285">
        <v>100</v>
      </c>
      <c r="F4" s="482">
        <f>SUM(F6:F50)</f>
        <v>5000000</v>
      </c>
      <c r="H4" s="760" t="s">
        <v>45</v>
      </c>
      <c r="I4" s="760"/>
      <c r="K4" s="760" t="s">
        <v>46</v>
      </c>
      <c r="L4" s="760"/>
      <c r="S4" s="67" t="s">
        <v>15</v>
      </c>
      <c r="T4" s="67" t="s">
        <v>10</v>
      </c>
      <c r="U4" s="67">
        <v>0.9</v>
      </c>
      <c r="V4" s="67">
        <v>0.5</v>
      </c>
      <c r="W4" s="67">
        <v>1</v>
      </c>
      <c r="X4" s="67">
        <v>0</v>
      </c>
      <c r="Y4" s="67">
        <v>2</v>
      </c>
      <c r="Z4" s="67">
        <v>0.5</v>
      </c>
      <c r="AA4" s="67">
        <v>2</v>
      </c>
      <c r="AB4" s="67" t="s">
        <v>738</v>
      </c>
      <c r="AC4" s="73">
        <f>D10</f>
        <v>0</v>
      </c>
      <c r="AD4">
        <f>IF(AC4&gt;INDEX(S18:W22,MATCH(B10,S18:S22,0),5),1,0)</f>
        <v>0</v>
      </c>
    </row>
    <row r="5" spans="1:31" ht="15" thickBot="1" x14ac:dyDescent="0.35">
      <c r="C5" s="7" t="s">
        <v>450</v>
      </c>
      <c r="D5" s="197" t="s">
        <v>93</v>
      </c>
      <c r="H5" s="1" t="s">
        <v>390</v>
      </c>
      <c r="I5" s="1" t="s">
        <v>27</v>
      </c>
      <c r="K5" s="1" t="s">
        <v>390</v>
      </c>
      <c r="L5" s="1" t="s">
        <v>27</v>
      </c>
      <c r="S5" s="67" t="s">
        <v>17</v>
      </c>
      <c r="T5" s="67" t="s">
        <v>10</v>
      </c>
      <c r="U5" s="67">
        <v>1.25</v>
      </c>
      <c r="V5" s="67">
        <v>0.08</v>
      </c>
      <c r="W5" s="67">
        <v>0.8</v>
      </c>
      <c r="X5" s="67">
        <v>2</v>
      </c>
      <c r="Y5" s="67">
        <v>1</v>
      </c>
      <c r="Z5" s="67">
        <v>0</v>
      </c>
      <c r="AA5" s="67">
        <v>5</v>
      </c>
      <c r="AB5" s="67" t="s">
        <v>2294</v>
      </c>
      <c r="AC5">
        <f>E40</f>
        <v>0</v>
      </c>
    </row>
    <row r="6" spans="1:31" ht="15" thickBot="1" x14ac:dyDescent="0.35">
      <c r="A6" s="3" t="s">
        <v>3</v>
      </c>
      <c r="B6" s="196" t="s">
        <v>19</v>
      </c>
      <c r="C6" s="3" t="s">
        <v>21</v>
      </c>
      <c r="D6" s="197" t="s">
        <v>24</v>
      </c>
      <c r="F6" s="4">
        <f>IF(AND(D5=D37,B6=D38,D6=D39),B4*IF(AND('Ship Info'!F7=1,'Ship Info'!I6="No"),25000,Y14*(INDEX(S2:Y8,MATCH(B6,S2:S8,0),4))*(INDEX(S13:U15,MATCH(D6,S13:S15,0),3))),(B4-C36)*IF(AND('Ship Info'!F7=1,'Ship Info'!I6="No"),25000,Y14*(INDEX(S2:Y8,MATCH(B6,S2:S8,0),4))*(INDEX(S13:U15,MATCH(D6,S13:S15,0),3)))+C36*IF(AND('Ship Info'!F7=1,'Ship Info'!I6="No"),25000,Z14*(INDEX(S2:Y8,MATCH(D38,S2:S8,0),4))*(INDEX(S13:U15,MATCH(D39,S13:S15,0),3))))*'Ship Info'!G31</f>
        <v>5000000</v>
      </c>
      <c r="H6" s="10">
        <f>'Ship Info'!I3</f>
        <v>92.53</v>
      </c>
      <c r="I6" s="266">
        <f>IF('Ship Info'!F7,Tonnage,Tonnage*INDEX(S2:W11,MATCH(B6,S2:S11,0),5))</f>
        <v>100</v>
      </c>
      <c r="K6" s="10">
        <f>'Ship Info'!L3</f>
        <v>0</v>
      </c>
      <c r="L6" s="266">
        <f>'3-Pwr Plant'!L6</f>
        <v>20</v>
      </c>
      <c r="S6" s="67" t="s">
        <v>18</v>
      </c>
      <c r="T6" s="67" t="s">
        <v>12</v>
      </c>
      <c r="U6" s="67">
        <v>1</v>
      </c>
      <c r="V6" s="67">
        <v>1.1000000000000001</v>
      </c>
      <c r="W6" s="67">
        <v>1</v>
      </c>
      <c r="X6" s="67">
        <f>IF($A$21=$S$42,4,0)</f>
        <v>0</v>
      </c>
      <c r="Y6" s="67">
        <v>0.9</v>
      </c>
      <c r="Z6" s="67">
        <v>1</v>
      </c>
      <c r="AA6" s="67">
        <v>3</v>
      </c>
      <c r="AB6" s="67" t="s">
        <v>2295</v>
      </c>
      <c r="AC6" s="260">
        <f>D41</f>
        <v>0</v>
      </c>
    </row>
    <row r="7" spans="1:31" ht="15" thickBot="1" x14ac:dyDescent="0.35">
      <c r="A7" s="3" t="s">
        <v>2191</v>
      </c>
      <c r="B7" s="196" t="s">
        <v>1020</v>
      </c>
      <c r="C7" s="3" t="s">
        <v>5</v>
      </c>
      <c r="D7" s="266">
        <f>IF(C36=0,INT(B4/IF(B4&gt;99999.9,1.5,IF(B4&gt;24999.9,2,2.5))*INDEX(S2:U8,MATCH(B6,S2:S8,0),3)*INDEX(S13:T15,MATCH(D6,S13:S15,0),2)),INT((B4-C36)/IF((B4-C36)&gt;99999.9,1.5,IF((B4-C36)&gt;24999.9,2,2.5))*INDEX(S2:U8,MATCH(B6,S2:S8,0),3)*INDEX(S13:T15,MATCH(D6,S13:S15,0),2))+INT(C36/IF(B4&gt;99999.9,1.5,IF(C36&gt;24999.9,2,2.5))*INDEX(S2:U8,MATCH(D38,S2:S8,0),3)*INDEX(S13:T15,MATCH(D39,S13:S15,0),2)))</f>
        <v>40</v>
      </c>
      <c r="E7" s="2" t="s">
        <v>26</v>
      </c>
      <c r="F7" s="4"/>
      <c r="I7" s="2"/>
      <c r="K7" s="2"/>
      <c r="L7" s="2"/>
      <c r="S7" s="67" t="s">
        <v>19</v>
      </c>
      <c r="T7" s="67" t="s">
        <v>12</v>
      </c>
      <c r="U7" s="67">
        <v>1</v>
      </c>
      <c r="V7" s="67">
        <v>1</v>
      </c>
      <c r="W7" s="67">
        <v>1</v>
      </c>
      <c r="X7" s="67">
        <f>IF($A$21=$S$42,4,0)</f>
        <v>0</v>
      </c>
      <c r="Y7" s="67">
        <v>1</v>
      </c>
      <c r="Z7" s="67">
        <v>1</v>
      </c>
      <c r="AA7" s="67">
        <v>4</v>
      </c>
      <c r="AB7" s="67" t="s">
        <v>739</v>
      </c>
      <c r="AD7">
        <f>SUM(AD3:AD6)</f>
        <v>0</v>
      </c>
    </row>
    <row r="8" spans="1:31" ht="15" thickBot="1" x14ac:dyDescent="0.35">
      <c r="A8" s="3" t="s">
        <v>4</v>
      </c>
      <c r="B8" s="2" t="str">
        <f>INDEX(S2:T11,MATCH(B6,S2:S11,0),2)</f>
        <v>Partial</v>
      </c>
      <c r="S8" s="67" t="s">
        <v>14</v>
      </c>
      <c r="T8" s="67" t="s">
        <v>14</v>
      </c>
      <c r="U8" s="67">
        <v>1</v>
      </c>
      <c r="V8" s="67">
        <v>1.2</v>
      </c>
      <c r="W8" s="67">
        <v>1</v>
      </c>
      <c r="X8" s="67">
        <f>IF($A$21=$S$42,4,0)</f>
        <v>0</v>
      </c>
      <c r="Y8" s="67">
        <v>1.2</v>
      </c>
      <c r="Z8" s="67">
        <v>0</v>
      </c>
      <c r="AA8" s="67">
        <v>1</v>
      </c>
    </row>
    <row r="9" spans="1:31" ht="15" thickBot="1" x14ac:dyDescent="0.35">
      <c r="B9" s="7" t="s">
        <v>1184</v>
      </c>
      <c r="C9" s="197" t="s">
        <v>92</v>
      </c>
      <c r="F9" s="4">
        <f>IF(C9=W13,0,0.25*B4*Y14)*'Ship Info'!G31</f>
        <v>0</v>
      </c>
      <c r="H9" s="1" t="s">
        <v>47</v>
      </c>
    </row>
    <row r="10" spans="1:31" ht="15" thickBot="1" x14ac:dyDescent="0.35">
      <c r="A10" s="3" t="s">
        <v>25</v>
      </c>
      <c r="B10" s="197" t="s">
        <v>554</v>
      </c>
      <c r="C10" s="3" t="s">
        <v>43</v>
      </c>
      <c r="D10" s="232">
        <v>0</v>
      </c>
      <c r="E10" s="2">
        <f>INDEX(S18:V22,MATCH(B10,S18:S22,0),4)</f>
        <v>0</v>
      </c>
      <c r="F10" s="4">
        <f>(INDEX(S18:U22,MATCH(B10,S18:S22,0),3)*AB17+INDEX(S18:U22,MATCH(D40,S18:S22,0),3)*AB18)*'Ship Info'!G31</f>
        <v>0</v>
      </c>
      <c r="H10" s="10">
        <f>INDEX(S18:T22,MATCH(B10,S18:S22,0),2)*(B4-C36)*(D11-Z17)*INDEX(S2:Y8,MATCH(B6,S2:S8,0),7)*FtrArmr+IF(C36=0,0,INDEX(S18:T22,MATCH(D40,S18:S22,0),2)*(C36)*(G41-Z18)*INDEX(S2:Y8,MATCH(D38,S2:S8,0),7)*AA18)</f>
        <v>0</v>
      </c>
      <c r="I10" s="2"/>
      <c r="K10" s="2"/>
      <c r="L10" s="2"/>
    </row>
    <row r="11" spans="1:31" x14ac:dyDescent="0.3">
      <c r="B11" s="2" t="str">
        <f>IF(E2&gt;15,"Molecular Bonded available",IF(E2&gt;13,"Bonded Superdense available",IF(E2&gt;9,"Crystaliron Available",IF(E2&gt;6,"Titanium Steel available","No Armor available"))))</f>
        <v>Crystaliron Available</v>
      </c>
      <c r="C11" s="74" t="s">
        <v>737</v>
      </c>
      <c r="D11" s="317">
        <f>IF(D10=0,Z17,IF(AC4+Z17&gt;Y17,Y17,AC4+Z17))</f>
        <v>0</v>
      </c>
      <c r="F11" s="4"/>
      <c r="H11" s="2"/>
      <c r="I11" s="2"/>
      <c r="J11" t="s">
        <v>410</v>
      </c>
      <c r="K11" s="10">
        <f>IF('Ship Info'!E6="Module",0,0.2*B4*T16)</f>
        <v>20</v>
      </c>
      <c r="L11" s="2"/>
    </row>
    <row r="12" spans="1:31" x14ac:dyDescent="0.3">
      <c r="C12" s="129" t="str">
        <f>"Max Armor = "&amp;Y17</f>
        <v>Max Armor = 0</v>
      </c>
      <c r="D12" s="129"/>
      <c r="S12" s="70" t="s">
        <v>21</v>
      </c>
      <c r="T12" s="70" t="s">
        <v>5</v>
      </c>
      <c r="U12" s="70" t="s">
        <v>1</v>
      </c>
      <c r="Z12" s="67">
        <f>INDEX(S2:Z8,MATCH(B6,S2:S8,0),8)</f>
        <v>1</v>
      </c>
      <c r="AA12" s="67" t="s">
        <v>1204</v>
      </c>
    </row>
    <row r="13" spans="1:31" ht="15" thickBot="1" x14ac:dyDescent="0.35">
      <c r="A13" s="5" t="s">
        <v>2286</v>
      </c>
      <c r="B13" s="118"/>
      <c r="D13" s="6" t="s">
        <v>2287</v>
      </c>
      <c r="L13" s="2"/>
      <c r="S13" s="67" t="s">
        <v>22</v>
      </c>
      <c r="T13" s="67">
        <v>0.9</v>
      </c>
      <c r="U13" s="67">
        <v>0.75</v>
      </c>
      <c r="W13" s="67" t="s">
        <v>92</v>
      </c>
      <c r="X13" s="67">
        <v>25000</v>
      </c>
      <c r="Z13" s="69" t="s">
        <v>2328</v>
      </c>
      <c r="AC13" t="str">
        <f>IF(AND(L33="No",U77=1),S15,S13)</f>
        <v>Light Hull</v>
      </c>
    </row>
    <row r="14" spans="1:31" ht="15" thickBot="1" x14ac:dyDescent="0.35">
      <c r="A14" s="196" t="s">
        <v>82</v>
      </c>
      <c r="B14" s="16" t="str">
        <f>IF(AND(A14=S25,D14=S26),"2ry Hull: "&amp;INDEX($S$25:$AC$26,MATCH(D14,$S$25:$S$26,0),9),INDEX($S$25:$AC$26,MATCH(A14,$S$25:$S$26,0),9))</f>
        <v>Aerofins</v>
      </c>
      <c r="D14" s="196" t="s">
        <v>82</v>
      </c>
      <c r="E14" s="2">
        <f>MAX(INDEX($S$25:$AC$26,MATCH(A14,$S$25:$S$26,0),6),INDEX($S$25:$AC$26,MATCH(D14,$S$25:$S$26,0),6))</f>
        <v>0</v>
      </c>
      <c r="F14" s="4">
        <f>MAX(INDEX($S$25:$AC$26,MATCH(A14,$S$25:$S$26,0),3),INDEX($S$25:$AC$26,MATCH(D14,$S$25:$S$26,0),5))*'Ship Info'!G31</f>
        <v>0</v>
      </c>
      <c r="H14" s="10">
        <f>MAX(INDEX($S$25:$AC$26,MATCH(A14,$S$25:$S$26,0),2),INDEX($S$25:$AC$26,MATCH(D14,$S$25:$S$26,0),4))</f>
        <v>0</v>
      </c>
      <c r="I14" s="10"/>
      <c r="J14" s="4"/>
      <c r="K14" s="10">
        <f>INDEX($S$25:$AC$26,MATCH(A14,$S$25:$S$26,0),7)</f>
        <v>0</v>
      </c>
      <c r="L14" s="2"/>
      <c r="S14" s="67" t="s">
        <v>23</v>
      </c>
      <c r="T14" s="67">
        <v>1.1000000000000001</v>
      </c>
      <c r="U14" s="67">
        <v>1.5</v>
      </c>
      <c r="W14" s="67" t="s">
        <v>93</v>
      </c>
      <c r="X14" s="67">
        <v>50000</v>
      </c>
      <c r="Y14" s="67">
        <f>INDEX(W13:X14,MATCH(D5,W13:W14,0),2)</f>
        <v>50000</v>
      </c>
      <c r="Z14" s="69">
        <f>INDEX(W13:X14,MATCH(D37,W13:W14,0),2)</f>
        <v>50000</v>
      </c>
      <c r="AC14" t="str">
        <f>IF(AND(L33="No",U77=1),S15,S14)</f>
        <v>Reinforced Hull</v>
      </c>
    </row>
    <row r="15" spans="1:31" ht="15" thickBot="1" x14ac:dyDescent="0.35">
      <c r="A15" s="204" t="s">
        <v>82</v>
      </c>
      <c r="B15" s="564" t="str">
        <f>IF(AND(A15=S27,D15=S28),"2ry Hull: "&amp;INDEX($S$27:$AC$28,MATCH(D15,$S$27:$S$28,0),9),INDEX($S$27:$AC$28,MATCH(A15,$S$27:$S$28,0),9))</f>
        <v>Reflec</v>
      </c>
      <c r="C15" s="22"/>
      <c r="D15" s="204" t="s">
        <v>82</v>
      </c>
      <c r="E15" s="2">
        <f>MAX(INDEX($S$27:$AC$28,MATCH(A15,$S$27:$S$28,0),6),INDEX($S$27:$AC$28,MATCH(D15,$S$27:$S$28,0),6))</f>
        <v>0</v>
      </c>
      <c r="F15" s="23">
        <f>MAX(INDEX($S$27:$AC$28,MATCH(A15,$S$27:$S$28,0),3),INDEX($S$27:$AC$28,MATCH(D15,$S$27:$S$28,0),5))*'Ship Info'!G31</f>
        <v>0</v>
      </c>
      <c r="G15" s="22"/>
      <c r="H15" s="347">
        <f>MAX(INDEX($S$27:$AC$28,MATCH(A15,$S$27:$S$28,0),2),INDEX($S$27:$AC$28,MATCH(D15,$S$27:$S$28,0),4))</f>
        <v>0</v>
      </c>
      <c r="I15" s="347"/>
      <c r="J15" s="23"/>
      <c r="K15" s="347">
        <f>INDEX($S$27:$AC$28,MATCH(A15,$S$27:$S$28,0),7)</f>
        <v>0</v>
      </c>
      <c r="S15" s="67" t="s">
        <v>24</v>
      </c>
      <c r="T15" s="67">
        <v>1</v>
      </c>
      <c r="U15" s="67">
        <v>1</v>
      </c>
      <c r="Z15" s="67" t="s">
        <v>742</v>
      </c>
      <c r="AA15" s="67" t="s">
        <v>1271</v>
      </c>
      <c r="AC15" t="str">
        <f>S15</f>
        <v>Standard Hull</v>
      </c>
    </row>
    <row r="16" spans="1:31" ht="15" thickBot="1" x14ac:dyDescent="0.35">
      <c r="A16" s="196" t="s">
        <v>82</v>
      </c>
      <c r="B16" s="16" t="str">
        <f>IF(AND(A16=S29,D16&lt;&gt;S29),"2ry Hull: "&amp;INDEX($S$29:$AC$30,MATCH(D16,$S$29:$S$30,0),9),INDEX($S$29:$AC$30,MATCH(A16,$S$29:$S$30,0),9))</f>
        <v>Heat Shielding</v>
      </c>
      <c r="D16" s="196" t="s">
        <v>82</v>
      </c>
      <c r="E16" s="2">
        <f>MAX(INDEX($S$29:$AC$30,MATCH(A16,$S$29:$S$30,0),6),INDEX($S$29:$AC$30,MATCH(D16,$S$29:$S$30,0),6))</f>
        <v>0</v>
      </c>
      <c r="F16" s="4">
        <f>MAX(INDEX($S$29:$AC$30,MATCH(A16,$S$29:$S$30,0),3),INDEX($S$29:$AC$30,MATCH(D16,$S$29:$S$30,0),5))*'Ship Info'!G31</f>
        <v>0</v>
      </c>
      <c r="H16" s="10">
        <f>MAX(INDEX($S$29:$AC$30,MATCH(A16,$S$29:$S$30,0),2),INDEX($S$29:$AC$30,MATCH(D16,$S$29:$S$30,0),4))</f>
        <v>0</v>
      </c>
      <c r="I16" s="10"/>
      <c r="J16" s="4"/>
      <c r="K16" s="10">
        <f>INDEX($S$29:$AC$30,MATCH(A16,$S$29:$S$30,0),7)</f>
        <v>0</v>
      </c>
      <c r="S16" s="67" t="s">
        <v>1814</v>
      </c>
      <c r="T16" s="67">
        <f>IF(D5=W14,1,0.5)</f>
        <v>1</v>
      </c>
    </row>
    <row r="17" spans="1:31" ht="15" thickBot="1" x14ac:dyDescent="0.35">
      <c r="A17" s="204" t="s">
        <v>82</v>
      </c>
      <c r="B17" s="564" t="str">
        <f>IF(AND(A17=S48,D17&lt;&gt;S48),"2ry Hull: "&amp;INDEX($S$48:$AC$49,MATCH(D17,$S$48:$S$49,0),9),INDEX($S$48:$AC$49,MATCH(A17,$S$48:$S$49,0),9))</f>
        <v>Hostile Environment Operations Package</v>
      </c>
      <c r="C17" s="22"/>
      <c r="D17" s="204" t="s">
        <v>82</v>
      </c>
      <c r="E17" s="2">
        <f>MAX(INDEX($S$48:$AC$49,MATCH(A17,$S$48:$S$49,0),6),INDEX($S$48:$AC$49,MATCH(D17,$S$48:$S$49,0),6))</f>
        <v>0</v>
      </c>
      <c r="F17" s="23">
        <f>(INDEX($S$48:$AC$49,MATCH(A17,$S$48:$S$49,0),3)+IF(INDEX($S$48:$AC$49,MATCH(A17,$S$48:$S$49,0),3)=0,INDEX($S$48:$AC$49,MATCH(D17,$S$48:$S$49,0),5),0))*'Ship Info'!G31</f>
        <v>0</v>
      </c>
      <c r="G17" s="22"/>
      <c r="H17" s="347">
        <f>MAX(INDEX($S$48:$AC$49,MATCH(A17,$S$48:$S$49,0),2),INDEX($S$48:$AC$49,MATCH(D17,$S$48:$S$49,0),4))</f>
        <v>0</v>
      </c>
      <c r="I17" s="347"/>
      <c r="J17" s="23"/>
      <c r="K17" s="347">
        <f>INDEX($S$48:$AC$49,MATCH(A17,$S$48:$S$49,0),7)</f>
        <v>0</v>
      </c>
      <c r="S17" s="70" t="s">
        <v>25</v>
      </c>
      <c r="T17" s="70" t="s">
        <v>2</v>
      </c>
      <c r="U17" s="70" t="s">
        <v>1</v>
      </c>
      <c r="V17" s="70" t="s">
        <v>26</v>
      </c>
      <c r="W17" s="70" t="s">
        <v>27</v>
      </c>
      <c r="X17" s="70">
        <f>IF('Ship Info'!F7,0,INDEX(S18:V22,MATCH(B10,S18:S22,0),4))</f>
        <v>0</v>
      </c>
      <c r="Y17" s="67">
        <f>IF('Ship Info'!F7,0,INDEX(S18:W22,MATCH(B10,S18:S22,0),5))</f>
        <v>0</v>
      </c>
      <c r="Z17" s="67">
        <f>MAX(INDEX(S2:Y11,MATCH(B6,S2:S11,0),6),IF(AC42,4,0))+X96</f>
        <v>0</v>
      </c>
      <c r="AA17" s="67">
        <f>IF(Tonnage&lt;15.01,4,IF(Tonnage&lt;25.01,3,IF(Tonnage&lt;99.99,2,1)))</f>
        <v>1</v>
      </c>
      <c r="AB17">
        <f>INDEX(S18:T22,MATCH(B10,S18:S22,0),2)*(B4-C36)*(D11-Z17)*INDEX(S2:Y8,MATCH(B6,S2:S8,0),7)*FtrArmr</f>
        <v>0</v>
      </c>
    </row>
    <row r="18" spans="1:31" ht="15" thickBot="1" x14ac:dyDescent="0.35">
      <c r="A18" s="196" t="s">
        <v>82</v>
      </c>
      <c r="B18" s="16" t="str">
        <f>IF(AND(A18=S31,D18&lt;&gt;S31),"2ry Hull: "&amp;INDEX($S$31:$AC$32,MATCH(D18,$S$31:$S$32,0),9),INDEX($S$31:$AC$32,MATCH(A18,$S$31:$S$32,0),9))</f>
        <v>Holographic Hull</v>
      </c>
      <c r="D18" s="196" t="s">
        <v>82</v>
      </c>
      <c r="E18" s="2">
        <f>MAX(INDEX($S$31:$AC$32,MATCH(A18,$S$31:$S$32,0),6),INDEX($S$31:$AC$32,MATCH(D18,$S$31:$S$32,0),6))</f>
        <v>0</v>
      </c>
      <c r="F18" s="4">
        <f>(INDEX($S$31:$AC$32,MATCH(A18,$S$31:$S$32,0),3)+IF(INDEX($S$31:$AC$32,MATCH(A18,$S$31:$S$32,0),3)=0,INDEX($S$31:$AC$32,MATCH(D18,$S$31:$S$32,0),5),0))*'Ship Info'!G31</f>
        <v>0</v>
      </c>
      <c r="H18" s="10">
        <f>INDEX($S$31:$AC$32,MATCH(A18,$S$31:$S$32,0),2)</f>
        <v>0</v>
      </c>
      <c r="I18" s="10"/>
      <c r="J18" s="4"/>
      <c r="K18" s="10">
        <f>MAX(INDEX($S$31:$AC$32,MATCH(A18,$S$31:$S$32,0),7),INDEX($S$31:$AC$32,MATCH(D18,$S$31:$S$32,0),8))</f>
        <v>0</v>
      </c>
      <c r="S18" s="67" t="s">
        <v>554</v>
      </c>
      <c r="T18" s="67">
        <v>0</v>
      </c>
      <c r="U18" s="67">
        <v>0</v>
      </c>
      <c r="V18" s="67">
        <v>0</v>
      </c>
      <c r="W18" s="67">
        <v>0</v>
      </c>
      <c r="X18" s="70">
        <f>IF('Ship Info'!F7,0,INDEX(S18:V22,MATCH(D40,S18:S22,0),4))</f>
        <v>0</v>
      </c>
      <c r="Y18" s="67">
        <f>IF('Ship Info'!F7,0,INDEX(S18:W22,MATCH(D40,S18:S22,0),5))</f>
        <v>0</v>
      </c>
      <c r="Z18" s="67">
        <f>MAX(INDEX(S2:Y11,MATCH(D38,S2:S11,0),6),IF(AC42,4,0))</f>
        <v>0</v>
      </c>
      <c r="AA18" s="67">
        <f>IF(C36&lt;15.01,4,IF(C36&lt;25.01,3,IF(C36&lt;99.99,2,1)))</f>
        <v>4</v>
      </c>
      <c r="AB18">
        <f>IF(C36=0,0,INDEX(S18:T22,MATCH(D40,S18:S22,0),2)*(C36)*(G41-Z18)*INDEX(S2:Y8,MATCH(D38,S2:S8,0),7)*AA18)</f>
        <v>0</v>
      </c>
    </row>
    <row r="19" spans="1:31" ht="15" thickBot="1" x14ac:dyDescent="0.35">
      <c r="A19" s="204" t="s">
        <v>82</v>
      </c>
      <c r="B19" s="564" t="str">
        <f>IF(AND(A19=S33,D19&lt;&gt;S33),"2ry Hull: "&amp;INDEX($S$33:$AC$37,MATCH(D19,$S$33:$S$37,0),9),INDEX($S$33:$AC$37,MATCH(A19,$S$33:$S$37,0),9))</f>
        <v>Stealth</v>
      </c>
      <c r="C19" s="22"/>
      <c r="D19" s="204" t="s">
        <v>82</v>
      </c>
      <c r="E19" s="2">
        <f>MAX(INDEX($S$33:$AC$37,MATCH(A19,$S$33:$S$37,0),6),INDEX($S$33:$AC$37,MATCH(D19,$S$33:$S$37,0),6))</f>
        <v>0</v>
      </c>
      <c r="F19" s="23">
        <f>(INDEX($S$33:$AC$37,MATCH(A19,$S$33:$S$37,0),3)+IF(INDEX($S$33:$AC$37,MATCH(A19,$S$33:$S$37,0),3)=0,INDEX($S$33:$AC$37,MATCH(D19,$S$33:$S$37,0),5),0))*'Ship Info'!G31</f>
        <v>0</v>
      </c>
      <c r="G19" s="22"/>
      <c r="H19" s="347">
        <f>MAX(INDEX($S$33:$AC$37,MATCH(A19,$S$33:$S$37,0),2),INDEX($S$33:$AC$37,MATCH(D19,$S$33:$S$37,0),4))</f>
        <v>0</v>
      </c>
      <c r="I19" s="23"/>
      <c r="J19" s="23"/>
      <c r="K19" s="347">
        <f>INDEX($S$33:$AC$37,MATCH(A19,$S$33:$S$37,0),5)</f>
        <v>0</v>
      </c>
      <c r="S19" s="67" t="s">
        <v>31</v>
      </c>
      <c r="T19" s="67">
        <v>2.5000000000000001E-2</v>
      </c>
      <c r="U19" s="67">
        <v>50000</v>
      </c>
      <c r="V19" s="67">
        <v>7</v>
      </c>
      <c r="W19" s="67">
        <f>IF($E$2&lt;9,$E$2,9)*IF($C$9=$W$14,2,1)</f>
        <v>9</v>
      </c>
    </row>
    <row r="20" spans="1:31" ht="15" thickBot="1" x14ac:dyDescent="0.35">
      <c r="A20" s="196" t="s">
        <v>82</v>
      </c>
      <c r="B20" s="16" t="str">
        <f>IF(AND(A20=S38,D20&lt;&gt;S38),"2ry Hull: "&amp;INDEX($S$38:$AC$40,MATCH(D20,$S$38:$S$40,0),9),INDEX($S$38:$AC$40,MATCH(A20,$S$38:$S$40,0),9))</f>
        <v>Adjustable Hull</v>
      </c>
      <c r="D20" s="196" t="s">
        <v>82</v>
      </c>
      <c r="E20" s="2">
        <f>MAX(INDEX($S$38:$AC$40,MATCH(A20,$S$38:$S$40,0),6),INDEX($S$38:$AC$40,MATCH(D20,$S$38:$S$40,0),6))</f>
        <v>0</v>
      </c>
      <c r="F20" s="4">
        <f>(INDEX($S$38:$AC$40,MATCH(A20,$S$38:$S$40,0),3)+IF(INDEX($S$38:$AC$40,MATCH(A20,$S$38:$S$40,0),3)=0,INDEX($S$38:$AC$40,MATCH(D20,$S$38:$S$40,0),5),0))*'Ship Info'!G31</f>
        <v>0</v>
      </c>
      <c r="H20" s="10">
        <f>MAX(INDEX($S$38:$AC$40,MATCH(A20,$S$38:$S$40,0),2),INDEX($S$38:$AC$40,MATCH(D20,$S$38:$S$40,0),4))</f>
        <v>0</v>
      </c>
      <c r="I20" s="4"/>
      <c r="J20" s="4"/>
      <c r="K20" s="10">
        <f>INDEX($S$38:$AC$40,MATCH(A20,$S$38:$S$40,0),7)</f>
        <v>0</v>
      </c>
      <c r="S20" s="67" t="s">
        <v>29</v>
      </c>
      <c r="T20" s="67">
        <v>1.2500000000000001E-2</v>
      </c>
      <c r="U20" s="67">
        <v>200000</v>
      </c>
      <c r="V20" s="67">
        <v>10</v>
      </c>
      <c r="W20" s="67">
        <f>IF($E$2&lt;13,$E$2,13)*IF($C$9=$W$14,2,1)</f>
        <v>12</v>
      </c>
    </row>
    <row r="21" spans="1:31" ht="15" thickBot="1" x14ac:dyDescent="0.35">
      <c r="A21" s="204" t="s">
        <v>82</v>
      </c>
      <c r="B21" s="564" t="str">
        <f>IF(AND(A21=S41,D21&lt;&gt;S41),"2ry Hull: "&amp;INDEX($S$41:$AC$42,MATCH(D21,$S$41:$S$42,0),9),INDEX($S$41:$AC$42,MATCH(A21,$S$41:$S$42,0),9))</f>
        <v>Pressure Hull</v>
      </c>
      <c r="C21" s="22"/>
      <c r="D21" s="204" t="s">
        <v>82</v>
      </c>
      <c r="E21" s="2">
        <f>MAX(INDEX($S$41:$AC$42,MATCH(A21,$S$41:$S$42,0),6),INDEX($S$41:$AC$42,MATCH(D21,$S$41:$S$42,0),6))</f>
        <v>0</v>
      </c>
      <c r="F21" s="23">
        <f>(INDEX($S$41:$AC$42,MATCH(A21,$S$41:$S$42,0),3)+IF(INDEX($S$41:$AC$42,MATCH(A21,$S$41:$S$42,0),3)=0,INDEX($S$41:$AC$42,MATCH(D21,$S$41:$S$42,0),5),0))*'Ship Info'!G31</f>
        <v>0</v>
      </c>
      <c r="G21" s="22"/>
      <c r="H21" s="347">
        <f>MAX(INDEX($S$41:$AC$42,MATCH(A21,$S$41:$S$42,0),2),INDEX($S$41:$AC$42,MATCH(D21,$S$41:$S$42,0),4))</f>
        <v>0</v>
      </c>
      <c r="I21" s="23"/>
      <c r="J21" s="23"/>
      <c r="K21" s="347">
        <f>INDEX($S$41:$AC$42,MATCH(A21,$S$41:$S$42,0),7)</f>
        <v>0</v>
      </c>
      <c r="S21" s="67" t="s">
        <v>28</v>
      </c>
      <c r="T21" s="67">
        <v>8.0000000000000002E-3</v>
      </c>
      <c r="U21" s="67">
        <v>500000</v>
      </c>
      <c r="V21" s="67">
        <v>14</v>
      </c>
      <c r="W21" s="67">
        <f>$E$2*IF($C$9=$W$14,2,1)</f>
        <v>12</v>
      </c>
    </row>
    <row r="22" spans="1:31" ht="15" thickBot="1" x14ac:dyDescent="0.35">
      <c r="A22" s="196" t="s">
        <v>82</v>
      </c>
      <c r="B22" s="16" t="str">
        <f>IF(AND(A22=S46,D22&lt;&gt;S46),"2ry Hull: "&amp;INDEX($S$46:$AA$47,MATCH(D22,$S$46:$S$47,0),9),INDEX($S$46:$AA$47,MATCH(A22,$S$46:$S$47,0),9))</f>
        <v>Radiation Shielding</v>
      </c>
      <c r="D22" s="196" t="s">
        <v>82</v>
      </c>
      <c r="E22" s="2">
        <f>MAX(INDEX($S$46:$AC$47,MATCH(A22,$S$46:$S$47,0),6),INDEX($S$46:$AC$47,MATCH(D22,$S$46:$S$47,0),6))</f>
        <v>0</v>
      </c>
      <c r="F22" s="4">
        <f>(INDEX(S46:AA47,MATCH(A22,S46:S47,0),3)+IF(INDEX($S$46:$AC$47,MATCH(A22,$S$46:$S$47,0),3)=0,INDEX($S$46:$AC$47,MATCH(D22,$S$46:$S$47,0),5),0))*'Ship Info'!G31</f>
        <v>0</v>
      </c>
      <c r="H22" s="10">
        <f>INDEX(S46:AA47,MATCH(A22,S46:S47,0),2)</f>
        <v>0</v>
      </c>
      <c r="I22" s="4"/>
      <c r="J22" s="4"/>
      <c r="K22" s="10">
        <f>INDEX(S46:Y47,MATCH(A22,S46:S47,0),7)</f>
        <v>0</v>
      </c>
      <c r="S22" s="67" t="s">
        <v>30</v>
      </c>
      <c r="T22" s="67">
        <v>5.0000000000000001E-3</v>
      </c>
      <c r="U22" s="67">
        <v>1500000</v>
      </c>
      <c r="V22" s="67">
        <v>16</v>
      </c>
      <c r="W22" s="67">
        <f>($E$2+4)*IF($C$9=$W$14,2,1)</f>
        <v>16</v>
      </c>
    </row>
    <row r="23" spans="1:31" ht="15" thickBot="1" x14ac:dyDescent="0.35">
      <c r="A23" s="204" t="s">
        <v>82</v>
      </c>
      <c r="B23" s="564" t="str">
        <f>IF(AND(A23=S50,D23&lt;&gt;S50),"2ry Hull: "&amp;INDEX($S$50:$AA$51,MATCH(D23,$S$50:$S$51,0),9),INDEX($S$50:$AA$51,MATCH(A23,$S$50:$S$51,0),9))</f>
        <v>Self Maintenance Mod</v>
      </c>
      <c r="C23" s="22"/>
      <c r="D23" s="204" t="s">
        <v>82</v>
      </c>
      <c r="E23" s="27">
        <v>0</v>
      </c>
      <c r="F23" s="23">
        <f>(INDEX(S50:Y51,MATCH(A23,S50:S51,0),3)+INDEX(S50:Y51,MATCH(D23,S50:S51,0),5))*'Ship Info'!G31</f>
        <v>0</v>
      </c>
      <c r="G23" s="22"/>
      <c r="H23" s="347">
        <v>0</v>
      </c>
      <c r="I23" s="23"/>
      <c r="J23" s="23"/>
      <c r="K23" s="347">
        <v>0</v>
      </c>
    </row>
    <row r="24" spans="1:31" ht="15" thickBot="1" x14ac:dyDescent="0.35">
      <c r="A24" s="196" t="s">
        <v>82</v>
      </c>
      <c r="B24" s="16" t="str">
        <f>INDEX($S$43:$AC$45,MATCH(A24,$S$43:$S$45,0),9)</f>
        <v>Solar Coating</v>
      </c>
      <c r="C24" s="7" t="s">
        <v>1195</v>
      </c>
      <c r="D24" s="651">
        <v>40</v>
      </c>
      <c r="E24" s="2">
        <f>INDEX($S$43:$AC$45,MATCH(A24,$S$43:$S$45,0),6)</f>
        <v>0</v>
      </c>
      <c r="F24" s="4">
        <f>INDEX($S$43:$AC$45,MATCH(A24,$S$43:$S$45,0),3)*'Ship Info'!G31</f>
        <v>0</v>
      </c>
      <c r="H24" s="10">
        <f>INDEX($S$43:$AC$45,MATCH(A24,$S$43:$S$45,0),2)</f>
        <v>0</v>
      </c>
      <c r="I24" s="4"/>
      <c r="J24" s="4"/>
      <c r="K24" s="10">
        <f>INDEX($S$43:$AC$45,MATCH(A24,$S$43:$S$45,0),7)*$D$24/100*Tonnage*INDEX($S$2:$Z$11,MATCH($B6,$S$2:$S$11,0),8)</f>
        <v>0</v>
      </c>
      <c r="S24" s="70" t="s">
        <v>32</v>
      </c>
      <c r="T24" s="67" t="s">
        <v>2</v>
      </c>
      <c r="U24" s="67" t="s">
        <v>1</v>
      </c>
      <c r="V24" s="67" t="s">
        <v>2</v>
      </c>
      <c r="W24" s="67" t="s">
        <v>1</v>
      </c>
      <c r="X24" s="67" t="s">
        <v>26</v>
      </c>
      <c r="Y24" s="67" t="s">
        <v>54</v>
      </c>
      <c r="Z24" s="67" t="s">
        <v>54</v>
      </c>
    </row>
    <row r="25" spans="1:31" x14ac:dyDescent="0.3">
      <c r="A25" s="579" t="s">
        <v>2288</v>
      </c>
      <c r="B25" s="2"/>
      <c r="D25" s="2" t="s">
        <v>1194</v>
      </c>
      <c r="F25" s="2"/>
      <c r="G25" s="2"/>
      <c r="H25" s="2"/>
      <c r="K25" s="2"/>
      <c r="S25" s="67" t="s">
        <v>82</v>
      </c>
      <c r="T25" s="67">
        <v>0</v>
      </c>
      <c r="U25" s="67">
        <v>0</v>
      </c>
      <c r="V25" s="67">
        <v>0</v>
      </c>
      <c r="W25" s="67">
        <v>0</v>
      </c>
      <c r="X25" s="67">
        <v>0</v>
      </c>
      <c r="Y25" s="67">
        <v>0</v>
      </c>
      <c r="AA25" s="67" t="s">
        <v>391</v>
      </c>
      <c r="AB25" s="67"/>
    </row>
    <row r="26" spans="1:31" x14ac:dyDescent="0.3">
      <c r="S26" s="67" t="s">
        <v>391</v>
      </c>
      <c r="T26" s="67">
        <f>0.05*I6</f>
        <v>5</v>
      </c>
      <c r="U26" s="67">
        <f>T26*100000</f>
        <v>500000</v>
      </c>
      <c r="V26" s="67">
        <f>0.05*C36</f>
        <v>0</v>
      </c>
      <c r="W26" s="67">
        <f>V26*100000</f>
        <v>0</v>
      </c>
      <c r="X26" s="67">
        <v>7</v>
      </c>
      <c r="Y26" s="67">
        <v>0</v>
      </c>
      <c r="AA26" s="67" t="s">
        <v>392</v>
      </c>
      <c r="AB26" s="67"/>
      <c r="AC26" t="b">
        <f>OR(A14=S26,A15=S26,A16=S26,A18=S26,A19=S26,A20=S26)</f>
        <v>0</v>
      </c>
      <c r="AD26">
        <f>COUNTIF(AC49:AC51,TRUE)+COUNTIF(AC26:AC42,TRUE)</f>
        <v>0</v>
      </c>
      <c r="AE26" t="s">
        <v>1202</v>
      </c>
    </row>
    <row r="27" spans="1:31" ht="15" thickBot="1" x14ac:dyDescent="0.35">
      <c r="A27" s="3" t="s">
        <v>2701</v>
      </c>
      <c r="B27" t="s">
        <v>2714</v>
      </c>
      <c r="S27" s="67" t="s">
        <v>82</v>
      </c>
      <c r="T27" s="67">
        <v>0</v>
      </c>
      <c r="U27" s="67">
        <v>0</v>
      </c>
      <c r="V27" s="67">
        <v>0</v>
      </c>
      <c r="W27" s="67">
        <v>0</v>
      </c>
      <c r="X27" s="67">
        <v>0</v>
      </c>
      <c r="Y27" s="67">
        <v>0</v>
      </c>
      <c r="AA27" s="67" t="s">
        <v>38</v>
      </c>
      <c r="AB27" s="67"/>
    </row>
    <row r="28" spans="1:31" ht="15" thickBot="1" x14ac:dyDescent="0.35">
      <c r="B28" s="197" t="s">
        <v>1020</v>
      </c>
      <c r="F28" s="4">
        <f>INDEX(S85:W92,MATCH(B28,S85:S92,0),5)*Tonnage</f>
        <v>0</v>
      </c>
      <c r="H28" s="10">
        <f>INDEX(S85:W92,MATCH(B28,S85:S92,0),3)*Tonnage</f>
        <v>0</v>
      </c>
      <c r="S28" s="67" t="s">
        <v>38</v>
      </c>
      <c r="T28" s="67">
        <v>0</v>
      </c>
      <c r="U28" s="67">
        <f>Tonnage*100000</f>
        <v>10000000</v>
      </c>
      <c r="V28" s="67">
        <v>0</v>
      </c>
      <c r="W28" s="67">
        <f>C36*100000</f>
        <v>0</v>
      </c>
      <c r="X28" s="67">
        <v>10</v>
      </c>
      <c r="Y28" s="67">
        <v>0</v>
      </c>
      <c r="AA28" s="67" t="s">
        <v>39</v>
      </c>
      <c r="AB28" s="67"/>
      <c r="AC28" t="b">
        <f>OR(A14=S28,A15=S28,A16=S28,A18=S28,A19=S28,A20=S28)</f>
        <v>0</v>
      </c>
    </row>
    <row r="29" spans="1:31" x14ac:dyDescent="0.3">
      <c r="B29" t="str">
        <f>INDEX(S85:X92,MATCH(B28,S85:S92,0),6)</f>
        <v/>
      </c>
      <c r="S29" s="67" t="s">
        <v>82</v>
      </c>
      <c r="T29" s="67">
        <v>0</v>
      </c>
      <c r="U29" s="67">
        <v>0</v>
      </c>
      <c r="V29" s="67">
        <v>0</v>
      </c>
      <c r="W29" s="67">
        <v>0</v>
      </c>
      <c r="X29" s="67">
        <v>0</v>
      </c>
      <c r="Y29" s="67">
        <v>0</v>
      </c>
      <c r="AA29" s="67" t="s">
        <v>35</v>
      </c>
      <c r="AB29" s="67"/>
    </row>
    <row r="30" spans="1:31" x14ac:dyDescent="0.3">
      <c r="S30" s="67" t="s">
        <v>35</v>
      </c>
      <c r="T30" s="67">
        <v>0</v>
      </c>
      <c r="U30" s="67">
        <f>Tonnage*100000</f>
        <v>10000000</v>
      </c>
      <c r="V30" s="67">
        <v>0</v>
      </c>
      <c r="W30" s="67">
        <f>C36*100000</f>
        <v>0</v>
      </c>
      <c r="X30" s="67">
        <v>6</v>
      </c>
      <c r="Y30" s="67">
        <v>0</v>
      </c>
      <c r="AA30" s="67" t="s">
        <v>36</v>
      </c>
      <c r="AB30" s="67"/>
      <c r="AC30" t="b">
        <f>OR(A14=S30,A15=S30,A16=S30,A18=S30,A19=S30,A20=S30)</f>
        <v>0</v>
      </c>
    </row>
    <row r="31" spans="1:31" ht="15" thickBot="1" x14ac:dyDescent="0.35">
      <c r="A31" s="142" t="s">
        <v>298</v>
      </c>
      <c r="B31" s="45"/>
      <c r="C31" s="45"/>
      <c r="D31" s="129"/>
      <c r="E31" s="129"/>
      <c r="F31" s="47"/>
      <c r="H31" s="523"/>
      <c r="I31" s="524"/>
      <c r="J31" s="524"/>
      <c r="K31" s="525" t="s">
        <v>2174</v>
      </c>
      <c r="L31" s="526"/>
      <c r="S31" s="67" t="s">
        <v>82</v>
      </c>
      <c r="T31" s="67">
        <v>0</v>
      </c>
      <c r="U31" s="67">
        <v>0</v>
      </c>
      <c r="V31" s="67">
        <v>0</v>
      </c>
      <c r="W31" s="67">
        <v>0</v>
      </c>
      <c r="X31" s="67">
        <v>0</v>
      </c>
      <c r="Y31" s="67">
        <v>0</v>
      </c>
      <c r="AA31" s="67" t="s">
        <v>420</v>
      </c>
      <c r="AB31" s="67"/>
    </row>
    <row r="32" spans="1:31" ht="15" thickBot="1" x14ac:dyDescent="0.35">
      <c r="A32" s="78"/>
      <c r="B32" s="7" t="s">
        <v>299</v>
      </c>
      <c r="C32" s="232">
        <v>0</v>
      </c>
      <c r="F32" s="262">
        <f>IF(C32&gt;0,F6*C32/B4,0)*'Ship Info'!G31</f>
        <v>0</v>
      </c>
      <c r="H32" s="527"/>
      <c r="I32" s="528"/>
      <c r="J32" s="528"/>
      <c r="K32" s="529" t="s">
        <v>2175</v>
      </c>
      <c r="L32" s="212" t="s">
        <v>92</v>
      </c>
      <c r="S32" s="67" t="s">
        <v>420</v>
      </c>
      <c r="T32" s="67">
        <v>0</v>
      </c>
      <c r="U32" s="67">
        <f>Tonnage*100000</f>
        <v>10000000</v>
      </c>
      <c r="V32" s="67">
        <v>0</v>
      </c>
      <c r="W32" s="67">
        <f>C36*100000</f>
        <v>0</v>
      </c>
      <c r="X32" s="67">
        <v>10</v>
      </c>
      <c r="Y32" s="67">
        <f>B4/2</f>
        <v>50</v>
      </c>
      <c r="Z32" s="67">
        <f>C36/2</f>
        <v>0</v>
      </c>
      <c r="AA32" s="67" t="s">
        <v>421</v>
      </c>
      <c r="AB32" s="67"/>
      <c r="AC32" t="b">
        <f>OR(A14=S32,A15=S32,A16=S32,A18=S32,A19=S32,A20=S32)</f>
        <v>0</v>
      </c>
    </row>
    <row r="33" spans="1:31" ht="15" thickBot="1" x14ac:dyDescent="0.35">
      <c r="A33" s="78"/>
      <c r="B33" s="10" t="str">
        <f>"Limit: "&amp;TEXT(IF('Ship Info'!F7,'Ship Info'!C5*0.75,ROUNDDOWN(T56,1))*IF(L32="Yes",1,INDEX(S2:W11,MATCH(B6,S2:S11,0),5)),"#,###")&amp;" Tons"</f>
        <v>Limit: 75 Tons</v>
      </c>
      <c r="F33" s="46"/>
      <c r="H33" s="527"/>
      <c r="I33" s="528"/>
      <c r="J33" s="528"/>
      <c r="K33" s="529" t="s">
        <v>2176</v>
      </c>
      <c r="L33" s="212" t="s">
        <v>92</v>
      </c>
      <c r="S33" s="67" t="s">
        <v>82</v>
      </c>
      <c r="T33" s="67">
        <v>0</v>
      </c>
      <c r="U33" s="67">
        <v>0</v>
      </c>
      <c r="V33" s="67">
        <v>0</v>
      </c>
      <c r="W33" s="67">
        <v>0</v>
      </c>
      <c r="X33" s="67">
        <v>0</v>
      </c>
      <c r="Y33" s="67">
        <v>0</v>
      </c>
      <c r="Z33" s="67">
        <v>0</v>
      </c>
      <c r="AA33" s="67" t="s">
        <v>40</v>
      </c>
      <c r="AB33" s="67"/>
    </row>
    <row r="34" spans="1:31" ht="15" thickBot="1" x14ac:dyDescent="0.35">
      <c r="A34" s="86"/>
      <c r="B34" s="74" t="s">
        <v>1340</v>
      </c>
      <c r="C34" s="197" t="s">
        <v>92</v>
      </c>
      <c r="D34" s="130"/>
      <c r="E34" s="130"/>
      <c r="F34" s="263">
        <f>1*IF(C34="No",0,C32*25000)*'Ship Info'!G31</f>
        <v>0</v>
      </c>
      <c r="H34" s="530"/>
      <c r="I34" s="531"/>
      <c r="J34" s="531"/>
      <c r="K34" s="532" t="s">
        <v>2177</v>
      </c>
      <c r="L34" s="212" t="s">
        <v>92</v>
      </c>
      <c r="S34" s="67" t="s">
        <v>1190</v>
      </c>
      <c r="T34" s="67">
        <f>0.02*Tonnage</f>
        <v>2</v>
      </c>
      <c r="U34" s="67">
        <f>40000*Tonnage</f>
        <v>4000000</v>
      </c>
      <c r="V34" s="67">
        <f>0.02*C36</f>
        <v>0</v>
      </c>
      <c r="W34" s="67">
        <f>40000*C36</f>
        <v>0</v>
      </c>
      <c r="X34" s="67">
        <v>8</v>
      </c>
      <c r="Y34" s="67">
        <v>0</v>
      </c>
      <c r="AA34" s="67" t="s">
        <v>34</v>
      </c>
      <c r="AB34" s="67"/>
      <c r="AC34" t="b">
        <f>OR(A14=S34,A15=S34,A16=S34,A18=S34,A19=S34,A20=S34)</f>
        <v>0</v>
      </c>
      <c r="AD34">
        <f>COUNTIF(AC34:AC37,TRUE)</f>
        <v>0</v>
      </c>
      <c r="AE34" t="s">
        <v>1201</v>
      </c>
    </row>
    <row r="35" spans="1:31" ht="15" thickBot="1" x14ac:dyDescent="0.35">
      <c r="A35" s="5" t="s">
        <v>86</v>
      </c>
      <c r="B35" t="s">
        <v>1213</v>
      </c>
      <c r="S35" s="67" t="s">
        <v>1189</v>
      </c>
      <c r="T35" s="67">
        <v>0</v>
      </c>
      <c r="U35" s="67">
        <f>Tonnage*100000</f>
        <v>10000000</v>
      </c>
      <c r="V35" s="67">
        <v>0</v>
      </c>
      <c r="W35" s="67">
        <f>100000*C36</f>
        <v>0</v>
      </c>
      <c r="X35" s="67">
        <v>10</v>
      </c>
      <c r="Y35" s="67">
        <v>0</v>
      </c>
      <c r="AA35" s="67" t="s">
        <v>34</v>
      </c>
      <c r="AB35" s="67"/>
      <c r="AC35" t="b">
        <f>OR(A14=S35,A15=S35,A16=S35,A18=S35,A19=S35,A20=S35)</f>
        <v>0</v>
      </c>
    </row>
    <row r="36" spans="1:31" ht="15" thickBot="1" x14ac:dyDescent="0.35">
      <c r="A36" s="142" t="s">
        <v>89</v>
      </c>
      <c r="B36" s="233" t="s">
        <v>1584</v>
      </c>
      <c r="C36" s="232">
        <v>0</v>
      </c>
      <c r="D36" s="371"/>
      <c r="E36" s="129"/>
      <c r="F36" s="234">
        <f>2000000*H36*'Ship Info'!G31</f>
        <v>0</v>
      </c>
      <c r="G36" s="45"/>
      <c r="H36" s="519">
        <f>IF(C36&gt;0,0.02*Tonnage,0)</f>
        <v>0</v>
      </c>
      <c r="S36" s="67" t="s">
        <v>1188</v>
      </c>
      <c r="T36" s="67">
        <v>0</v>
      </c>
      <c r="U36" s="67">
        <f>Tonnage*500000</f>
        <v>50000000</v>
      </c>
      <c r="V36" s="67">
        <v>0</v>
      </c>
      <c r="W36" s="67">
        <f>C36*500000</f>
        <v>0</v>
      </c>
      <c r="X36" s="67">
        <v>12</v>
      </c>
      <c r="Y36" s="67">
        <v>0</v>
      </c>
      <c r="AA36" s="67" t="s">
        <v>41</v>
      </c>
      <c r="AB36" s="67"/>
      <c r="AC36" t="b">
        <f>OR(A14=S36,A15=S36,A16=S36,A18=S36,A19=S36,A20=S36)</f>
        <v>0</v>
      </c>
    </row>
    <row r="37" spans="1:31" ht="15" thickBot="1" x14ac:dyDescent="0.35">
      <c r="A37" s="22" t="s">
        <v>1210</v>
      </c>
      <c r="B37" s="22"/>
      <c r="C37" s="7" t="s">
        <v>2289</v>
      </c>
      <c r="D37" s="197" t="s">
        <v>93</v>
      </c>
      <c r="E37" s="77"/>
      <c r="H37" s="262"/>
      <c r="S37" s="67" t="s">
        <v>1187</v>
      </c>
      <c r="T37" s="67">
        <v>0</v>
      </c>
      <c r="U37" s="67">
        <f>Tonnage*1000000</f>
        <v>100000000</v>
      </c>
      <c r="V37" s="67">
        <v>0</v>
      </c>
      <c r="W37" s="67">
        <f>C36*1000000</f>
        <v>0</v>
      </c>
      <c r="X37" s="67">
        <v>14</v>
      </c>
      <c r="Y37" s="67">
        <v>0</v>
      </c>
      <c r="AA37" s="67" t="s">
        <v>42</v>
      </c>
      <c r="AB37" s="67"/>
      <c r="AC37" t="b">
        <f>OR(A14=S37,A15=S37,A16=S37,A18=S37,A19=S37,A20=S37)</f>
        <v>0</v>
      </c>
    </row>
    <row r="38" spans="1:31" ht="15" thickBot="1" x14ac:dyDescent="0.35">
      <c r="A38" t="s">
        <v>1209</v>
      </c>
      <c r="C38" s="7" t="s">
        <v>2290</v>
      </c>
      <c r="D38" s="197" t="s">
        <v>19</v>
      </c>
      <c r="E38" s="77"/>
      <c r="H38" s="262"/>
      <c r="S38" s="67" t="s">
        <v>82</v>
      </c>
      <c r="T38" s="67">
        <v>0</v>
      </c>
      <c r="U38" s="67">
        <v>0</v>
      </c>
      <c r="V38" s="67">
        <v>0</v>
      </c>
      <c r="W38" s="67">
        <v>0</v>
      </c>
      <c r="X38" s="67">
        <v>0</v>
      </c>
      <c r="Y38" s="67">
        <v>0</v>
      </c>
      <c r="AA38" s="67" t="s">
        <v>1225</v>
      </c>
      <c r="AB38" s="67"/>
    </row>
    <row r="39" spans="1:31" ht="15" thickBot="1" x14ac:dyDescent="0.35">
      <c r="A39" t="s">
        <v>1205</v>
      </c>
      <c r="C39" s="7" t="s">
        <v>21</v>
      </c>
      <c r="D39" s="197" t="s">
        <v>24</v>
      </c>
      <c r="E39" s="77"/>
      <c r="H39" s="262"/>
      <c r="S39" s="67" t="s">
        <v>1196</v>
      </c>
      <c r="T39" s="67">
        <f>0.05*Tonnage</f>
        <v>5</v>
      </c>
      <c r="U39" s="67">
        <f>0.1*F6</f>
        <v>500000</v>
      </c>
      <c r="V39" s="67">
        <f>0.05*C36</f>
        <v>0</v>
      </c>
      <c r="W39" s="67">
        <f>0.1*C36*IF(AND('Ship Info'!F7=1,'Ship Info'!I6="No"),25000,Z14*(INDEX(S2:Y8,MATCH(D38,S2:S8,0),4))*(INDEX(S13:U15,MATCH(D39,S13:S15,0),3)))</f>
        <v>0</v>
      </c>
      <c r="X39" s="67">
        <v>12</v>
      </c>
      <c r="Y39" s="67">
        <v>0</v>
      </c>
      <c r="AA39" s="67" t="s">
        <v>1200</v>
      </c>
      <c r="AB39" s="67"/>
      <c r="AC39" t="b">
        <f>OR(A15=S39,A16=S39,A18=S39,A19=S39,A20=S39,A14=S39)</f>
        <v>0</v>
      </c>
    </row>
    <row r="40" spans="1:31" ht="15" thickBot="1" x14ac:dyDescent="0.35">
      <c r="A40" s="22" t="s">
        <v>1208</v>
      </c>
      <c r="B40" s="22"/>
      <c r="C40" s="7" t="s">
        <v>2291</v>
      </c>
      <c r="D40" s="197" t="s">
        <v>554</v>
      </c>
      <c r="E40" s="2">
        <f>INDEX(S18:V22,MATCH(D40,S18:S22,0),4)</f>
        <v>0</v>
      </c>
      <c r="G40" s="6" t="s">
        <v>2316</v>
      </c>
      <c r="H40" s="262"/>
      <c r="S40" s="67" t="s">
        <v>1197</v>
      </c>
      <c r="T40" s="67">
        <f>0.01*Tonnage</f>
        <v>1</v>
      </c>
      <c r="U40" s="163">
        <f>F6</f>
        <v>5000000</v>
      </c>
      <c r="V40" s="67">
        <f>0.01*C36</f>
        <v>0</v>
      </c>
      <c r="W40" s="163">
        <f>C36*IF(AND('Ship Info'!F7=1,'Ship Info'!I6="No"),25000,Z14*(INDEX(S2:Y8,MATCH(D38,S2:S8,0),4))*(INDEX(S13:U15,MATCH(D39,S13:S15,0),3)))</f>
        <v>0</v>
      </c>
      <c r="X40" s="67">
        <v>15</v>
      </c>
      <c r="Y40" s="67">
        <v>0</v>
      </c>
      <c r="AA40" s="67" t="s">
        <v>1200</v>
      </c>
      <c r="AB40" s="67"/>
      <c r="AC40" t="b">
        <f>OR(A16=S40,A18=S40,A19=S40,A20=S40,A15=S40,A14=S40)</f>
        <v>0</v>
      </c>
    </row>
    <row r="41" spans="1:31" ht="15" thickBot="1" x14ac:dyDescent="0.35">
      <c r="A41" t="s">
        <v>1207</v>
      </c>
      <c r="C41" s="7" t="s">
        <v>2292</v>
      </c>
      <c r="D41" s="232">
        <v>0</v>
      </c>
      <c r="G41" s="2">
        <f>IF(D41=0,Z18,IF(AC6+Z18&gt;Y18,Y18,AC6+Z18))</f>
        <v>0</v>
      </c>
      <c r="H41" s="262"/>
      <c r="S41" s="67" t="s">
        <v>82</v>
      </c>
      <c r="T41" s="67">
        <v>0</v>
      </c>
      <c r="U41" s="67">
        <v>0</v>
      </c>
      <c r="V41" s="67">
        <v>0</v>
      </c>
      <c r="W41" s="67">
        <v>0</v>
      </c>
      <c r="X41" s="67">
        <v>0</v>
      </c>
      <c r="Y41" s="67">
        <v>0</v>
      </c>
      <c r="AA41" s="67" t="s">
        <v>1198</v>
      </c>
      <c r="AB41" s="67"/>
    </row>
    <row r="42" spans="1:31" ht="15" thickBot="1" x14ac:dyDescent="0.35">
      <c r="A42" s="28" t="s">
        <v>1206</v>
      </c>
      <c r="C42" s="7" t="s">
        <v>2293</v>
      </c>
      <c r="D42" s="197" t="s">
        <v>92</v>
      </c>
      <c r="E42" s="130"/>
      <c r="F42" s="28"/>
      <c r="G42" s="28"/>
      <c r="H42" s="263"/>
      <c r="S42" s="67" t="s">
        <v>1198</v>
      </c>
      <c r="T42" s="67">
        <f>0.25*Tonnage</f>
        <v>25</v>
      </c>
      <c r="U42" s="67">
        <f>9*F6</f>
        <v>45000000</v>
      </c>
      <c r="V42" s="67">
        <f>0.25*C36</f>
        <v>0</v>
      </c>
      <c r="W42" s="67">
        <f>9*C36*IF(AND('Ship Info'!F7=1,'Ship Info'!I6="No"),25000,Z14*(INDEX(S2:Y8,MATCH(D38,S2:S8,0),4))*(INDEX(S13:U15,MATCH(D39,S13:S15,0),3)))</f>
        <v>0</v>
      </c>
      <c r="X42" s="67">
        <v>4</v>
      </c>
      <c r="Y42" s="67">
        <v>0</v>
      </c>
      <c r="AA42" s="67" t="s">
        <v>1199</v>
      </c>
      <c r="AB42" s="67"/>
      <c r="AC42" t="b">
        <f>OR(A18=S42,A19=S42,A20=S42,A16=S42,A15=S42,A14=S42)</f>
        <v>0</v>
      </c>
    </row>
    <row r="43" spans="1:31" ht="15" thickBot="1" x14ac:dyDescent="0.35">
      <c r="A43" s="235" t="s">
        <v>87</v>
      </c>
      <c r="B43" s="497" t="s">
        <v>1211</v>
      </c>
      <c r="C43" s="232">
        <v>60</v>
      </c>
      <c r="F43" s="4">
        <f>IF(H43&gt;0,ROUNDDOWN(C43/Tonnage*100,0)*0.01*F6,0)*'Ship Info'!G31</f>
        <v>0</v>
      </c>
      <c r="H43" s="520">
        <f>IF(T58,0.1*C43,0)</f>
        <v>0</v>
      </c>
      <c r="S43" s="67" t="s">
        <v>82</v>
      </c>
      <c r="T43" s="67">
        <v>0</v>
      </c>
      <c r="U43" s="67">
        <v>0</v>
      </c>
      <c r="V43" s="67">
        <v>0</v>
      </c>
      <c r="W43" s="67">
        <v>0</v>
      </c>
      <c r="X43" s="67">
        <v>0</v>
      </c>
      <c r="Y43" s="67">
        <v>0</v>
      </c>
      <c r="AA43" s="67" t="s">
        <v>1224</v>
      </c>
      <c r="AB43" s="67"/>
    </row>
    <row r="44" spans="1:31" ht="15" thickBot="1" x14ac:dyDescent="0.35">
      <c r="A44" s="261" t="s">
        <v>1310</v>
      </c>
      <c r="C44" s="2" t="s">
        <v>1212</v>
      </c>
      <c r="H44" s="262"/>
      <c r="S44" s="67" t="s">
        <v>1191</v>
      </c>
      <c r="T44" s="67">
        <v>0</v>
      </c>
      <c r="U44" s="67">
        <f>300000*D24/100*Tonnage</f>
        <v>12000000</v>
      </c>
      <c r="V44" s="67">
        <v>0</v>
      </c>
      <c r="W44" s="67">
        <f>300000*D24/100*C36</f>
        <v>0</v>
      </c>
      <c r="X44" s="67">
        <v>10</v>
      </c>
      <c r="Y44" s="67">
        <v>-0.1</v>
      </c>
      <c r="AA44" s="67" t="s">
        <v>1193</v>
      </c>
      <c r="AB44" s="67"/>
      <c r="AC44" t="b">
        <f>OR(A24=S44)</f>
        <v>0</v>
      </c>
      <c r="AD44">
        <f>COUNTIF(AC44:AC45,TRUE)</f>
        <v>0</v>
      </c>
      <c r="AE44" t="s">
        <v>1203</v>
      </c>
    </row>
    <row r="45" spans="1:31" ht="15" thickBot="1" x14ac:dyDescent="0.35">
      <c r="A45" s="86"/>
      <c r="B45" s="28"/>
      <c r="D45" s="130"/>
      <c r="E45" s="130"/>
      <c r="F45" s="28"/>
      <c r="G45" s="28"/>
      <c r="H45" s="263"/>
      <c r="S45" s="67" t="s">
        <v>1192</v>
      </c>
      <c r="T45" s="67">
        <v>0</v>
      </c>
      <c r="U45" s="67">
        <f>400000*D24/100*Tonnage</f>
        <v>16000000</v>
      </c>
      <c r="V45" s="67">
        <v>0</v>
      </c>
      <c r="W45" s="67">
        <f>400000*D24/100*C36</f>
        <v>0</v>
      </c>
      <c r="X45" s="67">
        <v>12</v>
      </c>
      <c r="Y45" s="67">
        <v>-0.2</v>
      </c>
      <c r="AA45" s="67" t="s">
        <v>1193</v>
      </c>
      <c r="AB45" s="67"/>
      <c r="AC45" t="b">
        <f>OR(A24=S45)</f>
        <v>0</v>
      </c>
    </row>
    <row r="46" spans="1:31" ht="15" customHeight="1" thickBot="1" x14ac:dyDescent="0.35">
      <c r="A46" s="235" t="s">
        <v>1214</v>
      </c>
      <c r="B46" s="7" t="s">
        <v>1215</v>
      </c>
      <c r="C46" s="237">
        <v>0</v>
      </c>
      <c r="F46" s="4">
        <f>IF(H46&gt;0,ROUNDDOWN(C46/Tonnage*100,0)*0.02*F6,0)*'Ship Info'!G31</f>
        <v>0</v>
      </c>
      <c r="H46" s="520">
        <f>0.1*C46</f>
        <v>0</v>
      </c>
      <c r="S46" s="67" t="s">
        <v>82</v>
      </c>
      <c r="T46" s="67">
        <v>0</v>
      </c>
      <c r="U46" s="67">
        <v>0</v>
      </c>
      <c r="V46" s="67">
        <v>0</v>
      </c>
      <c r="W46" s="67">
        <v>0</v>
      </c>
      <c r="X46" s="67">
        <v>0</v>
      </c>
      <c r="Y46" s="67">
        <v>0</v>
      </c>
      <c r="AA46" s="67" t="s">
        <v>37</v>
      </c>
      <c r="AB46" s="67"/>
    </row>
    <row r="47" spans="1:31" ht="15" customHeight="1" x14ac:dyDescent="0.3">
      <c r="A47" s="78"/>
      <c r="B47" s="2"/>
      <c r="C47" s="2"/>
      <c r="H47" s="262"/>
      <c r="S47" s="67" t="s">
        <v>37</v>
      </c>
      <c r="T47" s="67">
        <v>0</v>
      </c>
      <c r="U47" s="67">
        <f>Tonnage*25000</f>
        <v>2500000</v>
      </c>
      <c r="V47" s="67">
        <v>0</v>
      </c>
      <c r="W47" s="67">
        <f>C36*25000</f>
        <v>0</v>
      </c>
      <c r="X47" s="67">
        <v>7</v>
      </c>
      <c r="Y47" s="67">
        <v>0</v>
      </c>
      <c r="AA47" s="67" t="s">
        <v>2162</v>
      </c>
      <c r="AB47" s="67"/>
      <c r="AC47" t="b">
        <f>OR(A22=S47)</f>
        <v>0</v>
      </c>
    </row>
    <row r="48" spans="1:31" ht="15" customHeight="1" thickBot="1" x14ac:dyDescent="0.35">
      <c r="A48" s="78"/>
      <c r="B48" s="236" t="s">
        <v>1221</v>
      </c>
      <c r="C48" s="2" t="s">
        <v>1219</v>
      </c>
      <c r="D48" s="2" t="s">
        <v>1220</v>
      </c>
      <c r="H48" s="262"/>
      <c r="S48" s="67" t="s">
        <v>82</v>
      </c>
      <c r="T48" s="67">
        <v>0</v>
      </c>
      <c r="U48" s="67">
        <v>0</v>
      </c>
      <c r="V48" s="67">
        <v>0</v>
      </c>
      <c r="W48" s="67">
        <v>0</v>
      </c>
      <c r="X48" s="67">
        <v>0</v>
      </c>
      <c r="Y48" s="67">
        <v>0</v>
      </c>
      <c r="AA48" s="67" t="s">
        <v>1415</v>
      </c>
      <c r="AB48" s="67"/>
    </row>
    <row r="49" spans="1:29" ht="15" customHeight="1" thickBot="1" x14ac:dyDescent="0.35">
      <c r="A49" s="78"/>
      <c r="B49" t="s">
        <v>1218</v>
      </c>
      <c r="C49" s="237">
        <v>15</v>
      </c>
      <c r="D49" s="266">
        <f>ROUNDUP(C49/1.5,0)</f>
        <v>10</v>
      </c>
      <c r="H49" s="262"/>
      <c r="S49" s="67" t="s">
        <v>1413</v>
      </c>
      <c r="T49" s="67">
        <f>0.05*Tonnage</f>
        <v>5</v>
      </c>
      <c r="U49" s="67">
        <f>100000*Tonnage</f>
        <v>10000000</v>
      </c>
      <c r="V49" s="67">
        <f>0.05*C36</f>
        <v>0</v>
      </c>
      <c r="W49" s="67">
        <f>100000*C36</f>
        <v>0</v>
      </c>
      <c r="X49" s="67">
        <v>7</v>
      </c>
      <c r="Y49" s="67">
        <v>0</v>
      </c>
      <c r="AA49" s="67" t="s">
        <v>1414</v>
      </c>
      <c r="AB49" s="67"/>
      <c r="AC49" t="b">
        <f>OR(A17=S49)</f>
        <v>0</v>
      </c>
    </row>
    <row r="50" spans="1:29" ht="15" customHeight="1" thickBot="1" x14ac:dyDescent="0.35">
      <c r="A50" s="78"/>
      <c r="B50" t="s">
        <v>1216</v>
      </c>
      <c r="C50" s="237">
        <v>7.5</v>
      </c>
      <c r="D50" s="266">
        <f>ROUNDUP(C50/1.5,0)</f>
        <v>5</v>
      </c>
      <c r="H50" s="262"/>
      <c r="S50" s="67" t="s">
        <v>82</v>
      </c>
      <c r="T50" s="67">
        <v>0</v>
      </c>
      <c r="U50" s="67">
        <v>0</v>
      </c>
      <c r="V50" s="67">
        <v>0</v>
      </c>
      <c r="W50" s="67">
        <v>0</v>
      </c>
      <c r="X50" s="67">
        <v>0</v>
      </c>
      <c r="Y50" s="67">
        <v>0</v>
      </c>
      <c r="AA50" s="67" t="s">
        <v>2544</v>
      </c>
    </row>
    <row r="51" spans="1:29" ht="15" customHeight="1" x14ac:dyDescent="0.3">
      <c r="A51" s="78"/>
      <c r="B51" t="s">
        <v>1223</v>
      </c>
      <c r="C51" s="266">
        <f>ROUNDUP(C49*PI(),0)</f>
        <v>48</v>
      </c>
      <c r="D51" s="266">
        <f>ROUNDUP(D49*PI(),0)</f>
        <v>32</v>
      </c>
      <c r="H51" s="262"/>
      <c r="S51" s="67" t="s">
        <v>2543</v>
      </c>
      <c r="T51" s="67">
        <v>0</v>
      </c>
      <c r="U51" s="67">
        <f>100000*Tonnage</f>
        <v>10000000</v>
      </c>
      <c r="V51" s="67">
        <v>0</v>
      </c>
      <c r="W51" s="67">
        <f>100000*C36</f>
        <v>0</v>
      </c>
      <c r="X51" s="67">
        <v>0</v>
      </c>
      <c r="Y51" s="67">
        <v>0</v>
      </c>
      <c r="AA51" s="67" t="s">
        <v>2545</v>
      </c>
      <c r="AC51" t="b">
        <f>OR(A23=S51)</f>
        <v>0</v>
      </c>
    </row>
    <row r="52" spans="1:29" ht="15" customHeight="1" x14ac:dyDescent="0.3">
      <c r="A52" s="78"/>
      <c r="B52" s="7" t="s">
        <v>1217</v>
      </c>
      <c r="C52" s="2" t="str">
        <f>TEXT(D52/2,"#,###")&amp;" Dtons"</f>
        <v>79 Dtons</v>
      </c>
      <c r="D52" s="266">
        <f>ROUNDUP(D49*PI()*D50,0)</f>
        <v>158</v>
      </c>
      <c r="H52" s="262"/>
    </row>
    <row r="53" spans="1:29" x14ac:dyDescent="0.3">
      <c r="A53" s="78"/>
      <c r="C53" s="12"/>
      <c r="D53" s="12"/>
      <c r="H53" s="262"/>
    </row>
    <row r="54" spans="1:29" ht="57.6" x14ac:dyDescent="0.3">
      <c r="A54" s="78"/>
      <c r="B54" s="76" t="s">
        <v>1222</v>
      </c>
      <c r="C54" s="76"/>
      <c r="D54" s="76"/>
      <c r="H54" s="262"/>
    </row>
    <row r="55" spans="1:29" x14ac:dyDescent="0.3">
      <c r="A55" s="86"/>
      <c r="B55" s="535"/>
      <c r="C55" s="535"/>
      <c r="D55" s="535"/>
      <c r="E55" s="130"/>
      <c r="F55" s="28"/>
      <c r="G55" s="28"/>
      <c r="H55" s="263"/>
    </row>
    <row r="56" spans="1:29" x14ac:dyDescent="0.3">
      <c r="S56" s="70" t="s">
        <v>300</v>
      </c>
      <c r="T56" s="67">
        <f>0.750001*B4</f>
        <v>75.000100000000003</v>
      </c>
    </row>
    <row r="57" spans="1:29" x14ac:dyDescent="0.3">
      <c r="S57" s="70" t="s">
        <v>86</v>
      </c>
      <c r="AC57" t="s">
        <v>1309</v>
      </c>
    </row>
    <row r="58" spans="1:29" x14ac:dyDescent="0.3">
      <c r="S58" s="67" t="s">
        <v>87</v>
      </c>
      <c r="T58" s="67" t="b">
        <f>IF(A44=AC57,TRUE,FALSE)</f>
        <v>0</v>
      </c>
      <c r="U58" s="240">
        <f>C43</f>
        <v>60</v>
      </c>
      <c r="V58" s="67">
        <f>IF(T58,1,0)</f>
        <v>0</v>
      </c>
      <c r="AC58" t="s">
        <v>1310</v>
      </c>
    </row>
    <row r="59" spans="1:29" x14ac:dyDescent="0.3">
      <c r="S59" s="67" t="s">
        <v>88</v>
      </c>
      <c r="T59" s="238">
        <f>C46</f>
        <v>0</v>
      </c>
    </row>
    <row r="60" spans="1:29" x14ac:dyDescent="0.3">
      <c r="S60" s="67" t="s">
        <v>89</v>
      </c>
      <c r="T60" s="239">
        <f>C36</f>
        <v>0</v>
      </c>
    </row>
    <row r="62" spans="1:29" x14ac:dyDescent="0.3">
      <c r="S62" s="67" t="s">
        <v>386</v>
      </c>
      <c r="T62" s="67" t="s">
        <v>714</v>
      </c>
    </row>
    <row r="63" spans="1:29" x14ac:dyDescent="0.3">
      <c r="S63" s="67">
        <f>SUM(H10:H55)</f>
        <v>0</v>
      </c>
      <c r="T63" s="67">
        <f>SUM(K11:K22)</f>
        <v>20</v>
      </c>
    </row>
    <row r="65" spans="19:31" x14ac:dyDescent="0.3">
      <c r="S65" s="67" t="str">
        <f>B4&amp;" tons, "&amp;B8&amp;" "&amp;B6&amp;", "&amp;IF(D5="Yes","","Non-Gravitic ")&amp;D6&amp;IF(C9=W14,", Military Hull","") &amp;""&amp;IF(A14=S25,"",", "&amp;A14)&amp;""&amp;IF(A15=S25,"",", "&amp;A15)&amp;""&amp;IF(A16=S25,"",", "&amp;A16)&amp;""&amp;IF(A17=S25,"",", "&amp;A17)&amp;""&amp;IF(A18=S25,"",", "&amp;A18)&amp;""&amp;IF(A19=S25,"",", "&amp;A19)&amp;""&amp;IF(A20=S25,"",", "&amp;A20)&amp;""&amp;IF(A22=S46,"",", "&amp;A22)&amp;""&amp;IF(A24=S43,"",", "&amp;A24)&amp;IF(C32=0,"",", "&amp;C32&amp;" tons of Modular Section(s)")&amp;IF(C36=0,"",", "&amp;C36&amp;" tons of Breakaway Hull(s)")&amp;IF(T58=FALSE,"",", "&amp;C43&amp;" tons of Double Hull")&amp;IF(C46=0,"",", "&amp;C46&amp;" tons of Hamster Cages")</f>
        <v>100 tons, Partial Standard, Standard Hull</v>
      </c>
    </row>
    <row r="66" spans="19:31" x14ac:dyDescent="0.3">
      <c r="S66" s="67">
        <f>IF(D7&lt;10560,D7,IF(D7&lt;105600,D7/10,IF(D7&lt;1056000,D7/100,D7/1000)))</f>
        <v>40</v>
      </c>
    </row>
    <row r="67" spans="19:31" x14ac:dyDescent="0.3">
      <c r="S67" s="67">
        <v>10</v>
      </c>
      <c r="T67" s="67">
        <v>20</v>
      </c>
      <c r="U67" s="67">
        <v>30</v>
      </c>
      <c r="V67" s="67">
        <v>40</v>
      </c>
      <c r="W67" s="67">
        <v>50</v>
      </c>
      <c r="X67" s="67">
        <v>60</v>
      </c>
      <c r="Y67" s="67">
        <v>70</v>
      </c>
      <c r="Z67" s="67">
        <v>80</v>
      </c>
      <c r="AA67" s="67">
        <v>90</v>
      </c>
    </row>
    <row r="68" spans="19:31" x14ac:dyDescent="0.3">
      <c r="S68" s="67">
        <f>ROUNDUP(0.1*S66,0)</f>
        <v>4</v>
      </c>
      <c r="T68" s="67">
        <f>ROUNDUP(0.2*S66,0)</f>
        <v>8</v>
      </c>
      <c r="U68" s="67">
        <f>ROUNDUP(0.3*S66,0)</f>
        <v>12</v>
      </c>
      <c r="V68" s="67">
        <f>ROUNDUP(0.4*S66,0)</f>
        <v>16</v>
      </c>
      <c r="W68" s="67">
        <f>ROUNDUP(0.5*S66,0)</f>
        <v>20</v>
      </c>
      <c r="X68" s="67">
        <f>ROUNDUP(0.6*S66,0)</f>
        <v>24</v>
      </c>
      <c r="Y68" s="67">
        <f>ROUNDUP(0.7*S66,0)</f>
        <v>28</v>
      </c>
      <c r="Z68" s="67">
        <f>ROUNDUP(0.8*S66,0)</f>
        <v>32</v>
      </c>
      <c r="AA68" s="67">
        <f>ROUNDUP(0.9*S66,0)</f>
        <v>36</v>
      </c>
    </row>
    <row r="70" spans="19:31" x14ac:dyDescent="0.3">
      <c r="S70" s="71" t="s">
        <v>711</v>
      </c>
      <c r="T70" s="67" t="str">
        <f>IF(OR(A14=S26,A15=S26,A16=S26,A18=S26,A19=S26,A20=S26),"/Atm+2","")</f>
        <v/>
      </c>
    </row>
    <row r="71" spans="19:31" x14ac:dyDescent="0.3">
      <c r="Z71" s="537">
        <f>INDEX(S2:AA8,MATCH(B6,S2:S8,0),9)</f>
        <v>4</v>
      </c>
      <c r="AA71" s="538" t="s">
        <v>2191</v>
      </c>
      <c r="AB71" s="539"/>
      <c r="AC71" s="539"/>
      <c r="AD71" s="540"/>
    </row>
    <row r="72" spans="19:31" x14ac:dyDescent="0.3">
      <c r="S72" s="67" t="s">
        <v>727</v>
      </c>
      <c r="Z72" s="537" t="s">
        <v>2201</v>
      </c>
      <c r="AA72" s="536" t="s">
        <v>14</v>
      </c>
      <c r="AB72" s="45" t="s">
        <v>2202</v>
      </c>
      <c r="AC72" s="45" t="s">
        <v>18</v>
      </c>
      <c r="AD72" s="47" t="s">
        <v>12</v>
      </c>
      <c r="AE72" t="s">
        <v>17</v>
      </c>
    </row>
    <row r="73" spans="19:31" x14ac:dyDescent="0.3">
      <c r="S73" s="67">
        <f>SUM(H14:H24)</f>
        <v>0</v>
      </c>
      <c r="Z73" s="541" t="str">
        <f>""</f>
        <v/>
      </c>
      <c r="AA73" s="544" t="str">
        <f>""</f>
        <v/>
      </c>
      <c r="AB73" s="545" t="str">
        <f>""</f>
        <v/>
      </c>
      <c r="AC73" s="545" t="str">
        <f>""</f>
        <v/>
      </c>
      <c r="AD73" s="545" t="str">
        <f>""</f>
        <v/>
      </c>
      <c r="AE73" s="546" t="str">
        <f>""</f>
        <v/>
      </c>
    </row>
    <row r="74" spans="19:31" x14ac:dyDescent="0.3">
      <c r="S74" s="67" t="s">
        <v>1709</v>
      </c>
      <c r="T74" s="67">
        <f>IF(H6&lt;0,1,0)</f>
        <v>0</v>
      </c>
      <c r="Y74" s="67">
        <v>1</v>
      </c>
      <c r="Z74" s="542" t="str" cm="1">
        <f t="array" ref="Z74">INDEX($AA$74:$AE$81,Y74,$Z$71)</f>
        <v>Boxy</v>
      </c>
      <c r="AA74" s="547" t="s">
        <v>13</v>
      </c>
      <c r="AB74" s="16" t="s">
        <v>2193</v>
      </c>
      <c r="AC74" s="16" t="s">
        <v>2197</v>
      </c>
      <c r="AD74" s="170" t="s">
        <v>2200</v>
      </c>
      <c r="AE74" s="548" t="s">
        <v>2203</v>
      </c>
    </row>
    <row r="75" spans="19:31" x14ac:dyDescent="0.3">
      <c r="S75" s="67" t="s">
        <v>778</v>
      </c>
      <c r="T75" s="67">
        <f>IF(C32&gt;T56,1,0)</f>
        <v>0</v>
      </c>
      <c r="Y75" s="67">
        <v>2</v>
      </c>
      <c r="Z75" s="542" t="str" cm="1">
        <f t="array" ref="Z75">INDEX($AA$74:$AE$81,Y75,$Z$71)</f>
        <v>Rounded</v>
      </c>
      <c r="AA75" s="547" t="s">
        <v>2206</v>
      </c>
      <c r="AB75" s="16" t="s">
        <v>2195</v>
      </c>
      <c r="AC75" s="16" t="s">
        <v>2198</v>
      </c>
      <c r="AD75" s="170" t="s">
        <v>2204</v>
      </c>
      <c r="AE75" s="548" t="s">
        <v>2204</v>
      </c>
    </row>
    <row r="76" spans="19:31" x14ac:dyDescent="0.3">
      <c r="S76" s="67" t="s">
        <v>779</v>
      </c>
      <c r="T76" s="67">
        <f>IF(U76&gt;E2,1,0)</f>
        <v>0</v>
      </c>
      <c r="U76" s="67">
        <f>MAX(E14:E24,E40)</f>
        <v>0</v>
      </c>
      <c r="Y76" s="67">
        <v>3</v>
      </c>
      <c r="Z76" s="542" t="str" cm="1">
        <f t="array" ref="Z76">INDEX($AA$74:$AE$81,Y76,$Z$71)</f>
        <v>Flat Cylinder</v>
      </c>
      <c r="AA76" s="547" t="s">
        <v>2211</v>
      </c>
      <c r="AB76" s="16" t="s">
        <v>2194</v>
      </c>
      <c r="AC76" s="16" t="s">
        <v>2199</v>
      </c>
      <c r="AD76" s="170" t="s">
        <v>2205</v>
      </c>
      <c r="AE76" s="548" t="str">
        <f>""</f>
        <v/>
      </c>
    </row>
    <row r="77" spans="19:31" x14ac:dyDescent="0.3">
      <c r="S77" s="67" t="s">
        <v>2178</v>
      </c>
      <c r="T77" s="67">
        <f>IF(AND(U77&gt;0,L34="No",SUM(V58,T59,T60)&gt;0),1,0)</f>
        <v>0</v>
      </c>
      <c r="U77" s="67">
        <f>IF(OR(B6=S2,B6=S5),1,0)</f>
        <v>0</v>
      </c>
      <c r="V77" s="67" t="s">
        <v>553</v>
      </c>
      <c r="W77" s="67" t="s">
        <v>2180</v>
      </c>
      <c r="X77" s="67" t="s">
        <v>1170</v>
      </c>
      <c r="Y77" s="67">
        <v>4</v>
      </c>
      <c r="Z77" s="542" t="str" cm="1">
        <f t="array" ref="Z77">INDEX($AA$74:$AE$81,Y77,$Z$71)</f>
        <v/>
      </c>
      <c r="AA77" s="547" t="s">
        <v>2192</v>
      </c>
      <c r="AB77" s="16" t="s">
        <v>2196</v>
      </c>
      <c r="AC77" s="170" t="s">
        <v>2207</v>
      </c>
      <c r="AD77" s="170" t="str">
        <f>""</f>
        <v/>
      </c>
      <c r="AE77" s="548" t="str">
        <f>""</f>
        <v/>
      </c>
    </row>
    <row r="78" spans="19:31" x14ac:dyDescent="0.3">
      <c r="S78" s="67" t="s">
        <v>2179</v>
      </c>
      <c r="T78" s="67">
        <f>IF(AND(U78=1,SUM(V78:X78)&gt;0),1,0)</f>
        <v>0</v>
      </c>
      <c r="U78" s="67">
        <f>IF(AND(L33="No",OR(B6=S2,B6=S5)),1,0)</f>
        <v>0</v>
      </c>
      <c r="V78" s="67">
        <f>IF(INDEX(S13:T15,MATCH(D6,S13:S15,0),2)=1,0,1)</f>
        <v>0</v>
      </c>
      <c r="W78" s="67">
        <f>IF(C9="No",0,1)</f>
        <v>0</v>
      </c>
      <c r="X78" s="67">
        <f>IF(D5="Yes",0,1)</f>
        <v>0</v>
      </c>
      <c r="Y78" s="67">
        <v>5</v>
      </c>
      <c r="Z78" s="542" t="str" cm="1">
        <f t="array" ref="Z78">INDEX($AA$74:$AE$81,Y78,$Z$71)</f>
        <v/>
      </c>
      <c r="AA78" s="547" t="s">
        <v>16</v>
      </c>
      <c r="AB78" s="170" t="s">
        <v>2208</v>
      </c>
      <c r="AC78" s="170" t="str">
        <f>""</f>
        <v/>
      </c>
      <c r="AD78" s="170" t="str">
        <f>""</f>
        <v/>
      </c>
      <c r="AE78" s="548" t="str">
        <f>""</f>
        <v/>
      </c>
    </row>
    <row r="79" spans="19:31" x14ac:dyDescent="0.3">
      <c r="S79" s="67" t="s">
        <v>1185</v>
      </c>
      <c r="T79" s="67">
        <f>IF(AND(B4&lt;5000,C9=W14),1,0)+IF(AND(C36&lt;5000,D42=W14),1,0)</f>
        <v>0</v>
      </c>
      <c r="Y79" s="67">
        <v>6</v>
      </c>
      <c r="Z79" s="542" t="str" cm="1">
        <f t="array" ref="Z79">INDEX($AA$74:$AE$81,Y79,$Z$71)</f>
        <v/>
      </c>
      <c r="AA79" s="547" t="s">
        <v>20</v>
      </c>
      <c r="AB79" s="170" t="str">
        <f>""</f>
        <v/>
      </c>
      <c r="AC79" s="170" t="str">
        <f>""</f>
        <v/>
      </c>
      <c r="AD79" s="170" t="str">
        <f>""</f>
        <v/>
      </c>
      <c r="AE79" s="548" t="str">
        <f>""</f>
        <v/>
      </c>
    </row>
    <row r="80" spans="19:31" x14ac:dyDescent="0.3">
      <c r="S80" s="67" t="s">
        <v>1710</v>
      </c>
      <c r="T80" s="67">
        <f>IF(AND($AD$44=1,$AD$26&gt;0),1,0)</f>
        <v>0</v>
      </c>
      <c r="Y80" s="67">
        <v>7</v>
      </c>
      <c r="Z80" s="542" t="str" cm="1">
        <f t="array" ref="Z80">INDEX($AA$74:$AE$81,Y80,$Z$71)</f>
        <v/>
      </c>
      <c r="AA80" s="547" t="s">
        <v>2209</v>
      </c>
      <c r="AB80" s="170" t="str">
        <f>""</f>
        <v/>
      </c>
      <c r="AC80" s="170" t="str">
        <f>""</f>
        <v/>
      </c>
      <c r="AD80" s="170" t="str">
        <f>""</f>
        <v/>
      </c>
      <c r="AE80" s="548" t="str">
        <f>""</f>
        <v/>
      </c>
    </row>
    <row r="81" spans="19:31" x14ac:dyDescent="0.3">
      <c r="S81" s="67" t="s">
        <v>739</v>
      </c>
      <c r="T81" s="67">
        <f>SUM(T74:T80)</f>
        <v>0</v>
      </c>
      <c r="Y81" s="67">
        <v>8</v>
      </c>
      <c r="Z81" s="543" t="str" cm="1">
        <f t="array" ref="Z81">INDEX($AA$74:$AE$81,Y81,$Z$71)</f>
        <v/>
      </c>
      <c r="AA81" s="549" t="s">
        <v>2210</v>
      </c>
      <c r="AB81" s="550" t="str">
        <f>""</f>
        <v/>
      </c>
      <c r="AC81" s="550" t="str">
        <f>""</f>
        <v/>
      </c>
      <c r="AD81" s="550" t="str">
        <f>""</f>
        <v/>
      </c>
      <c r="AE81" s="551" t="str">
        <f>""</f>
        <v/>
      </c>
    </row>
    <row r="84" spans="19:31" x14ac:dyDescent="0.3">
      <c r="S84" s="677" t="s">
        <v>2708</v>
      </c>
      <c r="T84" s="536"/>
      <c r="U84" s="684" t="s">
        <v>110</v>
      </c>
      <c r="V84" s="683"/>
      <c r="W84" s="685" t="s">
        <v>1</v>
      </c>
      <c r="X84" s="536"/>
      <c r="Y84" s="536"/>
      <c r="Z84" s="536"/>
      <c r="AA84" s="678"/>
    </row>
    <row r="85" spans="19:31" x14ac:dyDescent="0.3">
      <c r="S85" s="176" t="str">
        <f>""</f>
        <v/>
      </c>
      <c r="U85" s="176">
        <v>0</v>
      </c>
      <c r="W85" s="679">
        <v>0</v>
      </c>
      <c r="X85" s="67" t="str">
        <f>""</f>
        <v/>
      </c>
      <c r="AA85" s="679"/>
    </row>
    <row r="86" spans="19:31" x14ac:dyDescent="0.3">
      <c r="S86" s="176" t="s">
        <v>2701</v>
      </c>
      <c r="U86" s="176">
        <v>0</v>
      </c>
      <c r="W86" s="679">
        <f>100000-X14</f>
        <v>50000</v>
      </c>
      <c r="X86" s="67" t="s">
        <v>2715</v>
      </c>
      <c r="AA86" s="679"/>
    </row>
    <row r="87" spans="19:31" x14ac:dyDescent="0.3">
      <c r="S87" s="176" t="s">
        <v>2702</v>
      </c>
      <c r="U87" s="176">
        <v>0.04</v>
      </c>
      <c r="W87" s="679">
        <f>250000-X14</f>
        <v>200000</v>
      </c>
      <c r="X87" s="67" t="s">
        <v>2716</v>
      </c>
      <c r="AA87" s="679"/>
    </row>
    <row r="88" spans="19:31" x14ac:dyDescent="0.3">
      <c r="S88" s="176" t="s">
        <v>2703</v>
      </c>
      <c r="U88" s="176">
        <v>0.01</v>
      </c>
      <c r="W88" s="679">
        <f>150000-X14</f>
        <v>100000</v>
      </c>
      <c r="X88" s="67" t="s">
        <v>2709</v>
      </c>
      <c r="AA88" s="679"/>
    </row>
    <row r="89" spans="19:31" x14ac:dyDescent="0.3">
      <c r="S89" s="176" t="s">
        <v>2704</v>
      </c>
      <c r="U89" s="176">
        <v>0.02</v>
      </c>
      <c r="W89" s="679">
        <f>200000-X14</f>
        <v>150000</v>
      </c>
      <c r="X89" s="67" t="s">
        <v>2710</v>
      </c>
      <c r="AA89" s="679"/>
    </row>
    <row r="90" spans="19:31" x14ac:dyDescent="0.3">
      <c r="S90" s="176" t="s">
        <v>2705</v>
      </c>
      <c r="U90" s="176">
        <v>0.01</v>
      </c>
      <c r="W90" s="679">
        <f>200000-X14</f>
        <v>150000</v>
      </c>
      <c r="X90" s="67" t="s">
        <v>2711</v>
      </c>
      <c r="AA90" s="679"/>
    </row>
    <row r="91" spans="19:31" x14ac:dyDescent="0.3">
      <c r="S91" s="176" t="s">
        <v>2706</v>
      </c>
      <c r="U91" s="176">
        <v>0.03</v>
      </c>
      <c r="W91" s="679">
        <f>300000-X14</f>
        <v>250000</v>
      </c>
      <c r="X91" s="67" t="s">
        <v>2712</v>
      </c>
      <c r="AA91" s="679"/>
    </row>
    <row r="92" spans="19:31" x14ac:dyDescent="0.3">
      <c r="S92" s="176" t="s">
        <v>2707</v>
      </c>
      <c r="U92" s="680">
        <v>0.02</v>
      </c>
      <c r="V92" s="681"/>
      <c r="W92" s="682">
        <f>250000-X14</f>
        <v>200000</v>
      </c>
      <c r="X92" s="67" t="s">
        <v>2713</v>
      </c>
      <c r="AA92" s="679"/>
    </row>
    <row r="93" spans="19:31" x14ac:dyDescent="0.3">
      <c r="S93" s="680">
        <v>1</v>
      </c>
      <c r="T93" s="681">
        <v>2</v>
      </c>
      <c r="U93" s="681">
        <v>3</v>
      </c>
      <c r="V93" s="681">
        <v>4</v>
      </c>
      <c r="W93" s="681">
        <v>5</v>
      </c>
      <c r="X93" s="681">
        <v>6</v>
      </c>
      <c r="Y93" s="681"/>
      <c r="Z93" s="681"/>
      <c r="AA93" s="682"/>
    </row>
    <row r="95" spans="19:31" x14ac:dyDescent="0.3">
      <c r="T95" s="67" t="s">
        <v>66</v>
      </c>
      <c r="U95" s="67" t="s">
        <v>488</v>
      </c>
      <c r="V95" s="67" t="s">
        <v>587</v>
      </c>
      <c r="W95" s="67" t="s">
        <v>491</v>
      </c>
      <c r="X95" s="67" t="s">
        <v>7</v>
      </c>
    </row>
    <row r="96" spans="19:31" x14ac:dyDescent="0.3">
      <c r="T96" s="67">
        <f>IF(B28=S87,0.1,0)</f>
        <v>0</v>
      </c>
      <c r="U96" s="67">
        <f>IF(B28=S88,1,0)</f>
        <v>0</v>
      </c>
      <c r="V96" s="67">
        <f>IF(B28=S89,1,0)</f>
        <v>0</v>
      </c>
      <c r="W96" s="67">
        <f>IF(B28=S91,1,0)</f>
        <v>0</v>
      </c>
      <c r="X96" s="67">
        <f>IF(B28=S91,2,0)</f>
        <v>0</v>
      </c>
    </row>
    <row r="97" spans="20:24" x14ac:dyDescent="0.3">
      <c r="T97" s="67" t="s">
        <v>2717</v>
      </c>
      <c r="X97" s="67" t="s">
        <v>2719</v>
      </c>
    </row>
    <row r="98" spans="20:24" x14ac:dyDescent="0.3">
      <c r="T98" s="67" t="s">
        <v>2718</v>
      </c>
    </row>
  </sheetData>
  <sheetProtection algorithmName="SHA-512" hashValue="TInmHh6GHs8cACM4FfsUcjdv/SEB731Zc0L9CAsu1C/kDfVaJb3OtwKqzx7NCMei/xlhgIjnQn87TN02ZAK1zg==" saltValue="ySSk5HKLFXd7I4/bZB5SBw==" spinCount="100000" sheet="1" selectLockedCells="1"/>
  <sortState xmlns:xlrd2="http://schemas.microsoft.com/office/spreadsheetml/2017/richdata2" ref="S2:Z8">
    <sortCondition ref="S2:S8"/>
  </sortState>
  <mergeCells count="2">
    <mergeCell ref="H4:I4"/>
    <mergeCell ref="K4:L4"/>
  </mergeCells>
  <conditionalFormatting sqref="A10">
    <cfRule type="expression" dxfId="828" priority="178">
      <formula>#REF!&gt;$E$2</formula>
    </cfRule>
  </conditionalFormatting>
  <conditionalFormatting sqref="A14">
    <cfRule type="expression" dxfId="827" priority="59">
      <formula>$E$14&gt;$E$2</formula>
    </cfRule>
  </conditionalFormatting>
  <conditionalFormatting sqref="A14:A21 D14:D21">
    <cfRule type="expression" dxfId="826" priority="2068">
      <formula>OR($AC$44,$AC$45)</formula>
    </cfRule>
    <cfRule type="expression" dxfId="825" priority="2067">
      <formula>AND($AD$44=1,$AD$26&gt;0)</formula>
    </cfRule>
  </conditionalFormatting>
  <conditionalFormatting sqref="A14:A24">
    <cfRule type="expression" dxfId="824" priority="733">
      <formula>$A14&lt;&gt;$S$25</formula>
    </cfRule>
  </conditionalFormatting>
  <conditionalFormatting sqref="A15">
    <cfRule type="expression" dxfId="822" priority="177">
      <formula>$E$15&gt;$E$2</formula>
    </cfRule>
  </conditionalFormatting>
  <conditionalFormatting sqref="A16:A17">
    <cfRule type="expression" dxfId="821" priority="681">
      <formula>$E$16&gt;$E$2</formula>
    </cfRule>
  </conditionalFormatting>
  <conditionalFormatting sqref="A18">
    <cfRule type="expression" dxfId="820" priority="682">
      <formula>$E$18&gt;$E$2</formula>
    </cfRule>
  </conditionalFormatting>
  <conditionalFormatting sqref="A19">
    <cfRule type="expression" dxfId="819" priority="58">
      <formula>$E$19&gt;$E$2</formula>
    </cfRule>
  </conditionalFormatting>
  <conditionalFormatting sqref="A20">
    <cfRule type="expression" dxfId="818" priority="57">
      <formula>$E$20&gt;$E$2</formula>
    </cfRule>
  </conditionalFormatting>
  <conditionalFormatting sqref="A21">
    <cfRule type="expression" dxfId="817" priority="56">
      <formula>$E$21&gt;$E$2</formula>
    </cfRule>
  </conditionalFormatting>
  <conditionalFormatting sqref="A22:A23">
    <cfRule type="expression" dxfId="816" priority="55">
      <formula>$E$22&gt;$E$2</formula>
    </cfRule>
  </conditionalFormatting>
  <conditionalFormatting sqref="A23 D23">
    <cfRule type="expression" dxfId="815" priority="2">
      <formula>$T$80&gt;0</formula>
    </cfRule>
  </conditionalFormatting>
  <conditionalFormatting sqref="A24:A25">
    <cfRule type="expression" dxfId="814" priority="2071">
      <formula>$Z$12=0</formula>
    </cfRule>
    <cfRule type="expression" dxfId="813" priority="2070">
      <formula>AND($Z$12=0,$AD$44&gt;0)</formula>
    </cfRule>
    <cfRule type="expression" dxfId="812" priority="2069">
      <formula>$E$24&gt;$E$2</formula>
    </cfRule>
  </conditionalFormatting>
  <conditionalFormatting sqref="A44">
    <cfRule type="expression" dxfId="811" priority="2624">
      <formula>$A$44=$AC$57</formula>
    </cfRule>
  </conditionalFormatting>
  <conditionalFormatting sqref="A36:H36 A43:H55 A39:C42 E40:H42 A37:C37 F37:H39 A38:D38">
    <cfRule type="expression" dxfId="810" priority="1702">
      <formula>+AND($L$34="No",OR($B$6=$S$5,$B$6=$S$2))</formula>
    </cfRule>
  </conditionalFormatting>
  <conditionalFormatting sqref="A43:H55 A36:H36 A37:C37 F37:H39 A38:D38 A39:C42 E40:H42 B6:B7">
    <cfRule type="expression" dxfId="809" priority="2627">
      <formula>$T$77&gt;0</formula>
    </cfRule>
  </conditionalFormatting>
  <conditionalFormatting sqref="B4 C9">
    <cfRule type="expression" dxfId="807" priority="2625">
      <formula>$T$79=1</formula>
    </cfRule>
  </conditionalFormatting>
  <conditionalFormatting sqref="B4">
    <cfRule type="expression" dxfId="806" priority="73">
      <formula>AND($D$5=$W$13,$B$4&gt;500000)</formula>
    </cfRule>
  </conditionalFormatting>
  <conditionalFormatting sqref="B10">
    <cfRule type="expression" dxfId="805" priority="71">
      <formula>$E$10&gt;$E$2</formula>
    </cfRule>
    <cfRule type="cellIs" dxfId="804" priority="52" operator="notEqual">
      <formula>$S$18</formula>
    </cfRule>
  </conditionalFormatting>
  <conditionalFormatting sqref="B13">
    <cfRule type="expression" dxfId="803" priority="2074">
      <formula>AND($AC$39,$AC$40)</formula>
    </cfRule>
    <cfRule type="expression" dxfId="802" priority="2073">
      <formula>$AD$34&gt;1</formula>
    </cfRule>
  </conditionalFormatting>
  <conditionalFormatting sqref="B28">
    <cfRule type="cellIs" dxfId="801" priority="1" operator="notEqual">
      <formula>$S$85</formula>
    </cfRule>
  </conditionalFormatting>
  <conditionalFormatting sqref="C9">
    <cfRule type="expression" dxfId="800" priority="67">
      <formula>$B$4&lt;5000</formula>
    </cfRule>
    <cfRule type="expression" dxfId="799" priority="66" stopIfTrue="1">
      <formula>AND($B$4&lt;5000,$C$9=$W$14)</formula>
    </cfRule>
  </conditionalFormatting>
  <conditionalFormatting sqref="C32">
    <cfRule type="cellIs" dxfId="798" priority="2635" operator="greaterThan">
      <formula>0</formula>
    </cfRule>
    <cfRule type="expression" dxfId="797" priority="2636">
      <formula>$C$32&gt;$T$56</formula>
    </cfRule>
  </conditionalFormatting>
  <conditionalFormatting sqref="C36">
    <cfRule type="cellIs" dxfId="796" priority="51" operator="greaterThan">
      <formula>0</formula>
    </cfRule>
  </conditionalFormatting>
  <conditionalFormatting sqref="C43">
    <cfRule type="expression" dxfId="795" priority="50">
      <formula>$A$44=TRUE</formula>
    </cfRule>
  </conditionalFormatting>
  <conditionalFormatting sqref="C46">
    <cfRule type="cellIs" dxfId="794" priority="49" operator="greaterThan">
      <formula>0</formula>
    </cfRule>
  </conditionalFormatting>
  <conditionalFormatting sqref="C10:D10">
    <cfRule type="expression" dxfId="793" priority="83">
      <formula>$D$10&gt;$Y$17</formula>
    </cfRule>
  </conditionalFormatting>
  <conditionalFormatting sqref="C40:E40">
    <cfRule type="expression" dxfId="792" priority="10">
      <formula>$E$40&gt;$E$2</formula>
    </cfRule>
  </conditionalFormatting>
  <conditionalFormatting sqref="D5:D6 C9 D37 D39">
    <cfRule type="expression" dxfId="791" priority="2640">
      <formula>$U$78=1</formula>
    </cfRule>
  </conditionalFormatting>
  <conditionalFormatting sqref="D14">
    <cfRule type="expression" dxfId="790" priority="33">
      <formula>$E$14&gt;$E$2</formula>
    </cfRule>
  </conditionalFormatting>
  <conditionalFormatting sqref="D14:D23">
    <cfRule type="expression" dxfId="789" priority="3">
      <formula>$D14&lt;&gt;$S$25</formula>
    </cfRule>
    <cfRule type="expression" dxfId="788" priority="39">
      <formula>$A14&lt;&gt;$S$25</formula>
    </cfRule>
    <cfRule type="expression" dxfId="786" priority="27">
      <formula>$A14&lt;&gt;"None"</formula>
    </cfRule>
  </conditionalFormatting>
  <conditionalFormatting sqref="D15">
    <cfRule type="expression" dxfId="785" priority="34">
      <formula>$E$15&gt;$E$2</formula>
    </cfRule>
  </conditionalFormatting>
  <conditionalFormatting sqref="D16:D17">
    <cfRule type="expression" dxfId="784" priority="35">
      <formula>$E$16&gt;$E$2</formula>
    </cfRule>
  </conditionalFormatting>
  <conditionalFormatting sqref="D18">
    <cfRule type="expression" dxfId="783" priority="36">
      <formula>$E$18&gt;$E$2</formula>
    </cfRule>
  </conditionalFormatting>
  <conditionalFormatting sqref="D19">
    <cfRule type="expression" dxfId="782" priority="32">
      <formula>$E$19&gt;$E$2</formula>
    </cfRule>
  </conditionalFormatting>
  <conditionalFormatting sqref="D20">
    <cfRule type="expression" dxfId="781" priority="31">
      <formula>$E$20&gt;$E$2</formula>
    </cfRule>
  </conditionalFormatting>
  <conditionalFormatting sqref="D21">
    <cfRule type="expression" dxfId="780" priority="30">
      <formula>$E$21&gt;$E$2</formula>
    </cfRule>
  </conditionalFormatting>
  <conditionalFormatting sqref="D22:D23">
    <cfRule type="expression" dxfId="779" priority="29">
      <formula>$E$22&gt;$E$2</formula>
    </cfRule>
  </conditionalFormatting>
  <conditionalFormatting sqref="D37:D39 C9 D5:D6 B6:B7">
    <cfRule type="expression" dxfId="778" priority="2637">
      <formula>$T$78&gt;0</formula>
    </cfRule>
  </conditionalFormatting>
  <conditionalFormatting sqref="D40">
    <cfRule type="expression" dxfId="777" priority="18">
      <formula>$E$10&gt;$E$2</formula>
    </cfRule>
    <cfRule type="cellIs" dxfId="776" priority="17" operator="notEqual">
      <formula>$S$18</formula>
    </cfRule>
  </conditionalFormatting>
  <conditionalFormatting sqref="D41">
    <cfRule type="expression" dxfId="775" priority="16">
      <formula>$D$10&gt;$Y$17</formula>
    </cfRule>
    <cfRule type="expression" dxfId="774" priority="4">
      <formula>AND($D$40=$S$18,$D$41&gt;0)</formula>
    </cfRule>
  </conditionalFormatting>
  <conditionalFormatting sqref="D42">
    <cfRule type="expression" dxfId="773" priority="2645">
      <formula>$T$79=1</formula>
    </cfRule>
    <cfRule type="expression" dxfId="772" priority="2646">
      <formula>$T$78&gt;0</formula>
    </cfRule>
    <cfRule type="expression" dxfId="771" priority="2647">
      <formula>$U$78=1</formula>
    </cfRule>
    <cfRule type="expression" dxfId="770" priority="2648" stopIfTrue="1">
      <formula>AND($B$4&lt;5000,$C$9=$W$14)</formula>
    </cfRule>
    <cfRule type="expression" dxfId="769" priority="2649">
      <formula>$B$4&lt;5000</formula>
    </cfRule>
  </conditionalFormatting>
  <conditionalFormatting sqref="E10">
    <cfRule type="expression" dxfId="768" priority="72">
      <formula>$E$10&gt;$E$2</formula>
    </cfRule>
  </conditionalFormatting>
  <conditionalFormatting sqref="H6">
    <cfRule type="expression" dxfId="767" priority="70">
      <formula>$H$6&lt;0</formula>
    </cfRule>
  </conditionalFormatting>
  <conditionalFormatting sqref="K6">
    <cfRule type="expression" dxfId="766" priority="69">
      <formula>$K$6&lt;0</formula>
    </cfRule>
  </conditionalFormatting>
  <dataValidations count="29">
    <dataValidation type="list" allowBlank="1" showInputMessage="1" showErrorMessage="1" sqref="B10 D40" xr:uid="{1B1DC333-A753-4D11-BEB0-A3E83CA29EE6}">
      <formula1>$S$18:$S$22</formula1>
    </dataValidation>
    <dataValidation type="whole" allowBlank="1" showInputMessage="1" showErrorMessage="1" sqref="D10" xr:uid="{E50CCEB1-D64A-4436-BAF9-C2FCF4C4606A}">
      <formula1>0</formula1>
      <formula2>Y17</formula2>
    </dataValidation>
    <dataValidation type="list" allowBlank="1" showInputMessage="1" showErrorMessage="1" sqref="D6 D39" xr:uid="{CD950BE2-CAC8-4914-85BC-AFB99D53B726}">
      <formula1>$AC$13:$AC$15</formula1>
    </dataValidation>
    <dataValidation type="list" allowBlank="1" showInputMessage="1" showErrorMessage="1" prompt="Hulls without Artificial Gravity may not exceed 500,000 tons." sqref="D5 D37" xr:uid="{8CE6513D-4B56-44AF-AB31-4813D2821ED9}">
      <formula1>$W$13:$W$14</formula1>
    </dataValidation>
    <dataValidation type="decimal" operator="greaterThanOrEqual" allowBlank="1" showInputMessage="1" showErrorMessage="1" sqref="B4" xr:uid="{14F14990-611D-47C4-BD8A-01F360A08E95}">
      <formula1>5</formula1>
    </dataValidation>
    <dataValidation type="list" allowBlank="1" showInputMessage="1" showErrorMessage="1" sqref="C9 D42" xr:uid="{B1F4ED50-A2FF-4991-ADD3-F2B53E3B818A}">
      <formula1>$W$13:$W$14</formula1>
    </dataValidation>
    <dataValidation type="whole" allowBlank="1" showInputMessage="1" showErrorMessage="1" sqref="D24" xr:uid="{F009B23F-9064-4604-AF75-3E3FF12C2CFA}">
      <formula1>0</formula1>
      <formula2>40</formula2>
    </dataValidation>
    <dataValidation type="whole" allowBlank="1" showInputMessage="1" showErrorMessage="1" sqref="C36" xr:uid="{4112EACD-8389-4C00-9893-B32245B9EE3C}">
      <formula1>0</formula1>
      <formula2>Tonnage</formula2>
    </dataValidation>
    <dataValidation type="whole" allowBlank="1" showInputMessage="1" showErrorMessage="1" sqref="C43" xr:uid="{8E32591C-FA65-43B9-9AA3-443E7BADDC7F}">
      <formula1>60</formula1>
      <formula2>Tonnage</formula2>
    </dataValidation>
    <dataValidation type="list" allowBlank="1" showInputMessage="1" showErrorMessage="1" sqref="A22 D22" xr:uid="{70A9F16C-D471-40F5-A5D5-1DECE9269EEA}">
      <formula1>$S$46:$S$47</formula1>
    </dataValidation>
    <dataValidation type="list" allowBlank="1" showInputMessage="1" showErrorMessage="1" prompt="Solar Coating is only compatible with the radiation shielding option." sqref="A24" xr:uid="{0AF91F31-9F51-4594-A910-CDD0A784F0AD}">
      <formula1>$S$43:$S$45</formula1>
    </dataValidation>
    <dataValidation type="list" allowBlank="1" showInputMessage="1" showErrorMessage="1" sqref="A21 D21" xr:uid="{3DC91186-9123-43A6-B7E1-268136EFF6C8}">
      <formula1>$S$41:$S$42</formula1>
    </dataValidation>
    <dataValidation type="list" allowBlank="1" showInputMessage="1" showErrorMessage="1" sqref="A14 D14" xr:uid="{A0CD981E-FCEB-4E39-95B7-40FCB0C55205}">
      <formula1>$S$25:$S$26</formula1>
    </dataValidation>
    <dataValidation type="list" allowBlank="1" showInputMessage="1" showErrorMessage="1" sqref="A15 D15" xr:uid="{45EE63BD-B13F-4565-9AA6-3BA8E550DC52}">
      <formula1>$S$27:$S$28</formula1>
    </dataValidation>
    <dataValidation type="list" allowBlank="1" showInputMessage="1" showErrorMessage="1" sqref="A16 D16" xr:uid="{97E4A7D2-745A-4DC5-B99D-D62A1B038385}">
      <formula1>$S$29:$S$30</formula1>
    </dataValidation>
    <dataValidation type="decimal" allowBlank="1" showInputMessage="1" showErrorMessage="1" sqref="C46" xr:uid="{AC6B3DAF-BD76-4C9C-B265-4F5ABEA4BB0B}">
      <formula1>0</formula1>
      <formula2>Tonnage-0.1*Tonnage</formula2>
    </dataValidation>
    <dataValidation type="list" allowBlank="1" showInputMessage="1" showErrorMessage="1" sqref="A18 D18" xr:uid="{D9FA23A8-03E1-451B-804B-B17A9CE8DB3C}">
      <formula1>$S$31:$S$32</formula1>
    </dataValidation>
    <dataValidation type="list" allowBlank="1" showInputMessage="1" showErrorMessage="1" sqref="A19 D19" xr:uid="{551E3E64-9E68-423D-96C3-4BF607701B91}">
      <formula1>$S$33:$S$37</formula1>
    </dataValidation>
    <dataValidation type="list" allowBlank="1" showInputMessage="1" showErrorMessage="1" sqref="A20 D20" xr:uid="{A04DF6BB-EB35-4D90-A529-514E56F34C15}">
      <formula1>$S$38:$S$40</formula1>
    </dataValidation>
    <dataValidation type="list" allowBlank="1" showInputMessage="1" showErrorMessage="1" prompt="While this won't let you create a separate module yet, setting this field to Yes will give the same cost as the base ship plus the module." sqref="C34" xr:uid="{B171341F-E0A4-4805-B72B-32C7C107BCDB}">
      <formula1>$W$13:$W$14</formula1>
    </dataValidation>
    <dataValidation type="list" allowBlank="1" showInputMessage="1" showErrorMessage="1" sqref="A17 D17" xr:uid="{711BA797-EE2F-4F0D-B324-CE432AE720C6}">
      <formula1>$S$48:$S$49</formula1>
    </dataValidation>
    <dataValidation type="list" allowBlank="1" showInputMessage="1" showErrorMessage="1" sqref="L32:L34" xr:uid="{E3FCEC66-0586-4D7F-9705-59229E3FFE33}">
      <formula1>"No,Yes"</formula1>
    </dataValidation>
    <dataValidation type="list" allowBlank="1" showInputMessage="1" showErrorMessage="1" sqref="B6 D38" xr:uid="{72211BDA-91CC-4A61-8114-BF9FE6D9B291}">
      <formula1>$S$2:$S$8</formula1>
    </dataValidation>
    <dataValidation type="whole" allowBlank="1" showInputMessage="1" showErrorMessage="1" sqref="D41" xr:uid="{348A4DE4-F07F-4CA6-8DAE-A243A11D61EA}">
      <formula1>0</formula1>
      <formula2>Y17</formula2>
    </dataValidation>
    <dataValidation type="decimal" allowBlank="1" showInputMessage="1" showErrorMessage="1" prompt="Modular componentent can make up no more than 75% of the total ship's volume." sqref="C32" xr:uid="{CAC35642-C58C-4BC0-93F1-EF5C4E339207}">
      <formula1>0</formula1>
      <formula2>T56</formula2>
    </dataValidation>
    <dataValidation type="list" allowBlank="1" showInputMessage="1" showErrorMessage="1" sqref="A44" xr:uid="{2F1B1630-A20C-49E6-B793-1C877ADF1A58}">
      <formula1>$AC$57:$AC$58</formula1>
    </dataValidation>
    <dataValidation type="list" allowBlank="1" showInputMessage="1" showErrorMessage="1" sqref="B7" xr:uid="{8A46E570-73A1-47A7-9EFE-D4492FA6295A}">
      <formula1>$Z$73:$Z$81</formula1>
    </dataValidation>
    <dataValidation type="list" allowBlank="1" showInputMessage="1" showErrorMessage="1" sqref="A23 D23" xr:uid="{2B59CEA7-9478-458A-BDA7-BF3B8950EF91}">
      <formula1>$S$50:$S$51</formula1>
    </dataValidation>
    <dataValidation type="list" allowBlank="1" showInputMessage="1" showErrorMessage="1" sqref="B28" xr:uid="{2DED7AFD-C39A-459A-836F-0AE1117C04A0}">
      <formula1>$S$85:$S$92</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47" id="{1A727CE1-9ECB-42D8-ABB0-5F2A8AA724CC}">
            <xm:f>'Ship Info'!$F$7</xm:f>
            <x14:dxf>
              <fill>
                <patternFill>
                  <bgColor theme="0" tint="-0.499984740745262"/>
                </patternFill>
              </fill>
            </x14:dxf>
          </x14:cfRule>
          <xm:sqref>A14:A25</xm:sqref>
        </x14:conditionalFormatting>
        <x14:conditionalFormatting xmlns:xm="http://schemas.microsoft.com/office/excel/2006/main">
          <x14:cfRule type="expression" priority="876" id="{DBAF04E7-E301-42B3-BD66-E18425D20E3E}">
            <xm:f>AND($B$4&gt;0.75*'Ship Info'!$C$5,'Ship Info'!$F$7)</xm:f>
            <x14:dxf>
              <fill>
                <patternFill>
                  <bgColor rgb="FFFFFF00"/>
                </patternFill>
              </fill>
            </x14:dxf>
          </x14:cfRule>
          <xm:sqref>B4 B33</xm:sqref>
        </x14:conditionalFormatting>
        <x14:conditionalFormatting xmlns:xm="http://schemas.microsoft.com/office/excel/2006/main">
          <x14:cfRule type="expression" priority="28" id="{F635505F-DD13-433B-BE78-E0E5BBCDC50B}">
            <xm:f>'Ship Info'!$F$7</xm:f>
            <x14:dxf>
              <fill>
                <patternFill>
                  <bgColor theme="0" tint="-0.499984740745262"/>
                </patternFill>
              </fill>
            </x14:dxf>
          </x14:cfRule>
          <xm:sqref>D14:D23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7E69-8775-4388-B2B3-DCD711EFC2F2}">
  <dimension ref="A1:CH133"/>
  <sheetViews>
    <sheetView topLeftCell="A3" workbookViewId="0">
      <selection activeCell="C6" sqref="C6"/>
    </sheetView>
  </sheetViews>
  <sheetFormatPr defaultRowHeight="14.4" x14ac:dyDescent="0.3"/>
  <cols>
    <col min="1" max="1" width="24.109375" customWidth="1"/>
    <col min="2" max="2" width="32.109375" customWidth="1"/>
    <col min="3" max="3" width="14.109375" customWidth="1"/>
    <col min="4" max="4" width="17.109375" customWidth="1"/>
    <col min="5" max="5" width="3.6640625" customWidth="1"/>
    <col min="6" max="6" width="18" customWidth="1"/>
    <col min="8" max="8" width="12.109375" customWidth="1"/>
    <col min="10" max="10" width="7.33203125" customWidth="1"/>
    <col min="11" max="11" width="11.33203125" customWidth="1"/>
    <col min="19" max="19" width="33.109375" hidden="1" customWidth="1"/>
    <col min="20" max="20" width="9.109375" hidden="1" customWidth="1"/>
    <col min="21" max="21" width="18.44140625" hidden="1" customWidth="1"/>
    <col min="22" max="26" width="9.109375" hidden="1" customWidth="1"/>
    <col min="27" max="27" width="10.109375" hidden="1" customWidth="1"/>
    <col min="28" max="28" width="11.5546875" hidden="1" customWidth="1"/>
    <col min="29" max="30" width="6.88671875" hidden="1" customWidth="1"/>
    <col min="31" max="31" width="30.6640625" hidden="1" customWidth="1"/>
    <col min="32" max="32" width="10.88671875" hidden="1" customWidth="1"/>
    <col min="33" max="45" width="6.5546875" hidden="1" customWidth="1"/>
    <col min="46" max="46" width="9.5546875" hidden="1" customWidth="1"/>
    <col min="47" max="49" width="6.5546875" hidden="1" customWidth="1"/>
    <col min="50" max="54" width="9.109375" hidden="1" customWidth="1"/>
    <col min="55" max="55" width="9.109375" customWidth="1"/>
  </cols>
  <sheetData>
    <row r="1" spans="1:86" x14ac:dyDescent="0.3">
      <c r="A1" s="3" t="str">
        <f>'Ship Info'!A1</f>
        <v>Ship's Class Name</v>
      </c>
      <c r="B1">
        <f>'Ship Info'!B1</f>
        <v>0</v>
      </c>
      <c r="D1" s="2"/>
      <c r="E1" s="2"/>
      <c r="F1" s="6" t="s">
        <v>1</v>
      </c>
      <c r="S1" s="3" t="s">
        <v>53</v>
      </c>
      <c r="T1" s="3" t="s">
        <v>2</v>
      </c>
      <c r="U1" s="3" t="s">
        <v>1</v>
      </c>
      <c r="V1" s="3" t="s">
        <v>26</v>
      </c>
      <c r="W1" s="3" t="s">
        <v>54</v>
      </c>
      <c r="X1" s="3"/>
      <c r="Y1" s="3"/>
      <c r="Z1" s="7" t="s">
        <v>1549</v>
      </c>
      <c r="AA1">
        <f>MIN(17,E2)</f>
        <v>12</v>
      </c>
      <c r="AE1" s="1" t="s">
        <v>50</v>
      </c>
      <c r="AF1" s="1">
        <v>0</v>
      </c>
      <c r="AG1" s="1">
        <v>1</v>
      </c>
      <c r="AH1" s="1">
        <v>2</v>
      </c>
      <c r="AI1" s="1">
        <v>3</v>
      </c>
      <c r="AJ1" s="1">
        <v>4</v>
      </c>
      <c r="AK1" s="1">
        <v>5</v>
      </c>
      <c r="AL1" s="1">
        <v>6</v>
      </c>
      <c r="AM1" s="1">
        <v>7</v>
      </c>
      <c r="AN1" s="1">
        <v>8</v>
      </c>
      <c r="AO1" s="1">
        <v>9</v>
      </c>
      <c r="AP1" s="1">
        <v>10</v>
      </c>
      <c r="AQ1" s="1">
        <v>11</v>
      </c>
      <c r="AR1" s="1">
        <v>12</v>
      </c>
      <c r="AS1" s="1">
        <v>13</v>
      </c>
      <c r="AT1" s="1">
        <v>14</v>
      </c>
      <c r="AU1" s="1">
        <v>15</v>
      </c>
      <c r="AV1" s="1">
        <v>16</v>
      </c>
      <c r="AW1" s="1"/>
      <c r="AZ1" t="s">
        <v>849</v>
      </c>
      <c r="BA1" t="s">
        <v>851</v>
      </c>
      <c r="BB1" t="s">
        <v>1279</v>
      </c>
    </row>
    <row r="2" spans="1:86" x14ac:dyDescent="0.3">
      <c r="A2" s="3" t="s">
        <v>418</v>
      </c>
      <c r="B2">
        <f>'Ship Info'!B2</f>
        <v>0</v>
      </c>
      <c r="D2" t="s">
        <v>0</v>
      </c>
      <c r="E2" s="2">
        <f>Tech_Level</f>
        <v>12</v>
      </c>
      <c r="F2" s="4">
        <f>'Ship Info'!G2</f>
        <v>6177000</v>
      </c>
      <c r="S2" t="s">
        <v>794</v>
      </c>
      <c r="T2">
        <v>0</v>
      </c>
      <c r="U2">
        <v>0</v>
      </c>
      <c r="V2">
        <v>0</v>
      </c>
      <c r="W2">
        <v>0</v>
      </c>
      <c r="Y2" t="s">
        <v>808</v>
      </c>
      <c r="AE2" s="3" t="s">
        <v>59</v>
      </c>
      <c r="AF2" s="2">
        <f>IF('Ship Info'!E6="Station",0.0025,0.005)</f>
        <v>5.0000000000000001E-3</v>
      </c>
      <c r="AG2" s="2">
        <v>0.01</v>
      </c>
      <c r="AH2" s="2">
        <v>0.02</v>
      </c>
      <c r="AI2" s="2">
        <v>0.03</v>
      </c>
      <c r="AJ2" s="2">
        <v>0.04</v>
      </c>
      <c r="AK2" s="2">
        <v>0.05</v>
      </c>
      <c r="AL2" s="2">
        <v>0.06</v>
      </c>
      <c r="AM2" s="2">
        <v>7.0000000000000007E-2</v>
      </c>
      <c r="AN2" s="2">
        <v>0.08</v>
      </c>
      <c r="AO2" s="2">
        <v>0.09</v>
      </c>
      <c r="AP2" s="2">
        <v>0.1</v>
      </c>
      <c r="AQ2" s="2">
        <v>0.11</v>
      </c>
      <c r="AR2" s="2">
        <v>1</v>
      </c>
      <c r="AS2" s="2">
        <v>1</v>
      </c>
      <c r="AT2" s="2">
        <v>1</v>
      </c>
      <c r="AU2" s="2">
        <v>1</v>
      </c>
      <c r="AV2" s="2">
        <v>1</v>
      </c>
      <c r="AW2" s="2"/>
      <c r="AX2" t="s">
        <v>850</v>
      </c>
      <c r="AZ2">
        <f>IF(P8=0,ROUNDDOWN(H14/C4,2),ROUNDDOWN(H14/P8,2))</f>
        <v>0</v>
      </c>
      <c r="BA2">
        <f>IF(P8=0,ROUNDDOWN(H46/C4,2),ROUNDDOWN(H46/P8,2))</f>
        <v>0</v>
      </c>
      <c r="BB2">
        <f>IF(E2&lt;9,0,IF(E2&lt;10,1,IF(E2&lt;11,3,IF(E2&lt;12,5,IF(E2&lt;13,7,IF(E2&lt;14,9,IF(E2&lt;17,10,11)))))))</f>
        <v>7</v>
      </c>
    </row>
    <row r="3" spans="1:86" x14ac:dyDescent="0.3">
      <c r="B3" s="24" t="str">
        <f>'1-Hull'!B3</f>
        <v>Standard Automation - Costs x 1</v>
      </c>
      <c r="C3" s="3"/>
      <c r="D3" s="3"/>
      <c r="E3" s="2"/>
      <c r="G3" s="28"/>
      <c r="H3" s="483">
        <f>S63</f>
        <v>0</v>
      </c>
      <c r="I3" s="28"/>
      <c r="J3" s="28"/>
      <c r="K3" s="484">
        <f>S66</f>
        <v>0</v>
      </c>
      <c r="S3" t="s">
        <v>49</v>
      </c>
      <c r="T3">
        <f>T20*INDEX(AF1:AQ3,2,MATCH(D14,AF1:AQ1,0))</f>
        <v>0.5</v>
      </c>
      <c r="U3">
        <f>2000000*(T3)</f>
        <v>1000000</v>
      </c>
      <c r="V3">
        <f>INDEX(AF1:AQ3,3,MATCH(D14,AF1:AQ1,0))</f>
        <v>9</v>
      </c>
      <c r="W3">
        <f>IF(D14&gt;0,D14*0.1*U107,0.1*U107*0.25)</f>
        <v>2.5</v>
      </c>
      <c r="Y3">
        <v>0</v>
      </c>
      <c r="AA3">
        <v>0</v>
      </c>
      <c r="AE3" s="7" t="s">
        <v>26</v>
      </c>
      <c r="AF3" s="2">
        <v>9</v>
      </c>
      <c r="AG3" s="2">
        <v>9</v>
      </c>
      <c r="AH3" s="2">
        <v>10</v>
      </c>
      <c r="AI3" s="2">
        <v>10</v>
      </c>
      <c r="AJ3" s="2">
        <v>11</v>
      </c>
      <c r="AK3" s="2">
        <v>11</v>
      </c>
      <c r="AL3" s="2">
        <v>12</v>
      </c>
      <c r="AM3" s="2">
        <v>13</v>
      </c>
      <c r="AN3" s="2">
        <v>14</v>
      </c>
      <c r="AO3" s="2">
        <v>15</v>
      </c>
      <c r="AP3" s="2">
        <v>16</v>
      </c>
      <c r="AQ3" s="2">
        <v>17</v>
      </c>
      <c r="AR3" s="2">
        <v>99</v>
      </c>
      <c r="AS3" s="2">
        <v>99</v>
      </c>
      <c r="AT3" s="2">
        <v>99</v>
      </c>
      <c r="AU3" s="2">
        <v>99</v>
      </c>
      <c r="AV3" s="2">
        <v>99</v>
      </c>
      <c r="AW3" s="2"/>
      <c r="AX3" t="s">
        <v>61</v>
      </c>
      <c r="AZ3">
        <f>IF(P8=0,ROUNDDOWN(H23/C4,2),ROUNDDOWN(H23/P8,2))</f>
        <v>0</v>
      </c>
      <c r="BA3">
        <f>IF(P8=0,ROUNDDOWN(H37/C4,2),ROUNDDOWN(H37/P8,2))</f>
        <v>0</v>
      </c>
      <c r="BB3">
        <f>IF(E2&lt;7,0,IF(E2&lt;8,3,IF(E2&lt;9,6,IF(E2&lt;10,9,IF(E2&lt;11,12,IF(E2&lt;12,15,16))))))</f>
        <v>16</v>
      </c>
    </row>
    <row r="4" spans="1:86" x14ac:dyDescent="0.3">
      <c r="A4" s="7" t="s">
        <v>2</v>
      </c>
      <c r="B4" s="260">
        <f>'1-Hull'!B4</f>
        <v>100</v>
      </c>
      <c r="C4" s="260"/>
      <c r="D4" s="16"/>
      <c r="E4" s="2"/>
      <c r="F4" s="481" t="s">
        <v>44</v>
      </c>
      <c r="H4" s="6" t="s">
        <v>45</v>
      </c>
      <c r="I4" s="6"/>
      <c r="K4" s="6" t="s">
        <v>54</v>
      </c>
      <c r="L4" s="6"/>
      <c r="S4" t="s">
        <v>55</v>
      </c>
      <c r="T4">
        <f>U20*INDEX(AF1:AV5,4,MATCH(D23,AF1:AV1,0))</f>
        <v>1</v>
      </c>
      <c r="U4">
        <f>200000*(T4)</f>
        <v>200000</v>
      </c>
      <c r="V4">
        <f>INDEX(AF1:AV5,5,MATCH(D23,AF1:AV1,0))</f>
        <v>7</v>
      </c>
      <c r="W4">
        <v>0</v>
      </c>
      <c r="Y4">
        <v>1</v>
      </c>
      <c r="AA4">
        <v>0.1</v>
      </c>
      <c r="AE4" s="3" t="s">
        <v>61</v>
      </c>
      <c r="AF4" s="2">
        <v>0.01</v>
      </c>
      <c r="AG4" s="2">
        <v>0.02</v>
      </c>
      <c r="AH4" s="2">
        <v>0.04</v>
      </c>
      <c r="AI4" s="2">
        <v>0.06</v>
      </c>
      <c r="AJ4" s="2">
        <v>0.08</v>
      </c>
      <c r="AK4" s="2">
        <v>0.1</v>
      </c>
      <c r="AL4" s="2">
        <v>0.12</v>
      </c>
      <c r="AM4" s="2">
        <v>0.14000000000000001</v>
      </c>
      <c r="AN4" s="2">
        <v>0.16</v>
      </c>
      <c r="AO4" s="2">
        <v>0.18</v>
      </c>
      <c r="AP4" s="2">
        <v>0.2</v>
      </c>
      <c r="AQ4" s="2">
        <v>0.22</v>
      </c>
      <c r="AR4" s="2">
        <v>0.24</v>
      </c>
      <c r="AS4" s="2">
        <v>0.26</v>
      </c>
      <c r="AT4" s="2">
        <v>0.28000000000000003</v>
      </c>
      <c r="AU4" s="2">
        <v>0.3</v>
      </c>
      <c r="AV4" s="2">
        <v>0.32</v>
      </c>
      <c r="AW4" s="2"/>
      <c r="AX4" t="s">
        <v>51</v>
      </c>
      <c r="AZ4">
        <f>IF(P8=0,ROUNDDOWN((H29-5)/C4,3),ROUNDDOWN((H29-5)/P8,3))</f>
        <v>-0.05</v>
      </c>
      <c r="BA4">
        <f>IF(P8=0,ROUNDDOWN(H56/C4,2),ROUNDDOWN(H56/P8,2))</f>
        <v>0</v>
      </c>
      <c r="BB4">
        <f>IF(E2&lt;9,0,IF(E2&lt;10,1,IF(E2&lt;12,2,IF(E2&lt;13,3,IF(E2&lt;14,4,IF(E2&lt;15,5,IF(E2&lt;16,6,IF(E2&lt;17,7,IF(E2&lt;18,8,9)))))))))</f>
        <v>3</v>
      </c>
      <c r="BE4" t="s">
        <v>2347</v>
      </c>
    </row>
    <row r="5" spans="1:86" ht="15" thickBot="1" x14ac:dyDescent="0.35">
      <c r="B5" s="6" t="s">
        <v>841</v>
      </c>
      <c r="F5" s="482">
        <f>SUM(F14:F61)</f>
        <v>0</v>
      </c>
      <c r="H5" s="1" t="s">
        <v>390</v>
      </c>
      <c r="I5" s="1" t="s">
        <v>27</v>
      </c>
      <c r="K5" s="1" t="s">
        <v>390</v>
      </c>
      <c r="L5" s="1" t="s">
        <v>27</v>
      </c>
      <c r="S5" s="44" t="s">
        <v>823</v>
      </c>
      <c r="T5" s="45">
        <v>0</v>
      </c>
      <c r="U5" s="45">
        <v>0</v>
      </c>
      <c r="V5" s="361">
        <v>0</v>
      </c>
      <c r="W5" s="47">
        <v>0</v>
      </c>
      <c r="Y5">
        <v>2</v>
      </c>
      <c r="AA5">
        <v>0.25</v>
      </c>
      <c r="AE5" s="7" t="s">
        <v>26</v>
      </c>
      <c r="AF5" s="2">
        <v>7</v>
      </c>
      <c r="AG5" s="2">
        <v>7</v>
      </c>
      <c r="AH5" s="2">
        <v>7</v>
      </c>
      <c r="AI5" s="2">
        <v>7</v>
      </c>
      <c r="AJ5" s="2">
        <v>8</v>
      </c>
      <c r="AK5" s="2">
        <v>8</v>
      </c>
      <c r="AL5" s="2">
        <v>8</v>
      </c>
      <c r="AM5" s="2">
        <v>9</v>
      </c>
      <c r="AN5" s="2">
        <v>9</v>
      </c>
      <c r="AO5" s="2">
        <v>9</v>
      </c>
      <c r="AP5" s="2">
        <v>10</v>
      </c>
      <c r="AQ5" s="2">
        <v>10</v>
      </c>
      <c r="AR5" s="2">
        <v>10</v>
      </c>
      <c r="AS5" s="2">
        <v>11</v>
      </c>
      <c r="AT5" s="2">
        <v>11</v>
      </c>
      <c r="AU5" s="2">
        <v>11</v>
      </c>
      <c r="AV5" s="2">
        <v>12</v>
      </c>
      <c r="AW5" s="2"/>
    </row>
    <row r="6" spans="1:86" ht="15.6" thickTop="1" thickBot="1" x14ac:dyDescent="0.35">
      <c r="B6" s="7" t="s">
        <v>856</v>
      </c>
      <c r="C6" s="196" t="s">
        <v>857</v>
      </c>
      <c r="H6" s="10">
        <f>'Ship Info'!I3</f>
        <v>92.53</v>
      </c>
      <c r="I6" s="266">
        <f>'1-Hull'!I6</f>
        <v>100</v>
      </c>
      <c r="K6" s="326">
        <f>'Ship Info'!L3</f>
        <v>0</v>
      </c>
      <c r="L6" s="266">
        <f>'3-Pwr Plant'!L6</f>
        <v>20</v>
      </c>
      <c r="M6" s="83" t="s">
        <v>787</v>
      </c>
      <c r="N6" s="84"/>
      <c r="O6" s="84"/>
      <c r="P6" s="84"/>
      <c r="Q6" s="85"/>
      <c r="S6" s="78" t="s">
        <v>56</v>
      </c>
      <c r="T6">
        <f>V20*INDEX(AF6:AO8,2,MATCH(D29,AF6:AO6,0))</f>
        <v>0</v>
      </c>
      <c r="U6">
        <f>2000000*(T6)</f>
        <v>0</v>
      </c>
      <c r="V6">
        <f>INDEX($AF$6:$AO$8,3,MATCH($D29,$AF$6:$AO$6,0))</f>
        <v>0</v>
      </c>
      <c r="W6" s="46">
        <f>T6+H32</f>
        <v>0</v>
      </c>
      <c r="Y6">
        <v>3</v>
      </c>
      <c r="AA6">
        <v>0.5</v>
      </c>
      <c r="AE6" s="3" t="s">
        <v>50</v>
      </c>
      <c r="AF6" s="1">
        <v>0</v>
      </c>
      <c r="AG6" s="1">
        <v>1</v>
      </c>
      <c r="AH6" s="1">
        <v>2</v>
      </c>
      <c r="AI6" s="1">
        <v>3</v>
      </c>
      <c r="AJ6" s="1">
        <v>4</v>
      </c>
      <c r="AK6" s="1">
        <v>5</v>
      </c>
      <c r="AL6" s="1">
        <v>6</v>
      </c>
      <c r="AM6" s="1">
        <v>7</v>
      </c>
      <c r="AN6" s="1">
        <v>8</v>
      </c>
      <c r="AO6" s="1">
        <v>9</v>
      </c>
      <c r="AP6" s="2"/>
      <c r="AQ6" s="2"/>
      <c r="AR6" s="2"/>
      <c r="AS6" s="2"/>
      <c r="AT6" s="2"/>
      <c r="AU6" s="2"/>
      <c r="AV6" s="2"/>
      <c r="AW6" s="2"/>
      <c r="AX6" t="s">
        <v>823</v>
      </c>
      <c r="AZ6">
        <v>0</v>
      </c>
      <c r="BA6">
        <v>0</v>
      </c>
      <c r="BC6" s="805" t="s">
        <v>1583</v>
      </c>
      <c r="BD6" s="806"/>
      <c r="BE6" s="806"/>
      <c r="BF6" s="806"/>
      <c r="BG6" s="806"/>
      <c r="BH6" s="806"/>
      <c r="BI6" s="806"/>
      <c r="BJ6" s="806"/>
      <c r="BK6" s="806"/>
      <c r="BL6" s="806"/>
      <c r="BM6" s="806"/>
      <c r="BN6" s="806"/>
      <c r="BO6" s="364"/>
      <c r="BP6" s="364"/>
      <c r="BQ6" s="364"/>
      <c r="BR6" s="364"/>
      <c r="BS6" s="364"/>
      <c r="BT6" s="364"/>
      <c r="BU6" s="364"/>
      <c r="BV6" s="364"/>
      <c r="BW6" s="364"/>
      <c r="BX6" s="364"/>
      <c r="BY6" s="364"/>
      <c r="BZ6" s="364"/>
      <c r="CA6" s="364"/>
      <c r="CB6" s="364"/>
      <c r="CC6" s="364"/>
      <c r="CD6" s="364"/>
      <c r="CE6" s="364"/>
      <c r="CF6" s="364"/>
      <c r="CG6" s="364"/>
      <c r="CH6" s="48"/>
    </row>
    <row r="7" spans="1:86" ht="15" thickBot="1" x14ac:dyDescent="0.35">
      <c r="B7" s="7" t="s">
        <v>754</v>
      </c>
      <c r="C7" s="196" t="s">
        <v>92</v>
      </c>
      <c r="H7" s="1" t="s">
        <v>47</v>
      </c>
      <c r="I7" s="2"/>
      <c r="K7" s="10"/>
      <c r="L7" s="2"/>
      <c r="M7" s="808" t="s">
        <v>782</v>
      </c>
      <c r="N7" s="809"/>
      <c r="O7" s="809"/>
      <c r="P7" s="809"/>
      <c r="Q7" s="810"/>
      <c r="S7" s="78" t="s">
        <v>52</v>
      </c>
      <c r="T7">
        <f>IF((V20*INDEX(AF6:AO16,4,MATCH(D29,AF6:AO6,0))+5)&lt;10,10,V20*INDEX(AF6:AO16,4,MATCH(D29,AF6:AO6,0))+5)</f>
        <v>10</v>
      </c>
      <c r="U7">
        <f>1500000*(T7)</f>
        <v>15000000</v>
      </c>
      <c r="V7" s="22">
        <f>INDEX($AF$6:$AO$10,5,MATCH($D29,$AF$6:$AO$6,0))</f>
        <v>0</v>
      </c>
      <c r="W7" s="46">
        <f>0.1*U113*D29</f>
        <v>0</v>
      </c>
      <c r="AE7" s="3" t="s">
        <v>62</v>
      </c>
      <c r="AF7" s="2">
        <v>0</v>
      </c>
      <c r="AG7" s="2">
        <v>0.1</v>
      </c>
      <c r="AH7" s="2">
        <v>0.12</v>
      </c>
      <c r="AI7" s="2">
        <v>0.14000000000000001</v>
      </c>
      <c r="AJ7" s="2">
        <v>0.16</v>
      </c>
      <c r="AK7" s="2">
        <v>0.18</v>
      </c>
      <c r="AL7" s="2">
        <v>0.2</v>
      </c>
      <c r="AM7" s="2">
        <v>0.22</v>
      </c>
      <c r="AN7" s="2">
        <v>0.24</v>
      </c>
      <c r="AO7" s="2">
        <v>0.26</v>
      </c>
      <c r="AP7" s="2"/>
      <c r="AQ7" s="2"/>
      <c r="AR7" s="2"/>
      <c r="AS7" s="2"/>
      <c r="AT7" s="2"/>
      <c r="AU7" s="2"/>
      <c r="AV7" s="2"/>
      <c r="AW7" s="2"/>
      <c r="AX7" t="s">
        <v>56</v>
      </c>
      <c r="AZ7">
        <f>IF(AZ4&gt;0.259,9,IF(AZ4&gt;0.239,8,IF(AZ4&gt;0.219,7,IF(AZ4&gt;0.199,6,IF(AZ4&gt;0.179,5,IF(AZ4&gt;0.159,4,IF(AZ4&gt;0.139,3,IF(AZ4&gt;0.119,2,IF(AZ4&gt;0.099,1,0)))))))))</f>
        <v>0</v>
      </c>
      <c r="BA7">
        <f>IF(BA4&gt;0.259,9,IF(BA4&gt;0.239,8,IF(BA4&gt;0.219,7,IF(BA4&gt;0.199,6,IF(BA4&gt;0.179,5,IF(BA4&gt;0.159,4,IF(BA4&gt;0.139,3,IF(BA4&gt;0.119,2,IF(BA4&gt;0.099,1,0)))))))))</f>
        <v>0</v>
      </c>
      <c r="BC7" s="269"/>
      <c r="CH7" s="49"/>
    </row>
    <row r="8" spans="1:86" ht="15" thickBot="1" x14ac:dyDescent="0.35">
      <c r="A8" s="3"/>
      <c r="B8" s="7" t="s">
        <v>842</v>
      </c>
      <c r="C8" s="196" t="s">
        <v>92</v>
      </c>
      <c r="H8" s="2"/>
      <c r="I8" s="2"/>
      <c r="K8" s="10"/>
      <c r="L8" s="2"/>
      <c r="M8" s="811" t="s">
        <v>2730</v>
      </c>
      <c r="N8" s="812"/>
      <c r="O8" s="813"/>
      <c r="P8" s="816">
        <v>100</v>
      </c>
      <c r="Q8" s="816"/>
      <c r="S8" t="s">
        <v>1542</v>
      </c>
      <c r="T8">
        <f>IF((V20*INDEX(AF6:AO16,6,MATCH(D29,AF6:AO6,0))+5)&lt;10,10,V20*INDEX(AF6:AO16,6,MATCH(D29,AF6:AO6,0))+5)</f>
        <v>10</v>
      </c>
      <c r="U8">
        <f>15000000*T8</f>
        <v>150000000</v>
      </c>
      <c r="V8">
        <f>INDEX($AF$6:$AO$12,7,MATCH($D29,$AF$6:$AO$6,0))</f>
        <v>0</v>
      </c>
      <c r="W8">
        <f>0.1*U113*D29</f>
        <v>0</v>
      </c>
      <c r="AA8" t="s">
        <v>843</v>
      </c>
      <c r="AE8" s="7" t="s">
        <v>26</v>
      </c>
      <c r="AF8" s="2">
        <v>0</v>
      </c>
      <c r="AG8" s="2">
        <f>17+AA9</f>
        <v>17</v>
      </c>
      <c r="AH8" s="2">
        <f>19+AA9</f>
        <v>19</v>
      </c>
      <c r="AI8" s="2">
        <f>20+AA9</f>
        <v>20</v>
      </c>
      <c r="AJ8" s="2">
        <f>21+AA9</f>
        <v>21</v>
      </c>
      <c r="AK8" s="2">
        <f>22+AA9</f>
        <v>22</v>
      </c>
      <c r="AL8" s="2">
        <f>23+AA9</f>
        <v>23</v>
      </c>
      <c r="AM8" s="2">
        <f>24+AA9</f>
        <v>24</v>
      </c>
      <c r="AN8" s="2">
        <f>25+AA9</f>
        <v>25</v>
      </c>
      <c r="AO8" s="2">
        <f>26+AA9</f>
        <v>26</v>
      </c>
      <c r="AP8" s="2"/>
      <c r="AQ8" s="2"/>
      <c r="AR8" s="2"/>
      <c r="AS8" s="2"/>
      <c r="AT8" s="2"/>
      <c r="AU8" s="2"/>
      <c r="AV8" s="2"/>
      <c r="AW8" s="2"/>
      <c r="AX8" t="s">
        <v>52</v>
      </c>
      <c r="AZ8">
        <f>IF(AZ4&gt;0.224,9,IF(AZ4&gt;0.199,8,IF(AZ4&gt;0.174,7,IF(AZ4&gt;0.149,6,IF(AZ4&gt;0.124,5,IF(AZ4&gt;0.099,4,IF(AZ4&gt;0.074,3,IF(AZ4&gt;0.049,2,IF(AZ4&gt;0.024,1,0)))))))))</f>
        <v>0</v>
      </c>
      <c r="BA8">
        <f>IF(BA4&gt;0.224,9,IF(BA4&gt;0.199,8,IF(BA4&gt;0.174,7,IF(BA4&gt;0.149,6,IF(BA4&gt;0.124,5,IF(BA4&gt;0.099,4,IF(BA4&gt;0.074,3,IF(BA4&gt;0.049,2,IF(BA4&gt;0.024,1,0)))))))))</f>
        <v>0</v>
      </c>
      <c r="BC8" s="807">
        <v>1</v>
      </c>
      <c r="BD8" s="796"/>
      <c r="BE8" s="795">
        <v>2</v>
      </c>
      <c r="BF8" s="796"/>
      <c r="BG8" s="795">
        <v>3</v>
      </c>
      <c r="BH8" s="796"/>
      <c r="BI8" s="791">
        <v>4</v>
      </c>
      <c r="BJ8" s="792"/>
      <c r="BK8" s="791">
        <v>5</v>
      </c>
      <c r="BL8" s="792"/>
      <c r="BM8" s="791">
        <v>6</v>
      </c>
      <c r="BN8" s="792"/>
      <c r="BO8" s="791">
        <v>7</v>
      </c>
      <c r="BP8" s="792"/>
      <c r="BQ8" s="791">
        <v>8</v>
      </c>
      <c r="BR8" s="792"/>
      <c r="BS8" s="795">
        <v>9</v>
      </c>
      <c r="BT8" s="796"/>
      <c r="BU8" s="795">
        <v>10</v>
      </c>
      <c r="BV8" s="796"/>
      <c r="BW8" s="791">
        <v>11</v>
      </c>
      <c r="BX8" s="792"/>
      <c r="BY8" s="801">
        <v>12</v>
      </c>
      <c r="BZ8" s="792"/>
      <c r="CA8" s="791">
        <v>13</v>
      </c>
      <c r="CB8" s="792"/>
      <c r="CC8" s="791">
        <v>14</v>
      </c>
      <c r="CD8" s="792"/>
      <c r="CE8" s="791">
        <v>15</v>
      </c>
      <c r="CF8" s="792"/>
      <c r="CG8" s="795">
        <v>16</v>
      </c>
      <c r="CH8" s="804"/>
    </row>
    <row r="9" spans="1:86" ht="15" thickBot="1" x14ac:dyDescent="0.35">
      <c r="A9" s="5" t="s">
        <v>825</v>
      </c>
      <c r="B9" s="116" t="s">
        <v>944</v>
      </c>
      <c r="C9" s="202" t="s">
        <v>945</v>
      </c>
      <c r="D9" s="2"/>
      <c r="E9" t="s">
        <v>26</v>
      </c>
      <c r="F9" s="4"/>
      <c r="H9" s="75" t="str">
        <f>IF(OR('Ship Info'!F7,'Ship Info'!F4),"Pods/Modules Cannot Have Drives","Station with Drive &gt; 0")</f>
        <v>Station with Drive &gt; 0</v>
      </c>
      <c r="I9" s="2"/>
      <c r="J9" s="2"/>
      <c r="K9" s="10"/>
      <c r="L9" s="2"/>
      <c r="M9" s="814" t="s">
        <v>2732</v>
      </c>
      <c r="N9" s="784"/>
      <c r="O9" s="815"/>
      <c r="P9" s="816">
        <v>100</v>
      </c>
      <c r="Q9" s="816"/>
      <c r="S9" t="s">
        <v>1543</v>
      </c>
      <c r="T9">
        <f>IF((V20*INDEX(AF6:AO16,8,MATCH(D29,AF6:AO6,0))+5)&lt;10,10,V20*INDEX(AF6:AO16,8,MATCH(D29,AF6:AO6,0))+5)</f>
        <v>10</v>
      </c>
      <c r="U9">
        <f>150000000*T9</f>
        <v>1500000000</v>
      </c>
      <c r="V9" s="22">
        <f>INDEX($AF$6:$AO$14,9,MATCH($D29,$AF$6:$AO$6,0))</f>
        <v>0</v>
      </c>
      <c r="W9">
        <f>0.1*U113*D29</f>
        <v>0</v>
      </c>
      <c r="AA9">
        <f>IF(C8=S13,-8,0)</f>
        <v>0</v>
      </c>
      <c r="AE9" s="3" t="s">
        <v>52</v>
      </c>
      <c r="AF9" s="2">
        <v>0</v>
      </c>
      <c r="AG9" s="2">
        <v>2.5000000000000001E-2</v>
      </c>
      <c r="AH9" s="2">
        <v>0.05</v>
      </c>
      <c r="AI9" s="2">
        <v>7.4999999999999997E-2</v>
      </c>
      <c r="AJ9" s="2">
        <v>0.1</v>
      </c>
      <c r="AK9" s="2">
        <v>0.125</v>
      </c>
      <c r="AL9" s="2">
        <v>0.15</v>
      </c>
      <c r="AM9" s="2">
        <v>0.17499999999999999</v>
      </c>
      <c r="AN9" s="2">
        <v>0.2</v>
      </c>
      <c r="AO9" s="2">
        <v>0.22500000000000001</v>
      </c>
      <c r="AP9" s="2"/>
      <c r="AQ9" s="2"/>
      <c r="AR9" s="2"/>
      <c r="AS9" s="2"/>
      <c r="AT9" s="2"/>
      <c r="AU9" s="2"/>
      <c r="AV9" s="2"/>
      <c r="AW9" s="2"/>
      <c r="AX9" t="s">
        <v>1542</v>
      </c>
      <c r="AZ9">
        <f>IF(AZ4&gt;0.224,9,IF(AZ4&gt;0.199,8,IF(AZ4&gt;0.174,7,IF(AZ4&gt;0.149,6,IF(AZ4&gt;0.124,5,IF(AZ4&gt;0.099,4,IF(AZ4&gt;0.074,3,IF(AZ4&gt;0.049,2,IF(AZ4&gt;0.024,1,0)))))))))</f>
        <v>0</v>
      </c>
      <c r="BA9">
        <f>IF(BA4&gt;0.224,9,IF(BA4&gt;0.199,8,IF(BA4&gt;0.174,7,IF(BA4&gt;0.149,6,IF(BA4&gt;0.124,5,IF(BA4&gt;0.099,4,IF(BA4&gt;0.074,3,IF(BA4&gt;0.049,2,IF(BA4&gt;0.024,1,0)))))))))</f>
        <v>0</v>
      </c>
      <c r="BC9" s="269"/>
      <c r="BD9" s="297"/>
      <c r="BE9" s="293"/>
      <c r="BF9" s="297"/>
      <c r="BG9" s="293"/>
      <c r="BH9" s="297"/>
      <c r="BI9" s="293"/>
      <c r="BJ9" s="297"/>
      <c r="BK9" s="293"/>
      <c r="BL9" s="297"/>
      <c r="BM9" s="293"/>
      <c r="BN9" s="297"/>
      <c r="BO9" s="293"/>
      <c r="BP9" s="297"/>
      <c r="BQ9" s="293"/>
      <c r="BR9" s="297"/>
      <c r="BS9" s="293"/>
      <c r="BT9" s="297"/>
      <c r="BU9" s="293"/>
      <c r="BV9" s="297"/>
      <c r="BW9" s="293"/>
      <c r="BX9" s="297"/>
      <c r="BZ9" s="297"/>
      <c r="CA9" s="293"/>
      <c r="CB9" s="297"/>
      <c r="CC9" s="293"/>
      <c r="CD9" s="297"/>
      <c r="CE9" s="293"/>
      <c r="CF9" s="297"/>
      <c r="CG9" s="293"/>
      <c r="CH9" s="49"/>
    </row>
    <row r="10" spans="1:86" ht="15" thickBot="1" x14ac:dyDescent="0.35">
      <c r="M10" s="811" t="s">
        <v>2731</v>
      </c>
      <c r="N10" s="812"/>
      <c r="O10" s="813"/>
      <c r="P10" s="816">
        <v>100</v>
      </c>
      <c r="Q10" s="816"/>
      <c r="S10" s="80" t="s">
        <v>57</v>
      </c>
      <c r="T10" s="22">
        <f>IF(V20*INDEX(AF6:AO16,10,MATCH(D29,AF6:AO6,0))&lt;20,20,V20*INDEX(AF6:AO16,10,MATCH(D29,AF6:AO6,0)))</f>
        <v>20</v>
      </c>
      <c r="U10" s="22">
        <f>(T10)*3000000</f>
        <v>60000000</v>
      </c>
      <c r="V10">
        <f>INDEX($AF$6:$AO$16,11,MATCH($D29,$AF$6:$AO$6,0))</f>
        <v>0</v>
      </c>
      <c r="W10" s="136">
        <f>0.5*U113*D29</f>
        <v>0</v>
      </c>
      <c r="X10" s="360" t="s">
        <v>823</v>
      </c>
      <c r="Y10" s="361">
        <v>0</v>
      </c>
      <c r="Z10" s="361">
        <v>0</v>
      </c>
      <c r="AA10" s="361">
        <v>0</v>
      </c>
      <c r="AB10" s="362">
        <v>0</v>
      </c>
      <c r="AC10" s="22">
        <v>2</v>
      </c>
      <c r="AD10" s="22"/>
      <c r="AE10" s="102" t="s">
        <v>26</v>
      </c>
      <c r="AF10" s="27">
        <v>0</v>
      </c>
      <c r="AG10" s="27">
        <v>9</v>
      </c>
      <c r="AH10" s="27">
        <v>11</v>
      </c>
      <c r="AI10" s="27">
        <v>12</v>
      </c>
      <c r="AJ10" s="27">
        <v>13</v>
      </c>
      <c r="AK10" s="27">
        <v>14</v>
      </c>
      <c r="AL10" s="27">
        <v>15</v>
      </c>
      <c r="AM10" s="27">
        <v>16</v>
      </c>
      <c r="AN10" s="27">
        <v>17</v>
      </c>
      <c r="AO10" s="27">
        <v>18</v>
      </c>
      <c r="AP10" s="27"/>
      <c r="AQ10" s="27"/>
      <c r="AR10" s="27"/>
      <c r="AS10" s="27"/>
      <c r="AT10" s="27"/>
      <c r="AU10" s="27"/>
      <c r="AV10" s="27"/>
      <c r="AW10" s="27"/>
      <c r="AX10" s="22" t="s">
        <v>1543</v>
      </c>
      <c r="AY10" s="22"/>
      <c r="AZ10" s="22">
        <f>IF(AZ4&gt;0.224,9,IF(AZ4&gt;0.199,8,IF(AZ4&gt;0.174,7,IF(AZ4&gt;0.149,6,IF(AZ4&gt;0.124,5,IF(AZ4&gt;0.099,4,IF(AZ4&gt;0.074,3,IF(AZ4&gt;0.049,2,IF(AZ4&gt;0.024,1,0)))))))))</f>
        <v>0</v>
      </c>
      <c r="BA10" s="22">
        <f>IF(BA4&gt;0.224,9,IF(BA4&gt;0.199,8,IF(BA4&gt;0.174,7,IF(BA4&gt;0.149,6,IF(BA4&gt;0.124,5,IF(BA4&gt;0.099,4,IF(BA4&gt;0.074,3,IF(BA4&gt;0.049,2,IF(BA4&gt;0.024,1,0)))))))))</f>
        <v>0</v>
      </c>
      <c r="BB10" s="22"/>
      <c r="BC10" s="818">
        <f>$H$14/0.01</f>
        <v>0</v>
      </c>
      <c r="BD10" s="798"/>
      <c r="BE10" s="797">
        <f>H14/0.02</f>
        <v>0</v>
      </c>
      <c r="BF10" s="798"/>
      <c r="BG10" s="797">
        <f>$H$14/0.03</f>
        <v>0</v>
      </c>
      <c r="BH10" s="798"/>
      <c r="BI10" s="797">
        <f>$H$14/0.04</f>
        <v>0</v>
      </c>
      <c r="BJ10" s="798"/>
      <c r="BK10" s="797">
        <f>$H$14/0.05</f>
        <v>0</v>
      </c>
      <c r="BL10" s="798"/>
      <c r="BM10" s="797">
        <f>$H$14/0.06</f>
        <v>0</v>
      </c>
      <c r="BN10" s="798"/>
      <c r="BO10" s="797">
        <f>$H$14/0.07</f>
        <v>0</v>
      </c>
      <c r="BP10" s="798"/>
      <c r="BQ10" s="797">
        <f>$H$14/0.08</f>
        <v>0</v>
      </c>
      <c r="BR10" s="798"/>
      <c r="BS10" s="797">
        <f>$H$14/0.09</f>
        <v>0</v>
      </c>
      <c r="BT10" s="798"/>
      <c r="BU10" s="797">
        <f>$H$14/0.1</f>
        <v>0</v>
      </c>
      <c r="BV10" s="798"/>
      <c r="BW10" s="797">
        <f>$H$14/0.11</f>
        <v>0</v>
      </c>
      <c r="BX10" s="798"/>
      <c r="BY10" s="365"/>
      <c r="BZ10" s="366"/>
      <c r="CA10" s="367"/>
      <c r="CB10" s="366"/>
      <c r="CC10" s="367"/>
      <c r="CD10" s="366"/>
      <c r="CE10" s="367"/>
      <c r="CF10" s="366"/>
      <c r="CG10" s="367"/>
      <c r="CH10" s="368"/>
    </row>
    <row r="11" spans="1:86" ht="15" thickBot="1" x14ac:dyDescent="0.35">
      <c r="A11" s="581"/>
      <c r="B11" s="116" t="s">
        <v>2329</v>
      </c>
      <c r="C11" s="202" t="s">
        <v>92</v>
      </c>
      <c r="D11" t="str">
        <f>" - Use Breakaway Section to allocate Tonnage to Main and B/U Drives"</f>
        <v xml:space="preserve"> - Use Breakaway Section to allocate Tonnage to Main and B/U Drives</v>
      </c>
      <c r="M11" s="78"/>
      <c r="Q11" s="46"/>
      <c r="S11" s="86" t="s">
        <v>58</v>
      </c>
      <c r="T11" s="28">
        <f>V20*INDEX(AF6:AO8,2,MATCH(D29,AF6:AO6,0))</f>
        <v>0</v>
      </c>
      <c r="U11" s="28">
        <f>2000000*(T11)</f>
        <v>0</v>
      </c>
      <c r="V11" s="82">
        <f>INDEX($AF$6:$AO$8,3,MATCH($D29,$AF$6:$AO$6,0))</f>
        <v>0</v>
      </c>
      <c r="W11" s="263">
        <f>T11+H32</f>
        <v>0</v>
      </c>
      <c r="X11" s="78" t="s">
        <v>56</v>
      </c>
      <c r="Y11">
        <f>V21*INDEX(AF6:AO8,2,MATCH(D56,AF6:AO6,0))</f>
        <v>0</v>
      </c>
      <c r="Z11">
        <f>2000000*(Y11+H59)</f>
        <v>0</v>
      </c>
      <c r="AA11">
        <f>INDEX($AF$6:$AO$8,3,MATCH($D56,$AF$6:$AO$6,0))</f>
        <v>0</v>
      </c>
      <c r="AB11" s="46">
        <f>Y11+H59</f>
        <v>0</v>
      </c>
      <c r="AC11">
        <v>1</v>
      </c>
      <c r="AE11" s="3" t="s">
        <v>1542</v>
      </c>
      <c r="AF11" s="2">
        <v>0</v>
      </c>
      <c r="AG11" s="2">
        <v>2.5000000000000001E-2</v>
      </c>
      <c r="AH11" s="2">
        <v>0.05</v>
      </c>
      <c r="AI11" s="2">
        <v>7.4999999999999997E-2</v>
      </c>
      <c r="AJ11" s="2">
        <v>0.1</v>
      </c>
      <c r="AK11" s="2">
        <v>0.125</v>
      </c>
      <c r="AL11" s="2">
        <v>0.15</v>
      </c>
      <c r="AM11" s="2">
        <v>0.17499999999999999</v>
      </c>
      <c r="AN11" s="2">
        <v>0.2</v>
      </c>
      <c r="AO11" s="2">
        <v>0.22500000000000001</v>
      </c>
      <c r="AW11" s="2"/>
      <c r="AX11" t="s">
        <v>57</v>
      </c>
      <c r="AZ11">
        <f>IF(AZ4&gt;0.224,9,IF(AZ4&gt;0.199,8,IF(AZ4&gt;0.174,7,IF(AZ4&gt;0.149,6,IF(AZ4&gt;0.124,5,IF(AZ4&gt;0.099,4,IF(AZ4&gt;0.074,3,IF(AZ4&gt;0.049,2,IF(AZ4&gt;0.024,1,0)))))))))</f>
        <v>0</v>
      </c>
      <c r="BA11">
        <f>IF(BA4&gt;0.224,9,IF(BA4&gt;0.199,8,IF(BA4&gt;0.174,7,IF(BA4&gt;0.149,6,IF(BA4&gt;0.124,5,IF(BA4&gt;0.099,4,IF(BA4&gt;0.074,3,IF(BA4&gt;0.049,2,IF(BA4&gt;0.024,1,0)))))))))</f>
        <v>0</v>
      </c>
      <c r="BC11" s="269"/>
      <c r="BD11" s="297"/>
      <c r="BE11" s="293"/>
      <c r="BF11" s="297"/>
      <c r="BG11" s="293"/>
      <c r="BH11" s="297"/>
      <c r="BI11" s="293"/>
      <c r="BJ11" s="297"/>
      <c r="BK11" s="293"/>
      <c r="BL11" s="297"/>
      <c r="BM11" s="293"/>
      <c r="BN11" s="297"/>
      <c r="BO11" s="293"/>
      <c r="BP11" s="297"/>
      <c r="BQ11" s="293"/>
      <c r="BR11" s="297"/>
      <c r="BS11" s="293"/>
      <c r="BT11" s="297"/>
      <c r="BU11" s="293"/>
      <c r="BV11" s="297"/>
      <c r="BW11" s="293"/>
      <c r="BX11" s="297"/>
      <c r="BZ11" s="297"/>
      <c r="CA11" s="293"/>
      <c r="CB11" s="297"/>
      <c r="CC11" s="293"/>
      <c r="CD11" s="297"/>
      <c r="CE11" s="293"/>
      <c r="CF11" s="297"/>
      <c r="CG11" s="293"/>
      <c r="CH11" s="49"/>
    </row>
    <row r="12" spans="1:86" x14ac:dyDescent="0.3">
      <c r="D12" t="str">
        <f>" - Enter the rating of the largest section in Main drives, and smaller section(s) in Secondary"</f>
        <v xml:space="preserve"> - Enter the rating of the largest section in Main drives, and smaller section(s) in Secondary</v>
      </c>
      <c r="M12" s="80" t="s">
        <v>783</v>
      </c>
      <c r="N12" s="22"/>
      <c r="O12" s="22"/>
      <c r="P12" s="319">
        <f>MIN(IF(AZ2&lt;0.01,0,INDEX(AG2:AQ17,16,MATCH(AZ2,AG2:AQ2,0))),BB2)</f>
        <v>0</v>
      </c>
      <c r="Q12" s="136"/>
      <c r="R12" s="22"/>
      <c r="S12" s="22" t="s">
        <v>92</v>
      </c>
      <c r="T12" s="22" t="s">
        <v>794</v>
      </c>
      <c r="U12" s="22"/>
      <c r="V12" s="22"/>
      <c r="W12" s="22"/>
      <c r="X12" s="80" t="s">
        <v>52</v>
      </c>
      <c r="Y12" s="22">
        <f>IF((V21*INDEX(AF6:AO16,4,MATCH(D56,AF6:AO6,0))+5)&lt;10,10,V21*INDEX(AF6:AO16,4,MATCH(D56,AF6:AO6,0))+5)</f>
        <v>10</v>
      </c>
      <c r="Z12" s="22">
        <f>1500000*(Y12+H59)</f>
        <v>15000000</v>
      </c>
      <c r="AA12" s="22">
        <f>INDEX($AF$6:$AO$10,5,MATCH($D56,$AF$6:$AO$6,0))</f>
        <v>0</v>
      </c>
      <c r="AB12" s="136">
        <f>0.1*U113*D56</f>
        <v>0</v>
      </c>
      <c r="AC12" s="22">
        <v>2</v>
      </c>
      <c r="AD12" s="22"/>
      <c r="AE12" s="102" t="s">
        <v>26</v>
      </c>
      <c r="AF12" s="27">
        <v>0</v>
      </c>
      <c r="AG12" s="27">
        <v>17</v>
      </c>
      <c r="AH12" s="27">
        <v>18</v>
      </c>
      <c r="AI12" s="27">
        <v>19</v>
      </c>
      <c r="AJ12" s="27">
        <v>20</v>
      </c>
      <c r="AK12" s="27">
        <v>21</v>
      </c>
      <c r="AL12" s="27">
        <v>22</v>
      </c>
      <c r="AM12" s="27">
        <v>23</v>
      </c>
      <c r="AN12" s="27">
        <v>24</v>
      </c>
      <c r="AO12" s="27">
        <v>25</v>
      </c>
      <c r="AP12" s="22"/>
      <c r="AQ12" s="22"/>
      <c r="AR12" s="22"/>
      <c r="AS12" s="22"/>
      <c r="AT12" s="22"/>
      <c r="AU12" s="22"/>
      <c r="AV12" s="22"/>
      <c r="AW12" s="27"/>
      <c r="AX12" s="22" t="s">
        <v>58</v>
      </c>
      <c r="AY12" s="22"/>
      <c r="AZ12" s="22">
        <f>IF(AZ4&gt;0.259,9,IF(AZ4&gt;0.239,8,IF(AZ4&gt;0.219,7,IF(AZ4&gt;0.199,6,IF(AZ4&gt;0.179,5,IF(AZ4&gt;0.159,4,IF(AZ4&gt;0.139,3,IF(AZ4&gt;0.119,2,IF(AZ4&gt;0.099,1,0)))))))))</f>
        <v>0</v>
      </c>
      <c r="BA12" s="22">
        <f>IF(BA4&gt;0.259,9,IF(BA4&gt;0.239,8,IF(BA4&gt;0.219,7,IF(BA4&gt;0.199,6,IF(BA4&gt;0.179,5,IF(BA4&gt;0.159,4,IF(BA4&gt;0.139,3,IF(BA4&gt;0.119,2,IF(BA4&gt;0.099,1,0)))))))))</f>
        <v>0</v>
      </c>
      <c r="BB12" s="22"/>
      <c r="BC12" s="818">
        <f>$H$23/0.02</f>
        <v>0</v>
      </c>
      <c r="BD12" s="798"/>
      <c r="BE12" s="797">
        <f>$H$23/0.04</f>
        <v>0</v>
      </c>
      <c r="BF12" s="798"/>
      <c r="BG12" s="797">
        <f>$H$23/0.06</f>
        <v>0</v>
      </c>
      <c r="BH12" s="798"/>
      <c r="BI12" s="797">
        <f>$H$23/0.08</f>
        <v>0</v>
      </c>
      <c r="BJ12" s="798"/>
      <c r="BK12" s="797">
        <f>$H$23/0.1</f>
        <v>0</v>
      </c>
      <c r="BL12" s="798"/>
      <c r="BM12" s="797">
        <f>$H$23/0.12</f>
        <v>0</v>
      </c>
      <c r="BN12" s="798"/>
      <c r="BO12" s="797">
        <f>$H$23/0.14</f>
        <v>0</v>
      </c>
      <c r="BP12" s="798"/>
      <c r="BQ12" s="797">
        <f>$H$23/0.16</f>
        <v>0</v>
      </c>
      <c r="BR12" s="798"/>
      <c r="BS12" s="797">
        <f>$H$23/0.18</f>
        <v>0</v>
      </c>
      <c r="BT12" s="798"/>
      <c r="BU12" s="797">
        <f>$H$23/0.2</f>
        <v>0</v>
      </c>
      <c r="BV12" s="798"/>
      <c r="BW12" s="797">
        <f>$H$23/0.22</f>
        <v>0</v>
      </c>
      <c r="BX12" s="798"/>
      <c r="BY12" s="797">
        <f>$H$23/0.24</f>
        <v>0</v>
      </c>
      <c r="BZ12" s="798"/>
      <c r="CA12" s="797">
        <f>$H$23/0.26</f>
        <v>0</v>
      </c>
      <c r="CB12" s="798"/>
      <c r="CC12" s="797">
        <f>$H$23/0.28</f>
        <v>0</v>
      </c>
      <c r="CD12" s="798"/>
      <c r="CE12" s="797">
        <f>$H$23/0.3</f>
        <v>0</v>
      </c>
      <c r="CF12" s="798"/>
      <c r="CG12" s="797">
        <f>$H$23/0.32</f>
        <v>0</v>
      </c>
      <c r="CH12" s="802"/>
    </row>
    <row r="13" spans="1:86" ht="15" thickBot="1" x14ac:dyDescent="0.35">
      <c r="B13" s="2"/>
      <c r="D13" s="2"/>
      <c r="F13" s="4"/>
      <c r="G13" s="3" t="s">
        <v>2302</v>
      </c>
      <c r="H13" s="2"/>
      <c r="I13" s="2"/>
      <c r="J13" s="2"/>
      <c r="K13" s="10"/>
      <c r="L13" s="2"/>
      <c r="M13" s="78"/>
      <c r="P13" s="2"/>
      <c r="Q13" s="46"/>
      <c r="S13" t="s">
        <v>93</v>
      </c>
      <c r="T13" t="s">
        <v>55</v>
      </c>
      <c r="X13" t="s">
        <v>1542</v>
      </c>
      <c r="Y13">
        <f>IF((V21*INDEX(AF6:AO16,6,MATCH(D56,AF6:AO6,0))+5)&lt;10,10,V21*INDEX(AF6:AO16,6,MATCH(D56,AF6:AO6,0))+5)</f>
        <v>10</v>
      </c>
      <c r="Z13">
        <f>15000000*Y13</f>
        <v>150000000</v>
      </c>
      <c r="AA13">
        <f>INDEX($AF$6:$AO$12,7,MATCH($D56,$AF$6:$AO$6,0))</f>
        <v>0</v>
      </c>
      <c r="AB13">
        <f>0.1*U113*D29</f>
        <v>0</v>
      </c>
      <c r="AC13">
        <v>2</v>
      </c>
      <c r="AE13" s="3" t="s">
        <v>1543</v>
      </c>
      <c r="AF13" s="2">
        <v>0</v>
      </c>
      <c r="AG13" s="2">
        <v>2.5000000000000001E-2</v>
      </c>
      <c r="AH13" s="2">
        <v>0.05</v>
      </c>
      <c r="AI13" s="2">
        <v>7.4999999999999997E-2</v>
      </c>
      <c r="AJ13" s="2">
        <v>0.1</v>
      </c>
      <c r="AK13" s="2">
        <v>0.125</v>
      </c>
      <c r="AL13" s="2">
        <v>0.15</v>
      </c>
      <c r="AM13" s="2">
        <v>0.17499999999999999</v>
      </c>
      <c r="AN13" s="2">
        <v>0.2</v>
      </c>
      <c r="AO13" s="2">
        <v>0.22500000000000001</v>
      </c>
      <c r="AW13" s="2"/>
      <c r="BC13" s="269"/>
      <c r="BD13" s="297"/>
      <c r="BE13" s="293"/>
      <c r="BF13" s="297"/>
      <c r="BG13" s="293"/>
      <c r="BH13" s="297"/>
      <c r="BI13" s="293"/>
      <c r="BJ13" s="297"/>
      <c r="BK13" s="293"/>
      <c r="BL13" s="297"/>
      <c r="BM13" s="293"/>
      <c r="BN13" s="297"/>
      <c r="BO13" s="293"/>
      <c r="BP13" s="297"/>
      <c r="BQ13" s="293"/>
      <c r="BR13" s="297"/>
      <c r="BS13" s="293"/>
      <c r="BT13" s="297"/>
      <c r="BU13" s="293"/>
      <c r="BV13" s="297"/>
      <c r="BW13" s="293"/>
      <c r="BX13" s="297"/>
      <c r="BZ13" s="297"/>
      <c r="CA13" s="293"/>
      <c r="CB13" s="297"/>
      <c r="CC13" s="293"/>
      <c r="CD13" s="297"/>
      <c r="CE13" s="293"/>
      <c r="CF13" s="297"/>
      <c r="CG13" s="293"/>
      <c r="CH13" s="49"/>
    </row>
    <row r="14" spans="1:86" ht="15" thickBot="1" x14ac:dyDescent="0.35">
      <c r="A14" s="102" t="s">
        <v>805</v>
      </c>
      <c r="B14" s="251" t="s">
        <v>794</v>
      </c>
      <c r="C14" s="102" t="s">
        <v>50</v>
      </c>
      <c r="D14" s="203">
        <v>0</v>
      </c>
      <c r="E14" s="22">
        <f>INDEX(S2:V4,MATCH(B14,S2:S4,0),4)+SUM(E19:E21)</f>
        <v>0</v>
      </c>
      <c r="F14" s="23">
        <f>INDEX(S2:U4,MATCH(B14,S2:S4,0),3)*'Ship Info'!G31</f>
        <v>0</v>
      </c>
      <c r="G14" s="22"/>
      <c r="H14" s="347">
        <f>INDEX(S2:T4,MATCH(B14,S2:S4,0),2)</f>
        <v>0</v>
      </c>
      <c r="I14" s="27"/>
      <c r="J14" s="22"/>
      <c r="K14" s="347">
        <f>INDEX(S2:W4,MATCH(B14,S2:S4,0),5)</f>
        <v>0</v>
      </c>
      <c r="L14" s="22"/>
      <c r="M14" s="80" t="s">
        <v>853</v>
      </c>
      <c r="N14" s="22"/>
      <c r="O14" s="22"/>
      <c r="P14" s="319">
        <f>INDEX(AP56:AQ88,MATCH(AZ3,AP56:AP88,0),2)</f>
        <v>0</v>
      </c>
      <c r="Q14" s="136"/>
      <c r="R14" s="22"/>
      <c r="S14" s="22" t="str">
        <f>"No High Burn Thruster"</f>
        <v>No High Burn Thruster</v>
      </c>
      <c r="T14" s="22">
        <v>0</v>
      </c>
      <c r="U14" s="22">
        <v>0</v>
      </c>
      <c r="V14" s="22">
        <v>0</v>
      </c>
      <c r="W14" s="22" t="s">
        <v>33</v>
      </c>
      <c r="X14" s="22" t="s">
        <v>1543</v>
      </c>
      <c r="Y14" s="22">
        <f>IF((V21*INDEX(AF6:AO16,8,MATCH(D56,AF6:AO6,0))+5)&lt;10,10,V21*INDEX(AF6:AO16,8,MATCH(D56,AF6:AO6,0))+5)</f>
        <v>10</v>
      </c>
      <c r="Z14" s="22">
        <f>150000000*Y14</f>
        <v>1500000000</v>
      </c>
      <c r="AA14" s="22">
        <f>INDEX($AF$6:$AO$14,9,MATCH($D56,$AF$6:$AO$6,0))</f>
        <v>0</v>
      </c>
      <c r="AB14" s="22">
        <f>0.1*U113*D29</f>
        <v>0</v>
      </c>
      <c r="AC14" s="22">
        <v>2</v>
      </c>
      <c r="AD14" s="22"/>
      <c r="AE14" s="102" t="s">
        <v>26</v>
      </c>
      <c r="AF14" s="27">
        <v>0</v>
      </c>
      <c r="AG14" s="27">
        <v>20</v>
      </c>
      <c r="AH14" s="27">
        <v>21</v>
      </c>
      <c r="AI14" s="27">
        <v>22</v>
      </c>
      <c r="AJ14" s="27">
        <v>23</v>
      </c>
      <c r="AK14" s="27">
        <v>24</v>
      </c>
      <c r="AL14" s="27">
        <v>25</v>
      </c>
      <c r="AM14" s="27">
        <v>26</v>
      </c>
      <c r="AN14" s="27">
        <v>27</v>
      </c>
      <c r="AO14" s="27">
        <v>28</v>
      </c>
      <c r="AP14" s="27"/>
      <c r="AQ14" s="27"/>
      <c r="AR14" s="27"/>
      <c r="AS14" s="27"/>
      <c r="AT14" s="27"/>
      <c r="AU14" s="27"/>
      <c r="AV14" s="27"/>
      <c r="AW14" s="27"/>
      <c r="AX14" s="22" t="s">
        <v>61</v>
      </c>
      <c r="AY14" s="22"/>
      <c r="AZ14" s="22"/>
      <c r="BA14" s="22"/>
      <c r="BB14" s="22"/>
      <c r="BC14" s="818">
        <f>($H$29-5)/0.025</f>
        <v>-200</v>
      </c>
      <c r="BD14" s="798"/>
      <c r="BE14" s="797">
        <f>($H$29-5)/0.05</f>
        <v>-100</v>
      </c>
      <c r="BF14" s="798"/>
      <c r="BG14" s="797">
        <f>($H$29-5)/0.075</f>
        <v>-66.666666666666671</v>
      </c>
      <c r="BH14" s="798"/>
      <c r="BI14" s="797">
        <f>($H$29-5)/0.1</f>
        <v>-50</v>
      </c>
      <c r="BJ14" s="798"/>
      <c r="BK14" s="797">
        <f>($H$29-5)/0.125</f>
        <v>-40</v>
      </c>
      <c r="BL14" s="798"/>
      <c r="BM14" s="797">
        <f>($H$29-5)/0.15</f>
        <v>-33.333333333333336</v>
      </c>
      <c r="BN14" s="798"/>
      <c r="BO14" s="797">
        <f>($H$29-5)/0.175</f>
        <v>-28.571428571428573</v>
      </c>
      <c r="BP14" s="798"/>
      <c r="BQ14" s="797">
        <f>($H$29-5)/0.2</f>
        <v>-25</v>
      </c>
      <c r="BR14" s="798"/>
      <c r="BS14" s="797">
        <f>($H$29-5)/0.225</f>
        <v>-22.222222222222221</v>
      </c>
      <c r="BT14" s="798"/>
      <c r="BU14" s="367"/>
      <c r="BV14" s="366"/>
      <c r="BW14" s="367"/>
      <c r="BX14" s="366"/>
      <c r="BY14" s="365"/>
      <c r="BZ14" s="366"/>
      <c r="CA14" s="367"/>
      <c r="CB14" s="366"/>
      <c r="CC14" s="367"/>
      <c r="CD14" s="366"/>
      <c r="CE14" s="367"/>
      <c r="CF14" s="366"/>
      <c r="CG14" s="367"/>
      <c r="CH14" s="368"/>
    </row>
    <row r="15" spans="1:86" ht="15" thickBot="1" x14ac:dyDescent="0.35">
      <c r="A15" s="22"/>
      <c r="B15" s="103" t="s">
        <v>90</v>
      </c>
      <c r="C15" s="204" t="s">
        <v>92</v>
      </c>
      <c r="D15" s="27"/>
      <c r="E15" s="22"/>
      <c r="F15" s="23" t="str">
        <f>IF(C15=S13,0.5*(SUM(F14,F17,F19))," ")</f>
        <v xml:space="preserve"> </v>
      </c>
      <c r="G15" s="22"/>
      <c r="H15" s="27"/>
      <c r="I15" s="27"/>
      <c r="J15" s="22"/>
      <c r="K15" s="347"/>
      <c r="L15" s="22"/>
      <c r="M15" s="78"/>
      <c r="P15" s="2"/>
      <c r="Q15" s="46"/>
      <c r="S15" t="s">
        <v>113</v>
      </c>
      <c r="T15">
        <f>U21*INDEX(AF1:AV5,4,MATCH(D37,AF1:AV1,0))</f>
        <v>1</v>
      </c>
      <c r="U15">
        <f>200000*(T15+H39)</f>
        <v>200000</v>
      </c>
      <c r="V15">
        <f>INDEX(AF1:AV5,5,MATCH(D37,AF1:AV1,0))</f>
        <v>7</v>
      </c>
      <c r="W15">
        <v>0</v>
      </c>
      <c r="X15" s="78" t="s">
        <v>57</v>
      </c>
      <c r="Y15">
        <f>IF(V21*INDEX(AF6:AO16,10,MATCH(D56,AF6:AO6,0))&lt;20,20,V21*INDEX(AF6:AO16,10,MATCH(D56,AF6:AO6,0)))</f>
        <v>20</v>
      </c>
      <c r="Z15">
        <f>(Y15+H59)*3000000</f>
        <v>60000000</v>
      </c>
      <c r="AA15">
        <f>INDEX($AF$6:$AO$16,11,MATCH($D56,$AF$6:$AO$6,0))</f>
        <v>0</v>
      </c>
      <c r="AB15" s="46">
        <f>0.5*U113*D29</f>
        <v>0</v>
      </c>
      <c r="AC15">
        <v>2</v>
      </c>
      <c r="AE15" s="3" t="s">
        <v>57</v>
      </c>
      <c r="AF15" s="2">
        <v>0</v>
      </c>
      <c r="AG15" s="2">
        <v>2.5000000000000001E-2</v>
      </c>
      <c r="AH15" s="2">
        <v>0.05</v>
      </c>
      <c r="AI15" s="2">
        <v>7.4999999999999997E-2</v>
      </c>
      <c r="AJ15" s="2">
        <v>0.1</v>
      </c>
      <c r="AK15" s="2">
        <v>0.125</v>
      </c>
      <c r="AL15" s="2">
        <v>0.15</v>
      </c>
      <c r="AM15" s="2">
        <v>0.17499999999999999</v>
      </c>
      <c r="AN15" s="2">
        <v>0.2</v>
      </c>
      <c r="AO15" s="2">
        <v>0.22500000000000001</v>
      </c>
      <c r="AP15" s="2"/>
      <c r="AQ15" s="2"/>
      <c r="AR15" s="2"/>
      <c r="AS15" s="2"/>
      <c r="AT15" s="2"/>
      <c r="AU15" s="2"/>
      <c r="AV15" s="2"/>
      <c r="BC15" s="269"/>
      <c r="BD15" s="297"/>
      <c r="BE15" s="293"/>
      <c r="BF15" s="297"/>
      <c r="BG15" s="293"/>
      <c r="BH15" s="297"/>
      <c r="BI15" s="293"/>
      <c r="BJ15" s="297"/>
      <c r="BK15" s="293"/>
      <c r="BL15" s="297"/>
      <c r="BM15" s="293"/>
      <c r="BN15" s="297"/>
      <c r="BO15" s="293"/>
      <c r="BP15" s="297"/>
      <c r="BQ15" s="293"/>
      <c r="BR15" s="297"/>
      <c r="BS15" s="293"/>
      <c r="BT15" s="297"/>
      <c r="BU15" s="293"/>
      <c r="BV15" s="297"/>
      <c r="BW15" s="293"/>
      <c r="BX15" s="297"/>
      <c r="BZ15" s="297"/>
      <c r="CA15" s="293"/>
      <c r="CB15" s="297"/>
      <c r="CC15" s="293"/>
      <c r="CD15" s="297"/>
      <c r="CE15" s="293"/>
      <c r="CF15" s="297"/>
      <c r="CG15" s="293"/>
      <c r="CH15" s="49"/>
    </row>
    <row r="16" spans="1:86" ht="15" thickBot="1" x14ac:dyDescent="0.35">
      <c r="A16" s="22"/>
      <c r="B16" s="103" t="s">
        <v>91</v>
      </c>
      <c r="C16" s="204" t="s">
        <v>92</v>
      </c>
      <c r="D16" s="22"/>
      <c r="E16" s="22"/>
      <c r="F16" s="23" t="str">
        <f>IF(C16=S13,200000*H16," ")</f>
        <v xml:space="preserve"> </v>
      </c>
      <c r="G16" s="22"/>
      <c r="H16" s="27" t="str">
        <f>IF(C16=S13,0.1*(SUM(H14,H17,H19))," ")</f>
        <v xml:space="preserve"> </v>
      </c>
      <c r="I16" s="22"/>
      <c r="J16" s="22"/>
      <c r="K16" s="347"/>
      <c r="L16" s="22"/>
      <c r="M16" s="80" t="s">
        <v>784</v>
      </c>
      <c r="N16" s="22"/>
      <c r="O16" s="22"/>
      <c r="P16" s="319">
        <f>MIN(IF(H29&lt;10.000001,MIN(D29,INDEX(AX6:AZ12,MATCH(B29,AX6:AX12,0),3)),INDEX(AX6:AZ12,MATCH(B29,AX6:AX12,0),3)),BB4)</f>
        <v>0</v>
      </c>
      <c r="Q16" s="136"/>
      <c r="R16" s="22"/>
      <c r="S16" s="22" t="str">
        <f>"No Solar Sails"</f>
        <v>No Solar Sails</v>
      </c>
      <c r="T16" s="22">
        <v>0</v>
      </c>
      <c r="U16" s="22">
        <v>0</v>
      </c>
      <c r="V16" s="22"/>
      <c r="W16" s="22" t="s">
        <v>33</v>
      </c>
      <c r="X16" s="81" t="s">
        <v>58</v>
      </c>
      <c r="Y16" s="82">
        <f>V21*INDEX(AF6:AO8,2,MATCH(D56,AF6:AO6,0))</f>
        <v>0</v>
      </c>
      <c r="Z16" s="82">
        <f>2000000*(Y16+H59)</f>
        <v>0</v>
      </c>
      <c r="AA16" s="82">
        <f>INDEX($AF$6:$AO$8,3,MATCH($D56,$AF$6:$AO$6,0))</f>
        <v>0</v>
      </c>
      <c r="AB16" s="601">
        <f>T11+H59</f>
        <v>0</v>
      </c>
      <c r="AC16" s="22">
        <v>1</v>
      </c>
      <c r="AD16" s="22"/>
      <c r="AE16" s="102" t="s">
        <v>26</v>
      </c>
      <c r="AF16" s="27">
        <v>0</v>
      </c>
      <c r="AG16" s="27">
        <f>17+AA9</f>
        <v>17</v>
      </c>
      <c r="AH16" s="27">
        <f>18+AA9</f>
        <v>18</v>
      </c>
      <c r="AI16" s="27">
        <f>18+AA9</f>
        <v>18</v>
      </c>
      <c r="AJ16" s="27">
        <f>19+AA9</f>
        <v>19</v>
      </c>
      <c r="AK16" s="27">
        <f>19+AA9</f>
        <v>19</v>
      </c>
      <c r="AL16" s="27">
        <f>20+AA9</f>
        <v>20</v>
      </c>
      <c r="AM16" s="27">
        <f>21+AA9</f>
        <v>21</v>
      </c>
      <c r="AN16" s="27">
        <f>22+AA9</f>
        <v>22</v>
      </c>
      <c r="AO16" s="27">
        <f>23+AA9</f>
        <v>23</v>
      </c>
      <c r="AP16" s="27"/>
      <c r="AQ16" s="27"/>
      <c r="AR16" s="27"/>
      <c r="AS16" s="27"/>
      <c r="AT16" s="27"/>
      <c r="AU16" s="27"/>
      <c r="AV16" s="27"/>
      <c r="AW16" s="22"/>
      <c r="AX16" s="22"/>
      <c r="AY16" s="22"/>
      <c r="AZ16" s="22"/>
      <c r="BA16" s="22"/>
      <c r="BB16" s="103"/>
      <c r="BC16" s="818">
        <f>$H$37/(2*0.01*BC8)</f>
        <v>0</v>
      </c>
      <c r="BD16" s="798"/>
      <c r="BE16" s="797">
        <f>$H$37/(2*0.01*BE8)</f>
        <v>0</v>
      </c>
      <c r="BF16" s="798"/>
      <c r="BG16" s="797">
        <f>$H$37/(2*0.01*BG8)</f>
        <v>0</v>
      </c>
      <c r="BH16" s="798"/>
      <c r="BI16" s="797">
        <f>$H$37/(2*0.01*BI8)</f>
        <v>0</v>
      </c>
      <c r="BJ16" s="798"/>
      <c r="BK16" s="797">
        <f>$H$37/(2*0.01*BK8)</f>
        <v>0</v>
      </c>
      <c r="BL16" s="798"/>
      <c r="BM16" s="797">
        <f>$H$37/(2*0.01*BM8)</f>
        <v>0</v>
      </c>
      <c r="BN16" s="798"/>
      <c r="BO16" s="797">
        <f>$H$37/(2*0.01*BO8)</f>
        <v>0</v>
      </c>
      <c r="BP16" s="798"/>
      <c r="BQ16" s="797">
        <f>$H$37/(2*0.01*BQ8)</f>
        <v>0</v>
      </c>
      <c r="BR16" s="798"/>
      <c r="BS16" s="797">
        <f>$H$37/(2*0.01*BS8)</f>
        <v>0</v>
      </c>
      <c r="BT16" s="798"/>
      <c r="BU16" s="797">
        <f>$H$37/(2*0.01*BU8)</f>
        <v>0</v>
      </c>
      <c r="BV16" s="798"/>
      <c r="BW16" s="797">
        <f>$H$37/(2*0.01*BW8)</f>
        <v>0</v>
      </c>
      <c r="BX16" s="798"/>
      <c r="BY16" s="793">
        <f>$H$37/(2*0.01*BY8)</f>
        <v>0</v>
      </c>
      <c r="BZ16" s="794"/>
      <c r="CA16" s="793">
        <f>$H$37/(2*0.01*CA8)</f>
        <v>0</v>
      </c>
      <c r="CB16" s="794"/>
      <c r="CC16" s="793">
        <f>$H$37/(2*0.01*CC8)</f>
        <v>0</v>
      </c>
      <c r="CD16" s="794"/>
      <c r="CE16" s="793">
        <f>$H$37/(2*0.01*CE8)</f>
        <v>0</v>
      </c>
      <c r="CF16" s="794"/>
      <c r="CG16" s="793">
        <f>$H$37/(2*0.01*CG8)</f>
        <v>0</v>
      </c>
      <c r="CH16" s="803"/>
    </row>
    <row r="17" spans="1:86" ht="15" thickBot="1" x14ac:dyDescent="0.35">
      <c r="A17" s="22"/>
      <c r="B17" s="102" t="s">
        <v>1547</v>
      </c>
      <c r="C17" s="204" t="s">
        <v>92</v>
      </c>
      <c r="D17" s="27" t="str">
        <f>IF(C17=S13,(AA1-8)*5&amp;"% Efficiency","")</f>
        <v/>
      </c>
      <c r="E17" s="22"/>
      <c r="F17" s="23" t="str">
        <f>IF(C17=S13,0.6*SUM(F14,F19:F21)," ")</f>
        <v xml:space="preserve"> </v>
      </c>
      <c r="G17" s="23"/>
      <c r="H17" s="347">
        <f>IF(C17=S13,SUM(H14,H19:H21)*((200-((AA1-9)*25))/100),0)</f>
        <v>0</v>
      </c>
      <c r="I17" s="22"/>
      <c r="J17" s="22"/>
      <c r="K17" s="347" t="str">
        <f>IF(C17=S13,SUM(K14,K19:K21)*3,"")</f>
        <v/>
      </c>
      <c r="L17" s="22"/>
      <c r="M17" s="78"/>
      <c r="P17" s="2"/>
      <c r="Q17" s="46"/>
      <c r="S17" t="s">
        <v>114</v>
      </c>
      <c r="T17">
        <f>0.05*W21</f>
        <v>5</v>
      </c>
      <c r="U17">
        <f>200000*T17</f>
        <v>1000000</v>
      </c>
      <c r="W17">
        <v>0</v>
      </c>
      <c r="AF17" s="1">
        <v>0</v>
      </c>
      <c r="AG17" s="1">
        <v>1</v>
      </c>
      <c r="AH17" s="1">
        <v>2</v>
      </c>
      <c r="AI17" s="1">
        <v>3</v>
      </c>
      <c r="AJ17" s="1">
        <v>4</v>
      </c>
      <c r="AK17" s="1">
        <v>5</v>
      </c>
      <c r="AL17" s="1">
        <v>6</v>
      </c>
      <c r="AM17" s="1">
        <v>7</v>
      </c>
      <c r="AN17" s="1">
        <v>8</v>
      </c>
      <c r="AO17" s="1">
        <v>9</v>
      </c>
      <c r="AP17" s="1">
        <v>10</v>
      </c>
      <c r="AQ17" s="1">
        <v>11</v>
      </c>
      <c r="AR17" s="1">
        <v>12</v>
      </c>
      <c r="AS17" s="1">
        <v>13</v>
      </c>
      <c r="AT17" s="1">
        <v>14</v>
      </c>
      <c r="AU17" s="1">
        <v>15</v>
      </c>
      <c r="AV17" s="1">
        <v>16</v>
      </c>
      <c r="BC17" s="269"/>
      <c r="BD17" s="297"/>
      <c r="BE17" s="293"/>
      <c r="BF17" s="297"/>
      <c r="BG17" s="293"/>
      <c r="BH17" s="297"/>
      <c r="BI17" s="293"/>
      <c r="BJ17" s="297"/>
      <c r="BK17" s="293"/>
      <c r="BL17" s="297"/>
      <c r="BM17" s="293"/>
      <c r="BN17" s="297"/>
      <c r="BO17" s="293"/>
      <c r="BP17" s="297"/>
      <c r="BQ17" s="293"/>
      <c r="BR17" s="297"/>
      <c r="BS17" s="293"/>
      <c r="BT17" s="297"/>
      <c r="BU17" s="293"/>
      <c r="BV17" s="297"/>
      <c r="BW17" s="293"/>
      <c r="BX17" s="297"/>
      <c r="CH17" s="49"/>
    </row>
    <row r="18" spans="1:86" ht="15" thickBot="1" x14ac:dyDescent="0.35">
      <c r="A18" s="22"/>
      <c r="B18" s="102" t="s">
        <v>2256</v>
      </c>
      <c r="C18" s="204" t="s">
        <v>92</v>
      </c>
      <c r="D18" s="22"/>
      <c r="E18" s="22"/>
      <c r="F18" s="23">
        <f>IF(C18="No",0,4*SUM(F14,F17,F19))</f>
        <v>0</v>
      </c>
      <c r="G18" s="23"/>
      <c r="H18" s="347">
        <f>IF(C18="No",0,0.2*SUM(H14,H17,H19))</f>
        <v>0</v>
      </c>
      <c r="I18" s="22"/>
      <c r="J18" s="22"/>
      <c r="K18" s="22"/>
      <c r="L18" s="22"/>
      <c r="M18" s="80" t="s">
        <v>785</v>
      </c>
      <c r="N18" s="22"/>
      <c r="O18" s="22"/>
      <c r="P18" s="319">
        <f>INDEX(AP56:AQ88,MATCH(BA3,AP56:AP88,0),2)</f>
        <v>0</v>
      </c>
      <c r="Q18" s="136"/>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818">
        <f>$H$46/(0.01*BC8)</f>
        <v>0</v>
      </c>
      <c r="BD18" s="798"/>
      <c r="BE18" s="797">
        <f>$H$46/(0.01*BE8)</f>
        <v>0</v>
      </c>
      <c r="BF18" s="798"/>
      <c r="BG18" s="797">
        <f>$H$46/(0.01*BG8)</f>
        <v>0</v>
      </c>
      <c r="BH18" s="798"/>
      <c r="BI18" s="797">
        <f>$H$46/(0.01*BI8)</f>
        <v>0</v>
      </c>
      <c r="BJ18" s="798"/>
      <c r="BK18" s="797">
        <f>$H$46/(0.01*BK8)</f>
        <v>0</v>
      </c>
      <c r="BL18" s="798"/>
      <c r="BM18" s="797">
        <f>$H$46/(0.01*BM8)</f>
        <v>0</v>
      </c>
      <c r="BN18" s="798"/>
      <c r="BO18" s="797">
        <f>$H$46/(0.01*BO8)</f>
        <v>0</v>
      </c>
      <c r="BP18" s="798"/>
      <c r="BQ18" s="797">
        <f>$H$46/(0.01*BQ8)</f>
        <v>0</v>
      </c>
      <c r="BR18" s="798"/>
      <c r="BS18" s="797">
        <f>$H$46/(0.01*BS8)</f>
        <v>0</v>
      </c>
      <c r="BT18" s="798"/>
      <c r="BU18" s="793">
        <f>$H$46/(0.01*BU8)</f>
        <v>0</v>
      </c>
      <c r="BV18" s="794"/>
      <c r="BW18" s="793">
        <f>$H$46/(0.01*BW8)</f>
        <v>0</v>
      </c>
      <c r="BX18" s="794"/>
      <c r="BY18" s="365"/>
      <c r="BZ18" s="365"/>
      <c r="CA18" s="365"/>
      <c r="CB18" s="365"/>
      <c r="CC18" s="365"/>
      <c r="CD18" s="365"/>
      <c r="CE18" s="365"/>
      <c r="CF18" s="365"/>
      <c r="CG18" s="365"/>
      <c r="CH18" s="368"/>
    </row>
    <row r="19" spans="1:86" ht="15" thickBot="1" x14ac:dyDescent="0.35">
      <c r="A19" s="102" t="s">
        <v>806</v>
      </c>
      <c r="B19" s="204" t="s">
        <v>796</v>
      </c>
      <c r="C19" s="22"/>
      <c r="D19" s="22"/>
      <c r="E19" s="22">
        <f>INDEX(S24:W48,MATCH(B19,S24:S48,0),4)</f>
        <v>0</v>
      </c>
      <c r="F19" s="23">
        <f>IF(B14=S2,0,U49)</f>
        <v>0</v>
      </c>
      <c r="G19" s="22"/>
      <c r="H19" s="347">
        <f>IF(B14=S2,0,INDEX(S24:W48,MATCH(B19,S24:S48,0),2)+INDEX(S24:W48,MATCH(B20,S24:S48,0),2)+INDEX(S24:W48,MATCH(B21,S24:S48,0),2))</f>
        <v>0</v>
      </c>
      <c r="I19" s="22"/>
      <c r="J19" s="22"/>
      <c r="K19" s="347">
        <f>IF(B14=S2,0,INDEX(S24:W48,MATCH(B19,S24:S48,0),5)+INDEX(S24:W48,MATCH(B20,S24:S48,0),5)+INDEX(S24:W48,MATCH(B21,S24:S48,0),5))</f>
        <v>0</v>
      </c>
      <c r="L19" s="22"/>
      <c r="M19" s="78"/>
      <c r="P19" s="2"/>
      <c r="Q19" s="46"/>
      <c r="S19" s="44"/>
      <c r="T19" s="45" t="s">
        <v>805</v>
      </c>
      <c r="U19" s="45" t="s">
        <v>61</v>
      </c>
      <c r="V19" s="45" t="s">
        <v>51</v>
      </c>
      <c r="W19" s="47" t="s">
        <v>2344</v>
      </c>
      <c r="X19" t="s">
        <v>2345</v>
      </c>
      <c r="Y19" t="s">
        <v>805</v>
      </c>
      <c r="Z19" t="s">
        <v>61</v>
      </c>
      <c r="AA19" t="s">
        <v>51</v>
      </c>
      <c r="AB19" t="s">
        <v>2344</v>
      </c>
      <c r="AE19" s="9" t="s">
        <v>1653</v>
      </c>
      <c r="AF19">
        <f t="shared" ref="AF19:AQ19" si="0">Tonnage*AF2</f>
        <v>0.5</v>
      </c>
      <c r="AG19">
        <f t="shared" si="0"/>
        <v>1</v>
      </c>
      <c r="AH19">
        <f t="shared" si="0"/>
        <v>2</v>
      </c>
      <c r="AI19">
        <f t="shared" si="0"/>
        <v>3</v>
      </c>
      <c r="AJ19">
        <f t="shared" si="0"/>
        <v>4</v>
      </c>
      <c r="AK19">
        <f t="shared" si="0"/>
        <v>5</v>
      </c>
      <c r="AL19">
        <f t="shared" si="0"/>
        <v>6</v>
      </c>
      <c r="AM19">
        <f t="shared" si="0"/>
        <v>7.0000000000000009</v>
      </c>
      <c r="AN19">
        <f t="shared" si="0"/>
        <v>8</v>
      </c>
      <c r="AO19">
        <f t="shared" si="0"/>
        <v>9</v>
      </c>
      <c r="AP19">
        <f t="shared" si="0"/>
        <v>10</v>
      </c>
      <c r="AQ19">
        <f t="shared" si="0"/>
        <v>11</v>
      </c>
      <c r="BC19" s="269"/>
      <c r="BD19" s="297"/>
      <c r="BE19" s="293"/>
      <c r="BF19" s="297"/>
      <c r="BG19" s="293"/>
      <c r="BH19" s="297"/>
      <c r="BI19" s="293"/>
      <c r="BJ19" s="297"/>
      <c r="BK19" s="293"/>
      <c r="BL19" s="297"/>
      <c r="BM19" s="293"/>
      <c r="BN19" s="297"/>
      <c r="BO19" s="293"/>
      <c r="BP19" s="297"/>
      <c r="BQ19" s="293"/>
      <c r="BR19" s="297"/>
      <c r="BS19" s="293"/>
      <c r="BT19" s="297"/>
      <c r="CH19" s="49"/>
    </row>
    <row r="20" spans="1:86" ht="15" thickBot="1" x14ac:dyDescent="0.35">
      <c r="A20" s="22"/>
      <c r="B20" s="204" t="s">
        <v>796</v>
      </c>
      <c r="C20" s="22"/>
      <c r="D20" s="104" t="s">
        <v>788</v>
      </c>
      <c r="E20" s="22">
        <f>INDEX(S24:W48,MATCH(B20,S24:S48,0),4)</f>
        <v>0</v>
      </c>
      <c r="F20" s="22"/>
      <c r="G20" s="22"/>
      <c r="H20" s="346"/>
      <c r="I20" s="22"/>
      <c r="J20" s="22"/>
      <c r="K20" s="23"/>
      <c r="L20" s="22"/>
      <c r="M20" s="80" t="s">
        <v>852</v>
      </c>
      <c r="N20" s="22"/>
      <c r="O20" s="22"/>
      <c r="P20" s="319">
        <f>MIN(IF(BA2&lt;0.01,0,INDEX(AG2:AQ17,16,MATCH(BA2,AG2:AQ2,0))),BB2)</f>
        <v>0</v>
      </c>
      <c r="Q20" s="136"/>
      <c r="R20" s="22"/>
      <c r="S20" s="80" t="s">
        <v>2341</v>
      </c>
      <c r="T20" s="22">
        <f>IF(C11="No",U107,BF25)</f>
        <v>100</v>
      </c>
      <c r="U20" s="22">
        <f>IF(C11="No",U110,BF26)</f>
        <v>100</v>
      </c>
      <c r="V20" s="22">
        <f>IF(C11="No",U113,BF27)</f>
        <v>100</v>
      </c>
      <c r="W20" s="136"/>
      <c r="X20" s="22"/>
      <c r="Y20" s="22">
        <f>INDEX(S2:T4,MATCH(B14,S2:S4,0),2)+INDEX(S69:T70,MATCH(B46,S69:S70,0),2)</f>
        <v>0</v>
      </c>
      <c r="Z20" s="22">
        <f>INDEX(S2:T4,MATCH(B23,S2:S4,0),2)+INDEX(S14:T15,MATCH(B37,S14:S15,0),2)</f>
        <v>0</v>
      </c>
      <c r="AA20" s="22">
        <f>INDEX(S5:T11,MATCH(B29,S5:S11,0),2)+INDEX(S5:T11,MATCH(B56,S5:S11,0),2)-IF(D29=0,0,5)-IF(D56=0,0,5)</f>
        <v>0</v>
      </c>
      <c r="AB20" s="22"/>
      <c r="AC20" s="22"/>
      <c r="AD20" s="22"/>
      <c r="AE20" s="400" t="s">
        <v>1650</v>
      </c>
      <c r="AF20" s="22">
        <f t="shared" ref="AF20:AV20" si="1">Tonnage*AF4</f>
        <v>1</v>
      </c>
      <c r="AG20" s="22">
        <f t="shared" si="1"/>
        <v>2</v>
      </c>
      <c r="AH20" s="22">
        <f t="shared" si="1"/>
        <v>4</v>
      </c>
      <c r="AI20" s="22">
        <f t="shared" si="1"/>
        <v>6</v>
      </c>
      <c r="AJ20" s="22">
        <f t="shared" si="1"/>
        <v>8</v>
      </c>
      <c r="AK20" s="22">
        <f t="shared" si="1"/>
        <v>10</v>
      </c>
      <c r="AL20" s="22">
        <f t="shared" si="1"/>
        <v>12</v>
      </c>
      <c r="AM20" s="22">
        <f t="shared" si="1"/>
        <v>14.000000000000002</v>
      </c>
      <c r="AN20" s="22">
        <f t="shared" si="1"/>
        <v>16</v>
      </c>
      <c r="AO20" s="22">
        <f t="shared" si="1"/>
        <v>18</v>
      </c>
      <c r="AP20" s="22">
        <f t="shared" si="1"/>
        <v>20</v>
      </c>
      <c r="AQ20" s="22">
        <f t="shared" si="1"/>
        <v>22</v>
      </c>
      <c r="AR20" s="22">
        <f t="shared" si="1"/>
        <v>24</v>
      </c>
      <c r="AS20" s="22">
        <f t="shared" si="1"/>
        <v>26</v>
      </c>
      <c r="AT20" s="22">
        <f t="shared" si="1"/>
        <v>28.000000000000004</v>
      </c>
      <c r="AU20" s="22">
        <f t="shared" si="1"/>
        <v>30</v>
      </c>
      <c r="AV20" s="22">
        <f t="shared" si="1"/>
        <v>32</v>
      </c>
      <c r="AW20" s="22"/>
      <c r="AX20" s="22"/>
      <c r="AY20" s="22"/>
      <c r="AZ20" s="22"/>
      <c r="BA20" s="22"/>
      <c r="BB20" s="22"/>
      <c r="BC20" s="819">
        <f>($H$56-5)/(0.025*BC8)</f>
        <v>-200</v>
      </c>
      <c r="BD20" s="800"/>
      <c r="BE20" s="799">
        <f>($H$56-5)/(0.025*BE8)</f>
        <v>-100</v>
      </c>
      <c r="BF20" s="800"/>
      <c r="BG20" s="799">
        <f>($H$56-5)/(0.025*BG8)</f>
        <v>-66.666666666666657</v>
      </c>
      <c r="BH20" s="800"/>
      <c r="BI20" s="799">
        <f>($H$56-5)/(0.025*BI8)</f>
        <v>-50</v>
      </c>
      <c r="BJ20" s="800"/>
      <c r="BK20" s="799">
        <f>($H$56-5)/(0.025*BK8)</f>
        <v>-40</v>
      </c>
      <c r="BL20" s="800"/>
      <c r="BM20" s="799">
        <f>($H$56-5)/(0.025*BM8)</f>
        <v>-33.333333333333329</v>
      </c>
      <c r="BN20" s="800"/>
      <c r="BO20" s="799">
        <f>($H$56-5)/(0.025*BO8)</f>
        <v>-28.571428571428569</v>
      </c>
      <c r="BP20" s="800"/>
      <c r="BQ20" s="799">
        <f>($H$56-5)/(0.025*BQ8)</f>
        <v>-25</v>
      </c>
      <c r="BR20" s="800"/>
      <c r="BS20" s="799">
        <f>($H$56-5)/(0.025*BS8)</f>
        <v>-22.222222222222221</v>
      </c>
      <c r="BT20" s="800"/>
      <c r="BU20" s="369"/>
      <c r="BV20" s="369"/>
      <c r="BW20" s="369"/>
      <c r="BX20" s="369"/>
      <c r="BY20" s="369"/>
      <c r="BZ20" s="369"/>
      <c r="CA20" s="369"/>
      <c r="CB20" s="369"/>
      <c r="CC20" s="369"/>
      <c r="CD20" s="369"/>
      <c r="CE20" s="369"/>
      <c r="CF20" s="369"/>
      <c r="CG20" s="369"/>
      <c r="CH20" s="370"/>
    </row>
    <row r="21" spans="1:86" ht="15" thickBot="1" x14ac:dyDescent="0.35">
      <c r="A21" s="22"/>
      <c r="B21" s="204" t="s">
        <v>796</v>
      </c>
      <c r="C21" s="22"/>
      <c r="D21" s="27">
        <f>INDEX(S24:AA49,MATCH(B19,S24:S49,0),9)+INDEX(S24:AA49,MATCH(B20,S24:S49,0),9)+INDEX(S24:AA49,MATCH(B21,S24:S49,0),9)</f>
        <v>0</v>
      </c>
      <c r="E21" s="22">
        <f>INDEX(S24:W48,MATCH(B21,S24:S48,0),4)</f>
        <v>0</v>
      </c>
      <c r="F21" s="22"/>
      <c r="G21" s="22"/>
      <c r="H21" s="346"/>
      <c r="I21" s="22"/>
      <c r="J21" s="22"/>
      <c r="K21" s="23"/>
      <c r="L21" s="22"/>
      <c r="M21" s="78"/>
      <c r="P21" s="2"/>
      <c r="Q21" s="46"/>
      <c r="S21" s="86" t="s">
        <v>2342</v>
      </c>
      <c r="T21" s="28">
        <f>IF(C11="No",U107,BF29)</f>
        <v>100</v>
      </c>
      <c r="U21" s="28">
        <f>IF(C11="No",U110,BF30)</f>
        <v>100</v>
      </c>
      <c r="V21" s="28">
        <f>IF(C11="No",U113,BF31)</f>
        <v>100</v>
      </c>
      <c r="W21" s="79">
        <f>IF(C11="No",U110,BF32)</f>
        <v>100</v>
      </c>
      <c r="AB21" s="9" t="s">
        <v>2351</v>
      </c>
      <c r="AC21" s="2">
        <f>IF(RIGHT('6-Comp'!B32,1)="",0,RIGHT('6-Comp'!B32,1))</f>
        <v>0</v>
      </c>
      <c r="AD21">
        <f>INDEX(X10:AC16,MATCH(B29,X10:X16,0),6)</f>
        <v>2</v>
      </c>
      <c r="AE21" s="9" t="s">
        <v>2346</v>
      </c>
      <c r="AF21">
        <v>0</v>
      </c>
      <c r="AG21">
        <f t="shared" ref="AG21:AO21" si="2">IF(AD21=1,Tonnage*AG7,MAX(10,(Tonnage*AG9)))</f>
        <v>10</v>
      </c>
      <c r="AH21">
        <f t="shared" si="2"/>
        <v>10</v>
      </c>
      <c r="AI21">
        <f t="shared" si="2"/>
        <v>10</v>
      </c>
      <c r="AJ21">
        <f t="shared" si="2"/>
        <v>10</v>
      </c>
      <c r="AK21">
        <f t="shared" si="2"/>
        <v>12.5</v>
      </c>
      <c r="AL21">
        <f t="shared" si="2"/>
        <v>15</v>
      </c>
      <c r="AM21">
        <f t="shared" si="2"/>
        <v>17.5</v>
      </c>
      <c r="AN21">
        <f t="shared" si="2"/>
        <v>20</v>
      </c>
      <c r="AO21">
        <f t="shared" si="2"/>
        <v>22.5</v>
      </c>
      <c r="AP21" t="e">
        <f>AC21-BJ27</f>
        <v>#VALUE!</v>
      </c>
    </row>
    <row r="22" spans="1:86" ht="15" thickBot="1" x14ac:dyDescent="0.35">
      <c r="F22" s="4"/>
      <c r="H22" s="2"/>
      <c r="K22" s="10"/>
      <c r="M22" s="81" t="s">
        <v>786</v>
      </c>
      <c r="N22" s="82"/>
      <c r="O22" s="82"/>
      <c r="P22" s="319">
        <f>MIN(IF(H56&lt;10.000001,MIN(D56,INDEX(AX6:BA12,MATCH(B56,AX6:AX12,0),3)),INDEX(AX6:BA12,MATCH(B56,AX6:AX12,0),3)),BB4)</f>
        <v>0</v>
      </c>
      <c r="Q22" s="363"/>
      <c r="R22" s="22"/>
      <c r="X22" s="3" t="s">
        <v>780</v>
      </c>
      <c r="Y22" s="3"/>
      <c r="Z22" s="3"/>
      <c r="AB22" s="3" t="s">
        <v>635</v>
      </c>
      <c r="AK22" s="3" t="s">
        <v>781</v>
      </c>
      <c r="AL22" s="3"/>
      <c r="AM22" s="3"/>
      <c r="AS22" s="3" t="s">
        <v>61</v>
      </c>
      <c r="AT22" s="3"/>
      <c r="AW22" s="3"/>
      <c r="AX22" s="3" t="s">
        <v>735</v>
      </c>
    </row>
    <row r="23" spans="1:86" ht="15" thickBot="1" x14ac:dyDescent="0.35">
      <c r="A23" s="7" t="s">
        <v>55</v>
      </c>
      <c r="B23" s="251" t="s">
        <v>794</v>
      </c>
      <c r="C23" s="7" t="s">
        <v>50</v>
      </c>
      <c r="D23" s="197">
        <v>0</v>
      </c>
      <c r="E23">
        <f>INDEX(S2:V4,MATCH(B23,S2:S4,0),4)+SUM(E25:E27)</f>
        <v>0</v>
      </c>
      <c r="F23" s="4">
        <f>INDEX(S2:U4,MATCH(B23,S2:S4,0),3)*'Ship Info'!G31</f>
        <v>0</v>
      </c>
      <c r="H23" s="10">
        <f>INDEX(S2:T4,MATCH(B23,S2:S4,0),2)</f>
        <v>0</v>
      </c>
      <c r="I23" s="2"/>
      <c r="K23" s="10"/>
      <c r="S23" s="3" t="s">
        <v>802</v>
      </c>
      <c r="T23" s="3" t="s">
        <v>2</v>
      </c>
      <c r="U23" s="3" t="s">
        <v>1</v>
      </c>
      <c r="V23" s="3" t="s">
        <v>26</v>
      </c>
      <c r="W23" s="3" t="s">
        <v>255</v>
      </c>
      <c r="X23" s="1" t="s">
        <v>110</v>
      </c>
      <c r="Y23" s="1" t="s">
        <v>524</v>
      </c>
      <c r="Z23" s="1" t="s">
        <v>736</v>
      </c>
      <c r="AA23" s="1" t="s">
        <v>803</v>
      </c>
      <c r="AB23" s="3" t="s">
        <v>116</v>
      </c>
      <c r="AE23" s="1" t="s">
        <v>110</v>
      </c>
      <c r="AF23" s="1" t="s">
        <v>1</v>
      </c>
      <c r="AG23" s="1" t="s">
        <v>66</v>
      </c>
      <c r="AH23" s="1" t="s">
        <v>26</v>
      </c>
      <c r="AI23" s="1" t="s">
        <v>255</v>
      </c>
      <c r="AJ23" s="1" t="s">
        <v>383</v>
      </c>
      <c r="AK23" s="1" t="s">
        <v>110</v>
      </c>
      <c r="AL23" s="1" t="s">
        <v>1</v>
      </c>
      <c r="AM23" s="1" t="s">
        <v>54</v>
      </c>
      <c r="AN23" s="3" t="s">
        <v>116</v>
      </c>
      <c r="AS23" s="1" t="s">
        <v>110</v>
      </c>
      <c r="AT23" s="1" t="s">
        <v>524</v>
      </c>
      <c r="AU23" s="3" t="s">
        <v>66</v>
      </c>
      <c r="AV23" t="s">
        <v>26</v>
      </c>
      <c r="AW23" s="1" t="s">
        <v>116</v>
      </c>
      <c r="AX23" s="1" t="s">
        <v>811</v>
      </c>
      <c r="AY23" s="1" t="s">
        <v>1</v>
      </c>
      <c r="AZ23" s="1" t="s">
        <v>66</v>
      </c>
      <c r="BA23" s="1"/>
      <c r="BC23" s="83"/>
      <c r="BD23" s="495" t="s">
        <v>2330</v>
      </c>
      <c r="BE23" s="84"/>
      <c r="BF23" s="84"/>
      <c r="BG23" s="84"/>
      <c r="BH23" s="84"/>
      <c r="BI23" s="84"/>
      <c r="BJ23" s="84"/>
      <c r="BK23" s="84"/>
      <c r="BL23" s="85"/>
    </row>
    <row r="24" spans="1:86" ht="15" thickBot="1" x14ac:dyDescent="0.35">
      <c r="B24" s="1" t="s">
        <v>91</v>
      </c>
      <c r="C24" s="196" t="s">
        <v>92</v>
      </c>
      <c r="F24" s="4" t="str">
        <f>IF(C24=S13,200000*H24," ")</f>
        <v xml:space="preserve"> </v>
      </c>
      <c r="H24" s="10" t="str">
        <f>IF(C24=S13,0.1*(H23+H25)," ")</f>
        <v xml:space="preserve"> </v>
      </c>
      <c r="K24" s="10"/>
      <c r="M24" t="s">
        <v>822</v>
      </c>
      <c r="S24" s="44" t="s">
        <v>796</v>
      </c>
      <c r="T24" s="45">
        <v>0</v>
      </c>
      <c r="U24" s="45">
        <v>0</v>
      </c>
      <c r="V24" s="45">
        <v>0</v>
      </c>
      <c r="W24" s="45">
        <v>0</v>
      </c>
      <c r="X24" s="44">
        <v>0</v>
      </c>
      <c r="Y24" s="45">
        <v>0</v>
      </c>
      <c r="Z24" s="87">
        <v>0</v>
      </c>
      <c r="AA24" s="89">
        <v>0</v>
      </c>
      <c r="AB24" s="44" t="s">
        <v>796</v>
      </c>
      <c r="AC24" s="45"/>
      <c r="AD24" s="45"/>
      <c r="AE24" s="45">
        <v>0</v>
      </c>
      <c r="AF24" s="45">
        <v>0</v>
      </c>
      <c r="AG24" s="45">
        <v>0</v>
      </c>
      <c r="AH24" s="45">
        <v>0</v>
      </c>
      <c r="AI24" s="45">
        <v>0</v>
      </c>
      <c r="AJ24" s="45">
        <v>0</v>
      </c>
      <c r="AK24" s="45">
        <v>0</v>
      </c>
      <c r="AL24" s="45">
        <v>0</v>
      </c>
      <c r="AM24" s="47">
        <v>0</v>
      </c>
      <c r="AN24" s="44" t="s">
        <v>796</v>
      </c>
      <c r="AO24" s="45"/>
      <c r="AP24" s="45"/>
      <c r="AQ24" s="45"/>
      <c r="AR24" s="45"/>
      <c r="AS24" s="45">
        <v>0</v>
      </c>
      <c r="AT24" s="45">
        <v>0</v>
      </c>
      <c r="AU24" s="45">
        <v>0</v>
      </c>
      <c r="AV24" s="47">
        <v>0</v>
      </c>
      <c r="AW24" s="1">
        <v>0</v>
      </c>
      <c r="AX24" s="98">
        <v>0</v>
      </c>
      <c r="AY24" s="99">
        <v>0</v>
      </c>
      <c r="AZ24" s="100">
        <v>0</v>
      </c>
      <c r="BA24" s="1"/>
      <c r="BC24" s="78"/>
      <c r="BG24" s="2" t="s">
        <v>2338</v>
      </c>
      <c r="BJ24" s="2" t="s">
        <v>2340</v>
      </c>
      <c r="BL24" s="46"/>
    </row>
    <row r="25" spans="1:86" ht="15" thickBot="1" x14ac:dyDescent="0.35">
      <c r="A25" s="7" t="s">
        <v>807</v>
      </c>
      <c r="B25" s="196" t="s">
        <v>796</v>
      </c>
      <c r="E25">
        <f>INDEX(AN24:AZ42,MATCH(B25,AN24:AN42,0),9)</f>
        <v>0</v>
      </c>
      <c r="F25" s="4">
        <f>IF(B23=T12,0,AT47)</f>
        <v>0</v>
      </c>
      <c r="H25" s="10">
        <f>IF(B23=T12,0,INDEX(AN24:AZ42,MATCH(B25,AN24:AN42,0),6)+INDEX(AN24:AZ42,MATCH(B26,AN24:AN42,0),6)+INDEX(AN24:AZ42,MATCH(B27,AN24:AN42,0),6))</f>
        <v>0</v>
      </c>
      <c r="K25" s="10"/>
      <c r="M25" s="83" t="s">
        <v>813</v>
      </c>
      <c r="N25" s="732"/>
      <c r="O25" s="790"/>
      <c r="P25" s="790"/>
      <c r="Q25" s="790"/>
      <c r="R25" s="733"/>
      <c r="S25" s="78" t="s">
        <v>2122</v>
      </c>
      <c r="T25">
        <f>0.25*T3</f>
        <v>0.125</v>
      </c>
      <c r="U25">
        <f>-0.25*F14</f>
        <v>0</v>
      </c>
      <c r="V25">
        <v>0</v>
      </c>
      <c r="W25">
        <v>0</v>
      </c>
      <c r="X25" s="78">
        <f>0.25*T70</f>
        <v>0.125</v>
      </c>
      <c r="Y25">
        <f>-0.25*(F46+F50)</f>
        <v>0</v>
      </c>
      <c r="Z25" s="88">
        <v>0</v>
      </c>
      <c r="AA25" s="90">
        <v>3</v>
      </c>
      <c r="AB25" s="78" t="s">
        <v>2122</v>
      </c>
      <c r="AE25">
        <f>0.25*INDEX(S5:W11,MATCH(B29,S5:S11,0),2)</f>
        <v>0</v>
      </c>
      <c r="AF25">
        <f>-0.25*F29</f>
        <v>0</v>
      </c>
      <c r="AG25">
        <v>0</v>
      </c>
      <c r="AH25">
        <v>0</v>
      </c>
      <c r="AI25">
        <v>0</v>
      </c>
      <c r="AJ25">
        <v>3</v>
      </c>
      <c r="AK25">
        <f>0.25*INDEX(X10:AB16,MATCH(B56,X10:X16,0),2)</f>
        <v>0</v>
      </c>
      <c r="AL25">
        <f>-0.25*F56</f>
        <v>0</v>
      </c>
      <c r="AM25" s="46">
        <v>0</v>
      </c>
      <c r="AN25" s="78" t="s">
        <v>2122</v>
      </c>
      <c r="AS25">
        <f>0.25*T4</f>
        <v>0.25</v>
      </c>
      <c r="AT25">
        <f>-0.25*U4</f>
        <v>-50000</v>
      </c>
      <c r="AU25">
        <v>0</v>
      </c>
      <c r="AV25" s="46">
        <v>0</v>
      </c>
      <c r="AW25" s="2">
        <v>3</v>
      </c>
      <c r="AX25" s="92">
        <f>0.25*T15</f>
        <v>0.25</v>
      </c>
      <c r="AY25" s="2">
        <f>-0.25*U15</f>
        <v>-50000</v>
      </c>
      <c r="AZ25" s="88">
        <v>0</v>
      </c>
      <c r="BC25" s="80"/>
      <c r="BD25" s="22"/>
      <c r="BE25" s="400" t="s">
        <v>2331</v>
      </c>
      <c r="BF25" s="739">
        <v>0</v>
      </c>
      <c r="BG25" s="817"/>
      <c r="BH25" s="740"/>
      <c r="BI25" s="22"/>
      <c r="BJ25" s="582" t="str">
        <f>IF(C11="No","N/A",IF(Y20=0,"N/A",IF(Y20&gt;=AQ19,11,IF(Y20&gt;=AP19,10,IF(Y20&gt;=AO19,9,IF(Y20&gt;=AN19,8,IF(Y20&gt;=AM19,7,IF(Y20&gt;=AL19,6,IF(Y20&gt;=AK19,5,IF(Y20&gt;=AJ19,4,IF(Y20&gt;=AI19,3,IF(Y20&gt;=AH19,2,IF(Y20&gt;=AG19,1,IF(Y20&gt;=AF19,0,"N/A"))))))))))))))</f>
        <v>N/A</v>
      </c>
      <c r="BL25" s="46"/>
    </row>
    <row r="26" spans="1:86" ht="15" thickBot="1" x14ac:dyDescent="0.35">
      <c r="B26" s="196" t="s">
        <v>796</v>
      </c>
      <c r="D26" s="52" t="s">
        <v>788</v>
      </c>
      <c r="E26">
        <f>INDEX(AN24:AZ42,MATCH(B26,AN24:AN42,0),9)</f>
        <v>0</v>
      </c>
      <c r="H26" s="4"/>
      <c r="K26" s="4"/>
      <c r="M26" s="83"/>
      <c r="N26" s="93" t="s">
        <v>820</v>
      </c>
      <c r="O26" s="93"/>
      <c r="P26" s="94"/>
      <c r="Q26" s="57"/>
      <c r="R26" s="94"/>
      <c r="S26" s="78" t="s">
        <v>854</v>
      </c>
      <c r="T26">
        <v>0</v>
      </c>
      <c r="U26">
        <f>-0.25*F14</f>
        <v>0</v>
      </c>
      <c r="V26">
        <v>0</v>
      </c>
      <c r="W26">
        <f>0.3*W3</f>
        <v>0.75</v>
      </c>
      <c r="X26" s="78">
        <v>0</v>
      </c>
      <c r="Y26">
        <f>-0.25*(F46+F50)</f>
        <v>0</v>
      </c>
      <c r="Z26" s="88">
        <f>0.3*W70</f>
        <v>0.75</v>
      </c>
      <c r="AA26" s="90">
        <v>3</v>
      </c>
      <c r="AB26" s="78" t="s">
        <v>854</v>
      </c>
      <c r="AE26">
        <v>0</v>
      </c>
      <c r="AF26">
        <f>-0.25*F29</f>
        <v>0</v>
      </c>
      <c r="AG26">
        <v>0</v>
      </c>
      <c r="AH26">
        <v>0</v>
      </c>
      <c r="AI26">
        <f>0.3*INDEX(S5:W11,MATCH(B29,S5:S11,0),5)</f>
        <v>0</v>
      </c>
      <c r="AJ26">
        <v>3</v>
      </c>
      <c r="AK26">
        <v>0</v>
      </c>
      <c r="AL26">
        <f>-0.25*F56</f>
        <v>0</v>
      </c>
      <c r="AM26" s="46">
        <f>0.3*INDEX(X10:AB16,MATCH(B56,X10:X16,0),5)</f>
        <v>0</v>
      </c>
      <c r="AN26" s="78" t="s">
        <v>2142</v>
      </c>
      <c r="AS26">
        <v>0</v>
      </c>
      <c r="AT26">
        <f>-0.25*U4</f>
        <v>-50000</v>
      </c>
      <c r="AU26">
        <v>0.25</v>
      </c>
      <c r="AV26" s="46">
        <v>0</v>
      </c>
      <c r="AW26" s="2">
        <v>3</v>
      </c>
      <c r="AX26" s="92">
        <v>0</v>
      </c>
      <c r="AY26" s="2">
        <f>-0.25*U15</f>
        <v>-50000</v>
      </c>
      <c r="AZ26" s="88">
        <v>0.25</v>
      </c>
      <c r="BC26" s="78"/>
      <c r="BE26" s="9" t="s">
        <v>2334</v>
      </c>
      <c r="BF26" s="732">
        <v>0</v>
      </c>
      <c r="BG26" s="790"/>
      <c r="BH26" s="733"/>
      <c r="BJ26" s="580" t="str">
        <f>IF(C11="No","N/A",IF(Z20=0,"N/A",IF(Z20&gt;=AV20,16,IF(Z20&gt;=AU20,15,IF(Z20&gt;=AT20,14,IF(Z20&gt;=AS20,13,IF(Z20&gt;=AR20,12,IF(Z20&gt;=AQ20,11,IF(Z20&gt;=AP20,10,IF(Z20&gt;=AO20,9,IF(Z20&gt;=AN20,8,IF(Z20&gt;=AM20,7,IF(Z20&gt;=AL20,6,IF(Z20&gt;=AK20,5,IF(Z20&gt;=AJ20,4,IF(Z20&gt;=AI20,3,IF(Z20&gt;=AH20,2,IF(Z20&gt;=AG20,1,IF(Z20&gt;=AF20,0,"N/A")))))))))))))))))))</f>
        <v>N/A</v>
      </c>
      <c r="BL26" s="46"/>
    </row>
    <row r="27" spans="1:86" ht="15" thickBot="1" x14ac:dyDescent="0.35">
      <c r="B27" s="196" t="s">
        <v>796</v>
      </c>
      <c r="D27" s="2">
        <f>INDEX(AN24:AZ42,MATCH(B25,AN24:AN42,0),10)+INDEX(AN24:AZ42,MATCH(B26,AN24:AN42,0),10)+INDEX(AN24:AZ42,MATCH(B27,AN24:AN42,0),10)</f>
        <v>0</v>
      </c>
      <c r="E27">
        <f>INDEX(AN24:AZ42,MATCH(B27,AN24:AN42,0),9)</f>
        <v>0</v>
      </c>
      <c r="H27" s="4"/>
      <c r="K27" s="4"/>
      <c r="M27" s="95" t="s">
        <v>821</v>
      </c>
      <c r="N27" s="93" t="s">
        <v>1</v>
      </c>
      <c r="O27" s="57" t="s">
        <v>54</v>
      </c>
      <c r="P27" s="96" t="s">
        <v>66</v>
      </c>
      <c r="Q27" s="93" t="s">
        <v>26</v>
      </c>
      <c r="R27" s="96" t="s">
        <v>817</v>
      </c>
      <c r="S27" s="78" t="s">
        <v>797</v>
      </c>
      <c r="T27">
        <v>0</v>
      </c>
      <c r="U27">
        <f>-0.25*F14</f>
        <v>0</v>
      </c>
      <c r="V27">
        <v>0</v>
      </c>
      <c r="W27">
        <v>0</v>
      </c>
      <c r="X27" s="78">
        <v>0</v>
      </c>
      <c r="Y27">
        <f>-0.25*(F46+F50)</f>
        <v>0</v>
      </c>
      <c r="Z27" s="88">
        <v>0</v>
      </c>
      <c r="AA27" s="90">
        <v>3</v>
      </c>
      <c r="AB27" s="78" t="s">
        <v>2296</v>
      </c>
      <c r="AE27">
        <v>0</v>
      </c>
      <c r="AF27">
        <f>-0.1*F29</f>
        <v>0</v>
      </c>
      <c r="AG27">
        <v>0</v>
      </c>
      <c r="AH27">
        <v>1</v>
      </c>
      <c r="AI27">
        <v>0</v>
      </c>
      <c r="AJ27">
        <v>3</v>
      </c>
      <c r="AK27">
        <v>0</v>
      </c>
      <c r="AL27">
        <f>-0.1*F56</f>
        <v>0</v>
      </c>
      <c r="AM27" s="46">
        <v>0</v>
      </c>
      <c r="AN27" s="78" t="s">
        <v>2296</v>
      </c>
      <c r="AS27">
        <v>0</v>
      </c>
      <c r="AT27">
        <f>-0.1*U4</f>
        <v>-20000</v>
      </c>
      <c r="AU27">
        <v>0</v>
      </c>
      <c r="AV27" s="46">
        <v>1</v>
      </c>
      <c r="AW27" s="2">
        <v>3</v>
      </c>
      <c r="AX27" s="92">
        <v>0</v>
      </c>
      <c r="AY27" s="2">
        <f>-0.1*U15</f>
        <v>-20000</v>
      </c>
      <c r="AZ27" s="88">
        <v>0</v>
      </c>
      <c r="BC27" s="80"/>
      <c r="BD27" s="22"/>
      <c r="BE27" s="400" t="s">
        <v>2333</v>
      </c>
      <c r="BF27" s="739">
        <v>0</v>
      </c>
      <c r="BG27" s="817"/>
      <c r="BH27" s="740"/>
      <c r="BI27" s="22"/>
      <c r="BJ27" s="582" t="str">
        <f>IF(C11="No","N/A",IF(AA20=0,"N/A",IF(AA20&gt;=AO21,9,IF(AA20&gt;=AN21,8,IF(AA20&gt;=AM21,7,IF(AA20&gt;=AL21,6,IF(AA20&gt;=AK21,5,IF(AA20&gt;=AJ21,4,IF(AA20&gt;=AI21,3,IF(AA20&gt;=AH21,2,IF(AA20&gt;=AG21,1,IF(AA20&gt;=AF21,0,"N/A"))))))))))))</f>
        <v>N/A</v>
      </c>
      <c r="BK27" t="str">
        <f>IF(BJ27="N/A","",IF(AP21&lt;0,"Limited to J"&amp;AC21,""))</f>
        <v/>
      </c>
      <c r="BL27" s="46"/>
    </row>
    <row r="28" spans="1:86" ht="15" thickBot="1" x14ac:dyDescent="0.35">
      <c r="H28" s="4"/>
      <c r="K28" s="4"/>
      <c r="M28" s="507">
        <v>0</v>
      </c>
      <c r="N28" s="507">
        <v>0</v>
      </c>
      <c r="O28" s="219">
        <v>0</v>
      </c>
      <c r="P28" s="507">
        <v>0</v>
      </c>
      <c r="Q28" s="197"/>
      <c r="R28" s="197"/>
      <c r="S28" s="78" t="s">
        <v>2296</v>
      </c>
      <c r="T28">
        <v>0</v>
      </c>
      <c r="U28">
        <f>-0.1*F14</f>
        <v>0</v>
      </c>
      <c r="V28">
        <v>1</v>
      </c>
      <c r="W28">
        <v>0</v>
      </c>
      <c r="X28" s="78">
        <v>0</v>
      </c>
      <c r="Y28">
        <f>-0.1*(F46+F50)</f>
        <v>0</v>
      </c>
      <c r="Z28" s="88">
        <v>0</v>
      </c>
      <c r="AA28" s="90">
        <v>3</v>
      </c>
      <c r="AB28" s="78" t="s">
        <v>2297</v>
      </c>
      <c r="AE28">
        <v>0</v>
      </c>
      <c r="AF28">
        <f>-0.2*F29</f>
        <v>0</v>
      </c>
      <c r="AG28">
        <v>0</v>
      </c>
      <c r="AH28">
        <v>2</v>
      </c>
      <c r="AI28">
        <v>0</v>
      </c>
      <c r="AJ28">
        <v>3</v>
      </c>
      <c r="AK28">
        <v>0</v>
      </c>
      <c r="AL28">
        <f>-0.2*F56</f>
        <v>0</v>
      </c>
      <c r="AM28" s="46">
        <v>0</v>
      </c>
      <c r="AN28" s="78" t="s">
        <v>2297</v>
      </c>
      <c r="AS28">
        <v>0</v>
      </c>
      <c r="AT28">
        <f>-0.15*U4</f>
        <v>-30000</v>
      </c>
      <c r="AU28">
        <v>0</v>
      </c>
      <c r="AV28" s="46">
        <v>2</v>
      </c>
      <c r="AW28" s="2">
        <v>3</v>
      </c>
      <c r="AX28" s="92">
        <v>0</v>
      </c>
      <c r="AY28" s="2">
        <f>-0.15*U15</f>
        <v>-30000</v>
      </c>
      <c r="AZ28" s="88">
        <v>0</v>
      </c>
      <c r="BC28" s="78"/>
      <c r="BE28" s="9"/>
      <c r="BG28" s="2" t="s">
        <v>2339</v>
      </c>
      <c r="BJ28" s="2"/>
      <c r="BL28" s="46"/>
    </row>
    <row r="29" spans="1:86" ht="15" thickBot="1" x14ac:dyDescent="0.35">
      <c r="A29" s="102" t="s">
        <v>2332</v>
      </c>
      <c r="B29" s="251" t="s">
        <v>823</v>
      </c>
      <c r="C29" s="102" t="s">
        <v>50</v>
      </c>
      <c r="D29" s="203">
        <v>0</v>
      </c>
      <c r="E29" s="22">
        <f>INDEX(S5:W11,MATCH(B29,S5:S11,0),4)+SUM(E32:E34)</f>
        <v>0</v>
      </c>
      <c r="F29" s="23">
        <f>IF(D29=0,0,INDEX(S5:W11,MATCH(B29,S5:S11,0),3))*'Ship Info'!G31</f>
        <v>0</v>
      </c>
      <c r="G29" s="22"/>
      <c r="H29" s="347">
        <f>IF(D29=0,0,INDEX(S5:W11,MATCH(B29,S5:S11,0),2))</f>
        <v>0</v>
      </c>
      <c r="I29" s="27"/>
      <c r="J29" s="22"/>
      <c r="K29" s="347">
        <f>INDEX(S5:W11,MATCH(B29,S5:S11,0),5)</f>
        <v>0</v>
      </c>
      <c r="L29" s="22"/>
      <c r="M29" s="199"/>
      <c r="N29" s="60"/>
      <c r="O29" s="200"/>
      <c r="P29" s="60"/>
      <c r="Q29" s="201"/>
      <c r="R29" s="97">
        <f>IF(N28=0,R28,3)</f>
        <v>0</v>
      </c>
      <c r="S29" s="78" t="s">
        <v>2297</v>
      </c>
      <c r="T29">
        <v>0</v>
      </c>
      <c r="U29">
        <f>-0.15*F14</f>
        <v>0</v>
      </c>
      <c r="V29">
        <v>2</v>
      </c>
      <c r="W29">
        <v>0</v>
      </c>
      <c r="X29" s="78">
        <v>0</v>
      </c>
      <c r="Y29">
        <f>-0.15*(F46+F50)</f>
        <v>0</v>
      </c>
      <c r="Z29" s="88">
        <v>0</v>
      </c>
      <c r="AA29" s="90">
        <v>3</v>
      </c>
      <c r="AB29" s="78" t="s">
        <v>2298</v>
      </c>
      <c r="AE29">
        <v>0</v>
      </c>
      <c r="AF29">
        <f>-0.3*F29</f>
        <v>0</v>
      </c>
      <c r="AG29">
        <v>0</v>
      </c>
      <c r="AH29">
        <v>3</v>
      </c>
      <c r="AI29">
        <v>0</v>
      </c>
      <c r="AJ29">
        <v>3</v>
      </c>
      <c r="AK29">
        <v>0</v>
      </c>
      <c r="AL29">
        <f>-0.3*F56</f>
        <v>0</v>
      </c>
      <c r="AM29" s="46">
        <v>0</v>
      </c>
      <c r="AN29" s="78" t="s">
        <v>2298</v>
      </c>
      <c r="AS29">
        <v>0</v>
      </c>
      <c r="AT29">
        <f>-0.2*U4</f>
        <v>-40000</v>
      </c>
      <c r="AU29">
        <v>0</v>
      </c>
      <c r="AV29" s="46">
        <v>3</v>
      </c>
      <c r="AW29" s="2">
        <v>3</v>
      </c>
      <c r="AX29" s="92">
        <v>0</v>
      </c>
      <c r="AY29" s="2">
        <f>-0.2*U15</f>
        <v>-40000</v>
      </c>
      <c r="AZ29" s="88">
        <v>0</v>
      </c>
      <c r="BC29" s="78"/>
      <c r="BE29" s="9" t="s">
        <v>2336</v>
      </c>
      <c r="BF29" s="732">
        <v>0</v>
      </c>
      <c r="BG29" s="790"/>
      <c r="BH29" s="733"/>
      <c r="BJ29" s="2"/>
      <c r="BL29" s="46"/>
    </row>
    <row r="30" spans="1:86" ht="15" thickBot="1" x14ac:dyDescent="0.35">
      <c r="A30" s="22"/>
      <c r="B30" s="103" t="s">
        <v>90</v>
      </c>
      <c r="C30" s="204" t="s">
        <v>92</v>
      </c>
      <c r="D30" s="27"/>
      <c r="E30" s="22"/>
      <c r="F30" s="23" t="str">
        <f>IF(C30=S13,0.5*(F29+F32)," ")</f>
        <v xml:space="preserve"> </v>
      </c>
      <c r="G30" s="22"/>
      <c r="H30" s="347"/>
      <c r="I30" s="27"/>
      <c r="J30" s="22"/>
      <c r="K30" s="347"/>
      <c r="L30" s="22"/>
      <c r="S30" t="s">
        <v>2298</v>
      </c>
      <c r="T30">
        <v>0</v>
      </c>
      <c r="U30">
        <f>-0.2*F14</f>
        <v>0</v>
      </c>
      <c r="V30">
        <v>3</v>
      </c>
      <c r="W30">
        <v>0</v>
      </c>
      <c r="X30" s="78">
        <v>0</v>
      </c>
      <c r="Y30">
        <f>-0.2*(F46+F50)</f>
        <v>0</v>
      </c>
      <c r="Z30" s="88">
        <v>0</v>
      </c>
      <c r="AA30" s="90">
        <v>3</v>
      </c>
      <c r="AB30" s="78" t="s">
        <v>827</v>
      </c>
      <c r="AE30">
        <v>0</v>
      </c>
      <c r="AF30">
        <v>0</v>
      </c>
      <c r="AG30">
        <v>-0.05</v>
      </c>
      <c r="AH30">
        <v>1</v>
      </c>
      <c r="AI30">
        <v>0</v>
      </c>
      <c r="AJ30">
        <v>1</v>
      </c>
      <c r="AK30">
        <v>0</v>
      </c>
      <c r="AL30">
        <v>0</v>
      </c>
      <c r="AM30" s="46">
        <v>0</v>
      </c>
      <c r="AN30" s="78" t="s">
        <v>810</v>
      </c>
      <c r="AS30">
        <v>0</v>
      </c>
      <c r="AT30">
        <v>0</v>
      </c>
      <c r="AU30">
        <v>-0.2</v>
      </c>
      <c r="AV30" s="46">
        <v>1</v>
      </c>
      <c r="AW30" s="2">
        <v>1</v>
      </c>
      <c r="AX30" s="92">
        <v>0</v>
      </c>
      <c r="AY30" s="2">
        <v>0</v>
      </c>
      <c r="AZ30" s="88">
        <v>-0.2</v>
      </c>
      <c r="BC30" s="80"/>
      <c r="BD30" s="22"/>
      <c r="BE30" s="400" t="s">
        <v>2335</v>
      </c>
      <c r="BF30" s="739">
        <v>0</v>
      </c>
      <c r="BG30" s="817"/>
      <c r="BH30" s="740"/>
      <c r="BJ30" s="2"/>
      <c r="BL30" s="46"/>
    </row>
    <row r="31" spans="1:86" ht="15" thickBot="1" x14ac:dyDescent="0.35">
      <c r="A31" s="22"/>
      <c r="B31" s="103" t="s">
        <v>91</v>
      </c>
      <c r="C31" s="204" t="s">
        <v>92</v>
      </c>
      <c r="D31" s="22"/>
      <c r="E31" s="22"/>
      <c r="F31" s="23" t="str">
        <f>IF(C31=S13,200000*H31," ")</f>
        <v xml:space="preserve"> </v>
      </c>
      <c r="G31" s="22"/>
      <c r="H31" s="347" t="str">
        <f>IF(C31=S13,0.1*(H29+H32)," ")</f>
        <v xml:space="preserve"> </v>
      </c>
      <c r="I31" s="22"/>
      <c r="J31" s="22"/>
      <c r="K31" s="347"/>
      <c r="L31" s="22"/>
      <c r="M31" t="s">
        <v>822</v>
      </c>
      <c r="S31" s="78" t="s">
        <v>809</v>
      </c>
      <c r="T31">
        <v>0</v>
      </c>
      <c r="U31">
        <v>0</v>
      </c>
      <c r="V31">
        <v>1</v>
      </c>
      <c r="W31">
        <f>-0.25*W3</f>
        <v>-0.625</v>
      </c>
      <c r="X31" s="78">
        <v>0</v>
      </c>
      <c r="Y31">
        <v>0</v>
      </c>
      <c r="Z31" s="88">
        <f>-0.25*W70</f>
        <v>-0.625</v>
      </c>
      <c r="AA31" s="90">
        <v>1</v>
      </c>
      <c r="AB31" s="78" t="s">
        <v>828</v>
      </c>
      <c r="AE31">
        <v>0</v>
      </c>
      <c r="AF31">
        <v>0</v>
      </c>
      <c r="AG31">
        <v>0</v>
      </c>
      <c r="AH31">
        <v>1</v>
      </c>
      <c r="AI31">
        <v>0</v>
      </c>
      <c r="AJ31">
        <v>1</v>
      </c>
      <c r="AK31">
        <v>0</v>
      </c>
      <c r="AL31">
        <v>0</v>
      </c>
      <c r="AM31" s="46">
        <v>0</v>
      </c>
      <c r="AN31" s="78" t="s">
        <v>2132</v>
      </c>
      <c r="AS31">
        <f>-0.1*T4</f>
        <v>-0.1</v>
      </c>
      <c r="AT31">
        <v>0</v>
      </c>
      <c r="AU31">
        <v>0</v>
      </c>
      <c r="AV31" s="46">
        <v>1</v>
      </c>
      <c r="AW31" s="2">
        <v>1</v>
      </c>
      <c r="AX31" s="92">
        <f>-0.1*T15</f>
        <v>-0.1</v>
      </c>
      <c r="AY31" s="2">
        <v>0</v>
      </c>
      <c r="AZ31" s="88">
        <v>0</v>
      </c>
      <c r="BC31" s="78"/>
      <c r="BE31" s="9" t="s">
        <v>2337</v>
      </c>
      <c r="BF31" s="732">
        <v>0</v>
      </c>
      <c r="BG31" s="790"/>
      <c r="BH31" s="733"/>
      <c r="BJ31" s="2"/>
      <c r="BL31" s="46"/>
    </row>
    <row r="32" spans="1:86" ht="15" thickBot="1" x14ac:dyDescent="0.35">
      <c r="A32" s="102" t="s">
        <v>119</v>
      </c>
      <c r="B32" s="204" t="s">
        <v>796</v>
      </c>
      <c r="C32" s="22"/>
      <c r="D32" s="22"/>
      <c r="E32" s="22">
        <f>INDEX(AB24:AM48,MATCH(B32,AB24:AB48,0),7)</f>
        <v>0</v>
      </c>
      <c r="F32" s="23">
        <f>AE51</f>
        <v>0</v>
      </c>
      <c r="G32" s="22"/>
      <c r="H32" s="347">
        <f>IF(D29=0,0,INDEX(AB24:AM48,MATCH(B32,AB24:AB48,0),4)+INDEX(AB24:AM48,MATCH(B33,AB24:AB48,0),4)+INDEX(AB24:AM48,MATCH(B34,AB24:AB48,0),4))</f>
        <v>0</v>
      </c>
      <c r="I32" s="22"/>
      <c r="J32" s="22"/>
      <c r="K32" s="347">
        <f>IF(B29=S5,0,INDEX(AB24:AM48,MATCH(B32,AB24:AB48,0),8)+INDEX(AB24:AM48,MATCH(B33,AB24:AB48,0),8)+INDEX(AB24:AM48,MATCH(B34,AB24:AB48,0),8))</f>
        <v>0</v>
      </c>
      <c r="L32" s="22"/>
      <c r="M32" s="83" t="s">
        <v>814</v>
      </c>
      <c r="N32" s="732"/>
      <c r="O32" s="790"/>
      <c r="P32" s="790"/>
      <c r="Q32" s="790"/>
      <c r="R32" s="733"/>
      <c r="S32" s="78" t="s">
        <v>2132</v>
      </c>
      <c r="T32">
        <f>-0.1*T3</f>
        <v>-0.05</v>
      </c>
      <c r="U32">
        <v>0</v>
      </c>
      <c r="V32">
        <v>1</v>
      </c>
      <c r="W32">
        <v>0</v>
      </c>
      <c r="X32" s="78">
        <f>-0.1*T70</f>
        <v>-0.05</v>
      </c>
      <c r="Y32">
        <v>0</v>
      </c>
      <c r="Z32" s="88">
        <v>0</v>
      </c>
      <c r="AA32" s="90">
        <v>1</v>
      </c>
      <c r="AB32" s="78" t="s">
        <v>829</v>
      </c>
      <c r="AE32">
        <v>0</v>
      </c>
      <c r="AF32">
        <v>0</v>
      </c>
      <c r="AG32">
        <v>0</v>
      </c>
      <c r="AH32">
        <v>1</v>
      </c>
      <c r="AI32">
        <f>-0.25*INDEX(S5:W11,MATCH(B29,S5:S11,0),5)</f>
        <v>0</v>
      </c>
      <c r="AJ32">
        <v>1</v>
      </c>
      <c r="AK32">
        <v>0</v>
      </c>
      <c r="AL32">
        <v>0</v>
      </c>
      <c r="AM32" s="46">
        <f>-0.25*INDEX(X10:AB16,MATCH(B56,X10:X16,0),5)</f>
        <v>0</v>
      </c>
      <c r="AN32" s="78" t="s">
        <v>801</v>
      </c>
      <c r="AS32">
        <v>0</v>
      </c>
      <c r="AT32">
        <v>0</v>
      </c>
      <c r="AU32">
        <v>0</v>
      </c>
      <c r="AV32" s="46">
        <v>1</v>
      </c>
      <c r="AW32" s="2">
        <v>1</v>
      </c>
      <c r="AX32" s="92">
        <v>0</v>
      </c>
      <c r="AY32" s="2">
        <v>0</v>
      </c>
      <c r="AZ32" s="88">
        <v>0</v>
      </c>
      <c r="BC32" s="80"/>
      <c r="BD32" s="22"/>
      <c r="BE32" s="400" t="s">
        <v>114</v>
      </c>
      <c r="BF32" s="739">
        <v>0</v>
      </c>
      <c r="BG32" s="817"/>
      <c r="BH32" s="740"/>
      <c r="BJ32" s="2"/>
      <c r="BL32" s="46"/>
    </row>
    <row r="33" spans="1:64" ht="15" thickBot="1" x14ac:dyDescent="0.35">
      <c r="A33" s="22"/>
      <c r="B33" s="204" t="s">
        <v>796</v>
      </c>
      <c r="C33" s="22"/>
      <c r="D33" s="104" t="s">
        <v>788</v>
      </c>
      <c r="E33" s="22">
        <f>INDEX(AB24:AM48,MATCH(B33,AB24:AB48,0),7)</f>
        <v>0</v>
      </c>
      <c r="F33" s="22"/>
      <c r="G33" s="22"/>
      <c r="H33" s="23"/>
      <c r="I33" s="22"/>
      <c r="J33" s="22"/>
      <c r="K33" s="23"/>
      <c r="L33" s="22"/>
      <c r="M33" s="83"/>
      <c r="N33" s="93" t="s">
        <v>820</v>
      </c>
      <c r="O33" s="93"/>
      <c r="P33" s="94"/>
      <c r="Q33" s="57"/>
      <c r="R33" s="94"/>
      <c r="S33" t="s">
        <v>801</v>
      </c>
      <c r="T33">
        <v>0</v>
      </c>
      <c r="U33">
        <v>0</v>
      </c>
      <c r="V33">
        <v>1</v>
      </c>
      <c r="W33">
        <v>0</v>
      </c>
      <c r="X33" s="78">
        <v>0</v>
      </c>
      <c r="Y33">
        <v>0</v>
      </c>
      <c r="Z33" s="88">
        <v>0</v>
      </c>
      <c r="AA33" s="90">
        <v>1</v>
      </c>
      <c r="AB33" s="78" t="s">
        <v>2146</v>
      </c>
      <c r="AE33">
        <f>-0.1*INDEX(S5:W11,MATCH(B29,S5:S11,0),2)</f>
        <v>0</v>
      </c>
      <c r="AF33">
        <v>0</v>
      </c>
      <c r="AG33">
        <v>0</v>
      </c>
      <c r="AH33">
        <v>1</v>
      </c>
      <c r="AI33">
        <v>0</v>
      </c>
      <c r="AJ33">
        <v>1</v>
      </c>
      <c r="AK33">
        <f>-0.1*INDEX(X10:AB16,MATCH(B56,X10:X16,0),2)</f>
        <v>0</v>
      </c>
      <c r="AL33">
        <v>0</v>
      </c>
      <c r="AM33" s="46">
        <v>0</v>
      </c>
      <c r="AN33" s="78" t="s">
        <v>812</v>
      </c>
      <c r="AS33">
        <v>0</v>
      </c>
      <c r="AT33">
        <v>0</v>
      </c>
      <c r="AU33">
        <v>0</v>
      </c>
      <c r="AV33" s="46">
        <v>2</v>
      </c>
      <c r="AW33" s="2">
        <v>2</v>
      </c>
      <c r="AX33" s="92">
        <v>0</v>
      </c>
      <c r="AY33" s="2">
        <v>0</v>
      </c>
      <c r="AZ33" s="88">
        <v>0</v>
      </c>
      <c r="BC33" s="78"/>
      <c r="BL33" s="46"/>
    </row>
    <row r="34" spans="1:64" ht="15" thickBot="1" x14ac:dyDescent="0.35">
      <c r="A34" s="22"/>
      <c r="B34" s="204" t="s">
        <v>796</v>
      </c>
      <c r="C34" s="22"/>
      <c r="D34" s="27">
        <f>INDEX(AB24:AM48,MATCH(B32,AB24:AB48,0),9)+INDEX(AB24:AM48,MATCH(B33,AB24:AB48,0),9)+INDEX(AB24:AM48,MATCH(B34,AB24:AB48,0),9)</f>
        <v>0</v>
      </c>
      <c r="E34" s="22">
        <f>INDEX(AB24:AM48,MATCH(B34,AB24:AB48,0),7)</f>
        <v>0</v>
      </c>
      <c r="F34" s="22"/>
      <c r="G34" s="22"/>
      <c r="H34" s="23"/>
      <c r="I34" s="22"/>
      <c r="J34" s="22"/>
      <c r="K34" s="23"/>
      <c r="L34" s="22"/>
      <c r="M34" s="95" t="s">
        <v>821</v>
      </c>
      <c r="N34" s="93" t="s">
        <v>1</v>
      </c>
      <c r="O34" s="57" t="s">
        <v>54</v>
      </c>
      <c r="P34" s="96" t="s">
        <v>66</v>
      </c>
      <c r="Q34" s="93" t="s">
        <v>26</v>
      </c>
      <c r="R34" s="96" t="s">
        <v>817</v>
      </c>
      <c r="S34" t="s">
        <v>1797</v>
      </c>
      <c r="T34">
        <v>0</v>
      </c>
      <c r="U34">
        <v>0</v>
      </c>
      <c r="V34">
        <v>1</v>
      </c>
      <c r="W34">
        <v>0</v>
      </c>
      <c r="X34" s="78">
        <v>0</v>
      </c>
      <c r="Y34">
        <v>0</v>
      </c>
      <c r="Z34" s="88">
        <v>0</v>
      </c>
      <c r="AA34" s="90">
        <v>1</v>
      </c>
      <c r="AB34" s="78" t="s">
        <v>830</v>
      </c>
      <c r="AE34">
        <v>0</v>
      </c>
      <c r="AF34">
        <v>0</v>
      </c>
      <c r="AG34">
        <v>0</v>
      </c>
      <c r="AH34">
        <v>1</v>
      </c>
      <c r="AI34">
        <v>0</v>
      </c>
      <c r="AJ34">
        <v>1</v>
      </c>
      <c r="AK34">
        <v>0</v>
      </c>
      <c r="AL34">
        <v>0</v>
      </c>
      <c r="AM34" s="46">
        <v>0</v>
      </c>
      <c r="AN34" s="78" t="s">
        <v>2129</v>
      </c>
      <c r="AS34">
        <f>0.25*T4</f>
        <v>0.25</v>
      </c>
      <c r="AT34">
        <f>5*U4</f>
        <v>1000000</v>
      </c>
      <c r="AU34">
        <v>0</v>
      </c>
      <c r="AV34" s="46">
        <v>-1</v>
      </c>
      <c r="AW34" s="2">
        <v>3</v>
      </c>
      <c r="AX34" s="92">
        <f>0.25*T15</f>
        <v>0.25</v>
      </c>
      <c r="AY34" s="2">
        <f>5*U15</f>
        <v>1000000</v>
      </c>
      <c r="AZ34" s="88">
        <v>0</v>
      </c>
      <c r="BC34" s="86"/>
      <c r="BD34" s="28" t="s">
        <v>2343</v>
      </c>
      <c r="BE34" s="28"/>
      <c r="BF34" s="28"/>
      <c r="BG34" s="28"/>
      <c r="BH34" s="28"/>
      <c r="BI34" s="28"/>
      <c r="BJ34" s="28"/>
      <c r="BK34" s="28"/>
      <c r="BL34" s="79"/>
    </row>
    <row r="35" spans="1:64" ht="15" thickBot="1" x14ac:dyDescent="0.35">
      <c r="F35" s="4"/>
      <c r="H35" s="10"/>
      <c r="K35" s="10"/>
      <c r="M35" s="507">
        <v>0</v>
      </c>
      <c r="N35" s="507">
        <v>0</v>
      </c>
      <c r="O35" s="219">
        <v>0</v>
      </c>
      <c r="P35" s="507">
        <v>0</v>
      </c>
      <c r="Q35" s="197">
        <v>0</v>
      </c>
      <c r="R35" s="197">
        <v>0</v>
      </c>
      <c r="S35" t="s">
        <v>1280</v>
      </c>
      <c r="T35">
        <f>INDEX(AF1:AQ3,2,MATCH(D14*2,AF1:AQ1,0))*Tonnage-H14+0.25*INDEX(AF1:AQ3,2,MATCH(D14*2,AF1:AQ1,0))*Tonnage</f>
        <v>0.625</v>
      </c>
      <c r="U35">
        <v>-1.0000000000000001E-9</v>
      </c>
      <c r="V35">
        <f>INDEX(AF1:AV3,3,MATCH(D14*2,AF1:AV1,0))-INDEX(AF1:AV3,3,MATCH(D14,AF1:AV1,0))</f>
        <v>0</v>
      </c>
      <c r="W35">
        <v>0</v>
      </c>
      <c r="X35" s="78">
        <f>INDEX(AF1:AQ3,2,MATCH(D46*2,AF1:AQ1,0))*Tonnage-H46+0.25*INDEX(AF1:AQ3,2,MATCH(D46*2,AF1:AQ1,0))*Tonnage</f>
        <v>0.625</v>
      </c>
      <c r="Y35">
        <v>-1.0000000000000001E-9</v>
      </c>
      <c r="Z35" s="88">
        <f>INDEX(AF1:AQ3,3,MATCH(D46*2,AF1:AQ1,0))-INDEX(AF1:AQ3,3,MATCH(D46,AF1:AQ1,0))</f>
        <v>0</v>
      </c>
      <c r="AA35" s="90">
        <v>0</v>
      </c>
      <c r="AB35" s="78" t="s">
        <v>831</v>
      </c>
      <c r="AE35">
        <v>0</v>
      </c>
      <c r="AF35">
        <v>0</v>
      </c>
      <c r="AG35">
        <v>0</v>
      </c>
      <c r="AH35">
        <v>2</v>
      </c>
      <c r="AI35">
        <v>0</v>
      </c>
      <c r="AJ35">
        <v>2</v>
      </c>
      <c r="AK35">
        <v>0</v>
      </c>
      <c r="AL35">
        <v>0</v>
      </c>
      <c r="AM35" s="46">
        <v>0</v>
      </c>
      <c r="AN35" s="78" t="s">
        <v>2143</v>
      </c>
      <c r="AS35">
        <v>0</v>
      </c>
      <c r="AT35">
        <f>5*U4</f>
        <v>1000000</v>
      </c>
      <c r="AU35">
        <v>0.25</v>
      </c>
      <c r="AV35" s="46">
        <v>-1</v>
      </c>
      <c r="AW35" s="2">
        <v>3</v>
      </c>
      <c r="AX35" s="92">
        <v>0</v>
      </c>
      <c r="AY35" s="2">
        <f>5*U15</f>
        <v>1000000</v>
      </c>
      <c r="AZ35" s="88">
        <v>0.25</v>
      </c>
    </row>
    <row r="36" spans="1:64" ht="15" thickBot="1" x14ac:dyDescent="0.35">
      <c r="A36" s="11" t="s">
        <v>826</v>
      </c>
      <c r="F36" s="4"/>
      <c r="H36" s="10"/>
      <c r="K36" s="10"/>
      <c r="M36" s="199"/>
      <c r="N36" s="60"/>
      <c r="O36" s="200"/>
      <c r="P36" s="60"/>
      <c r="Q36" s="201"/>
      <c r="R36" s="97">
        <f>IF(N35=0,R35,3)</f>
        <v>0</v>
      </c>
      <c r="S36" s="78" t="s">
        <v>2129</v>
      </c>
      <c r="T36">
        <f>0.25*T3</f>
        <v>0.125</v>
      </c>
      <c r="U36">
        <f>5*F14</f>
        <v>0</v>
      </c>
      <c r="V36">
        <v>-1</v>
      </c>
      <c r="W36">
        <v>0</v>
      </c>
      <c r="X36" s="78">
        <f>0.25*T70</f>
        <v>0.125</v>
      </c>
      <c r="Y36">
        <f>5*(F46+F50)</f>
        <v>0</v>
      </c>
      <c r="Z36" s="88">
        <v>0</v>
      </c>
      <c r="AA36" s="90">
        <v>3</v>
      </c>
      <c r="AB36" s="78" t="s">
        <v>2129</v>
      </c>
      <c r="AE36">
        <f>0.25*INDEX(S5:W11,MATCH(B29,S5:S11,0),2)</f>
        <v>0</v>
      </c>
      <c r="AF36">
        <f>5*F29</f>
        <v>0</v>
      </c>
      <c r="AG36">
        <v>0</v>
      </c>
      <c r="AH36">
        <v>-1</v>
      </c>
      <c r="AI36">
        <v>0</v>
      </c>
      <c r="AJ36">
        <v>3</v>
      </c>
      <c r="AK36">
        <f>0.25*INDEX(X10:AB16,MATCH(B56,X10:X16,0),2)</f>
        <v>0</v>
      </c>
      <c r="AL36">
        <f>5*F56</f>
        <v>0</v>
      </c>
      <c r="AM36" s="46">
        <v>0</v>
      </c>
      <c r="AN36" s="78" t="s">
        <v>2128</v>
      </c>
      <c r="AS36">
        <f>1.5*T4</f>
        <v>1.5</v>
      </c>
      <c r="AT36">
        <f>10*U4</f>
        <v>2000000</v>
      </c>
      <c r="AU36">
        <v>0</v>
      </c>
      <c r="AV36" s="46">
        <v>-2</v>
      </c>
      <c r="AW36" s="2">
        <v>3</v>
      </c>
      <c r="AX36" s="92">
        <f>1.5*T15</f>
        <v>1.5</v>
      </c>
      <c r="AY36" s="2">
        <f>10*U15</f>
        <v>2000000</v>
      </c>
      <c r="AZ36" s="88">
        <v>0</v>
      </c>
      <c r="BD36" t="s">
        <v>2348</v>
      </c>
    </row>
    <row r="37" spans="1:64" ht="15" thickBot="1" x14ac:dyDescent="0.35">
      <c r="A37" s="7" t="s">
        <v>55</v>
      </c>
      <c r="B37" s="252" t="s">
        <v>1711</v>
      </c>
      <c r="C37" s="7" t="s">
        <v>50</v>
      </c>
      <c r="D37" s="197">
        <v>0</v>
      </c>
      <c r="E37">
        <f>INDEX(S14:V15,MATCH(B37,S14:S15,0),4)+SUM(E39:E41)</f>
        <v>0</v>
      </c>
      <c r="F37" s="4">
        <f>INDEX(S14:V15,MATCH(B37,S14:S15,0),3)*'Ship Info'!G31</f>
        <v>0</v>
      </c>
      <c r="H37" s="10">
        <f>INDEX(S14:V15,MATCH(B37,S14:S15,0),2)</f>
        <v>0</v>
      </c>
      <c r="K37" s="10"/>
      <c r="S37" s="78" t="s">
        <v>2130</v>
      </c>
      <c r="T37">
        <v>0</v>
      </c>
      <c r="U37">
        <f>5*F14</f>
        <v>0</v>
      </c>
      <c r="V37">
        <v>-1</v>
      </c>
      <c r="W37">
        <f>0.3*W3</f>
        <v>0.75</v>
      </c>
      <c r="X37" s="78">
        <f>-0.2*INDEX(S69:T71,MATCH(B46,S69:S71,0),2)</f>
        <v>0</v>
      </c>
      <c r="Y37">
        <f>5*(F46+F50)</f>
        <v>0</v>
      </c>
      <c r="Z37" s="88">
        <f>0.3*W70</f>
        <v>0.75</v>
      </c>
      <c r="AA37" s="90">
        <v>3</v>
      </c>
      <c r="AB37" s="78" t="s">
        <v>2130</v>
      </c>
      <c r="AE37">
        <v>0</v>
      </c>
      <c r="AF37">
        <f>5*F29</f>
        <v>0</v>
      </c>
      <c r="AG37">
        <v>0</v>
      </c>
      <c r="AH37">
        <v>-1</v>
      </c>
      <c r="AI37">
        <f>0.3*INDEX(S5:W11,MATCH(B29,S5:S11,0),5)</f>
        <v>0</v>
      </c>
      <c r="AJ37">
        <v>3</v>
      </c>
      <c r="AK37">
        <v>0</v>
      </c>
      <c r="AL37">
        <f>5*F56</f>
        <v>0</v>
      </c>
      <c r="AM37" s="46">
        <f>0.3*INDEX(X10:AB16,MATCH(B56,X10:X16,0),5)</f>
        <v>0</v>
      </c>
      <c r="AN37" s="78" t="s">
        <v>2144</v>
      </c>
      <c r="AS37">
        <f>1*T4</f>
        <v>1</v>
      </c>
      <c r="AT37">
        <f>10*U4</f>
        <v>2000000</v>
      </c>
      <c r="AU37">
        <v>0.5</v>
      </c>
      <c r="AV37" s="46">
        <v>-2</v>
      </c>
      <c r="AW37" s="2">
        <v>3</v>
      </c>
      <c r="AX37" s="92">
        <f>T15</f>
        <v>1</v>
      </c>
      <c r="AY37" s="2">
        <f>10*U15</f>
        <v>2000000</v>
      </c>
      <c r="AZ37" s="88">
        <v>0.5</v>
      </c>
      <c r="BD37" t="s">
        <v>2349</v>
      </c>
    </row>
    <row r="38" spans="1:64" ht="15" thickBot="1" x14ac:dyDescent="0.35">
      <c r="B38" s="1" t="s">
        <v>91</v>
      </c>
      <c r="C38" s="196" t="s">
        <v>92</v>
      </c>
      <c r="F38" s="4" t="str">
        <f>IF(C38=S13,200000*H38," ")</f>
        <v xml:space="preserve"> </v>
      </c>
      <c r="H38" s="10" t="str">
        <f>IF(C38=S13,0.1*(H37+H39)," ")</f>
        <v xml:space="preserve"> </v>
      </c>
      <c r="K38" s="10"/>
      <c r="M38" t="s">
        <v>822</v>
      </c>
      <c r="S38" t="s">
        <v>804</v>
      </c>
      <c r="T38">
        <v>0</v>
      </c>
      <c r="U38">
        <f>5*F14</f>
        <v>0</v>
      </c>
      <c r="V38">
        <v>-1</v>
      </c>
      <c r="W38">
        <v>0</v>
      </c>
      <c r="X38" s="78">
        <v>0</v>
      </c>
      <c r="Y38">
        <f>5*(F46+F50)</f>
        <v>0</v>
      </c>
      <c r="Z38" s="88">
        <v>0</v>
      </c>
      <c r="AA38" s="90">
        <v>3</v>
      </c>
      <c r="AB38" s="78" t="s">
        <v>818</v>
      </c>
      <c r="AE38">
        <v>0</v>
      </c>
      <c r="AF38">
        <f>5*F29</f>
        <v>0</v>
      </c>
      <c r="AG38">
        <v>0</v>
      </c>
      <c r="AH38">
        <v>-1</v>
      </c>
      <c r="AI38">
        <v>0</v>
      </c>
      <c r="AJ38">
        <v>3</v>
      </c>
      <c r="AK38">
        <v>0</v>
      </c>
      <c r="AL38">
        <f>5*F56</f>
        <v>0</v>
      </c>
      <c r="AM38" s="46">
        <v>0</v>
      </c>
      <c r="AN38" s="78" t="s">
        <v>2145</v>
      </c>
      <c r="AS38">
        <f>1*T4</f>
        <v>1</v>
      </c>
      <c r="AT38">
        <f>10*U4</f>
        <v>2000000</v>
      </c>
      <c r="AU38">
        <v>0.25</v>
      </c>
      <c r="AV38" s="46">
        <v>-2</v>
      </c>
      <c r="AW38" s="2">
        <v>3</v>
      </c>
      <c r="AX38" s="92">
        <f>T15</f>
        <v>1</v>
      </c>
      <c r="AY38" s="2">
        <f>10*U15</f>
        <v>2000000</v>
      </c>
      <c r="AZ38" s="88">
        <v>0.25</v>
      </c>
    </row>
    <row r="39" spans="1:64" ht="15" thickBot="1" x14ac:dyDescent="0.35">
      <c r="A39" s="7" t="s">
        <v>807</v>
      </c>
      <c r="B39" s="196" t="s">
        <v>796</v>
      </c>
      <c r="E39">
        <f>INDEX(AN24:AZ42,MATCH(B39,AN24:AN42,0),9)</f>
        <v>0</v>
      </c>
      <c r="F39" s="4">
        <f>AY47</f>
        <v>0</v>
      </c>
      <c r="H39" s="10">
        <f>INDEX(AN24:AZ42,MATCH(B39,AN24:AN42,0),11)+INDEX(AN24:AZ42,MATCH(B40,AN24:AN42,0),11)+INDEX(AN24:AZ42,MATCH(B41,AN24:AN42,0),11)</f>
        <v>0</v>
      </c>
      <c r="K39" s="4"/>
      <c r="M39" s="83" t="s">
        <v>815</v>
      </c>
      <c r="N39" s="732"/>
      <c r="O39" s="790"/>
      <c r="P39" s="790"/>
      <c r="Q39" s="790"/>
      <c r="R39" s="733"/>
      <c r="S39" s="78" t="s">
        <v>795</v>
      </c>
      <c r="T39">
        <f>1*T3</f>
        <v>0.5</v>
      </c>
      <c r="U39">
        <f>10*F14</f>
        <v>0</v>
      </c>
      <c r="V39">
        <v>-2</v>
      </c>
      <c r="W39">
        <v>0</v>
      </c>
      <c r="X39" s="78">
        <f>1*T70</f>
        <v>0.5</v>
      </c>
      <c r="Y39">
        <f>10*(F46+F50)</f>
        <v>0</v>
      </c>
      <c r="Z39" s="88">
        <v>0</v>
      </c>
      <c r="AA39" s="90">
        <v>3</v>
      </c>
      <c r="AB39" s="78" t="s">
        <v>819</v>
      </c>
      <c r="AE39">
        <f>1*INDEX(S5:W11,MATCH(B29,S5:S11,0),2)</f>
        <v>0</v>
      </c>
      <c r="AF39">
        <f>10*F29</f>
        <v>0</v>
      </c>
      <c r="AG39">
        <v>0</v>
      </c>
      <c r="AH39">
        <v>-3</v>
      </c>
      <c r="AI39">
        <v>0</v>
      </c>
      <c r="AJ39">
        <v>3</v>
      </c>
      <c r="AK39">
        <f>1*INDEX(X10:AB16,MATCH(B56,X10:X16,0),2)</f>
        <v>0</v>
      </c>
      <c r="AL39">
        <f>10*F56</f>
        <v>0</v>
      </c>
      <c r="AM39" s="46">
        <v>0</v>
      </c>
      <c r="AN39" s="78" t="str">
        <f>M25&amp;" "&amp;N25</f>
        <v xml:space="preserve">X1 </v>
      </c>
      <c r="AS39">
        <f>T4*M28</f>
        <v>0</v>
      </c>
      <c r="AT39">
        <f>U4*N28</f>
        <v>0</v>
      </c>
      <c r="AU39">
        <f>P28</f>
        <v>0</v>
      </c>
      <c r="AV39" s="46">
        <f>Q28</f>
        <v>0</v>
      </c>
      <c r="AW39" s="2">
        <f>R29</f>
        <v>0</v>
      </c>
      <c r="AX39" s="78">
        <f>T15*M28</f>
        <v>0</v>
      </c>
      <c r="AY39">
        <f>U15*N28</f>
        <v>0</v>
      </c>
      <c r="AZ39" s="46">
        <f>P28</f>
        <v>0</v>
      </c>
      <c r="BD39" t="s">
        <v>2350</v>
      </c>
    </row>
    <row r="40" spans="1:64" ht="15" thickBot="1" x14ac:dyDescent="0.35">
      <c r="B40" s="196" t="s">
        <v>796</v>
      </c>
      <c r="D40" s="52" t="s">
        <v>788</v>
      </c>
      <c r="E40">
        <f>INDEX(AN24:AZ42,MATCH(B40,AN24:AN42,0),9)</f>
        <v>0</v>
      </c>
      <c r="H40" s="4"/>
      <c r="K40" s="4"/>
      <c r="M40" s="83"/>
      <c r="N40" s="93" t="s">
        <v>820</v>
      </c>
      <c r="O40" s="93"/>
      <c r="P40" s="94"/>
      <c r="Q40" s="57"/>
      <c r="R40" s="94"/>
      <c r="S40" s="78" t="s">
        <v>2133</v>
      </c>
      <c r="T40">
        <f>1.5*T3</f>
        <v>0.75</v>
      </c>
      <c r="U40">
        <f>10*F14</f>
        <v>0</v>
      </c>
      <c r="V40">
        <v>-2</v>
      </c>
      <c r="W40">
        <v>0</v>
      </c>
      <c r="X40" s="78">
        <f>1.5*T70</f>
        <v>0.75</v>
      </c>
      <c r="Y40">
        <f>10*(F46+F50)</f>
        <v>0</v>
      </c>
      <c r="Z40" s="88">
        <v>0</v>
      </c>
      <c r="AA40" s="90">
        <v>3</v>
      </c>
      <c r="AB40" s="78" t="s">
        <v>2133</v>
      </c>
      <c r="AE40">
        <f>1.5*INDEX(S5:W11,MATCH(B29,S5:S11,0),2)</f>
        <v>0</v>
      </c>
      <c r="AF40">
        <f>10*F29</f>
        <v>0</v>
      </c>
      <c r="AG40">
        <v>0</v>
      </c>
      <c r="AH40">
        <v>-2</v>
      </c>
      <c r="AI40">
        <v>0</v>
      </c>
      <c r="AJ40">
        <v>3</v>
      </c>
      <c r="AK40">
        <f>1.5*INDEX(X10:AB16,MATCH(B56,X10:X16,0),2)</f>
        <v>0</v>
      </c>
      <c r="AL40">
        <f>10*F56</f>
        <v>0</v>
      </c>
      <c r="AM40" s="46">
        <v>0</v>
      </c>
      <c r="AN40" s="78" t="str">
        <f>M32&amp;" "&amp;N32</f>
        <v xml:space="preserve">X2 </v>
      </c>
      <c r="AS40">
        <f>T4*M35</f>
        <v>0</v>
      </c>
      <c r="AT40">
        <f>U4*N35</f>
        <v>0</v>
      </c>
      <c r="AU40">
        <f>P35</f>
        <v>0</v>
      </c>
      <c r="AV40" s="46">
        <f>Q35</f>
        <v>0</v>
      </c>
      <c r="AW40" s="2">
        <f>R36</f>
        <v>0</v>
      </c>
      <c r="AX40" s="78">
        <f>T15*M35</f>
        <v>0</v>
      </c>
      <c r="AY40">
        <f>U15*N35</f>
        <v>0</v>
      </c>
      <c r="AZ40" s="46">
        <f>P35</f>
        <v>0</v>
      </c>
    </row>
    <row r="41" spans="1:64" ht="15" thickBot="1" x14ac:dyDescent="0.35">
      <c r="B41" s="196" t="s">
        <v>796</v>
      </c>
      <c r="D41" s="2">
        <f>INDEX(AN24:AZ42,MATCH(B39,AN24:AN42,0),10)+INDEX(AN24:AZ42,MATCH(B40,AN24:AN42,0),10)+INDEX(AN24:AZ42,MATCH(B41,AN24:AN42,0),10)</f>
        <v>0</v>
      </c>
      <c r="E41">
        <f>INDEX(AN24:AZ42,MATCH(B41,AN24:AN42,0),9)</f>
        <v>0</v>
      </c>
      <c r="H41" s="4"/>
      <c r="K41" s="4"/>
      <c r="M41" s="95" t="s">
        <v>821</v>
      </c>
      <c r="N41" s="93" t="s">
        <v>1</v>
      </c>
      <c r="O41" s="57" t="s">
        <v>54</v>
      </c>
      <c r="P41" s="96" t="s">
        <v>66</v>
      </c>
      <c r="Q41" s="93" t="s">
        <v>26</v>
      </c>
      <c r="R41" s="96" t="s">
        <v>817</v>
      </c>
      <c r="S41" t="s">
        <v>2137</v>
      </c>
      <c r="T41">
        <f>1*T3</f>
        <v>0.5</v>
      </c>
      <c r="U41">
        <f>10*F14</f>
        <v>0</v>
      </c>
      <c r="V41">
        <v>-2</v>
      </c>
      <c r="W41">
        <f>0.6*W3</f>
        <v>1.5</v>
      </c>
      <c r="X41" s="78">
        <f>1*T70</f>
        <v>0.5</v>
      </c>
      <c r="Y41">
        <f>10*(F46+F50)</f>
        <v>0</v>
      </c>
      <c r="Z41" s="88">
        <f>0.6*W70</f>
        <v>1.5</v>
      </c>
      <c r="AA41" s="90">
        <v>3</v>
      </c>
      <c r="AB41" s="78" t="s">
        <v>2137</v>
      </c>
      <c r="AE41">
        <f>1*INDEX(S5:W11,MATCH(B29,S5:S11,0),2)</f>
        <v>0</v>
      </c>
      <c r="AF41">
        <f>10*F29</f>
        <v>0</v>
      </c>
      <c r="AG41">
        <v>0</v>
      </c>
      <c r="AH41">
        <v>-2</v>
      </c>
      <c r="AI41">
        <f>0.6*INDEX(S5:W11,MATCH(B29,S5:S11,0),5)</f>
        <v>0</v>
      </c>
      <c r="AJ41">
        <v>3</v>
      </c>
      <c r="AK41">
        <f>1*INDEX(X10:AB16,MATCH(B56,X10:X16,0),2)</f>
        <v>0</v>
      </c>
      <c r="AL41">
        <f>10*F56</f>
        <v>0</v>
      </c>
      <c r="AM41" s="46">
        <f>0.6*INDEX(X10:AB16,MATCH(B56,X10:X16,0),5)</f>
        <v>0</v>
      </c>
      <c r="AN41" s="78" t="str">
        <f>M39&amp;" "&amp;N39</f>
        <v xml:space="preserve">X3 </v>
      </c>
      <c r="AS41">
        <f>T4*M42</f>
        <v>0</v>
      </c>
      <c r="AT41">
        <f>U4*N42</f>
        <v>0</v>
      </c>
      <c r="AU41">
        <f>P42</f>
        <v>0</v>
      </c>
      <c r="AV41" s="46">
        <f>Q42</f>
        <v>0</v>
      </c>
      <c r="AW41" s="2">
        <f>R43</f>
        <v>0</v>
      </c>
      <c r="AX41" s="78">
        <f>T15*M42</f>
        <v>0</v>
      </c>
      <c r="AY41">
        <f>U15*N42</f>
        <v>0</v>
      </c>
      <c r="AZ41" s="46">
        <f>P42</f>
        <v>0</v>
      </c>
    </row>
    <row r="42" spans="1:64" ht="15" thickBot="1" x14ac:dyDescent="0.35">
      <c r="B42" s="77"/>
      <c r="H42" s="4"/>
      <c r="K42" s="4"/>
      <c r="M42" s="507">
        <v>0</v>
      </c>
      <c r="N42" s="507">
        <v>0</v>
      </c>
      <c r="O42" s="219">
        <v>0</v>
      </c>
      <c r="P42" s="507">
        <v>0</v>
      </c>
      <c r="Q42" s="197">
        <v>0</v>
      </c>
      <c r="R42" s="197">
        <v>0</v>
      </c>
      <c r="S42" s="78" t="s">
        <v>2134</v>
      </c>
      <c r="T42">
        <f>1.25*T3</f>
        <v>0.625</v>
      </c>
      <c r="U42">
        <f>10*F14</f>
        <v>0</v>
      </c>
      <c r="V42">
        <v>-2</v>
      </c>
      <c r="W42">
        <f>0.3*W3</f>
        <v>0.75</v>
      </c>
      <c r="X42" s="78">
        <f>1.25*T70</f>
        <v>0.625</v>
      </c>
      <c r="Y42">
        <f>10*(F46+F50)</f>
        <v>0</v>
      </c>
      <c r="Z42" s="88">
        <f>0.3*W70</f>
        <v>0.75</v>
      </c>
      <c r="AA42" s="90">
        <v>3</v>
      </c>
      <c r="AB42" s="78" t="s">
        <v>2134</v>
      </c>
      <c r="AE42">
        <f>1.25*INDEX(S5:W11,MATCH(B29,S5:S11,0),2)</f>
        <v>0</v>
      </c>
      <c r="AF42">
        <f>10*F29</f>
        <v>0</v>
      </c>
      <c r="AG42">
        <v>0</v>
      </c>
      <c r="AH42">
        <v>-2</v>
      </c>
      <c r="AI42">
        <f>0.3*INDEX(S5:W11,MATCH(B29,S5:S11,0),5)</f>
        <v>0</v>
      </c>
      <c r="AJ42">
        <v>3</v>
      </c>
      <c r="AK42">
        <f>1.25*INDEX(X10:AB16,MATCH(B56,X10:X16,0),2)</f>
        <v>0</v>
      </c>
      <c r="AL42">
        <f>10*F56</f>
        <v>0</v>
      </c>
      <c r="AM42" s="46">
        <f>0.3*INDEX(X10:AB16,MATCH(B56,X10:X16,0),5)</f>
        <v>0</v>
      </c>
      <c r="AN42" s="86" t="str">
        <f>M46&amp;" "&amp;N46</f>
        <v xml:space="preserve">X4 </v>
      </c>
      <c r="AO42" s="28"/>
      <c r="AP42" s="28"/>
      <c r="AQ42" s="28"/>
      <c r="AR42" s="28"/>
      <c r="AS42" s="28">
        <f>T4*M49</f>
        <v>0</v>
      </c>
      <c r="AT42" s="28">
        <f>U4*N49</f>
        <v>0</v>
      </c>
      <c r="AU42" s="28">
        <f>P49</f>
        <v>0</v>
      </c>
      <c r="AV42" s="79">
        <f>Q49</f>
        <v>0</v>
      </c>
      <c r="AW42" s="2">
        <f>R50</f>
        <v>0</v>
      </c>
      <c r="AX42" s="86">
        <f>T15*M49</f>
        <v>0</v>
      </c>
      <c r="AY42" s="28">
        <f>U15*N49</f>
        <v>0</v>
      </c>
      <c r="AZ42" s="79">
        <f>P49</f>
        <v>0</v>
      </c>
    </row>
    <row r="43" spans="1:64" ht="15" thickBot="1" x14ac:dyDescent="0.35">
      <c r="F43" s="4"/>
      <c r="H43" s="10"/>
      <c r="K43" s="10"/>
      <c r="M43" s="199"/>
      <c r="N43" s="60"/>
      <c r="O43" s="200"/>
      <c r="P43" s="60"/>
      <c r="Q43" s="201"/>
      <c r="R43" s="97">
        <f>IF(N42=0,R42,3)</f>
        <v>0</v>
      </c>
      <c r="S43" s="78" t="s">
        <v>2135</v>
      </c>
      <c r="T43">
        <f>1.25*T3</f>
        <v>0.625</v>
      </c>
      <c r="U43">
        <f>10*F14</f>
        <v>0</v>
      </c>
      <c r="V43">
        <v>-2</v>
      </c>
      <c r="W43">
        <v>0</v>
      </c>
      <c r="X43" s="78">
        <f>1.25*T70</f>
        <v>0.625</v>
      </c>
      <c r="Y43">
        <f>10*(F46+F50)</f>
        <v>0</v>
      </c>
      <c r="Z43" s="88">
        <v>0</v>
      </c>
      <c r="AA43" s="90">
        <v>3</v>
      </c>
      <c r="AB43" s="78" t="s">
        <v>2147</v>
      </c>
      <c r="AE43">
        <f>1*INDEX(S5:W11,MATCH(B29,S5:S11,0),2)</f>
        <v>0</v>
      </c>
      <c r="AF43">
        <f>10*F29</f>
        <v>0</v>
      </c>
      <c r="AG43">
        <v>0</v>
      </c>
      <c r="AH43">
        <v>-2</v>
      </c>
      <c r="AI43">
        <f>0.3*INDEX(S5:W11,MATCH(B29,S5:S11,0),5)</f>
        <v>0</v>
      </c>
      <c r="AJ43">
        <v>3</v>
      </c>
      <c r="AK43">
        <f>1*INDEX(X10:AB16,MATCH(B56,X10:X16,0),2)</f>
        <v>0</v>
      </c>
      <c r="AL43">
        <f>10*F56</f>
        <v>0</v>
      </c>
      <c r="AM43" s="46">
        <f>0.3*INDEX(X10:AB16,MATCH(B56,X10:X16,0),5)</f>
        <v>0</v>
      </c>
      <c r="AW43" s="2"/>
    </row>
    <row r="44" spans="1:64" ht="15" thickBot="1" x14ac:dyDescent="0.35">
      <c r="A44" s="7"/>
      <c r="B44" s="196" t="s">
        <v>1712</v>
      </c>
      <c r="C44" s="7" t="s">
        <v>50</v>
      </c>
      <c r="D44" t="str">
        <f>INDEX(S16:W17,MATCH(B44,S16:S17,0),5)</f>
        <v xml:space="preserve"> </v>
      </c>
      <c r="F44" s="4">
        <f>INDEX(S16:W17,MATCH(B44,S16:S17,0),3)*'Ship Info'!G31</f>
        <v>0</v>
      </c>
      <c r="H44" s="10">
        <f>INDEX(S16:W17,MATCH(B44,S16:S17,0),2)</f>
        <v>0</v>
      </c>
      <c r="K44" s="10"/>
      <c r="S44" s="78" t="s">
        <v>2136</v>
      </c>
      <c r="T44">
        <f>1*T3</f>
        <v>0.5</v>
      </c>
      <c r="U44">
        <f>10*F14</f>
        <v>0</v>
      </c>
      <c r="V44">
        <v>-2</v>
      </c>
      <c r="W44">
        <f>0.3*W3</f>
        <v>0.75</v>
      </c>
      <c r="X44" s="78">
        <f>1*T70</f>
        <v>0.5</v>
      </c>
      <c r="Y44" s="2">
        <f>10*(F46+F50)</f>
        <v>0</v>
      </c>
      <c r="Z44" s="88">
        <f>0.3*W70</f>
        <v>0.75</v>
      </c>
      <c r="AA44" s="90">
        <v>3</v>
      </c>
      <c r="AB44" s="78" t="s">
        <v>2148</v>
      </c>
      <c r="AE44">
        <f>1.25*INDEX(S5:W11,MATCH(B29,S5:S11,0),2)</f>
        <v>0</v>
      </c>
      <c r="AF44">
        <f>10*F29</f>
        <v>0</v>
      </c>
      <c r="AG44">
        <v>0</v>
      </c>
      <c r="AH44">
        <v>-2</v>
      </c>
      <c r="AI44">
        <v>0</v>
      </c>
      <c r="AJ44">
        <v>3</v>
      </c>
      <c r="AK44">
        <f>1.25*INDEX(X10:AB16,MATCH(B56,X10:X16,0),2)</f>
        <v>0</v>
      </c>
      <c r="AL44">
        <f>10*F56</f>
        <v>0</v>
      </c>
      <c r="AM44" s="46">
        <v>0</v>
      </c>
      <c r="AW44" s="2"/>
    </row>
    <row r="45" spans="1:64" ht="15" thickBot="1" x14ac:dyDescent="0.35">
      <c r="F45" s="4"/>
      <c r="H45" s="10"/>
      <c r="K45" s="10"/>
      <c r="M45" t="s">
        <v>822</v>
      </c>
      <c r="S45" t="str">
        <f>M25&amp;" "&amp;N25</f>
        <v xml:space="preserve">X1 </v>
      </c>
      <c r="T45">
        <f>M28*T3</f>
        <v>0</v>
      </c>
      <c r="U45">
        <f>N28*F14</f>
        <v>0</v>
      </c>
      <c r="V45">
        <f>Q28</f>
        <v>0</v>
      </c>
      <c r="W45">
        <f>O28*W3</f>
        <v>0</v>
      </c>
      <c r="X45" s="78">
        <f>M28*T70</f>
        <v>0</v>
      </c>
      <c r="Y45">
        <f>N28*F46</f>
        <v>0</v>
      </c>
      <c r="Z45" s="88">
        <f>O28*W70</f>
        <v>0</v>
      </c>
      <c r="AA45" s="90">
        <f>R29</f>
        <v>0</v>
      </c>
      <c r="AB45" s="78" t="str">
        <f>M25&amp;" "&amp;N25</f>
        <v xml:space="preserve">X1 </v>
      </c>
      <c r="AE45">
        <f>M28*INDEX(S5:W11,MATCH(B29,S5:S11,0),2)</f>
        <v>0</v>
      </c>
      <c r="AF45">
        <f>N28*F29</f>
        <v>0</v>
      </c>
      <c r="AG45">
        <f>P28</f>
        <v>0</v>
      </c>
      <c r="AH45">
        <f>Q28</f>
        <v>0</v>
      </c>
      <c r="AI45">
        <f>O28*INDEX(S5:W11,MATCH(B29,S5:S11,0),5)</f>
        <v>0</v>
      </c>
      <c r="AJ45">
        <f>R29</f>
        <v>0</v>
      </c>
      <c r="AK45">
        <f>M29*INDEX(X10:AB16,MATCH(B56,X10:X16,0),2)</f>
        <v>0</v>
      </c>
      <c r="AL45">
        <f>N28*F56</f>
        <v>0</v>
      </c>
      <c r="AM45" s="46">
        <f>O28*INDEX(X10:AB16,MATCH(B56,X10:X16,0),5)</f>
        <v>0</v>
      </c>
      <c r="AW45" s="2"/>
    </row>
    <row r="46" spans="1:64" ht="15" thickBot="1" x14ac:dyDescent="0.35">
      <c r="A46" s="102" t="s">
        <v>805</v>
      </c>
      <c r="B46" s="251" t="s">
        <v>734</v>
      </c>
      <c r="C46" s="102" t="s">
        <v>50</v>
      </c>
      <c r="D46" s="203">
        <v>0</v>
      </c>
      <c r="E46" s="22">
        <f>INDEX(S69:W71,MATCH(B46,S69:S71,0),4)+SUM(E52:E54)</f>
        <v>0</v>
      </c>
      <c r="F46" s="23">
        <f>INDEX(S69:W71,MATCH(B46,S69:S71,0),3)*'Ship Info'!G31</f>
        <v>0</v>
      </c>
      <c r="G46" s="22"/>
      <c r="H46" s="347">
        <f>INDEX(S69:W71,MATCH(B46,S69:S71,0),2)</f>
        <v>0</v>
      </c>
      <c r="I46" s="22"/>
      <c r="J46" s="22"/>
      <c r="K46" s="347">
        <f>INDEX(S69:W71,MATCH(B46,S69:S71,0),5)</f>
        <v>0</v>
      </c>
      <c r="L46" s="22"/>
      <c r="M46" s="83" t="s">
        <v>816</v>
      </c>
      <c r="N46" s="732"/>
      <c r="O46" s="790"/>
      <c r="P46" s="790"/>
      <c r="Q46" s="790"/>
      <c r="R46" s="733"/>
      <c r="S46" s="78" t="str">
        <f>M32&amp;" "&amp;N32</f>
        <v xml:space="preserve">X2 </v>
      </c>
      <c r="T46">
        <f>M35*T3</f>
        <v>0</v>
      </c>
      <c r="U46">
        <f>N35*F14</f>
        <v>0</v>
      </c>
      <c r="V46">
        <f>Q35</f>
        <v>0</v>
      </c>
      <c r="W46">
        <f>O35*W3</f>
        <v>0</v>
      </c>
      <c r="X46" s="78">
        <f>M35*T70</f>
        <v>0</v>
      </c>
      <c r="Y46" s="9">
        <f>N35*F46</f>
        <v>0</v>
      </c>
      <c r="Z46" s="88">
        <f>O35*W70</f>
        <v>0</v>
      </c>
      <c r="AA46" s="90">
        <f>R36</f>
        <v>0</v>
      </c>
      <c r="AB46" s="78" t="str">
        <f>M32&amp;" "&amp;N32</f>
        <v xml:space="preserve">X2 </v>
      </c>
      <c r="AE46">
        <f>M35*INDEX(S5:W11,MATCH(B29,S5:S11,0),2)</f>
        <v>0</v>
      </c>
      <c r="AF46">
        <f>N35*F29</f>
        <v>0</v>
      </c>
      <c r="AG46">
        <f>P35</f>
        <v>0</v>
      </c>
      <c r="AH46">
        <f>Q35</f>
        <v>0</v>
      </c>
      <c r="AI46">
        <f>O35*INDEX(S5:W11,MATCH(B29,S5:S11,0),5)</f>
        <v>0</v>
      </c>
      <c r="AJ46">
        <f>R36</f>
        <v>0</v>
      </c>
      <c r="AK46">
        <f>R36*INDEX(X10:AB16,MATCH(B56,X10:X16,0),2)</f>
        <v>0</v>
      </c>
      <c r="AL46">
        <f>N36*F56</f>
        <v>0</v>
      </c>
      <c r="AM46" s="46">
        <f>O36*INDEX(X10:AB16,MATCH(B56,X10:X16,0),5)</f>
        <v>0</v>
      </c>
      <c r="AP46" t="s">
        <v>846</v>
      </c>
      <c r="AW46" s="2"/>
      <c r="BA46" t="s">
        <v>847</v>
      </c>
    </row>
    <row r="47" spans="1:64" ht="15" thickBot="1" x14ac:dyDescent="0.35">
      <c r="A47" s="22"/>
      <c r="B47" s="103" t="s">
        <v>90</v>
      </c>
      <c r="C47" s="204" t="s">
        <v>92</v>
      </c>
      <c r="D47" s="27"/>
      <c r="E47" s="22"/>
      <c r="F47" s="23" t="str">
        <f>IF(C47=S13,0.5*(SUM(F46,F49,F52))," ")</f>
        <v xml:space="preserve"> </v>
      </c>
      <c r="G47" s="22"/>
      <c r="H47" s="347"/>
      <c r="I47" s="22"/>
      <c r="J47" s="22"/>
      <c r="K47" s="347"/>
      <c r="L47" s="22"/>
      <c r="M47" s="83"/>
      <c r="N47" s="93" t="s">
        <v>820</v>
      </c>
      <c r="O47" s="93"/>
      <c r="P47" s="94"/>
      <c r="Q47" s="57"/>
      <c r="R47" s="94"/>
      <c r="S47" s="78" t="str">
        <f>M39&amp;" "&amp;N39</f>
        <v xml:space="preserve">X3 </v>
      </c>
      <c r="T47">
        <f>M42*T3</f>
        <v>0</v>
      </c>
      <c r="U47">
        <f>N42*F14</f>
        <v>0</v>
      </c>
      <c r="V47">
        <f>Q42</f>
        <v>0</v>
      </c>
      <c r="W47">
        <f>O42*W3</f>
        <v>0</v>
      </c>
      <c r="X47" s="78">
        <f>M42*T70</f>
        <v>0</v>
      </c>
      <c r="Y47" s="9">
        <f>N42*F46</f>
        <v>0</v>
      </c>
      <c r="Z47" s="88">
        <f>O42*W70</f>
        <v>0</v>
      </c>
      <c r="AA47" s="90">
        <f>R43</f>
        <v>0</v>
      </c>
      <c r="AB47" s="78" t="str">
        <f>M39&amp;" "&amp;N39</f>
        <v xml:space="preserve">X3 </v>
      </c>
      <c r="AE47">
        <f>M42*INDEX(S5:W11,MATCH(B29,S5:S11,0),2)</f>
        <v>0</v>
      </c>
      <c r="AF47">
        <f>N42*F29</f>
        <v>0</v>
      </c>
      <c r="AG47">
        <f>P42</f>
        <v>0</v>
      </c>
      <c r="AH47">
        <f>Q42</f>
        <v>0</v>
      </c>
      <c r="AI47">
        <f>O42*INDEX(S5:W11,MATCH(B29,S5:S11,0),5)</f>
        <v>0</v>
      </c>
      <c r="AJ47">
        <f>R43</f>
        <v>0</v>
      </c>
      <c r="AK47">
        <f>M43*INDEX(X10:AB16,MATCH(B56,X10:X16,0),2)</f>
        <v>0</v>
      </c>
      <c r="AL47">
        <f>N42*F56</f>
        <v>0</v>
      </c>
      <c r="AM47" s="46">
        <f>O42*INDEX(X10:AB16,MATCH(B56,X10:X16,0),5)</f>
        <v>0</v>
      </c>
      <c r="AP47" t="s">
        <v>66</v>
      </c>
      <c r="AQ47">
        <f>SUM(1,AQ48:AQ50)</f>
        <v>1</v>
      </c>
      <c r="AS47" s="2" t="s">
        <v>116</v>
      </c>
      <c r="AT47">
        <f>IF(SUM(AT48:AT50)=0,INDEX(Y3:AA6,MATCH(SUM(E25:E27),Y3:Y6,0),3)*F23,SUM(AT48:AT50))</f>
        <v>0</v>
      </c>
      <c r="AW47" s="2"/>
      <c r="AX47" s="2" t="s">
        <v>116</v>
      </c>
      <c r="AY47">
        <f>IF(SUM(AY48:AY50)=0,INDEX(Y3:AA6,MATCH(SUM(E39:E41),Y3:Y6,0),3)*F37,SUM(AY48:AY50))</f>
        <v>0</v>
      </c>
      <c r="BA47">
        <f>SUM(1,BA48:BA50)</f>
        <v>1</v>
      </c>
    </row>
    <row r="48" spans="1:64" ht="15" thickBot="1" x14ac:dyDescent="0.35">
      <c r="A48" s="22"/>
      <c r="B48" s="103" t="s">
        <v>91</v>
      </c>
      <c r="C48" s="204" t="s">
        <v>92</v>
      </c>
      <c r="D48" s="22"/>
      <c r="E48" s="22"/>
      <c r="F48" s="23" t="str">
        <f>IF(C48=S13,200000*H48," ")</f>
        <v xml:space="preserve"> </v>
      </c>
      <c r="G48" s="22"/>
      <c r="H48" s="347" t="str">
        <f>IF(C48=S13,0.1*(SUM(H46,H49,H52))," ")</f>
        <v xml:space="preserve"> </v>
      </c>
      <c r="I48" s="22"/>
      <c r="J48" s="22"/>
      <c r="K48" s="347"/>
      <c r="L48" s="22"/>
      <c r="M48" s="95" t="s">
        <v>821</v>
      </c>
      <c r="N48" s="93" t="s">
        <v>1</v>
      </c>
      <c r="O48" s="57" t="s">
        <v>54</v>
      </c>
      <c r="P48" s="96" t="s">
        <v>66</v>
      </c>
      <c r="Q48" s="93" t="s">
        <v>26</v>
      </c>
      <c r="R48" s="96" t="s">
        <v>817</v>
      </c>
      <c r="S48" s="28" t="str">
        <f>M46&amp;" "&amp;N46</f>
        <v xml:space="preserve">X4 </v>
      </c>
      <c r="T48" s="28">
        <f>M49*T3</f>
        <v>0</v>
      </c>
      <c r="U48">
        <f>N49*F14</f>
        <v>0</v>
      </c>
      <c r="V48" s="28">
        <f>Q49</f>
        <v>0</v>
      </c>
      <c r="W48" s="28">
        <f>O49*W3</f>
        <v>0</v>
      </c>
      <c r="X48" s="86">
        <f>M49*T70</f>
        <v>0</v>
      </c>
      <c r="Y48" s="101">
        <f>N49*F46</f>
        <v>0</v>
      </c>
      <c r="Z48" s="91">
        <f>O49*W70</f>
        <v>0</v>
      </c>
      <c r="AA48" s="97">
        <f>R50</f>
        <v>0</v>
      </c>
      <c r="AB48" s="86" t="str">
        <f>M46&amp;" "&amp;N46</f>
        <v xml:space="preserve">X4 </v>
      </c>
      <c r="AC48" s="28"/>
      <c r="AD48" s="28"/>
      <c r="AE48" s="28">
        <f>M49*INDEX(S5:W11,MATCH(B29,S5:S11,0),2)</f>
        <v>0</v>
      </c>
      <c r="AF48" s="28">
        <f>N49*F29</f>
        <v>0</v>
      </c>
      <c r="AG48" s="28">
        <f>P49</f>
        <v>0</v>
      </c>
      <c r="AH48" s="28">
        <f>Q49</f>
        <v>0</v>
      </c>
      <c r="AI48" s="28">
        <f>O49*INDEX(S5:W11,MATCH(B29,S5:S11,0),5)</f>
        <v>0</v>
      </c>
      <c r="AJ48" s="28">
        <f>R50</f>
        <v>0</v>
      </c>
      <c r="AK48" s="28">
        <f>M50*INDEX(X10:AB16,MATCH(B56,X10:X16,0),2)</f>
        <v>0</v>
      </c>
      <c r="AL48" s="28">
        <f>N49*F56</f>
        <v>0</v>
      </c>
      <c r="AM48" s="79">
        <f>O49*INDEX(X10:AB16,MATCH(B56,X10:X16,0),5)</f>
        <v>0</v>
      </c>
      <c r="AQ48">
        <f>INDEX($AN$24:$AV$42,MATCH(B25,$AN$24:$AN$42,0),8)</f>
        <v>0</v>
      </c>
      <c r="AS48" s="2">
        <v>1</v>
      </c>
      <c r="AT48">
        <f>INDEX($AN$24:$AV$42,MATCH(B25,$AN$24:$AN$42,0),7)</f>
        <v>0</v>
      </c>
      <c r="AX48" s="2">
        <v>1</v>
      </c>
      <c r="AY48">
        <f>INDEX($AN$24:$AZ$42,MATCH(B39,$AN$24:$AN$42,0),12)</f>
        <v>0</v>
      </c>
      <c r="BA48">
        <f>INDEX($AN$24:$AZ$42,MATCH(B39,$AN$24:$AN$42,0),13)</f>
        <v>0</v>
      </c>
    </row>
    <row r="49" spans="1:53" ht="15" thickBot="1" x14ac:dyDescent="0.35">
      <c r="A49" s="22"/>
      <c r="B49" s="102" t="s">
        <v>1547</v>
      </c>
      <c r="C49" s="204" t="s">
        <v>92</v>
      </c>
      <c r="D49" s="27" t="str">
        <f>IF(C49=S13,(AA1-8)*5&amp;"% Efficiency","")</f>
        <v/>
      </c>
      <c r="E49" s="22"/>
      <c r="F49" s="23">
        <f>IF(C49=S13,0.6*SUM(F46,F52:F54),0)</f>
        <v>0</v>
      </c>
      <c r="G49" s="22"/>
      <c r="H49" s="347" t="str">
        <f>IF(C49=S13,SUM(H46,H52:H54)*((200-((AA1-9)*25))/100)," ")</f>
        <v xml:space="preserve"> </v>
      </c>
      <c r="I49" s="22"/>
      <c r="J49" s="22"/>
      <c r="K49" s="347" t="str">
        <f>IF(C49=S13,SUM(K46,K52:K54)*3,"")</f>
        <v/>
      </c>
      <c r="L49" s="22"/>
      <c r="M49" s="507">
        <v>0</v>
      </c>
      <c r="N49" s="507">
        <v>0</v>
      </c>
      <c r="O49" s="219">
        <v>0</v>
      </c>
      <c r="P49" s="507">
        <v>0</v>
      </c>
      <c r="Q49" s="197">
        <v>0</v>
      </c>
      <c r="R49" s="197">
        <v>0</v>
      </c>
      <c r="T49" t="s">
        <v>824</v>
      </c>
      <c r="U49" s="45">
        <f>IF(SUM(U50:U52)=0,INDEX(Y3:AA6,MATCH(SUM(E19:E21),Y3:Y6,0),3)*F14,SUM(U50:U52))</f>
        <v>0</v>
      </c>
      <c r="X49" t="s">
        <v>824</v>
      </c>
      <c r="Y49" s="9">
        <f>IF(SUM(Y50:Y52)=0,INDEX(Y3:AA6,MATCH(SUM(E52:E54),Y3:Y6,0),3)*F46,SUM(Y50:Y52))</f>
        <v>0</v>
      </c>
      <c r="Z49" s="2"/>
      <c r="AG49" t="s">
        <v>844</v>
      </c>
      <c r="AI49" t="s">
        <v>845</v>
      </c>
      <c r="AQ49">
        <f>INDEX($AN$24:$AV$42,MATCH(B26,$AN$24:$AN$42,0),8)</f>
        <v>0</v>
      </c>
      <c r="AS49" s="2">
        <v>2</v>
      </c>
      <c r="AT49">
        <f>INDEX($AN$24:$AV$42,MATCH(B26,$AN$24:$AN$42,0),7)</f>
        <v>0</v>
      </c>
      <c r="AX49" s="2">
        <v>2</v>
      </c>
      <c r="AY49">
        <f>INDEX($AN$24:$AZ$42,MATCH(B40,$AN$24:$AN$42,0),12)</f>
        <v>0</v>
      </c>
      <c r="BA49">
        <f>INDEX($AN$24:$AZ$42,MATCH(B40,$AN$24:$AN$42,0),13)</f>
        <v>0</v>
      </c>
    </row>
    <row r="50" spans="1:53" ht="15" thickBot="1" x14ac:dyDescent="0.35">
      <c r="A50" s="22"/>
      <c r="B50" s="102" t="s">
        <v>1904</v>
      </c>
      <c r="C50" s="204" t="s">
        <v>92</v>
      </c>
      <c r="D50" s="27" t="str">
        <f>IF(C50=S14,(AA2-8)*5&amp;"% Efficiency","")</f>
        <v/>
      </c>
      <c r="E50" s="22"/>
      <c r="F50" s="23">
        <f>IF(C50="No",0,F46*-0.9)</f>
        <v>0</v>
      </c>
      <c r="G50" s="22"/>
      <c r="H50" s="347"/>
      <c r="I50" s="22"/>
      <c r="J50" s="22"/>
      <c r="K50" s="347"/>
      <c r="L50" s="22"/>
      <c r="M50" s="199"/>
      <c r="N50" s="60"/>
      <c r="O50" s="200"/>
      <c r="P50" s="60"/>
      <c r="Q50" s="201"/>
      <c r="R50" s="97">
        <f>IF(N49=0,R49,3)</f>
        <v>0</v>
      </c>
      <c r="S50" t="s">
        <v>858</v>
      </c>
      <c r="T50">
        <v>1</v>
      </c>
      <c r="U50" s="348">
        <f>INDEX($S$24:$U$48,MATCH(B19,$S$24:$S$48,0),3)</f>
        <v>0</v>
      </c>
      <c r="X50">
        <v>1</v>
      </c>
      <c r="Y50" s="9">
        <f>INDEX($S$24:$AA$48,MATCH(B52,$S$24:$S$48,0),7)</f>
        <v>0</v>
      </c>
      <c r="Z50" s="2"/>
      <c r="AG50" t="s">
        <v>66</v>
      </c>
      <c r="AI50" t="s">
        <v>66</v>
      </c>
      <c r="AQ50">
        <f>INDEX($AN$24:$AV$42,MATCH(B27,$AN$24:$AN$42,0),8)</f>
        <v>0</v>
      </c>
      <c r="AS50" s="2">
        <v>3</v>
      </c>
      <c r="AT50">
        <f>INDEX($AN$24:$AV$42,MATCH(B27,$AN$24:$AN$42,0),7)</f>
        <v>0</v>
      </c>
      <c r="AX50" s="2">
        <v>3</v>
      </c>
      <c r="AY50">
        <f>INDEX($AN$24:$AZ$42,MATCH(B41,$AN$24:$AN$42,0),12)</f>
        <v>0</v>
      </c>
      <c r="BA50">
        <f>INDEX($AN$24:$AZ$42,MATCH(B41,$AN$24:$AN$42,0),13)</f>
        <v>0</v>
      </c>
    </row>
    <row r="51" spans="1:53" ht="15" thickBot="1" x14ac:dyDescent="0.35">
      <c r="A51" s="22"/>
      <c r="B51" s="102" t="s">
        <v>2256</v>
      </c>
      <c r="C51" s="204" t="s">
        <v>92</v>
      </c>
      <c r="D51" s="22"/>
      <c r="E51" s="22"/>
      <c r="F51" s="23">
        <f>IF(C51="No",0,4*SUM(F46,F49:F50,F52,))</f>
        <v>0</v>
      </c>
      <c r="G51" s="23"/>
      <c r="H51" s="347">
        <f>IF(C51="No",0,0.2*SUM(H47,H49:H50,H52))</f>
        <v>0</v>
      </c>
      <c r="I51" s="22"/>
      <c r="J51" s="22"/>
      <c r="K51" s="22"/>
      <c r="L51" s="22"/>
      <c r="S51" t="s">
        <v>857</v>
      </c>
      <c r="T51">
        <v>2</v>
      </c>
      <c r="U51" s="348">
        <f>INDEX($S$24:$U$48,MATCH(B20,$S$24:$S$48,0),3)</f>
        <v>0</v>
      </c>
      <c r="X51">
        <v>2</v>
      </c>
      <c r="Y51" s="9">
        <f>INDEX($S$24:$AA$48,MATCH(B53,$S$24:$S$48,0),7)</f>
        <v>0</v>
      </c>
      <c r="Z51" s="2"/>
      <c r="AD51" t="s">
        <v>116</v>
      </c>
      <c r="AE51">
        <f>IF(SUM(AE52:AE54)=0,INDEX(Y3:AA6,MATCH(SUM(E32:E34),Y3:Y6,0),3)*F29,SUM(AE52:AE54))</f>
        <v>0</v>
      </c>
      <c r="AG51">
        <f>SUM(1,AG52:AG54)</f>
        <v>1</v>
      </c>
      <c r="AI51">
        <f>SUM(1,AI52:AI54)</f>
        <v>1</v>
      </c>
      <c r="AK51" t="s">
        <v>833</v>
      </c>
      <c r="AL51">
        <f>IF(SUM(AL52:AL54)=0,INDEX(Y3:AA6,MATCH(SUM(E59:E61),Y3:Y6,0),3)*F56,SUM(AL52:AL54))</f>
        <v>0</v>
      </c>
    </row>
    <row r="52" spans="1:53" ht="15" thickBot="1" x14ac:dyDescent="0.35">
      <c r="A52" s="102" t="s">
        <v>806</v>
      </c>
      <c r="B52" s="204" t="s">
        <v>796</v>
      </c>
      <c r="C52" s="22"/>
      <c r="D52" s="22"/>
      <c r="E52" s="22">
        <f>INDEX($S$24:$AA$48,MATCH(B52,$S$24:$S$48,0),4)</f>
        <v>0</v>
      </c>
      <c r="F52" s="23">
        <f>Y49</f>
        <v>0</v>
      </c>
      <c r="G52" s="22"/>
      <c r="H52" s="347">
        <f>INDEX(S24:AA48,MATCH(B52,S24:S48,0),6)+INDEX(S24:AA48,MATCH(B53,S24:S48,0),6)+INDEX(S24:AA48,MATCH(B54,S24:S48,0),6)</f>
        <v>0</v>
      </c>
      <c r="I52" s="22"/>
      <c r="J52" s="22"/>
      <c r="K52" s="347">
        <f>INDEX(S24:AA48,MATCH(B52,S24:S48,0),8)+INDEX(S24:AA48,MATCH(B53,S24:S48,0),8)+INDEX(S24:AA48,MATCH(B54,S24:S48,0),8)</f>
        <v>0</v>
      </c>
      <c r="L52" s="22"/>
      <c r="T52">
        <v>3</v>
      </c>
      <c r="U52" s="348">
        <f>INDEX($S$24:$U$48,MATCH(B21,$S$24:$S$48,0),3)</f>
        <v>0</v>
      </c>
      <c r="X52">
        <v>3</v>
      </c>
      <c r="Y52" s="9">
        <f>INDEX($S$24:$AA$48,MATCH(B54,$S$24:$S$48,0),7)</f>
        <v>0</v>
      </c>
      <c r="AD52">
        <v>1</v>
      </c>
      <c r="AE52">
        <f>INDEX($AB$24:$AM$48,MATCH(B32,$AB$24:$AB$48,0),5)</f>
        <v>0</v>
      </c>
      <c r="AG52">
        <f>INDEX($AB$24:$AM$48,MATCH(B32,$AB$24:$AB$48,0),6)</f>
        <v>0</v>
      </c>
      <c r="AI52">
        <f>INDEX($AB$24:$AM$48,MATCH(B59,$AB$24:$AB$48,0),6)</f>
        <v>0</v>
      </c>
      <c r="AK52">
        <v>1</v>
      </c>
      <c r="AL52">
        <f>INDEX($AB$24:$AM$48,MATCH(B59,$AB$24:$AB$48,0),11)</f>
        <v>0</v>
      </c>
    </row>
    <row r="53" spans="1:53" ht="15" thickBot="1" x14ac:dyDescent="0.35">
      <c r="A53" s="102"/>
      <c r="B53" s="204" t="s">
        <v>796</v>
      </c>
      <c r="C53" s="22"/>
      <c r="D53" s="104" t="s">
        <v>788</v>
      </c>
      <c r="E53" s="22">
        <f t="shared" ref="E53:E54" si="3">INDEX($S$24:$AA$48,MATCH(B53,$S$24:$S$48,0),4)</f>
        <v>0</v>
      </c>
      <c r="F53" s="23"/>
      <c r="G53" s="22"/>
      <c r="H53" s="347"/>
      <c r="I53" s="22"/>
      <c r="J53" s="22"/>
      <c r="K53" s="347"/>
      <c r="L53" s="22"/>
      <c r="S53" s="9" t="s">
        <v>832</v>
      </c>
      <c r="T53" t="s">
        <v>110</v>
      </c>
      <c r="U53" t="s">
        <v>1</v>
      </c>
      <c r="V53" t="s">
        <v>26</v>
      </c>
      <c r="W53" t="s">
        <v>54</v>
      </c>
      <c r="AD53">
        <v>2</v>
      </c>
      <c r="AE53">
        <f>INDEX($AB$24:$AM$48,MATCH(B33,$AB$24:$AB$48,0),5)</f>
        <v>0</v>
      </c>
      <c r="AG53">
        <f>INDEX($AB$24:$AM$48,MATCH(B33,$AB$24:$AB$48,0),6)</f>
        <v>0</v>
      </c>
      <c r="AI53">
        <f>INDEX($AB$24:$AM$48,MATCH(B60,$AB$24:$AB$48,0),6)</f>
        <v>0</v>
      </c>
      <c r="AK53">
        <v>2</v>
      </c>
      <c r="AL53">
        <f>INDEX($AB$24:$AM$48,MATCH(B60,$AB$24:$AB$48,0),11)</f>
        <v>0</v>
      </c>
    </row>
    <row r="54" spans="1:53" ht="15" thickBot="1" x14ac:dyDescent="0.35">
      <c r="A54" s="102"/>
      <c r="B54" s="204" t="s">
        <v>796</v>
      </c>
      <c r="C54" s="22"/>
      <c r="D54" s="27">
        <f>INDEX(S24:AA48,MATCH(B52,S24:S48,0),9)+INDEX(S24:AA48,MATCH(B53,S24:S48,0),9)+INDEX(S24:AA48,MATCH(B54,S24:S48,0),9)</f>
        <v>0</v>
      </c>
      <c r="E54" s="22">
        <f t="shared" si="3"/>
        <v>0</v>
      </c>
      <c r="F54" s="23"/>
      <c r="G54" s="22"/>
      <c r="H54" s="347"/>
      <c r="I54" s="22"/>
      <c r="J54" s="22"/>
      <c r="K54" s="347"/>
      <c r="L54" s="22"/>
      <c r="S54" s="9"/>
      <c r="AD54">
        <v>3</v>
      </c>
      <c r="AE54">
        <f>INDEX($AB$24:$AM$48,MATCH(B34,$AB$24:$AB$48,0),5)</f>
        <v>0</v>
      </c>
      <c r="AG54">
        <f>INDEX($AB$24:$AM$48,MATCH(B34,$AB$24:$AB$48,0),6)</f>
        <v>0</v>
      </c>
      <c r="AI54">
        <f>INDEX($AB$24:$AM$48,MATCH(B61,$AB$24:$AB$48,0),6)</f>
        <v>0</v>
      </c>
      <c r="AK54">
        <v>3</v>
      </c>
      <c r="AL54">
        <f>INDEX($AB$24:$AM$48,MATCH(B61,$AB$24:$AB$48,0),11)</f>
        <v>0</v>
      </c>
    </row>
    <row r="55" spans="1:53" ht="15" thickBot="1" x14ac:dyDescent="0.35">
      <c r="A55" s="7"/>
      <c r="B55" s="77"/>
      <c r="F55" s="4"/>
      <c r="H55" s="10"/>
      <c r="K55" s="10"/>
      <c r="S55" s="9" t="s">
        <v>823</v>
      </c>
      <c r="T55" s="72">
        <v>0</v>
      </c>
      <c r="U55" s="72">
        <v>0</v>
      </c>
      <c r="V55" s="72">
        <v>0</v>
      </c>
      <c r="W55" s="72">
        <v>0</v>
      </c>
      <c r="AB55" s="44"/>
      <c r="AC55" s="45"/>
      <c r="AD55" s="45"/>
      <c r="AE55" s="45"/>
      <c r="AF55" s="45" t="s">
        <v>51</v>
      </c>
      <c r="AG55" s="45"/>
      <c r="AH55" s="45" t="s">
        <v>61</v>
      </c>
      <c r="AI55" s="47"/>
      <c r="AP55" t="s">
        <v>61</v>
      </c>
    </row>
    <row r="56" spans="1:53" ht="15" thickBot="1" x14ac:dyDescent="0.35">
      <c r="A56" s="7" t="s">
        <v>51</v>
      </c>
      <c r="B56" s="251" t="s">
        <v>823</v>
      </c>
      <c r="C56" s="7" t="s">
        <v>50</v>
      </c>
      <c r="D56" s="197">
        <v>0</v>
      </c>
      <c r="E56">
        <f>INDEX(X10:AB16,MATCH(B56,X10:X16,0),4)+SUM(E59:E61)</f>
        <v>0</v>
      </c>
      <c r="F56" s="4">
        <f>IF(D56=0,0,INDEX(X10:AB16,MATCH(B56,X10:X16,0),3))*'Ship Info'!G31</f>
        <v>0</v>
      </c>
      <c r="H56" s="10">
        <f>IF(D56=0,0,INDEX(X10:AB16,MATCH(B56,X10:X16,0),2))</f>
        <v>0</v>
      </c>
      <c r="I56" s="2"/>
      <c r="K56" s="10">
        <f>IF(D56=0,0,INDEX(X10:AB16,MATCH(B56,X10:X16,0),5))</f>
        <v>0</v>
      </c>
      <c r="S56" s="9" t="s">
        <v>56</v>
      </c>
      <c r="AB56" s="78" t="s">
        <v>862</v>
      </c>
      <c r="AF56" t="s">
        <v>878</v>
      </c>
      <c r="AG56" t="s">
        <v>879</v>
      </c>
      <c r="AH56" t="s">
        <v>878</v>
      </c>
      <c r="AI56" s="46" t="s">
        <v>879</v>
      </c>
      <c r="AP56">
        <v>0</v>
      </c>
      <c r="AQ56">
        <v>0</v>
      </c>
    </row>
    <row r="57" spans="1:53" ht="15" thickBot="1" x14ac:dyDescent="0.35">
      <c r="B57" s="1" t="s">
        <v>90</v>
      </c>
      <c r="C57" s="196" t="s">
        <v>92</v>
      </c>
      <c r="D57" s="2"/>
      <c r="F57" s="4" t="str">
        <f>IF(C57=S37,0.5*(F56+F59)," ")</f>
        <v xml:space="preserve"> </v>
      </c>
      <c r="H57" s="10"/>
      <c r="I57" s="2"/>
      <c r="K57" s="10"/>
      <c r="S57" s="9" t="s">
        <v>52</v>
      </c>
      <c r="Y57" s="9"/>
      <c r="AB57" s="78" t="s">
        <v>51</v>
      </c>
      <c r="AC57">
        <f>INDEX(AE57:AG58,MATCH(C6,AE57:AE58,0),2)-'1-Hull'!T96</f>
        <v>1</v>
      </c>
      <c r="AD57">
        <f>INDEX(AE57:AG58,MATCH(C6,AE57:AE58,0),3)</f>
        <v>0</v>
      </c>
      <c r="AE57" t="s">
        <v>858</v>
      </c>
      <c r="AF57">
        <f>AI51</f>
        <v>1</v>
      </c>
      <c r="AG57">
        <f>D56</f>
        <v>0</v>
      </c>
      <c r="AH57">
        <f>BA47</f>
        <v>1</v>
      </c>
      <c r="AI57" s="46">
        <f>D37</f>
        <v>0</v>
      </c>
      <c r="AP57">
        <v>0.01</v>
      </c>
      <c r="AQ57">
        <v>0.5</v>
      </c>
    </row>
    <row r="58" spans="1:53" ht="15" thickBot="1" x14ac:dyDescent="0.35">
      <c r="B58" s="1" t="s">
        <v>91</v>
      </c>
      <c r="C58" s="196" t="s">
        <v>92</v>
      </c>
      <c r="F58" s="4" t="str">
        <f>IF(C58=S13,200000*H58," ")</f>
        <v xml:space="preserve"> </v>
      </c>
      <c r="H58" s="10" t="str">
        <f>IF(C58=S13,0.1*(H56+H59)," ")</f>
        <v xml:space="preserve"> </v>
      </c>
      <c r="K58" s="10"/>
      <c r="S58" s="9" t="s">
        <v>57</v>
      </c>
      <c r="Y58" s="9"/>
      <c r="AB58" s="86" t="s">
        <v>61</v>
      </c>
      <c r="AC58" s="28">
        <f>INDEX(AE57:AI58,MATCH(C6,AE57:AE58,0),4)</f>
        <v>1</v>
      </c>
      <c r="AD58" s="28">
        <f>INDEX(AE57:AI58,MATCH(C6,AE57:AE58,0),5)</f>
        <v>0</v>
      </c>
      <c r="AE58" s="28" t="s">
        <v>857</v>
      </c>
      <c r="AF58" s="28">
        <f>AG51</f>
        <v>1</v>
      </c>
      <c r="AG58" s="28">
        <f>D29</f>
        <v>0</v>
      </c>
      <c r="AH58" s="28">
        <f>AQ47</f>
        <v>1</v>
      </c>
      <c r="AI58" s="79">
        <f>D23</f>
        <v>0</v>
      </c>
      <c r="AP58">
        <v>0.02</v>
      </c>
      <c r="AQ58">
        <v>1</v>
      </c>
    </row>
    <row r="59" spans="1:53" ht="15" thickBot="1" x14ac:dyDescent="0.35">
      <c r="A59" s="7" t="s">
        <v>119</v>
      </c>
      <c r="B59" s="196" t="s">
        <v>796</v>
      </c>
      <c r="E59">
        <f>INDEX($AB$24:$AM$48,MATCH(B59,$AB$24:$AB$48,0),7)</f>
        <v>0</v>
      </c>
      <c r="F59" s="4">
        <f>AL51</f>
        <v>0</v>
      </c>
      <c r="H59" s="10">
        <f>IF(D56=0,0,INDEX(AB24:AM48,MATCH(B59,AB24:AB48,0),10)+INDEX(AB24:AM48,MATCH(B60,AB24:AB48,0),10)+INDEX(AB24:AM48,MATCH(B61,AB24:AB48,0),10))</f>
        <v>0</v>
      </c>
      <c r="K59" s="10">
        <f>INDEX(AB24:AM48,MATCH(B59,AB24:AB48,0),12)+INDEX(AB24:AM48,MATCH(B60,AB24:AB48,0),12)+INDEX(AB24:AM48,MATCH(B61,AB24:AB48,0),12)</f>
        <v>0</v>
      </c>
      <c r="S59" s="9" t="s">
        <v>58</v>
      </c>
      <c r="AP59">
        <v>0.03</v>
      </c>
      <c r="AQ59">
        <v>1.5</v>
      </c>
    </row>
    <row r="60" spans="1:53" ht="15" thickBot="1" x14ac:dyDescent="0.35">
      <c r="B60" s="196" t="s">
        <v>796</v>
      </c>
      <c r="D60" s="52" t="s">
        <v>788</v>
      </c>
      <c r="E60">
        <f t="shared" ref="E60:E61" si="4">INDEX($AB$24:$AM$48,MATCH(B60,$AB$24:$AB$48,0),7)</f>
        <v>0</v>
      </c>
      <c r="AP60">
        <v>0.04</v>
      </c>
      <c r="AQ60">
        <v>2</v>
      </c>
    </row>
    <row r="61" spans="1:53" ht="15" thickBot="1" x14ac:dyDescent="0.35">
      <c r="B61" s="196" t="s">
        <v>796</v>
      </c>
      <c r="D61" s="2">
        <f>INDEX(AB24:AM48,MATCH(B59,AB24:AB48,0),9)+INDEX(AB24:AM48,MATCH(B60,AB24:AB48,0),9)+INDEX(AB24:AM48,MATCH(B61,AB24:AB48,0),9)</f>
        <v>0</v>
      </c>
      <c r="E61">
        <f t="shared" si="4"/>
        <v>0</v>
      </c>
      <c r="AP61">
        <v>0.05</v>
      </c>
      <c r="AQ61">
        <v>2.5</v>
      </c>
    </row>
    <row r="62" spans="1:53" x14ac:dyDescent="0.3">
      <c r="K62" s="2"/>
      <c r="S62" t="s">
        <v>386</v>
      </c>
      <c r="U62" t="s">
        <v>614</v>
      </c>
      <c r="V62">
        <f>SUM(V63:V65)</f>
        <v>0</v>
      </c>
      <c r="Z62" t="s">
        <v>920</v>
      </c>
      <c r="AE62" s="44" t="s">
        <v>796</v>
      </c>
      <c r="AF62" t="str">
        <f>""</f>
        <v/>
      </c>
      <c r="AP62">
        <v>0.06</v>
      </c>
      <c r="AQ62">
        <v>3</v>
      </c>
    </row>
    <row r="63" spans="1:53" x14ac:dyDescent="0.3">
      <c r="A63" s="9" t="s">
        <v>95</v>
      </c>
      <c r="B63" t="s">
        <v>96</v>
      </c>
      <c r="H63" s="2"/>
      <c r="K63" s="2"/>
      <c r="S63">
        <f>SUM(H14:H61)</f>
        <v>0</v>
      </c>
      <c r="U63" t="s">
        <v>872</v>
      </c>
      <c r="V63">
        <f>SUM('6-Comp'!Y14)</f>
        <v>0</v>
      </c>
      <c r="Z63" s="44" t="str">
        <f>INDEX($AE$62:$AF$86,MATCH(B19,$AE$62:$AE$86,0),2)</f>
        <v/>
      </c>
      <c r="AA63" s="47"/>
      <c r="AE63" s="78" t="s">
        <v>2122</v>
      </c>
      <c r="AF63" t="s">
        <v>2123</v>
      </c>
      <c r="AP63">
        <v>7.0000000000000007E-2</v>
      </c>
      <c r="AQ63">
        <v>3.5</v>
      </c>
    </row>
    <row r="64" spans="1:53" x14ac:dyDescent="0.3">
      <c r="A64" s="9"/>
      <c r="K64" s="2"/>
      <c r="U64" t="s">
        <v>873</v>
      </c>
      <c r="V64">
        <f>IF(C7="Yes",1,0)</f>
        <v>0</v>
      </c>
      <c r="Z64" s="78" t="str">
        <f>INDEX($AE$62:$AF$86,MATCH(B20,$AE$62:$AE$86,0),2)</f>
        <v/>
      </c>
      <c r="AA64" s="46"/>
      <c r="AB64" t="s">
        <v>931</v>
      </c>
      <c r="AC64" t="str">
        <f>C15</f>
        <v>No</v>
      </c>
      <c r="AE64" s="78" t="s">
        <v>854</v>
      </c>
      <c r="AF64" t="s">
        <v>916</v>
      </c>
      <c r="AP64">
        <v>0.08</v>
      </c>
      <c r="AQ64">
        <v>4</v>
      </c>
    </row>
    <row r="65" spans="1:43" x14ac:dyDescent="0.3">
      <c r="A65" s="9" t="s">
        <v>95</v>
      </c>
      <c r="B65" t="s">
        <v>94</v>
      </c>
      <c r="K65" s="2"/>
      <c r="S65" t="s">
        <v>387</v>
      </c>
      <c r="U65" t="s">
        <v>874</v>
      </c>
      <c r="V65">
        <f>IF(C8="Yes",1,0)</f>
        <v>0</v>
      </c>
      <c r="Z65" s="78" t="str">
        <f>INDEX($AE$62:$AF$86,MATCH(B21,$AE$62:$AE$86,0),2)</f>
        <v/>
      </c>
      <c r="AA65" s="46"/>
      <c r="AB65" t="s">
        <v>7</v>
      </c>
      <c r="AC65" t="str">
        <f>C16</f>
        <v>No</v>
      </c>
      <c r="AE65" s="78" t="s">
        <v>797</v>
      </c>
      <c r="AF65" t="s">
        <v>911</v>
      </c>
      <c r="AP65">
        <v>0.09</v>
      </c>
      <c r="AQ65">
        <v>4.5</v>
      </c>
    </row>
    <row r="66" spans="1:43" x14ac:dyDescent="0.3">
      <c r="S66">
        <f>SUM(K14:K61)</f>
        <v>0</v>
      </c>
      <c r="Z66" s="78"/>
      <c r="AA66" s="46"/>
      <c r="AB66" t="s">
        <v>1548</v>
      </c>
      <c r="AC66" t="str">
        <f>C17</f>
        <v>No</v>
      </c>
      <c r="AE66" s="78" t="s">
        <v>2296</v>
      </c>
      <c r="AF66" t="s">
        <v>2299</v>
      </c>
      <c r="AP66">
        <v>0.1</v>
      </c>
      <c r="AQ66">
        <v>5</v>
      </c>
    </row>
    <row r="67" spans="1:43" x14ac:dyDescent="0.3">
      <c r="A67" s="9" t="s">
        <v>95</v>
      </c>
      <c r="B67" t="s">
        <v>121</v>
      </c>
      <c r="Z67" s="78" t="str">
        <f>IF(Z63=AE62,"",Z63)</f>
        <v/>
      </c>
      <c r="AA67" s="46" t="str">
        <f>IF(Z67="","",IF(AND(Z63=Z64,Z63=Z65)," x3",IF(OR(Z63=Z64,Z63=Z65)," x2","")))</f>
        <v/>
      </c>
      <c r="AE67" s="78" t="s">
        <v>2297</v>
      </c>
      <c r="AF67" t="s">
        <v>2300</v>
      </c>
      <c r="AP67">
        <v>0.11</v>
      </c>
      <c r="AQ67">
        <v>5.5</v>
      </c>
    </row>
    <row r="68" spans="1:43" x14ac:dyDescent="0.3">
      <c r="S68" s="3" t="s">
        <v>115</v>
      </c>
      <c r="T68" s="3" t="s">
        <v>2</v>
      </c>
      <c r="U68" s="3" t="s">
        <v>1</v>
      </c>
      <c r="V68" s="3" t="s">
        <v>26</v>
      </c>
      <c r="W68" s="3" t="s">
        <v>54</v>
      </c>
      <c r="X68" s="3"/>
      <c r="Y68" s="3"/>
      <c r="Z68" s="78" t="str">
        <f>IF(OR(Z67="",Z64="",Z64=Z63),"",", ")&amp;IF(OR(Z64=Z63,Z64=AE62),"",Z64)</f>
        <v/>
      </c>
      <c r="AA68" s="46" t="str">
        <f>IF(Z68="","",IF(Z68=Z65," x2",""))</f>
        <v/>
      </c>
      <c r="AE68" t="s">
        <v>2298</v>
      </c>
      <c r="AF68" t="s">
        <v>2301</v>
      </c>
      <c r="AP68">
        <v>0.12</v>
      </c>
      <c r="AQ68">
        <v>6</v>
      </c>
    </row>
    <row r="69" spans="1:43" x14ac:dyDescent="0.3">
      <c r="A69" s="9" t="s">
        <v>95</v>
      </c>
      <c r="B69" t="s">
        <v>117</v>
      </c>
      <c r="S69" t="s">
        <v>734</v>
      </c>
      <c r="T69">
        <v>0</v>
      </c>
      <c r="U69">
        <v>0</v>
      </c>
      <c r="V69">
        <v>0</v>
      </c>
      <c r="W69">
        <v>0</v>
      </c>
      <c r="Z69" s="86" t="str">
        <f>IF(OR(AND(Z67="",Z68=""),Z65="",Z65=Z63,Z65=Z64),"",", ")&amp;IF(OR(Z65=Z67,Z65=Z68,Z65=AE62),"",Z65)</f>
        <v/>
      </c>
      <c r="AA69" s="79"/>
      <c r="AE69" s="78" t="s">
        <v>809</v>
      </c>
      <c r="AF69" t="s">
        <v>906</v>
      </c>
      <c r="AP69">
        <v>0.13</v>
      </c>
      <c r="AQ69">
        <v>6.5</v>
      </c>
    </row>
    <row r="70" spans="1:43" x14ac:dyDescent="0.3">
      <c r="B70" t="s">
        <v>118</v>
      </c>
      <c r="S70" t="s">
        <v>49</v>
      </c>
      <c r="T70">
        <f>T21*INDEX(AF1:AQ3,2,MATCH(D46,AF1:AQ1,0))</f>
        <v>0.5</v>
      </c>
      <c r="U70">
        <f>2000000*(T70+H52)</f>
        <v>1000000</v>
      </c>
      <c r="V70">
        <f>INDEX(AF1:AQ3,3,MATCH(D46,AF1:AQ1,0))</f>
        <v>9</v>
      </c>
      <c r="W70">
        <f>IF(D46&gt;0,D46*0.1*U107,0.1*U107*0.25)</f>
        <v>2.5</v>
      </c>
      <c r="AE70" s="78" t="s">
        <v>2132</v>
      </c>
      <c r="AF70" t="s">
        <v>2121</v>
      </c>
      <c r="AP70">
        <v>0.14000000000000001</v>
      </c>
      <c r="AQ70">
        <v>7</v>
      </c>
    </row>
    <row r="71" spans="1:43" x14ac:dyDescent="0.3">
      <c r="Z71" t="s">
        <v>921</v>
      </c>
      <c r="AE71" t="s">
        <v>801</v>
      </c>
      <c r="AF71" t="s">
        <v>915</v>
      </c>
      <c r="AP71">
        <v>0.15</v>
      </c>
      <c r="AQ71">
        <v>7.5</v>
      </c>
    </row>
    <row r="72" spans="1:43" x14ac:dyDescent="0.3">
      <c r="A72" s="9" t="s">
        <v>859</v>
      </c>
      <c r="B72" t="s">
        <v>860</v>
      </c>
      <c r="S72" t="s">
        <v>764</v>
      </c>
      <c r="T72">
        <f>SUM(T73,T74,T82,W74,T87)</f>
        <v>0</v>
      </c>
      <c r="Z72" s="44" t="str">
        <f>INDEX($AE$62:$AF$86,MATCH(B52,$AE$62:$AE$86,0),2)</f>
        <v/>
      </c>
      <c r="AA72" s="47"/>
      <c r="AE72" t="s">
        <v>1797</v>
      </c>
      <c r="AF72" t="s">
        <v>1796</v>
      </c>
      <c r="AP72">
        <v>0.16</v>
      </c>
      <c r="AQ72">
        <v>8</v>
      </c>
    </row>
    <row r="73" spans="1:43" x14ac:dyDescent="0.3">
      <c r="B73" t="s">
        <v>861</v>
      </c>
      <c r="S73" t="s">
        <v>1355</v>
      </c>
      <c r="T73">
        <f>IF(AND(S63&gt;0,OR('Ship Info'!F7,'Ship Info'!F4)),1,0)</f>
        <v>0</v>
      </c>
      <c r="Z73" s="78" t="str">
        <f>INDEX($AE$62:$AF$86,MATCH(B53,$AE$62:$AE$86,0),2)</f>
        <v/>
      </c>
      <c r="AA73" s="46"/>
      <c r="AB73" t="s">
        <v>931</v>
      </c>
      <c r="AC73" t="str">
        <f>C47</f>
        <v>No</v>
      </c>
      <c r="AE73" t="s">
        <v>1280</v>
      </c>
      <c r="AF73" t="s">
        <v>1281</v>
      </c>
      <c r="AP73">
        <v>0.17</v>
      </c>
      <c r="AQ73">
        <v>8.5</v>
      </c>
    </row>
    <row r="74" spans="1:43" x14ac:dyDescent="0.3">
      <c r="S74" t="s">
        <v>743</v>
      </c>
      <c r="T74">
        <f>SUM(T75:T80)+T73</f>
        <v>0</v>
      </c>
      <c r="V74" t="s">
        <v>834</v>
      </c>
      <c r="W74">
        <f>SUM(W75:W80)</f>
        <v>0</v>
      </c>
      <c r="Z74" s="78" t="str">
        <f>INDEX($AE$62:$AF$86,MATCH(B54,$AE$62:$AE$86,0),2)</f>
        <v/>
      </c>
      <c r="AA74" s="46"/>
      <c r="AB74" t="s">
        <v>7</v>
      </c>
      <c r="AC74" t="str">
        <f>C48</f>
        <v>No</v>
      </c>
      <c r="AE74" s="78" t="s">
        <v>2129</v>
      </c>
      <c r="AF74" t="s">
        <v>2124</v>
      </c>
      <c r="AP74">
        <v>0.18</v>
      </c>
      <c r="AQ74">
        <v>9</v>
      </c>
    </row>
    <row r="75" spans="1:43" x14ac:dyDescent="0.3">
      <c r="A75" s="9" t="s">
        <v>95</v>
      </c>
      <c r="B75" t="s">
        <v>1305</v>
      </c>
      <c r="S75" t="s">
        <v>744</v>
      </c>
      <c r="T75">
        <f>IF(E14&gt;E2,1,0)</f>
        <v>0</v>
      </c>
      <c r="V75" t="s">
        <v>835</v>
      </c>
      <c r="W75">
        <f>IF(D21&gt;3,1,0)</f>
        <v>0</v>
      </c>
      <c r="Z75" s="78"/>
      <c r="AA75" s="46"/>
      <c r="AB75" t="s">
        <v>1548</v>
      </c>
      <c r="AC75" t="str">
        <f>C49</f>
        <v>No</v>
      </c>
      <c r="AE75" s="78" t="s">
        <v>2130</v>
      </c>
      <c r="AF75" t="s">
        <v>908</v>
      </c>
      <c r="AP75">
        <v>0.19</v>
      </c>
      <c r="AQ75">
        <v>9.5</v>
      </c>
    </row>
    <row r="76" spans="1:43" x14ac:dyDescent="0.3">
      <c r="B76" t="s">
        <v>1304</v>
      </c>
      <c r="S76" t="s">
        <v>745</v>
      </c>
      <c r="T76">
        <f>IF(E19&gt;E2,1,0)</f>
        <v>0</v>
      </c>
      <c r="V76" t="s">
        <v>836</v>
      </c>
      <c r="W76">
        <f>IF(D27&gt;3,1,0)</f>
        <v>0</v>
      </c>
      <c r="Z76" s="78" t="str">
        <f>IF(Z72=AE62,"",Z72)</f>
        <v/>
      </c>
      <c r="AA76" s="46" t="str">
        <f>IF(Z76="","",IF(AND(Z72=Z73,Z72=Z74)," x3",IF(OR(Z72=Z73,Z72=Z74)," x2","")))</f>
        <v/>
      </c>
      <c r="AE76" t="s">
        <v>804</v>
      </c>
      <c r="AF76" t="s">
        <v>918</v>
      </c>
      <c r="AP76">
        <v>0.2</v>
      </c>
      <c r="AQ76">
        <v>10</v>
      </c>
    </row>
    <row r="77" spans="1:43" x14ac:dyDescent="0.3">
      <c r="S77" t="s">
        <v>746</v>
      </c>
      <c r="T77">
        <f>IF(E37&gt;E2,1,0)</f>
        <v>0</v>
      </c>
      <c r="V77" t="s">
        <v>837</v>
      </c>
      <c r="W77">
        <f>IF(D34&gt;3,1,0)</f>
        <v>0</v>
      </c>
      <c r="Z77" s="78" t="str">
        <f>IF(OR(Z76="",Z73="",Z73=Z72),"",", ")&amp;IF(OR(Z73=Z72,Z73=AE62),"",Z73)</f>
        <v/>
      </c>
      <c r="AA77" s="46" t="str">
        <f>IF(Z77="","",IF(Z73=Z74," x2",""))</f>
        <v/>
      </c>
      <c r="AE77" s="78" t="s">
        <v>795</v>
      </c>
      <c r="AF77" t="s">
        <v>917</v>
      </c>
      <c r="AP77">
        <v>0.21</v>
      </c>
      <c r="AQ77">
        <v>10.5</v>
      </c>
    </row>
    <row r="78" spans="1:43" x14ac:dyDescent="0.3">
      <c r="S78" t="s">
        <v>747</v>
      </c>
      <c r="T78">
        <f>IF(E39&gt;E2,1,0)</f>
        <v>0</v>
      </c>
      <c r="V78" t="s">
        <v>838</v>
      </c>
      <c r="W78">
        <f>IF(D41&gt;3,1,0)</f>
        <v>0</v>
      </c>
      <c r="Z78" s="86" t="str">
        <f>IF(OR(AND(Z76="",Z77=""),Z74="",Z74=Z72,Z74=Z73),"",", ")&amp;IF(OR(Z74=Z72,Z74=Z73,Z74=AE62),"",Z74)</f>
        <v/>
      </c>
      <c r="AA78" s="79"/>
      <c r="AE78" s="78" t="s">
        <v>2133</v>
      </c>
      <c r="AF78" t="s">
        <v>2138</v>
      </c>
      <c r="AP78">
        <v>0.22</v>
      </c>
      <c r="AQ78">
        <v>11</v>
      </c>
    </row>
    <row r="79" spans="1:43" x14ac:dyDescent="0.3">
      <c r="S79" t="s">
        <v>748</v>
      </c>
      <c r="T79">
        <f>IF(E46&gt;E2,1,0)</f>
        <v>0</v>
      </c>
      <c r="V79" t="s">
        <v>839</v>
      </c>
      <c r="W79">
        <f>IF(D54&gt;3,1,0)</f>
        <v>0</v>
      </c>
      <c r="AE79" t="s">
        <v>2137</v>
      </c>
      <c r="AF79" t="s">
        <v>2139</v>
      </c>
      <c r="AP79">
        <v>0.23</v>
      </c>
      <c r="AQ79">
        <v>11.5</v>
      </c>
    </row>
    <row r="80" spans="1:43" x14ac:dyDescent="0.3">
      <c r="S80" t="s">
        <v>749</v>
      </c>
      <c r="T80">
        <f>IF(E52&gt;E2,1,0)</f>
        <v>0</v>
      </c>
      <c r="V80" t="s">
        <v>840</v>
      </c>
      <c r="W80">
        <f>IF(D61&gt;3,1,0)</f>
        <v>0</v>
      </c>
      <c r="AE80" s="78" t="s">
        <v>2134</v>
      </c>
      <c r="AF80" t="s">
        <v>2140</v>
      </c>
      <c r="AP80">
        <v>0.24</v>
      </c>
      <c r="AQ80">
        <v>12</v>
      </c>
    </row>
    <row r="81" spans="19:43" x14ac:dyDescent="0.3">
      <c r="AE81" s="78" t="s">
        <v>2135</v>
      </c>
      <c r="AF81" t="s">
        <v>2141</v>
      </c>
      <c r="AP81">
        <v>0.25</v>
      </c>
      <c r="AQ81">
        <v>12.5</v>
      </c>
    </row>
    <row r="82" spans="19:43" x14ac:dyDescent="0.3">
      <c r="S82" t="s">
        <v>750</v>
      </c>
      <c r="T82">
        <f>SUM(T83:T85)+T73</f>
        <v>0</v>
      </c>
      <c r="U82" t="s">
        <v>758</v>
      </c>
      <c r="V82" t="s">
        <v>755</v>
      </c>
      <c r="W82" t="s">
        <v>756</v>
      </c>
      <c r="X82" t="s">
        <v>757</v>
      </c>
      <c r="AE82" s="78" t="s">
        <v>2136</v>
      </c>
      <c r="AF82" t="s">
        <v>919</v>
      </c>
      <c r="AP82">
        <v>0.26</v>
      </c>
      <c r="AQ82">
        <v>13</v>
      </c>
    </row>
    <row r="83" spans="19:43" x14ac:dyDescent="0.3">
      <c r="S83" t="s">
        <v>751</v>
      </c>
      <c r="T83">
        <f>IF(X83=3,1,0)</f>
        <v>0</v>
      </c>
      <c r="U83">
        <f>IF(C7=S12,1,0)</f>
        <v>1</v>
      </c>
      <c r="V83">
        <f>IF('1-Hull'!B4&lt;100,1,0)</f>
        <v>0</v>
      </c>
      <c r="W83">
        <f>IF(D29&gt;0,1,0)</f>
        <v>0</v>
      </c>
      <c r="X83">
        <f>SUM(U83:W83)</f>
        <v>1</v>
      </c>
      <c r="AE83" t="str">
        <f>M25&amp;" "&amp;N25</f>
        <v xml:space="preserve">X1 </v>
      </c>
      <c r="AF83">
        <f>N25</f>
        <v>0</v>
      </c>
      <c r="AP83">
        <v>0.27</v>
      </c>
      <c r="AQ83">
        <v>13.5</v>
      </c>
    </row>
    <row r="84" spans="19:43" x14ac:dyDescent="0.3">
      <c r="S84" t="s">
        <v>752</v>
      </c>
      <c r="T84">
        <f>IF(E29&gt;E2,1,0)</f>
        <v>0</v>
      </c>
      <c r="AE84" t="str">
        <f>M32&amp;" "&amp;N32</f>
        <v xml:space="preserve">X2 </v>
      </c>
      <c r="AF84">
        <f>N32</f>
        <v>0</v>
      </c>
      <c r="AP84">
        <v>0.28000000000000003</v>
      </c>
      <c r="AQ84">
        <v>14</v>
      </c>
    </row>
    <row r="85" spans="19:43" x14ac:dyDescent="0.3">
      <c r="S85" t="s">
        <v>753</v>
      </c>
      <c r="T85">
        <f>IF(E32&gt;E2,1,0)</f>
        <v>0</v>
      </c>
      <c r="AE85" t="str">
        <f>M39&amp;" "&amp;N39</f>
        <v xml:space="preserve">X3 </v>
      </c>
      <c r="AF85">
        <f>N39</f>
        <v>0</v>
      </c>
      <c r="AP85">
        <v>0.28999999999999998</v>
      </c>
      <c r="AQ85">
        <v>14.5</v>
      </c>
    </row>
    <row r="86" spans="19:43" x14ac:dyDescent="0.3">
      <c r="AE86" t="str">
        <f>M46&amp;" "&amp;N46</f>
        <v xml:space="preserve">X4 </v>
      </c>
      <c r="AF86">
        <f>N46</f>
        <v>0</v>
      </c>
      <c r="AP86">
        <v>0.3</v>
      </c>
      <c r="AQ86">
        <v>15</v>
      </c>
    </row>
    <row r="87" spans="19:43" x14ac:dyDescent="0.3">
      <c r="S87" t="s">
        <v>848</v>
      </c>
      <c r="T87">
        <f>IF(MAX(E14:E61)&gt;E2,1,0)</f>
        <v>0</v>
      </c>
      <c r="AE87" t="s">
        <v>61</v>
      </c>
      <c r="AP87">
        <v>0.31</v>
      </c>
      <c r="AQ87">
        <v>15.5</v>
      </c>
    </row>
    <row r="88" spans="19:43" x14ac:dyDescent="0.3">
      <c r="Z88" t="s">
        <v>922</v>
      </c>
      <c r="AE88" s="44" t="s">
        <v>796</v>
      </c>
      <c r="AF88" t="str">
        <f>""</f>
        <v/>
      </c>
      <c r="AP88">
        <v>0.32</v>
      </c>
      <c r="AQ88">
        <v>16</v>
      </c>
    </row>
    <row r="89" spans="19:43" x14ac:dyDescent="0.3">
      <c r="T89" t="s">
        <v>110</v>
      </c>
      <c r="U89" t="s">
        <v>1</v>
      </c>
      <c r="Z89" s="44" t="str">
        <f>INDEX($AE$88:$AF$106,MATCH(B25,$AE$88:$AE$106,0),2)</f>
        <v/>
      </c>
      <c r="AA89" s="47"/>
      <c r="AE89" s="78" t="s">
        <v>2122</v>
      </c>
      <c r="AF89" t="s">
        <v>2123</v>
      </c>
    </row>
    <row r="90" spans="19:43" x14ac:dyDescent="0.3">
      <c r="S90" s="3" t="s">
        <v>930</v>
      </c>
      <c r="T90" s="4">
        <f>SUM(H14:H27,H37:H54)</f>
        <v>0</v>
      </c>
      <c r="U90" s="115">
        <f>SUM(F14:F27,F37:F54)</f>
        <v>0</v>
      </c>
      <c r="Z90" s="44" t="str">
        <f>INDEX($AE$88:$AF$106,MATCH(B26,$AE$88:$AE$106,0),2)</f>
        <v/>
      </c>
      <c r="AA90" s="46"/>
      <c r="AE90" s="78" t="s">
        <v>2142</v>
      </c>
      <c r="AF90" t="s">
        <v>916</v>
      </c>
    </row>
    <row r="91" spans="19:43" x14ac:dyDescent="0.3">
      <c r="S91" t="str">
        <f>IF(B14=S2,"","M-Drive: "&amp;D14&amp;" "&amp;Z67&amp;AA67&amp;Z68&amp;AA68&amp;Z69&amp;IF(AC66="No","",", DSMS "&amp;D17)&amp;IF(C18="No","",", Variable Emissions")&amp;IF(AC64="No","",", EMP")&amp;IF(AC65="No","",", Armored")&amp;IF(C9=S107,"",", Rated for "&amp;TEXT(U107,"#,###")&amp;" Dtons"))</f>
        <v/>
      </c>
      <c r="Z91" s="44" t="str">
        <f>INDEX($AE$88:$AF$106,MATCH(B27,$AE$88:$AE$106,0),2)</f>
        <v/>
      </c>
      <c r="AA91" s="46"/>
      <c r="AB91" t="s">
        <v>7</v>
      </c>
      <c r="AC91" t="str">
        <f>C24</f>
        <v>No</v>
      </c>
      <c r="AE91" s="78" t="s">
        <v>2296</v>
      </c>
      <c r="AF91" t="s">
        <v>2299</v>
      </c>
    </row>
    <row r="92" spans="19:43" x14ac:dyDescent="0.3">
      <c r="S92" t="str">
        <f>IF(B46=S69,"",", B/U M-Drive: "&amp;D46&amp;" "&amp;Z76&amp;AA76&amp;Z77&amp;AA77&amp;Z78&amp;IF(AC75="No","",", DSMS "&amp;D49)&amp;IF(C51="No","",", Variable Emissions")&amp;IF(AC73="No","",", EMP")&amp;IF(AC74="No","",", Armored")&amp;IF(C9=S107,"",", Rated for "&amp;TEXT(U107,"#,###")&amp;" Dtons"))</f>
        <v/>
      </c>
      <c r="Z92" s="78"/>
      <c r="AA92" s="46"/>
      <c r="AE92" s="78" t="s">
        <v>2297</v>
      </c>
      <c r="AF92" t="s">
        <v>2300</v>
      </c>
    </row>
    <row r="93" spans="19:43" x14ac:dyDescent="0.3">
      <c r="S93" t="str">
        <f>IF(AND(S91="",S92=""),"No M-Drive","")</f>
        <v>No M-Drive</v>
      </c>
      <c r="Z93" s="78" t="str">
        <f>IF(Z89=AE88,"",Z89)</f>
        <v/>
      </c>
      <c r="AA93" s="46" t="str">
        <f>IF(Z93="","",IF(AND(Z89=Z90,Z89=Z91)," x3",IF(OR(Z89=Z90,Z89=Z91)," x2","")))</f>
        <v/>
      </c>
      <c r="AE93" s="78" t="s">
        <v>2298</v>
      </c>
      <c r="AF93" t="s">
        <v>2301</v>
      </c>
    </row>
    <row r="94" spans="19:43" x14ac:dyDescent="0.3">
      <c r="S94" s="3" t="s">
        <v>932</v>
      </c>
      <c r="Z94" s="78" t="str">
        <f>IF(OR(Z93="",Z90="",Z90=Z89),"",", ")&amp;IF(OR(Z90=Z89,Z90=AE88),"",Z90)</f>
        <v/>
      </c>
      <c r="AA94" s="46" t="str">
        <f>IF(Z94="","",IF(Z94=Z91," x2",""))</f>
        <v/>
      </c>
      <c r="AE94" s="78" t="s">
        <v>810</v>
      </c>
      <c r="AF94" t="s">
        <v>906</v>
      </c>
    </row>
    <row r="95" spans="19:43" x14ac:dyDescent="0.3">
      <c r="S95" t="str">
        <f>IF(S91="","",", ")&amp;IF(B23=S2,"","R-Drive: "&amp;D23&amp;" "&amp;Z93&amp;AA93&amp;Z94&amp;AA94&amp;Z95&amp;IF(AC91="No","",", Armored")&amp;IF(C9=S107,"",", Rated for "&amp;U110&amp;" Dtons"))</f>
        <v/>
      </c>
      <c r="Z95" s="86" t="str">
        <f>IF(OR(AND(Z93="",Z94=""),Z91="",Z91=Z89,Z91=Z90),"",", ")&amp;IF(OR(Z91=Z93,Z91=Z94,Z91=AE88),"",Z91)</f>
        <v/>
      </c>
      <c r="AA95" s="79"/>
      <c r="AE95" s="78" t="s">
        <v>2132</v>
      </c>
      <c r="AF95" t="s">
        <v>2121</v>
      </c>
    </row>
    <row r="96" spans="19:43" x14ac:dyDescent="0.3">
      <c r="S96" t="str">
        <f>IF(D37=0,"",", High Burn Thruster: "&amp;D37&amp;" "&amp;Z102&amp;AA102&amp;Z103&amp;AA103&amp;Z104&amp;IF(AC100="No","",", Armored")&amp;IF(C9=S107,"",", Rated for "&amp;U110&amp;" Dtons"))</f>
        <v/>
      </c>
      <c r="AE96" s="78" t="s">
        <v>801</v>
      </c>
      <c r="AF96" t="s">
        <v>915</v>
      </c>
    </row>
    <row r="97" spans="19:32" x14ac:dyDescent="0.3">
      <c r="Z97" t="s">
        <v>923</v>
      </c>
      <c r="AE97" s="78" t="s">
        <v>812</v>
      </c>
      <c r="AF97" t="s">
        <v>40</v>
      </c>
    </row>
    <row r="98" spans="19:32" x14ac:dyDescent="0.3">
      <c r="S98" t="str">
        <f>S91&amp;S92&amp;S93&amp;S95&amp;S96&amp;IF(B44=S17,", Solar Sails","")&amp;IF(C9=S107,"",", Drives Rated for "&amp;U110&amp;" Dtons")</f>
        <v>No M-Drive</v>
      </c>
      <c r="Z98" s="44" t="str">
        <f>INDEX($AE$88:$AF$106,MATCH(B39,$AE$88:$AE$106,0),2)</f>
        <v/>
      </c>
      <c r="AA98" s="47"/>
      <c r="AE98" s="78" t="s">
        <v>2129</v>
      </c>
      <c r="AF98" t="s">
        <v>2124</v>
      </c>
    </row>
    <row r="99" spans="19:32" x14ac:dyDescent="0.3">
      <c r="Z99" s="44" t="str">
        <f>INDEX($AE$88:$AF$106,MATCH(B40,$AE$88:$AE$106,0),2)</f>
        <v/>
      </c>
      <c r="AA99" s="46"/>
      <c r="AE99" s="78" t="s">
        <v>2143</v>
      </c>
      <c r="AF99" t="s">
        <v>908</v>
      </c>
    </row>
    <row r="100" spans="19:32" x14ac:dyDescent="0.3">
      <c r="S100" s="3" t="s">
        <v>51</v>
      </c>
      <c r="T100" s="4">
        <f>SUM(H29:H32,H56:H59)</f>
        <v>0</v>
      </c>
      <c r="U100" s="4">
        <f>SUM(F29:F32,F56:F59)</f>
        <v>0</v>
      </c>
      <c r="Z100" s="44" t="str">
        <f>INDEX($AE$88:$AF$106,MATCH(B41,$AE$88:$AE$106,0),2)</f>
        <v/>
      </c>
      <c r="AA100" s="46"/>
      <c r="AB100" t="s">
        <v>7</v>
      </c>
      <c r="AC100" t="str">
        <f>C38</f>
        <v>No</v>
      </c>
      <c r="AE100" s="78" t="s">
        <v>2128</v>
      </c>
      <c r="AF100" t="s">
        <v>2138</v>
      </c>
    </row>
    <row r="101" spans="19:32" x14ac:dyDescent="0.3">
      <c r="S101" t="str">
        <f>IF(B29=S5,"",B29&amp;": "&amp;D29&amp;" "&amp;Z114&amp;AA114&amp;Z115&amp;AA115&amp;Z116&amp;IF(AC111="No","",", EMP")&amp;IF(AC112="No","",", Armored")&amp;IF(C9=S107,"",", Rated for "&amp;U113&amp;" Dtons"))</f>
        <v/>
      </c>
      <c r="Z101" s="78"/>
      <c r="AA101" s="46"/>
      <c r="AE101" s="78" t="s">
        <v>2144</v>
      </c>
      <c r="AF101" t="s">
        <v>2139</v>
      </c>
    </row>
    <row r="102" spans="19:32" x14ac:dyDescent="0.3">
      <c r="S102" t="str">
        <f>IF(B56=S5,"",", B/U "&amp;B56&amp;", "&amp;D56&amp;" "&amp;Z123&amp;AA123&amp;Z124&amp;AA124&amp;Z125&amp;IF(AC120="No","",", EMP")&amp;IF(AC121="No","",", Armored")&amp;IF(C9=S107,"",", Rated for "&amp;U113&amp;" Dtons"))</f>
        <v/>
      </c>
      <c r="Z102" s="78" t="str">
        <f>IF(Z98=AE88,"",Z98)</f>
        <v/>
      </c>
      <c r="AA102" s="46" t="str">
        <f>IF(Z102="","",IF(AND(Z98=Z99,Z98=Z100)," x3",IF(OR(Z98=Z99,Z98=Z100)," x2","")))</f>
        <v/>
      </c>
      <c r="AE102" s="78" t="s">
        <v>2145</v>
      </c>
      <c r="AF102" t="s">
        <v>2140</v>
      </c>
    </row>
    <row r="103" spans="19:32" x14ac:dyDescent="0.3">
      <c r="S103" t="str">
        <f>IF(AND(S101="",S102=""),"No FTL","")</f>
        <v>No FTL</v>
      </c>
      <c r="Z103" s="78" t="str">
        <f>IF(OR(Z102="",Z99="",Z99=Z98),"",", ")&amp;IF(OR(Z99=Z98,Z99=AE88),"",Z99)</f>
        <v/>
      </c>
      <c r="AA103" s="46" t="str">
        <f>IF(Z103="","",IF(Z103=Z100," x2",""))</f>
        <v/>
      </c>
      <c r="AE103" t="str">
        <f>M25&amp;" "&amp;N25</f>
        <v xml:space="preserve">X1 </v>
      </c>
      <c r="AF103">
        <f>N25</f>
        <v>0</v>
      </c>
    </row>
    <row r="104" spans="19:32" x14ac:dyDescent="0.3">
      <c r="Z104" s="86" t="str">
        <f>IF(OR(AND(Z102="",Z103=""),Z100="",Z100=Z98,Z100=Z99),"",", ")&amp;IF(OR(Z100=Z102,Z100=Z103,Z100=AE88),"",Z100)</f>
        <v/>
      </c>
      <c r="AA104" s="79"/>
      <c r="AE104" t="str">
        <f>M32&amp;" "&amp;N32</f>
        <v xml:space="preserve">X2 </v>
      </c>
      <c r="AF104">
        <f>N32</f>
        <v>0</v>
      </c>
    </row>
    <row r="105" spans="19:32" x14ac:dyDescent="0.3">
      <c r="S105" t="str">
        <f>S101&amp;S102&amp;S103&amp;IF(C9=S107,"",", Drives Rated for "&amp;C4&amp;" Dtons")</f>
        <v>No FTL</v>
      </c>
      <c r="AE105" t="str">
        <f>M39&amp;" "&amp;N39</f>
        <v xml:space="preserve">X3 </v>
      </c>
      <c r="AF105">
        <f>N39</f>
        <v>0</v>
      </c>
    </row>
    <row r="106" spans="19:32" x14ac:dyDescent="0.3">
      <c r="S106" s="3" t="s">
        <v>805</v>
      </c>
      <c r="AE106" t="str">
        <f>M46&amp;" "&amp;N46</f>
        <v xml:space="preserve">X4 </v>
      </c>
      <c r="AF106">
        <f>N46</f>
        <v>0</v>
      </c>
    </row>
    <row r="107" spans="19:32" x14ac:dyDescent="0.3">
      <c r="S107" t="s">
        <v>945</v>
      </c>
      <c r="T107" s="260">
        <f>'1-Hull'!B4</f>
        <v>100</v>
      </c>
      <c r="U107" s="3">
        <f>IF($C$9=S107,T107,T108)</f>
        <v>100</v>
      </c>
    </row>
    <row r="108" spans="19:32" x14ac:dyDescent="0.3">
      <c r="S108" t="s">
        <v>946</v>
      </c>
      <c r="T108">
        <f>IF(P8=0,B4,P8)</f>
        <v>100</v>
      </c>
      <c r="AE108" t="s">
        <v>51</v>
      </c>
    </row>
    <row r="109" spans="19:32" x14ac:dyDescent="0.3">
      <c r="S109" s="3" t="s">
        <v>55</v>
      </c>
      <c r="Z109" t="s">
        <v>928</v>
      </c>
      <c r="AE109" s="44" t="s">
        <v>796</v>
      </c>
      <c r="AF109" t="str">
        <f>""</f>
        <v/>
      </c>
    </row>
    <row r="110" spans="19:32" x14ac:dyDescent="0.3">
      <c r="S110" t="s">
        <v>945</v>
      </c>
      <c r="T110" s="260">
        <f>'1-Hull'!B4</f>
        <v>100</v>
      </c>
      <c r="U110" s="3">
        <f>IF($C$9=S110,T110,T111)</f>
        <v>100</v>
      </c>
      <c r="Z110" s="44" t="str">
        <f>INDEX($AE$109:$AF$133,MATCH(B32,$AE$109:$AE$133,0),2)</f>
        <v/>
      </c>
      <c r="AA110" s="47"/>
      <c r="AE110" s="78" t="s">
        <v>2122</v>
      </c>
      <c r="AF110" t="s">
        <v>2123</v>
      </c>
    </row>
    <row r="111" spans="19:32" x14ac:dyDescent="0.3">
      <c r="S111" t="s">
        <v>946</v>
      </c>
      <c r="T111">
        <f>IF(P9=0,B4,P9)</f>
        <v>100</v>
      </c>
      <c r="Z111" s="78" t="str">
        <f>INDEX($AE$109:$AF$133,MATCH(B33,$AE$109:$AE$133,0),2)</f>
        <v/>
      </c>
      <c r="AA111" s="46"/>
      <c r="AB111" t="s">
        <v>931</v>
      </c>
      <c r="AC111" t="str">
        <f>C30</f>
        <v>No</v>
      </c>
      <c r="AE111" s="78" t="s">
        <v>854</v>
      </c>
      <c r="AF111" t="s">
        <v>916</v>
      </c>
    </row>
    <row r="112" spans="19:32" x14ac:dyDescent="0.3">
      <c r="S112" s="3" t="s">
        <v>52</v>
      </c>
      <c r="Z112" s="78" t="str">
        <f>INDEX($AE$109:$AF$133,MATCH(B34,$AE$109:$AE$133,0),2)</f>
        <v/>
      </c>
      <c r="AA112" s="46"/>
      <c r="AB112" t="s">
        <v>7</v>
      </c>
      <c r="AC112" t="str">
        <f>C31</f>
        <v>No</v>
      </c>
      <c r="AE112" s="78" t="s">
        <v>798</v>
      </c>
      <c r="AF112" t="s">
        <v>912</v>
      </c>
    </row>
    <row r="113" spans="19:32" x14ac:dyDescent="0.3">
      <c r="S113" t="s">
        <v>945</v>
      </c>
      <c r="T113" s="260">
        <f>'1-Hull'!B4</f>
        <v>100</v>
      </c>
      <c r="U113" s="3">
        <f>IF($C$9=S113,T113,T114)</f>
        <v>100</v>
      </c>
      <c r="Z113" s="78"/>
      <c r="AA113" s="46"/>
      <c r="AE113" s="78" t="s">
        <v>799</v>
      </c>
      <c r="AF113" t="s">
        <v>913</v>
      </c>
    </row>
    <row r="114" spans="19:32" x14ac:dyDescent="0.3">
      <c r="S114" t="s">
        <v>946</v>
      </c>
      <c r="T114">
        <f>IF(P10=0,B4,P10)</f>
        <v>100</v>
      </c>
      <c r="Z114" s="78" t="str">
        <f>IF(Z110=AE109,"",Z110)</f>
        <v/>
      </c>
      <c r="AA114" s="46" t="str">
        <f>IF(Z114="","",IF(AND(Z110=Z111,Z110=Z112)," x3",IF(OR(Z110=Z111,Z110=Z112)," x2","")))</f>
        <v/>
      </c>
      <c r="AE114" s="78" t="s">
        <v>800</v>
      </c>
      <c r="AF114" t="s">
        <v>914</v>
      </c>
    </row>
    <row r="115" spans="19:32" x14ac:dyDescent="0.3">
      <c r="Z115" s="78" t="str">
        <f>IF(OR(Z114="",Z111="",Z111=Z110),"",", ")&amp;IF(OR(Z111=Z110,Z111=AE109),"",Z111)</f>
        <v/>
      </c>
      <c r="AA115" s="46" t="str">
        <f>IF(Z115="","",IF(Z115=Z112," x2",""))</f>
        <v/>
      </c>
      <c r="AE115" s="78" t="s">
        <v>827</v>
      </c>
      <c r="AF115" t="s">
        <v>924</v>
      </c>
    </row>
    <row r="116" spans="19:32" x14ac:dyDescent="0.3">
      <c r="Z116" s="86" t="str">
        <f>IF(OR(AND(Z114="",Z115=""),Z112="",Z112=Z110,Z112=Z111),"",", ")&amp;IF(OR(Z112=Z114,Z112=Z115,Z112=AE109),"",Z112)</f>
        <v/>
      </c>
      <c r="AA116" s="79"/>
      <c r="AE116" s="78" t="s">
        <v>828</v>
      </c>
      <c r="AF116" t="s">
        <v>925</v>
      </c>
    </row>
    <row r="117" spans="19:32" x14ac:dyDescent="0.3">
      <c r="AE117" s="78" t="s">
        <v>829</v>
      </c>
      <c r="AF117" t="s">
        <v>906</v>
      </c>
    </row>
    <row r="118" spans="19:32" x14ac:dyDescent="0.3">
      <c r="Z118" t="s">
        <v>929</v>
      </c>
      <c r="AE118" s="78" t="s">
        <v>2146</v>
      </c>
      <c r="AF118" t="s">
        <v>2121</v>
      </c>
    </row>
    <row r="119" spans="19:32" x14ac:dyDescent="0.3">
      <c r="Z119" s="44" t="str">
        <f>INDEX($AE$109:$AF$133,MATCH(B59,$AE$109:$AE$133,0),2)</f>
        <v/>
      </c>
      <c r="AA119" s="47"/>
      <c r="AE119" s="78" t="s">
        <v>830</v>
      </c>
      <c r="AF119" t="s">
        <v>915</v>
      </c>
    </row>
    <row r="120" spans="19:32" x14ac:dyDescent="0.3">
      <c r="Z120" s="44" t="str">
        <f>INDEX($AE$109:$AF$133,MATCH(B60,$AE$109:$AE$133,0),2)</f>
        <v/>
      </c>
      <c r="AA120" s="46"/>
      <c r="AB120" t="s">
        <v>931</v>
      </c>
      <c r="AC120" t="str">
        <f>C57</f>
        <v>No</v>
      </c>
      <c r="AE120" s="78" t="s">
        <v>831</v>
      </c>
      <c r="AF120" t="s">
        <v>40</v>
      </c>
    </row>
    <row r="121" spans="19:32" x14ac:dyDescent="0.3">
      <c r="Z121" s="44" t="str">
        <f>INDEX($AE$109:$AF$133,MATCH(B61,$AE$109:$AE$133,0),2)</f>
        <v/>
      </c>
      <c r="AA121" s="46"/>
      <c r="AB121" t="s">
        <v>7</v>
      </c>
      <c r="AC121" t="str">
        <f>C58</f>
        <v>No</v>
      </c>
      <c r="AE121" s="78" t="s">
        <v>2129</v>
      </c>
      <c r="AF121" t="s">
        <v>2124</v>
      </c>
    </row>
    <row r="122" spans="19:32" x14ac:dyDescent="0.3">
      <c r="Z122" s="78"/>
      <c r="AA122" s="46"/>
      <c r="AE122" s="78" t="s">
        <v>2130</v>
      </c>
      <c r="AF122" t="s">
        <v>908</v>
      </c>
    </row>
    <row r="123" spans="19:32" x14ac:dyDescent="0.3">
      <c r="Z123" s="78" t="str">
        <f>IF(Z119=AE109,"",Z119)</f>
        <v/>
      </c>
      <c r="AA123" s="46" t="str">
        <f>IF(Z123="","",IF(AND(Z119=Z120,Z119=Z121)," x3",IF(OR(Z119=Z120,Z119=Z121)," x2","")))</f>
        <v/>
      </c>
      <c r="AE123" s="78" t="s">
        <v>818</v>
      </c>
      <c r="AF123" t="s">
        <v>926</v>
      </c>
    </row>
    <row r="124" spans="19:32" x14ac:dyDescent="0.3">
      <c r="Z124" s="78" t="str">
        <f>IF(OR(Z123="",Z120="",Z120=Z119),"",", ")&amp;IF(OR(Z120=Z119,Z120=AE109),"",Z120)</f>
        <v/>
      </c>
      <c r="AA124" s="46" t="str">
        <f>IF(Z124="","",IF(Z124=Z121," x2",""))</f>
        <v/>
      </c>
      <c r="AE124" s="78" t="s">
        <v>819</v>
      </c>
      <c r="AF124" t="s">
        <v>927</v>
      </c>
    </row>
    <row r="125" spans="19:32" x14ac:dyDescent="0.3">
      <c r="Z125" s="86" t="str">
        <f>IF(OR(AND(Z123="",Z124=""),Z121="",Z121=Z119,Z121=Z120),"",", ")&amp;IF(OR(Z121=Z123,Z121=Z124,Z121=AE109),"",Z121)</f>
        <v/>
      </c>
      <c r="AA125" s="79"/>
      <c r="AE125" s="78" t="s">
        <v>2133</v>
      </c>
      <c r="AF125" t="s">
        <v>2138</v>
      </c>
    </row>
    <row r="126" spans="19:32" x14ac:dyDescent="0.3">
      <c r="AE126" s="78" t="s">
        <v>2137</v>
      </c>
      <c r="AF126" t="s">
        <v>2139</v>
      </c>
    </row>
    <row r="127" spans="19:32" x14ac:dyDescent="0.3">
      <c r="AE127" s="78" t="s">
        <v>2134</v>
      </c>
      <c r="AF127" t="s">
        <v>2140</v>
      </c>
    </row>
    <row r="128" spans="19:32" x14ac:dyDescent="0.3">
      <c r="AE128" s="78" t="s">
        <v>2147</v>
      </c>
      <c r="AF128" t="s">
        <v>2149</v>
      </c>
    </row>
    <row r="129" spans="31:32" x14ac:dyDescent="0.3">
      <c r="AE129" s="78" t="s">
        <v>2148</v>
      </c>
      <c r="AF129" t="s">
        <v>2150</v>
      </c>
    </row>
    <row r="130" spans="31:32" x14ac:dyDescent="0.3">
      <c r="AE130" t="str">
        <f>M25&amp;" "&amp;N25</f>
        <v xml:space="preserve">X1 </v>
      </c>
      <c r="AF130">
        <f>N25</f>
        <v>0</v>
      </c>
    </row>
    <row r="131" spans="31:32" x14ac:dyDescent="0.3">
      <c r="AE131" t="str">
        <f>M32&amp;" "&amp;N32</f>
        <v xml:space="preserve">X2 </v>
      </c>
      <c r="AF131">
        <f>N32</f>
        <v>0</v>
      </c>
    </row>
    <row r="132" spans="31:32" x14ac:dyDescent="0.3">
      <c r="AE132" t="str">
        <f>M39&amp;" "&amp;N39</f>
        <v xml:space="preserve">X3 </v>
      </c>
      <c r="AF132">
        <f>N39</f>
        <v>0</v>
      </c>
    </row>
    <row r="133" spans="31:32" x14ac:dyDescent="0.3">
      <c r="AE133" t="str">
        <f>M46&amp;" "&amp;N46</f>
        <v xml:space="preserve">X4 </v>
      </c>
      <c r="AF133">
        <f>N46</f>
        <v>0</v>
      </c>
    </row>
  </sheetData>
  <sheetProtection algorithmName="SHA-512" hashValue="6HwSNfwvGsHA4MK+/4c+vSNZNIjp4Sz+T0g+/fXrPgpuIPw8u3T+CT8AsxSjno+ahPxfboC9rIcn4pGRaxlujQ==" saltValue="2FWpoerJK/K0kzr2Qf8VxQ==" spinCount="100000" sheet="1" selectLockedCells="1"/>
  <mergeCells count="107">
    <mergeCell ref="M7:Q7"/>
    <mergeCell ref="M8:O8"/>
    <mergeCell ref="M9:O9"/>
    <mergeCell ref="P9:Q9"/>
    <mergeCell ref="M10:O10"/>
    <mergeCell ref="P10:Q10"/>
    <mergeCell ref="BF31:BH31"/>
    <mergeCell ref="BF32:BH32"/>
    <mergeCell ref="BF25:BH25"/>
    <mergeCell ref="BF26:BH26"/>
    <mergeCell ref="BF27:BH27"/>
    <mergeCell ref="BF29:BH29"/>
    <mergeCell ref="BF30:BH30"/>
    <mergeCell ref="P8:Q8"/>
    <mergeCell ref="BC10:BD10"/>
    <mergeCell ref="BC12:BD12"/>
    <mergeCell ref="BC14:BD14"/>
    <mergeCell ref="BC16:BD16"/>
    <mergeCell ref="BC18:BD18"/>
    <mergeCell ref="BC20:BD20"/>
    <mergeCell ref="BE20:BF20"/>
    <mergeCell ref="BE18:BF18"/>
    <mergeCell ref="BE16:BF16"/>
    <mergeCell ref="BG16:BH16"/>
    <mergeCell ref="BC6:BN6"/>
    <mergeCell ref="BC8:BD8"/>
    <mergeCell ref="BE8:BF8"/>
    <mergeCell ref="BG8:BH8"/>
    <mergeCell ref="BI8:BJ8"/>
    <mergeCell ref="BK8:BL8"/>
    <mergeCell ref="BE14:BF14"/>
    <mergeCell ref="BE12:BF12"/>
    <mergeCell ref="BE10:BF10"/>
    <mergeCell ref="BG10:BH10"/>
    <mergeCell ref="BG12:BH12"/>
    <mergeCell ref="BG14:BH14"/>
    <mergeCell ref="BI10:BJ10"/>
    <mergeCell ref="BK10:BL10"/>
    <mergeCell ref="BM10:BN10"/>
    <mergeCell ref="BQ10:BR10"/>
    <mergeCell ref="BS10:BT10"/>
    <mergeCell ref="BI12:BJ12"/>
    <mergeCell ref="BK12:BL12"/>
    <mergeCell ref="BM12:BN12"/>
    <mergeCell ref="BO12:BP12"/>
    <mergeCell ref="BQ12:BR12"/>
    <mergeCell ref="BS12:BT12"/>
    <mergeCell ref="BO10:BP10"/>
    <mergeCell ref="CG8:CH8"/>
    <mergeCell ref="BU10:BV10"/>
    <mergeCell ref="BW10:BX10"/>
    <mergeCell ref="BM20:BN20"/>
    <mergeCell ref="BO20:BP20"/>
    <mergeCell ref="BQ20:BR20"/>
    <mergeCell ref="BS20:BT20"/>
    <mergeCell ref="BG18:BH18"/>
    <mergeCell ref="BI18:BJ18"/>
    <mergeCell ref="BK18:BL18"/>
    <mergeCell ref="BM18:BN18"/>
    <mergeCell ref="BO18:BP18"/>
    <mergeCell ref="BQ14:BR14"/>
    <mergeCell ref="BS14:BT14"/>
    <mergeCell ref="BI16:BJ16"/>
    <mergeCell ref="BK16:BL16"/>
    <mergeCell ref="BM16:BN16"/>
    <mergeCell ref="BO16:BP16"/>
    <mergeCell ref="BQ16:BR16"/>
    <mergeCell ref="BS16:BT16"/>
    <mergeCell ref="BI14:BJ14"/>
    <mergeCell ref="BK14:BL14"/>
    <mergeCell ref="BM14:BN14"/>
    <mergeCell ref="BO14:BP14"/>
    <mergeCell ref="CG12:CH12"/>
    <mergeCell ref="BU16:BV16"/>
    <mergeCell ref="BW16:BX16"/>
    <mergeCell ref="BY16:BZ16"/>
    <mergeCell ref="CA16:CB16"/>
    <mergeCell ref="CG16:CH16"/>
    <mergeCell ref="BU12:BV12"/>
    <mergeCell ref="BW12:BX12"/>
    <mergeCell ref="BY12:BZ12"/>
    <mergeCell ref="CA12:CB12"/>
    <mergeCell ref="CC12:CD12"/>
    <mergeCell ref="N25:R25"/>
    <mergeCell ref="N32:R32"/>
    <mergeCell ref="N39:R39"/>
    <mergeCell ref="N46:R46"/>
    <mergeCell ref="CE8:CF8"/>
    <mergeCell ref="CC16:CD16"/>
    <mergeCell ref="CE16:CF16"/>
    <mergeCell ref="BM8:BN8"/>
    <mergeCell ref="BO8:BP8"/>
    <mergeCell ref="BQ8:BR8"/>
    <mergeCell ref="BS8:BT8"/>
    <mergeCell ref="BQ18:BR18"/>
    <mergeCell ref="BS18:BT18"/>
    <mergeCell ref="BG20:BH20"/>
    <mergeCell ref="BI20:BJ20"/>
    <mergeCell ref="BK20:BL20"/>
    <mergeCell ref="BU18:BV18"/>
    <mergeCell ref="BW18:BX18"/>
    <mergeCell ref="BU8:BV8"/>
    <mergeCell ref="BW8:BX8"/>
    <mergeCell ref="BY8:BZ8"/>
    <mergeCell ref="CA8:CB8"/>
    <mergeCell ref="CC8:CD8"/>
    <mergeCell ref="CE12:CF12"/>
  </mergeCells>
  <conditionalFormatting sqref="B4">
    <cfRule type="expression" dxfId="765" priority="942">
      <formula>$C$9=$S$107</formula>
    </cfRule>
  </conditionalFormatting>
  <conditionalFormatting sqref="B14">
    <cfRule type="cellIs" dxfId="764" priority="21" operator="equal">
      <formula>$S$2</formula>
    </cfRule>
  </conditionalFormatting>
  <conditionalFormatting sqref="B23">
    <cfRule type="cellIs" dxfId="763" priority="20" operator="equal">
      <formula>$S$2</formula>
    </cfRule>
  </conditionalFormatting>
  <conditionalFormatting sqref="B25:B27 B19:B21 B32:B34 B39:B41 B52:B54 B59:B61">
    <cfRule type="cellIs" dxfId="762" priority="943" operator="notEqual">
      <formula>$S$24</formula>
    </cfRule>
  </conditionalFormatting>
  <conditionalFormatting sqref="B29 B56">
    <cfRule type="expression" dxfId="761" priority="949" stopIfTrue="1">
      <formula>$X$83=3</formula>
    </cfRule>
  </conditionalFormatting>
  <conditionalFormatting sqref="B29">
    <cfRule type="cellIs" dxfId="759" priority="2087" operator="equal">
      <formula>$S$5</formula>
    </cfRule>
  </conditionalFormatting>
  <conditionalFormatting sqref="B37">
    <cfRule type="cellIs" dxfId="758" priority="973" operator="equal">
      <formula>$S$14</formula>
    </cfRule>
  </conditionalFormatting>
  <conditionalFormatting sqref="B44">
    <cfRule type="expression" dxfId="757" priority="6">
      <formula>$H$44&gt;0</formula>
    </cfRule>
  </conditionalFormatting>
  <conditionalFormatting sqref="B46">
    <cfRule type="cellIs" dxfId="756" priority="953" operator="equal">
      <formula>$S$69</formula>
    </cfRule>
  </conditionalFormatting>
  <conditionalFormatting sqref="B56">
    <cfRule type="cellIs" dxfId="755" priority="3275" operator="equal">
      <formula>$S$5</formula>
    </cfRule>
  </conditionalFormatting>
  <conditionalFormatting sqref="B23:E27">
    <cfRule type="expression" dxfId="753" priority="30">
      <formula>$E$23&gt;$E$2</formula>
    </cfRule>
  </conditionalFormatting>
  <conditionalFormatting sqref="C7">
    <cfRule type="expression" dxfId="752" priority="32">
      <formula>$C$7="Yes"</formula>
    </cfRule>
  </conditionalFormatting>
  <conditionalFormatting sqref="C8">
    <cfRule type="expression" dxfId="751" priority="31">
      <formula>$C$8="Yes"</formula>
    </cfRule>
  </conditionalFormatting>
  <conditionalFormatting sqref="C11">
    <cfRule type="expression" dxfId="750" priority="5">
      <formula>$C$8="Yes"</formula>
    </cfRule>
  </conditionalFormatting>
  <conditionalFormatting sqref="C15:C18 C24 C30:C31 C38 C47:C51 C57:C58">
    <cfRule type="cellIs" dxfId="749" priority="26" operator="equal">
      <formula>"Yes"</formula>
    </cfRule>
  </conditionalFormatting>
  <conditionalFormatting sqref="D11:D12">
    <cfRule type="expression" dxfId="748" priority="4">
      <formula>$C$11="No"</formula>
    </cfRule>
  </conditionalFormatting>
  <conditionalFormatting sqref="D14">
    <cfRule type="expression" dxfId="747" priority="29">
      <formula>AND($B$14=$S$2,$D$14&gt;0)</formula>
    </cfRule>
  </conditionalFormatting>
  <conditionalFormatting sqref="D20:D21">
    <cfRule type="expression" dxfId="746" priority="62">
      <formula>$D$21&gt;3</formula>
    </cfRule>
  </conditionalFormatting>
  <conditionalFormatting sqref="D26:D27">
    <cfRule type="expression" dxfId="745" priority="56">
      <formula>$D$27&gt;3</formula>
    </cfRule>
  </conditionalFormatting>
  <conditionalFormatting sqref="D29">
    <cfRule type="expression" dxfId="744" priority="28">
      <formula>AND($B$29&lt;&gt;$S$5,$D$29=0)</formula>
    </cfRule>
    <cfRule type="expression" dxfId="743" priority="42">
      <formula>AND($B$29=$S$5,$D$29&gt;0)</formula>
    </cfRule>
  </conditionalFormatting>
  <conditionalFormatting sqref="D33:D34">
    <cfRule type="expression" dxfId="742" priority="40">
      <formula>$D$34&gt;3</formula>
    </cfRule>
  </conditionalFormatting>
  <conditionalFormatting sqref="D37">
    <cfRule type="expression" dxfId="741" priority="977">
      <formula>AND($B$37=$S$14,$D$37&gt;0)</formula>
    </cfRule>
  </conditionalFormatting>
  <conditionalFormatting sqref="D40:D41">
    <cfRule type="expression" dxfId="740" priority="36">
      <formula>$D$41&gt;3</formula>
    </cfRule>
  </conditionalFormatting>
  <conditionalFormatting sqref="D46">
    <cfRule type="expression" dxfId="739" priority="959">
      <formula>AND($B$46=$S$69,$D$46&gt;0)</formula>
    </cfRule>
  </conditionalFormatting>
  <conditionalFormatting sqref="D53:D54">
    <cfRule type="expression" dxfId="738" priority="37">
      <formula>$D$54&gt;3</formula>
    </cfRule>
  </conditionalFormatting>
  <conditionalFormatting sqref="D56">
    <cfRule type="expression" dxfId="737" priority="23">
      <formula>AND($B$56=$S$5,$D$56&gt;0)</formula>
    </cfRule>
  </conditionalFormatting>
  <conditionalFormatting sqref="D60:D61">
    <cfRule type="expression" dxfId="736" priority="35">
      <formula>$D$61&gt;3</formula>
    </cfRule>
  </conditionalFormatting>
  <conditionalFormatting sqref="E2">
    <cfRule type="expression" dxfId="735" priority="961">
      <formula>$T$74&gt;0</formula>
    </cfRule>
  </conditionalFormatting>
  <conditionalFormatting sqref="E14">
    <cfRule type="expression" dxfId="734" priority="360">
      <formula>$E$14&gt;$E$2</formula>
    </cfRule>
  </conditionalFormatting>
  <conditionalFormatting sqref="E29">
    <cfRule type="expression" dxfId="733" priority="74">
      <formula>$E$29&gt;$E$2</formula>
    </cfRule>
  </conditionalFormatting>
  <conditionalFormatting sqref="E32:E34">
    <cfRule type="expression" dxfId="732" priority="398">
      <formula>AND($B$32=#REF!,OR($B$33=#REF!,$B$34=#REF!))</formula>
    </cfRule>
    <cfRule type="expression" dxfId="731" priority="399">
      <formula>AND($B$29=$S$7,$B$32=#REF!)</formula>
    </cfRule>
    <cfRule type="expression" dxfId="730" priority="400">
      <formula>$E$32&gt;$E$2</formula>
    </cfRule>
  </conditionalFormatting>
  <conditionalFormatting sqref="E46">
    <cfRule type="expression" dxfId="729" priority="33">
      <formula>$E$46&gt;$E$2</formula>
    </cfRule>
  </conditionalFormatting>
  <conditionalFormatting sqref="E56">
    <cfRule type="expression" dxfId="728" priority="65">
      <formula>$E$56&gt;$E$2</formula>
    </cfRule>
  </conditionalFormatting>
  <conditionalFormatting sqref="H6">
    <cfRule type="expression" dxfId="727" priority="79">
      <formula>$H$6&lt;0</formula>
    </cfRule>
  </conditionalFormatting>
  <conditionalFormatting sqref="H9:I9 G13">
    <cfRule type="expression" dxfId="725" priority="969">
      <formula>$T$73</formula>
    </cfRule>
  </conditionalFormatting>
  <conditionalFormatting sqref="K6">
    <cfRule type="expression" dxfId="724" priority="78">
      <formula>$K$6&lt;0</formula>
    </cfRule>
  </conditionalFormatting>
  <conditionalFormatting sqref="N25 M28:R28 R29 N32 M35:R35 R36 N39 M42:R42 R43 N46 M49:R49 R50">
    <cfRule type="cellIs" dxfId="723" priority="22" operator="greaterThan">
      <formula>0</formula>
    </cfRule>
  </conditionalFormatting>
  <conditionalFormatting sqref="P8:Q10">
    <cfRule type="expression" dxfId="722" priority="1">
      <formula>$C$9=$S$108</formula>
    </cfRule>
  </conditionalFormatting>
  <conditionalFormatting sqref="R28">
    <cfRule type="expression" dxfId="721" priority="55">
      <formula>$N$28&lt;&gt;0</formula>
    </cfRule>
  </conditionalFormatting>
  <conditionalFormatting sqref="R35">
    <cfRule type="expression" dxfId="720" priority="54">
      <formula>$N$35&lt;&gt;0</formula>
    </cfRule>
  </conditionalFormatting>
  <conditionalFormatting sqref="R42">
    <cfRule type="expression" dxfId="719" priority="53">
      <formula>$N$42&lt;&gt;0</formula>
    </cfRule>
  </conditionalFormatting>
  <conditionalFormatting sqref="R49 T55:W55">
    <cfRule type="expression" dxfId="718" priority="52">
      <formula>$N$49&lt;&gt;0</formula>
    </cfRule>
  </conditionalFormatting>
  <conditionalFormatting sqref="BC14:BT14">
    <cfRule type="expression" dxfId="717" priority="2099">
      <formula>$D$29=0</formula>
    </cfRule>
  </conditionalFormatting>
  <conditionalFormatting sqref="BC20:BT20">
    <cfRule type="expression" dxfId="716" priority="2100">
      <formula>$D$56=0</formula>
    </cfRule>
  </conditionalFormatting>
  <conditionalFormatting sqref="BC10:BX10">
    <cfRule type="expression" dxfId="715" priority="2101">
      <formula>$D$14=0</formula>
    </cfRule>
  </conditionalFormatting>
  <conditionalFormatting sqref="BC18:BX18">
    <cfRule type="expression" dxfId="714" priority="2102">
      <formula>$D$46=0</formula>
    </cfRule>
  </conditionalFormatting>
  <conditionalFormatting sqref="BC12:CH12">
    <cfRule type="expression" dxfId="713" priority="2103">
      <formula>$D$23=0</formula>
    </cfRule>
  </conditionalFormatting>
  <conditionalFormatting sqref="BC16:CH16">
    <cfRule type="expression" dxfId="712" priority="2104">
      <formula>$D$37=0</formula>
    </cfRule>
  </conditionalFormatting>
  <conditionalFormatting sqref="BJ27 BD39:BM39">
    <cfRule type="expression" dxfId="711" priority="2" stopIfTrue="1">
      <formula>$AP$21&lt;0</formula>
    </cfRule>
  </conditionalFormatting>
  <dataValidations count="25">
    <dataValidation type="whole" allowBlank="1" showInputMessage="1" showErrorMessage="1" sqref="D29 D56" xr:uid="{A85589D1-808D-4808-B45E-3051EF50E45B}">
      <formula1>0</formula1>
      <formula2>9</formula2>
    </dataValidation>
    <dataValidation type="whole" allowBlank="1" showInputMessage="1" showErrorMessage="1" sqref="D37 D23" xr:uid="{DF93B94F-0E61-42BC-916D-87C963EDB09C}">
      <formula1>0</formula1>
      <formula2>16</formula2>
    </dataValidation>
    <dataValidation type="whole" operator="greaterThanOrEqual" allowBlank="1" showInputMessage="1" showErrorMessage="1" prompt="Enter New Ship Displacement in Dtons. Includes towed vessels, External Cargo, Drop Tanks, etc." sqref="P8:P10" xr:uid="{EAF52FDC-CF05-45EA-BEE8-5ADFD921A53A}">
      <formula1>0</formula1>
    </dataValidation>
    <dataValidation type="list" allowBlank="1" showInputMessage="1" showErrorMessage="1" sqref="B14" xr:uid="{F662CE12-0BF0-4EA7-9F28-E1FDF072954C}">
      <formula1>$S$2:$S$3</formula1>
    </dataValidation>
    <dataValidation type="decimal" allowBlank="1" showInputMessage="1" showErrorMessage="1" promptTitle="Decimal Mod Cost Multiplier" prompt="Leaving &quot;Cost&quot; modifier at Zero will calculate the mod cost automatically based on the &quot;# Mods&quot; field._x000a_Entering a cost Mod automatically sets the # Mod field to 3, preventing further mods on that unit when the User Mod is selected. " sqref="N28 N35 N42 N49" xr:uid="{7E822178-59DA-4ACF-A9A7-3A3A4CE556C7}">
      <formula1>-1000</formula1>
      <formula2>1000</formula2>
    </dataValidation>
    <dataValidation type="decimal" allowBlank="1" showInputMessage="1" showErrorMessage="1" promptTitle="Fuel Modifier" prompt="Enter the decimal to be multiplied by current fuel usage to effect the mod. This will be added to current fuel, so a reduction should be a negative value._x000a_Fuel mods will only apply to Reaction/HBT or Jump Drives. " sqref="P28 P35 P42 P49" xr:uid="{C87972E3-97B3-4BA2-B1BA-AFF7ABF146EF}">
      <formula1>-1000</formula1>
      <formula2>1000</formula2>
    </dataValidation>
    <dataValidation type="whole" allowBlank="1" showInputMessage="1" showErrorMessage="1" sqref="Q28 Q35 Q42 Q49" xr:uid="{75A1BB06-5E71-4E36-99AA-300FDA82E704}">
      <formula1>-10</formula1>
      <formula2>10</formula2>
    </dataValidation>
    <dataValidation type="decimal" allowBlank="1" showInputMessage="1" showErrorMessage="1" promptTitle="Dton Mod Multiplier" prompt="This is the decimal multiplied times the base to get only the amount of increase or decrease desired. The resulting Mod is then added to the base, so make reductions negative numbers._x000a_EX:_x000a_Small = -0.1_x000a_Bulky = 0.25" sqref="M28 M35 M42 M49" xr:uid="{433BABC3-219E-4E9F-9587-65E0ED9AE108}">
      <formula1>-1000</formula1>
      <formula2>1000</formula2>
    </dataValidation>
    <dataValidation type="whole" allowBlank="1" showInputMessage="1" showErrorMessage="1" promptTitle="Number of Mods " prompt="Enter 0-3._x000a_" sqref="R49 R42 R35 R28" xr:uid="{931A7600-06BB-41EB-9DCE-7C1B47AF2BC5}">
      <formula1>0</formula1>
      <formula2>3</formula2>
    </dataValidation>
    <dataValidation allowBlank="1" showInputMessage="1" showErrorMessage="1" promptTitle="User Mod Title" prompt="This Mod will be added to all Drive Mod Lists. You will need to self validate whether user mod applies to the unit in question." sqref="N39 N25 N32 N46" xr:uid="{447EA7FA-F694-470E-9DB3-5EB6FF9971C5}"/>
    <dataValidation type="whole" allowBlank="1" showInputMessage="1" showErrorMessage="1" sqref="D14 D46" xr:uid="{BB9FE2E6-D11A-47A8-8097-FD6129FB4137}">
      <formula1>0</formula1>
      <formula2>11</formula2>
    </dataValidation>
    <dataValidation type="list" allowBlank="1" showInputMessage="1" showErrorMessage="1" sqref="B46" xr:uid="{1119EF17-C67C-454F-8B76-CA2EAC578728}">
      <formula1>$S$69:$S$70</formula1>
    </dataValidation>
    <dataValidation type="list" allowBlank="1" showInputMessage="1" showErrorMessage="1" sqref="B25:B27 B39:B41" xr:uid="{6C76C648-165C-4061-AB2F-17E62811E934}">
      <formula1>$AN$24:$AN$42</formula1>
    </dataValidation>
    <dataValidation type="list" allowBlank="1" showInputMessage="1" showErrorMessage="1" sqref="B32:B34 B59:B61" xr:uid="{7801934D-CA09-4BE0-93BA-1CF05A4E68E7}">
      <formula1>$AB$24:$AB$48</formula1>
    </dataValidation>
    <dataValidation type="list" allowBlank="1" showInputMessage="1" showErrorMessage="1" sqref="C9" xr:uid="{526A135A-58C2-4DAB-9351-A8364B6DA4EE}">
      <formula1>$S$107:$S$108</formula1>
    </dataValidation>
    <dataValidation type="list" allowBlank="1" showInputMessage="1" showErrorMessage="1" sqref="C15:C18 C7:C8 C24 C57:C58 C30:C31 C38 C47:C51 C11" xr:uid="{5359644E-C363-4F0C-80C6-CA8B718FA2E9}">
      <formula1>$S$12:$S$13</formula1>
    </dataValidation>
    <dataValidation type="list" allowBlank="1" showInputMessage="1" showErrorMessage="1" sqref="B37" xr:uid="{68BCF9D8-62A7-4758-9211-F8BC94FEB377}">
      <formula1>$S$14:$S$15</formula1>
    </dataValidation>
    <dataValidation type="list" allowBlank="1" showInputMessage="1" showErrorMessage="1" sqref="B44" xr:uid="{8783B864-A092-4E2C-A499-CC1BA1D24CEC}">
      <formula1>$S$16:$S$17</formula1>
    </dataValidation>
    <dataValidation type="list" allowBlank="1" showInputMessage="1" showErrorMessage="1" sqref="B29 B56" xr:uid="{DEB2FDFC-61BA-4AEA-8CC5-D2F14BD69FF5}">
      <formula1>$S$5:$S$11</formula1>
    </dataValidation>
    <dataValidation type="list" allowBlank="1" showInputMessage="1" showErrorMessage="1" sqref="B23" xr:uid="{AA3FD029-2A02-4922-A41B-72DC6EE848D0}">
      <formula1>$T$12:$T$13</formula1>
    </dataValidation>
    <dataValidation type="list" allowBlank="1" showInputMessage="1" showErrorMessage="1" sqref="B42 B55" xr:uid="{FDB67582-58B4-4938-B1AE-B689F7FBA4DC}">
      <formula1>$S$25:$S$55</formula1>
    </dataValidation>
    <dataValidation type="list" allowBlank="1" showInputMessage="1" showErrorMessage="1" sqref="B42" xr:uid="{407AA45A-A926-4C76-8CC7-F601A9A41E31}">
      <formula1>$S$24:$S$39</formula1>
    </dataValidation>
    <dataValidation type="list" allowBlank="1" showInputMessage="1" showErrorMessage="1" sqref="B19:B21 B52:B54" xr:uid="{48B54319-4521-4A71-8CF3-963332D8DB2C}">
      <formula1>$S$24:$S$48</formula1>
    </dataValidation>
    <dataValidation type="list" allowBlank="1" showInputMessage="1" showErrorMessage="1" sqref="C6" xr:uid="{F4FA398A-7F4A-4210-8635-2E25C1BFBB04}">
      <formula1>$S$50:$S$51</formula1>
    </dataValidation>
    <dataValidation type="decimal" operator="greaterThanOrEqual" allowBlank="1" showInputMessage="1" showErrorMessage="1" sqref="BF25:BH27 BF29:BH32" xr:uid="{4830A41C-32B6-4A27-A39F-541D3170FFD9}">
      <formula1>0</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088" id="{00000000-000E-0000-0500-000005000000}">
            <xm:f>AND(C7=S12,'1-Hull'!B4&lt;100)</xm:f>
            <x14:dxf>
              <fill>
                <patternFill>
                  <bgColor theme="0" tint="-0.499984740745262"/>
                </patternFill>
              </fill>
            </x14:dxf>
          </x14:cfRule>
          <xm:sqref>B29</xm:sqref>
        </x14:conditionalFormatting>
        <x14:conditionalFormatting xmlns:xm="http://schemas.microsoft.com/office/excel/2006/main">
          <x14:cfRule type="expression" priority="3276" id="{00000000-000E-0000-0500-000005000000}">
            <xm:f>AND(C41=S36,'1-Hull'!A40&lt;100)</xm:f>
            <x14:dxf>
              <fill>
                <patternFill>
                  <bgColor theme="0" tint="-0.499984740745262"/>
                </patternFill>
              </fill>
            </x14:dxf>
          </x14:cfRule>
          <xm:sqref>B56</xm:sqref>
        </x14:conditionalFormatting>
        <x14:conditionalFormatting xmlns:xm="http://schemas.microsoft.com/office/excel/2006/main">
          <x14:cfRule type="expression" priority="14" id="{C5C7FACD-B8DB-4C4E-AA2B-01B85782F921}">
            <xm:f>AND(SUM($D$14,$D$23,$D$29,$D$37,$D$46,$D$56)&gt;0,'Ship Info'!$F$6)</xm:f>
            <x14:dxf>
              <font>
                <color theme="1"/>
              </font>
              <fill>
                <patternFill>
                  <bgColor rgb="FFFF0000"/>
                </patternFill>
              </fill>
            </x14:dxf>
          </x14:cfRule>
          <xm:sqref>H9:I9 G13 D14 D23 D29 D37 D46 D56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5CB2-3D2B-4816-B5EC-C30968F85095}">
  <dimension ref="A1:AA58"/>
  <sheetViews>
    <sheetView workbookViewId="0">
      <selection activeCell="C7" sqref="C7"/>
    </sheetView>
  </sheetViews>
  <sheetFormatPr defaultRowHeight="14.4" x14ac:dyDescent="0.3"/>
  <cols>
    <col min="1" max="1" width="24.109375" customWidth="1"/>
    <col min="2" max="2" width="32.109375" customWidth="1"/>
    <col min="3" max="3" width="13.44140625" customWidth="1"/>
    <col min="4" max="4" width="17.109375" customWidth="1"/>
    <col min="5" max="5" width="3.6640625" customWidth="1"/>
    <col min="6" max="6" width="18" style="4" customWidth="1"/>
    <col min="8" max="8" width="10.5546875" customWidth="1"/>
    <col min="11" max="11" width="11.88671875" customWidth="1"/>
    <col min="12" max="12" width="10.109375" customWidth="1"/>
    <col min="15" max="15" width="14" customWidth="1"/>
    <col min="18" max="18" width="9.109375" customWidth="1"/>
    <col min="19" max="19" width="31.88671875" hidden="1" customWidth="1"/>
    <col min="20" max="27" width="9.109375" hidden="1" customWidth="1"/>
    <col min="28" max="28" width="9.109375" customWidth="1"/>
  </cols>
  <sheetData>
    <row r="1" spans="1:27" x14ac:dyDescent="0.3">
      <c r="A1" s="3" t="str">
        <f>'Ship Info'!A1</f>
        <v>Ship's Class Name</v>
      </c>
      <c r="B1">
        <f>'Ship Info'!B1</f>
        <v>0</v>
      </c>
      <c r="D1" s="2"/>
      <c r="E1" s="2"/>
      <c r="F1" s="8" t="s">
        <v>1</v>
      </c>
      <c r="S1" s="3" t="s">
        <v>64</v>
      </c>
      <c r="T1" s="3" t="s">
        <v>2</v>
      </c>
      <c r="U1" s="3" t="s">
        <v>1</v>
      </c>
      <c r="V1" s="3" t="s">
        <v>26</v>
      </c>
      <c r="W1" s="3" t="s">
        <v>65</v>
      </c>
      <c r="X1" s="3" t="s">
        <v>66</v>
      </c>
    </row>
    <row r="2" spans="1:27" x14ac:dyDescent="0.3">
      <c r="A2" s="3" t="s">
        <v>418</v>
      </c>
      <c r="B2">
        <f>'Ship Info'!B2</f>
        <v>0</v>
      </c>
      <c r="D2" t="s">
        <v>0</v>
      </c>
      <c r="E2" s="2">
        <f>Tech_Level</f>
        <v>12</v>
      </c>
      <c r="F2" s="4">
        <f>'Ship Info'!G2</f>
        <v>6177000</v>
      </c>
      <c r="S2" t="s">
        <v>2747</v>
      </c>
      <c r="T2">
        <f t="shared" ref="T2:T10" si="0">$D$11/W2</f>
        <v>2.5</v>
      </c>
      <c r="U2">
        <f>(T2)*400000</f>
        <v>1000000</v>
      </c>
      <c r="V2">
        <v>6</v>
      </c>
      <c r="W2">
        <v>8</v>
      </c>
      <c r="X2">
        <f>IF(T2=0,0,IF((T2+$H$12)&lt;10,IF(AND($B$4&lt;100,'4-Fuel'!C4=$S$17),0.1*(T2+$H$12),1),0.1*(T2+$H$12)))</f>
        <v>1</v>
      </c>
      <c r="Y2">
        <v>0</v>
      </c>
    </row>
    <row r="3" spans="1:27" x14ac:dyDescent="0.3">
      <c r="B3" s="24" t="str">
        <f>'1-Hull'!B3</f>
        <v>Standard Automation - Costs x 1</v>
      </c>
      <c r="D3" s="2"/>
      <c r="E3" s="2"/>
      <c r="G3" s="28"/>
      <c r="H3" s="483">
        <f>S41</f>
        <v>1.3333333333333333</v>
      </c>
      <c r="I3" s="78"/>
      <c r="S3" t="s">
        <v>2750</v>
      </c>
      <c r="T3">
        <f t="shared" si="0"/>
        <v>6.666666666666667</v>
      </c>
      <c r="U3">
        <f>T3*400000</f>
        <v>2666666.666666667</v>
      </c>
      <c r="V3">
        <v>6</v>
      </c>
      <c r="W3">
        <v>3</v>
      </c>
      <c r="X3">
        <v>0</v>
      </c>
      <c r="Y3">
        <v>10</v>
      </c>
      <c r="Z3" t="s">
        <v>910</v>
      </c>
    </row>
    <row r="4" spans="1:27" x14ac:dyDescent="0.3">
      <c r="A4" t="s">
        <v>2</v>
      </c>
      <c r="B4" s="260">
        <f>'1-Hull'!B4</f>
        <v>100</v>
      </c>
      <c r="D4" s="2"/>
      <c r="E4" s="2"/>
      <c r="F4" s="485" t="s">
        <v>44</v>
      </c>
      <c r="H4" s="760" t="s">
        <v>45</v>
      </c>
      <c r="I4" s="760"/>
      <c r="K4" s="760" t="s">
        <v>46</v>
      </c>
      <c r="L4" s="760"/>
      <c r="S4" t="s">
        <v>2748</v>
      </c>
      <c r="T4">
        <f t="shared" si="0"/>
        <v>4</v>
      </c>
      <c r="U4">
        <f>(T4)*0.25*1000000</f>
        <v>1000000</v>
      </c>
      <c r="V4">
        <v>7</v>
      </c>
      <c r="W4">
        <v>5</v>
      </c>
      <c r="X4">
        <f>20*(T4+$H$12)</f>
        <v>80</v>
      </c>
      <c r="Y4">
        <v>0</v>
      </c>
      <c r="Z4" s="44" t="str">
        <f>INDEX($S$19:$Z$32,MATCH(B12,$S$19:$S$32,0),8)</f>
        <v/>
      </c>
      <c r="AA4" s="47"/>
    </row>
    <row r="5" spans="1:27" x14ac:dyDescent="0.3">
      <c r="F5" s="482">
        <f>SUM(F11:F22)</f>
        <v>1333333.3333333333</v>
      </c>
      <c r="H5" s="1" t="s">
        <v>390</v>
      </c>
      <c r="I5" s="1" t="s">
        <v>27</v>
      </c>
      <c r="K5" s="1" t="s">
        <v>390</v>
      </c>
      <c r="L5" s="1" t="s">
        <v>27</v>
      </c>
      <c r="S5" t="s">
        <v>2749</v>
      </c>
      <c r="T5">
        <f t="shared" si="0"/>
        <v>5</v>
      </c>
      <c r="U5">
        <f>T5*600000</f>
        <v>3000000</v>
      </c>
      <c r="V5">
        <v>8</v>
      </c>
      <c r="W5">
        <v>4</v>
      </c>
      <c r="X5">
        <v>0</v>
      </c>
      <c r="Y5">
        <v>15</v>
      </c>
      <c r="Z5" s="44" t="str">
        <f>INDEX($S$19:$Z$32,MATCH(B13,$S$19:$S$32,0),8)</f>
        <v/>
      </c>
      <c r="AA5" s="46"/>
    </row>
    <row r="6" spans="1:27" ht="15" thickBot="1" x14ac:dyDescent="0.35">
      <c r="H6" s="10">
        <f>'Ship Info'!I3</f>
        <v>92.53</v>
      </c>
      <c r="I6" s="266">
        <f>'1-Hull'!I6</f>
        <v>100</v>
      </c>
      <c r="K6" s="10">
        <f>'Ship Info'!L3</f>
        <v>0</v>
      </c>
      <c r="L6" s="266">
        <f>SUM(D11,L12)</f>
        <v>20</v>
      </c>
      <c r="S6" t="s">
        <v>2751</v>
      </c>
      <c r="T6">
        <f t="shared" si="0"/>
        <v>2</v>
      </c>
      <c r="U6">
        <f>(T6)*500000</f>
        <v>1000000</v>
      </c>
      <c r="V6">
        <v>8</v>
      </c>
      <c r="W6">
        <v>10</v>
      </c>
      <c r="X6">
        <f>IF(T6=0,0,0.1*(T6+$H$12))</f>
        <v>0.2</v>
      </c>
      <c r="Y6">
        <v>0</v>
      </c>
      <c r="Z6" s="44" t="str">
        <f>INDEX($S$19:$Z$32,MATCH(B14,$S$19:$S$32,0),8)</f>
        <v/>
      </c>
      <c r="AA6" s="46"/>
    </row>
    <row r="7" spans="1:27" ht="15" thickBot="1" x14ac:dyDescent="0.35">
      <c r="B7" s="7" t="s">
        <v>2390</v>
      </c>
      <c r="C7" s="250" t="s">
        <v>93</v>
      </c>
      <c r="H7" s="1" t="s">
        <v>47</v>
      </c>
      <c r="I7" s="2"/>
      <c r="K7" s="2"/>
      <c r="L7" s="2"/>
      <c r="S7" t="s">
        <v>2752</v>
      </c>
      <c r="T7">
        <f t="shared" si="0"/>
        <v>3.3333333333333335</v>
      </c>
      <c r="U7">
        <f>T7*800000</f>
        <v>2666666.666666667</v>
      </c>
      <c r="V7">
        <v>12</v>
      </c>
      <c r="W7">
        <v>6</v>
      </c>
      <c r="X7">
        <v>0</v>
      </c>
      <c r="Y7">
        <v>20</v>
      </c>
      <c r="Z7" s="78"/>
      <c r="AA7" s="46"/>
    </row>
    <row r="8" spans="1:27" x14ac:dyDescent="0.3">
      <c r="H8" s="2"/>
      <c r="I8" s="2"/>
      <c r="K8" s="2"/>
      <c r="L8" s="2"/>
      <c r="N8" s="3" t="s">
        <v>895</v>
      </c>
      <c r="S8" t="s">
        <v>2753</v>
      </c>
      <c r="T8">
        <f t="shared" si="0"/>
        <v>1.3333333333333333</v>
      </c>
      <c r="U8">
        <f>(T8)*1000000</f>
        <v>1333333.3333333333</v>
      </c>
      <c r="V8">
        <v>12</v>
      </c>
      <c r="W8">
        <v>15</v>
      </c>
      <c r="X8">
        <f>IF(T8=0,0,0.1*(T8+$H$12))</f>
        <v>0.13333333333333333</v>
      </c>
      <c r="Y8">
        <v>0</v>
      </c>
      <c r="Z8" s="78" t="str">
        <f>IF(Z4=Z19,"",Z4)</f>
        <v/>
      </c>
      <c r="AA8" s="46" t="str">
        <f>IF(Z8="","",IF(AND(Z4=Z5,Z4=Z6)," x3",IF(OR(Z4=Z5,Z4=Z6)," x2","")))</f>
        <v/>
      </c>
    </row>
    <row r="9" spans="1:27" x14ac:dyDescent="0.3">
      <c r="A9" s="5" t="s">
        <v>48</v>
      </c>
      <c r="B9" s="3" t="s">
        <v>2302</v>
      </c>
      <c r="E9" s="5" t="s">
        <v>26</v>
      </c>
      <c r="N9" s="108" t="s">
        <v>880</v>
      </c>
      <c r="O9" s="320">
        <f>'1-Hull'!K11</f>
        <v>20</v>
      </c>
      <c r="S9" t="s">
        <v>2754</v>
      </c>
      <c r="T9">
        <f t="shared" si="0"/>
        <v>1</v>
      </c>
      <c r="U9">
        <f>(T9)*2000000</f>
        <v>2000000</v>
      </c>
      <c r="V9">
        <v>15</v>
      </c>
      <c r="W9">
        <v>20</v>
      </c>
      <c r="X9">
        <f>IF(T9=0,0,0.1*(T9+$H$12))</f>
        <v>0.1</v>
      </c>
      <c r="Y9">
        <v>0</v>
      </c>
      <c r="Z9" s="78" t="str">
        <f>IF(OR(Z8="",Z5="",Z5=Z4),"",", ")&amp;IF(OR(Z5=Z4,Z5=Z19),"",Z5)</f>
        <v/>
      </c>
      <c r="AA9" s="46" t="str">
        <f>IF(OR(Z5="",AA8=" x3"),"",IF(Z5=Z6," x2",""))</f>
        <v/>
      </c>
    </row>
    <row r="10" spans="1:27" ht="15" thickBot="1" x14ac:dyDescent="0.35">
      <c r="C10" s="1" t="s">
        <v>120</v>
      </c>
      <c r="N10" s="105" t="s">
        <v>888</v>
      </c>
      <c r="O10" s="321">
        <f>SUM('1-Hull'!K14:K20)</f>
        <v>0</v>
      </c>
      <c r="S10" t="s">
        <v>2755</v>
      </c>
      <c r="T10">
        <f t="shared" si="0"/>
        <v>0.2</v>
      </c>
      <c r="U10">
        <f>10000000*(T10)</f>
        <v>2000000</v>
      </c>
      <c r="V10">
        <v>20</v>
      </c>
      <c r="W10">
        <v>100</v>
      </c>
      <c r="X10">
        <f>IF(T10=0,0,IF(T10&lt;10,IF(AND($B$4&lt;100,'4-Fuel'!$C$4=$S$17),0.1*(T10+$H$12),1),0.1*(T10+$H$12)))</f>
        <v>1</v>
      </c>
      <c r="Y10">
        <v>0</v>
      </c>
      <c r="Z10" s="86" t="str">
        <f>IF(OR(AND(Z8="",Z9=""),Z6="",Z6=Z4,Z6=Z5),"",", ")&amp;IF(OR(Z6=Z4,Z6=Z5,Z6=Z19),"",Z6)</f>
        <v/>
      </c>
      <c r="AA10" s="79"/>
    </row>
    <row r="11" spans="1:27" ht="15" thickBot="1" x14ac:dyDescent="0.35">
      <c r="A11" s="7" t="s">
        <v>63</v>
      </c>
      <c r="B11" s="196" t="s">
        <v>2753</v>
      </c>
      <c r="C11" s="3" t="s">
        <v>67</v>
      </c>
      <c r="D11" s="507">
        <v>20</v>
      </c>
      <c r="E11">
        <f>INDEX(S2:V10,MATCH(B11,S2:S10,0),4)+SUM(E12:E14)</f>
        <v>12</v>
      </c>
      <c r="F11" s="4">
        <f>INDEX(S2:U10,MATCH(B11,S2:S10,0),3)*'Ship Info'!G31</f>
        <v>1333333.3333333333</v>
      </c>
      <c r="H11" s="4">
        <f>INDEX(S2:T10,MATCH(B11,S2:S10,0),2)</f>
        <v>1.3333333333333333</v>
      </c>
      <c r="L11" s="10"/>
      <c r="N11" s="108" t="s">
        <v>881</v>
      </c>
      <c r="O11" s="320">
        <f>'2-Drives'!K14+'2-Drives'!K19</f>
        <v>0</v>
      </c>
    </row>
    <row r="12" spans="1:27" ht="15" thickBot="1" x14ac:dyDescent="0.35">
      <c r="A12" s="7" t="s">
        <v>116</v>
      </c>
      <c r="B12" s="249" t="s">
        <v>796</v>
      </c>
      <c r="C12" s="2"/>
      <c r="D12" t="str">
        <f>IF(T48,"Error: Module","")</f>
        <v/>
      </c>
      <c r="E12">
        <f>INDEX(S19:V32,MATCH(B12,S19:S32,0),4)</f>
        <v>0</v>
      </c>
      <c r="F12" s="4">
        <f>U36</f>
        <v>0</v>
      </c>
      <c r="H12" s="4">
        <f>INDEX(S19:W32,MATCH(B12,S19:S32,0),2)+INDEX(S19:W32,MATCH(B13,S19:S32,0),2)+INDEX(S19:W32,MATCH(B14,S19:S32,0),2)</f>
        <v>0</v>
      </c>
      <c r="L12" s="10">
        <f>INDEX(S19:W32,MATCH(B12,S19:S32,0),5)+INDEX(S19:W32,MATCH(B13,S19:S32,0),5)+INDEX(S19:W32,MATCH(B14,S19:S32,0),5)</f>
        <v>0</v>
      </c>
      <c r="N12" s="105" t="s">
        <v>882</v>
      </c>
      <c r="O12" s="321">
        <f>'2-Drives'!K29+'2-Drives'!K32</f>
        <v>0</v>
      </c>
      <c r="S12">
        <f>INDEX(S2:V10,MATCH(B11,S2:S10,0),4)</f>
        <v>12</v>
      </c>
      <c r="Z12" t="str">
        <f>Z8&amp;AA8&amp;Z9&amp;AA9&amp;Z10</f>
        <v/>
      </c>
    </row>
    <row r="13" spans="1:27" ht="15" thickBot="1" x14ac:dyDescent="0.35">
      <c r="B13" s="249" t="s">
        <v>796</v>
      </c>
      <c r="D13" s="2" t="s">
        <v>788</v>
      </c>
      <c r="E13">
        <f>INDEX(S19:V32,MATCH(B13,S19:S32,0),4)</f>
        <v>0</v>
      </c>
      <c r="L13" s="4"/>
      <c r="N13" s="108" t="s">
        <v>883</v>
      </c>
      <c r="O13" s="322">
        <f>'2-Drives'!K46+'2-Drives'!K52</f>
        <v>0</v>
      </c>
      <c r="P13" s="203" t="s">
        <v>93</v>
      </c>
      <c r="Q13" s="3" t="s">
        <v>1147</v>
      </c>
      <c r="S13" t="s">
        <v>92</v>
      </c>
      <c r="T13">
        <v>0</v>
      </c>
      <c r="U13">
        <v>0</v>
      </c>
      <c r="V13">
        <v>0</v>
      </c>
    </row>
    <row r="14" spans="1:27" ht="15" thickBot="1" x14ac:dyDescent="0.35">
      <c r="B14" s="249" t="s">
        <v>796</v>
      </c>
      <c r="D14" s="2">
        <f>INDEX(S19:Z32,MATCH(B12,S19:S32,0),7)+INDEX(S19:Z32,MATCH(B13,S19:S32,0),7)+INDEX(S19:Z32,MATCH(B14,S19:S32,0),7)</f>
        <v>0</v>
      </c>
      <c r="E14">
        <f>INDEX(S19:V32,MATCH(B14,S19:S32,0),4)</f>
        <v>0</v>
      </c>
      <c r="L14" s="4"/>
      <c r="N14" s="105" t="s">
        <v>884</v>
      </c>
      <c r="O14" s="321">
        <f>'2-Drives'!K56+'2-Drives'!K59</f>
        <v>0</v>
      </c>
      <c r="S14" t="s">
        <v>98</v>
      </c>
      <c r="T14">
        <v>100000</v>
      </c>
      <c r="U14">
        <v>40</v>
      </c>
      <c r="V14">
        <v>10</v>
      </c>
    </row>
    <row r="15" spans="1:27" ht="15" thickBot="1" x14ac:dyDescent="0.35">
      <c r="B15" s="7" t="s">
        <v>97</v>
      </c>
      <c r="C15" s="250" t="s">
        <v>92</v>
      </c>
      <c r="F15" s="4" t="str">
        <f>IF(C15=S17,0.1*(F11+F12)*'Ship Info'!G31," ")</f>
        <v xml:space="preserve"> </v>
      </c>
      <c r="H15" t="str">
        <f>IF(C15=S17,0.1*(H11+H12),"")</f>
        <v/>
      </c>
      <c r="L15" s="10" t="str">
        <f>IF(C15=S17,0.9*L6," ")</f>
        <v xml:space="preserve"> </v>
      </c>
      <c r="N15" s="108" t="s">
        <v>66</v>
      </c>
      <c r="O15" s="323">
        <f>'4-Fuel'!S27</f>
        <v>0</v>
      </c>
      <c r="S15" t="s">
        <v>99</v>
      </c>
      <c r="T15">
        <v>200000</v>
      </c>
      <c r="U15">
        <v>60</v>
      </c>
      <c r="V15">
        <v>12</v>
      </c>
    </row>
    <row r="16" spans="1:27" ht="15" thickBot="1" x14ac:dyDescent="0.35">
      <c r="B16" s="7" t="s">
        <v>91</v>
      </c>
      <c r="C16" s="250" t="s">
        <v>92</v>
      </c>
      <c r="F16" s="4" t="str">
        <f>IF(C16=S17,200000*H16*'Ship Info'!G31,"")</f>
        <v/>
      </c>
      <c r="H16" t="str">
        <f>IF(C16=S17,0.1*(H11+H12+H18+H20),"")</f>
        <v/>
      </c>
      <c r="L16" s="10"/>
      <c r="N16" s="105" t="s">
        <v>587</v>
      </c>
      <c r="O16" s="324">
        <f>'7-Sensors'!S17</f>
        <v>0</v>
      </c>
      <c r="S16" t="s">
        <v>92</v>
      </c>
      <c r="T16">
        <v>0</v>
      </c>
      <c r="U16">
        <v>0</v>
      </c>
    </row>
    <row r="17" spans="1:26" ht="15" thickBot="1" x14ac:dyDescent="0.35">
      <c r="C17" s="2"/>
      <c r="D17" s="1" t="s">
        <v>101</v>
      </c>
      <c r="L17" s="10"/>
      <c r="N17" s="108" t="s">
        <v>885</v>
      </c>
      <c r="O17" s="320">
        <f>'8a-Weapons'!Q9</f>
        <v>0</v>
      </c>
      <c r="S17" t="s">
        <v>93</v>
      </c>
      <c r="T17">
        <v>1</v>
      </c>
      <c r="U17">
        <v>14</v>
      </c>
    </row>
    <row r="18" spans="1:26" ht="15" thickBot="1" x14ac:dyDescent="0.35">
      <c r="B18" s="7" t="s">
        <v>100</v>
      </c>
      <c r="C18" s="250" t="s">
        <v>92</v>
      </c>
      <c r="D18" s="392">
        <v>0</v>
      </c>
      <c r="E18">
        <f>INDEX(S13:V15,MATCH(C18,S13:S15,0),4)</f>
        <v>0</v>
      </c>
      <c r="F18" s="4">
        <f>INDEX(S13:U15,MATCH(C18,S13:S15,0),2)*D18*'Ship Info'!G31</f>
        <v>0</v>
      </c>
      <c r="H18" s="4">
        <f>IF(C18=S13,0,D18)</f>
        <v>0</v>
      </c>
      <c r="L18" s="10">
        <f>INDEX(S13:U15,MATCH(C18,S13:S15,0),3)*D18</f>
        <v>0</v>
      </c>
      <c r="N18" s="105" t="s">
        <v>886</v>
      </c>
      <c r="O18" s="324">
        <f>SUM('8b-Screens'!K9:K39)</f>
        <v>0</v>
      </c>
    </row>
    <row r="19" spans="1:26" ht="15" thickBot="1" x14ac:dyDescent="0.35">
      <c r="C19" s="2"/>
      <c r="D19" s="1" t="s">
        <v>1589</v>
      </c>
      <c r="H19" s="4"/>
      <c r="L19" s="10"/>
      <c r="N19" s="108" t="s">
        <v>614</v>
      </c>
      <c r="O19" s="323">
        <f>SUM('9b-Optional'!K9:K73,'9b-Optional'!K127:K191,'9a-Optional'!K10:K67)</f>
        <v>0</v>
      </c>
      <c r="S19" t="s">
        <v>796</v>
      </c>
      <c r="T19">
        <v>0</v>
      </c>
      <c r="U19">
        <v>0</v>
      </c>
      <c r="V19">
        <v>0</v>
      </c>
      <c r="W19">
        <v>0</v>
      </c>
      <c r="Y19">
        <v>0</v>
      </c>
      <c r="Z19" t="str">
        <f>""</f>
        <v/>
      </c>
    </row>
    <row r="20" spans="1:26" ht="15" thickBot="1" x14ac:dyDescent="0.35">
      <c r="A20" s="118" t="s">
        <v>950</v>
      </c>
      <c r="B20" s="7" t="s">
        <v>207</v>
      </c>
      <c r="C20" s="250" t="s">
        <v>92</v>
      </c>
      <c r="D20" s="392">
        <v>0</v>
      </c>
      <c r="E20">
        <f>INDEX(S16:U17,MATCH(C20,S16:S17,0),3)</f>
        <v>0</v>
      </c>
      <c r="F20" s="4">
        <f>H20*500000*'Ship Info'!G31</f>
        <v>0</v>
      </c>
      <c r="H20" s="4">
        <f>IF(AND('2-Drives'!B29=" No FTL",'2-Drives'!B56=" No FTL"),0,IF(MAX('2-Drives'!D29,'2-Drives'!D56)=0,0, (MAX('2-Drives'!D29,'2-Drives'!D56)*(0.01*'2-Drives'!C4)+5)*D20*INDEX(S16:U17,MATCH(C20,S16:S17,0),2)))</f>
        <v>0</v>
      </c>
      <c r="K20" s="2"/>
      <c r="L20" s="4"/>
      <c r="N20" s="105" t="s">
        <v>887</v>
      </c>
      <c r="O20" s="321">
        <f>SUM('11-Staterooms'!K15:K107)</f>
        <v>0</v>
      </c>
      <c r="S20" t="s">
        <v>2122</v>
      </c>
      <c r="T20">
        <f>0.25*H11</f>
        <v>0.33333333333333331</v>
      </c>
      <c r="U20">
        <f>-0.25*F11</f>
        <v>-333333.33333333331</v>
      </c>
      <c r="V20">
        <v>0</v>
      </c>
      <c r="W20">
        <v>0</v>
      </c>
      <c r="Y20">
        <v>3</v>
      </c>
      <c r="Z20" t="s">
        <v>2123</v>
      </c>
    </row>
    <row r="21" spans="1:26" ht="15" thickBot="1" x14ac:dyDescent="0.35">
      <c r="D21" s="1" t="s">
        <v>1541</v>
      </c>
      <c r="L21" s="4"/>
      <c r="N21" s="108" t="s">
        <v>588</v>
      </c>
      <c r="O21" s="323">
        <f>SUM('12-Cargo'!K9:K52)</f>
        <v>0</v>
      </c>
      <c r="S21" t="s">
        <v>854</v>
      </c>
      <c r="T21">
        <v>0</v>
      </c>
      <c r="U21">
        <f>-0.25*F11</f>
        <v>-333333.33333333331</v>
      </c>
      <c r="V21">
        <v>0</v>
      </c>
      <c r="W21">
        <f>-0.25*D11</f>
        <v>-5</v>
      </c>
      <c r="Y21">
        <v>3</v>
      </c>
      <c r="Z21" t="s">
        <v>905</v>
      </c>
    </row>
    <row r="22" spans="1:26" ht="15" thickBot="1" x14ac:dyDescent="0.35">
      <c r="B22" s="7" t="s">
        <v>1536</v>
      </c>
      <c r="C22" s="249" t="s">
        <v>92</v>
      </c>
      <c r="D22" s="392">
        <v>0</v>
      </c>
      <c r="E22">
        <f>INDEX(S52:V56,MATCH(C22,S52:S56,0),2)</f>
        <v>0</v>
      </c>
      <c r="F22" s="4">
        <f>INDEX(S52:V56,MATCH(C22,S52:S56,0),4)*D22</f>
        <v>0</v>
      </c>
      <c r="H22" s="4">
        <f>IF(C22=S52,0,D22)</f>
        <v>0</v>
      </c>
      <c r="L22" s="10">
        <f>INDEX(S52:V56,MATCH(C22,S52:S56,0),3)*D22</f>
        <v>0</v>
      </c>
      <c r="N22" s="105" t="s">
        <v>1548</v>
      </c>
      <c r="O22" s="321">
        <f>SUM('2-Drives'!K17,'2-Drives'!K49)</f>
        <v>0</v>
      </c>
      <c r="S22" t="s">
        <v>2296</v>
      </c>
      <c r="T22">
        <v>0</v>
      </c>
      <c r="U22">
        <f>-0.1*F11</f>
        <v>-133333.33333333334</v>
      </c>
      <c r="V22">
        <v>1</v>
      </c>
      <c r="W22">
        <v>0</v>
      </c>
      <c r="Y22">
        <v>3</v>
      </c>
      <c r="Z22" t="s">
        <v>2303</v>
      </c>
    </row>
    <row r="23" spans="1:26" x14ac:dyDescent="0.3">
      <c r="L23" s="4"/>
      <c r="N23" s="105" t="s">
        <v>893</v>
      </c>
      <c r="O23" s="325">
        <f>SUM(O9:O10,O11,O13,MAX(O12,O14),O15:O22)</f>
        <v>20</v>
      </c>
      <c r="S23" t="s">
        <v>2297</v>
      </c>
      <c r="T23">
        <v>0</v>
      </c>
      <c r="U23">
        <f>-0.15*F11</f>
        <v>-199999.99999999997</v>
      </c>
      <c r="V23">
        <v>2</v>
      </c>
      <c r="W23">
        <v>0</v>
      </c>
      <c r="Y23">
        <v>3</v>
      </c>
      <c r="Z23" t="s">
        <v>2304</v>
      </c>
    </row>
    <row r="24" spans="1:26" x14ac:dyDescent="0.3">
      <c r="S24" t="s">
        <v>2298</v>
      </c>
      <c r="T24">
        <v>0</v>
      </c>
      <c r="U24">
        <f>-0.2*F11</f>
        <v>-266666.66666666669</v>
      </c>
      <c r="V24">
        <v>3</v>
      </c>
      <c r="W24">
        <v>0</v>
      </c>
      <c r="Y24">
        <v>3</v>
      </c>
      <c r="Z24" t="s">
        <v>2305</v>
      </c>
    </row>
    <row r="25" spans="1:26" x14ac:dyDescent="0.3">
      <c r="B25" t="s">
        <v>890</v>
      </c>
      <c r="N25" s="820" t="s">
        <v>896</v>
      </c>
      <c r="O25" s="821"/>
      <c r="S25" t="s">
        <v>2190</v>
      </c>
      <c r="T25">
        <f>-0.1*H11</f>
        <v>-0.13333333333333333</v>
      </c>
      <c r="U25">
        <v>0</v>
      </c>
      <c r="V25">
        <v>1</v>
      </c>
      <c r="W25">
        <v>0</v>
      </c>
      <c r="Y25">
        <v>1</v>
      </c>
      <c r="Z25" t="s">
        <v>2121</v>
      </c>
    </row>
    <row r="26" spans="1:26" x14ac:dyDescent="0.3">
      <c r="B26" t="s">
        <v>889</v>
      </c>
      <c r="N26" s="114" t="s">
        <v>894</v>
      </c>
      <c r="O26" s="324">
        <f>SUM(O9/2,O11,IF(P13="Yes",O13,0),O16:O18)</f>
        <v>10</v>
      </c>
      <c r="S26" t="s">
        <v>2003</v>
      </c>
      <c r="T26">
        <v>0</v>
      </c>
      <c r="U26">
        <v>0</v>
      </c>
      <c r="V26">
        <v>1</v>
      </c>
      <c r="W26">
        <v>0</v>
      </c>
      <c r="Y26">
        <v>1</v>
      </c>
      <c r="Z26" t="s">
        <v>907</v>
      </c>
    </row>
    <row r="27" spans="1:26" x14ac:dyDescent="0.3">
      <c r="B27" t="s">
        <v>891</v>
      </c>
      <c r="M27" t="s">
        <v>897</v>
      </c>
      <c r="N27" s="110" t="str">
        <f>"+10%"</f>
        <v>+10%</v>
      </c>
      <c r="O27" s="323">
        <f>ROUNDUP(O26/0.9,0)</f>
        <v>12</v>
      </c>
      <c r="S27" t="s">
        <v>2002</v>
      </c>
      <c r="T27">
        <v>0</v>
      </c>
      <c r="U27">
        <v>0</v>
      </c>
      <c r="V27">
        <v>2</v>
      </c>
      <c r="W27">
        <f>0.1*D11</f>
        <v>2</v>
      </c>
      <c r="Y27">
        <v>2</v>
      </c>
      <c r="Z27" t="s">
        <v>2004</v>
      </c>
    </row>
    <row r="28" spans="1:26" x14ac:dyDescent="0.3">
      <c r="M28" t="s">
        <v>898</v>
      </c>
      <c r="N28" s="109" t="str">
        <f>"+20%"</f>
        <v>+20%</v>
      </c>
      <c r="O28" s="321">
        <f>ROUNDUP(O26/0.8,0)</f>
        <v>13</v>
      </c>
      <c r="S28" t="s">
        <v>2129</v>
      </c>
      <c r="T28">
        <f>0.25*H11</f>
        <v>0.33333333333333331</v>
      </c>
      <c r="U28">
        <f>5*F11</f>
        <v>6666666.666666666</v>
      </c>
      <c r="V28">
        <v>-1</v>
      </c>
      <c r="W28">
        <v>0</v>
      </c>
      <c r="Y28">
        <v>3</v>
      </c>
      <c r="Z28" t="s">
        <v>2124</v>
      </c>
    </row>
    <row r="29" spans="1:26" x14ac:dyDescent="0.3">
      <c r="B29" t="s">
        <v>892</v>
      </c>
      <c r="M29" t="s">
        <v>899</v>
      </c>
      <c r="N29" s="110" t="str">
        <f>"+70%"</f>
        <v>+70%</v>
      </c>
      <c r="O29" s="323">
        <f>ROUNDUP(O26/0.3,0)</f>
        <v>34</v>
      </c>
      <c r="S29" t="s">
        <v>2130</v>
      </c>
      <c r="T29">
        <v>0</v>
      </c>
      <c r="U29">
        <f>5*F11</f>
        <v>6666666.666666666</v>
      </c>
      <c r="V29">
        <v>-1</v>
      </c>
      <c r="W29">
        <f>-0.25*D11</f>
        <v>-5</v>
      </c>
      <c r="Y29">
        <v>3</v>
      </c>
      <c r="Z29" t="s">
        <v>908</v>
      </c>
    </row>
    <row r="30" spans="1:26" x14ac:dyDescent="0.3">
      <c r="S30" t="s">
        <v>2128</v>
      </c>
      <c r="T30">
        <f>1.5*H11</f>
        <v>2</v>
      </c>
      <c r="U30">
        <f>10*F11</f>
        <v>13333333.333333332</v>
      </c>
      <c r="V30">
        <v>-2</v>
      </c>
      <c r="W30">
        <v>0</v>
      </c>
      <c r="Y30">
        <v>3</v>
      </c>
      <c r="Z30" t="s">
        <v>2125</v>
      </c>
    </row>
    <row r="31" spans="1:26" x14ac:dyDescent="0.3">
      <c r="B31" t="s">
        <v>900</v>
      </c>
      <c r="S31" t="s">
        <v>2131</v>
      </c>
      <c r="T31">
        <f>1*H11</f>
        <v>1.3333333333333333</v>
      </c>
      <c r="U31">
        <f>10*F11</f>
        <v>13333333.333333332</v>
      </c>
      <c r="V31">
        <v>-2</v>
      </c>
      <c r="W31">
        <f>-0.5*D11</f>
        <v>-10</v>
      </c>
      <c r="Y31">
        <v>3</v>
      </c>
      <c r="Z31" t="s">
        <v>909</v>
      </c>
    </row>
    <row r="32" spans="1:26" x14ac:dyDescent="0.3">
      <c r="B32" t="s">
        <v>901</v>
      </c>
      <c r="S32" t="s">
        <v>2127</v>
      </c>
      <c r="T32">
        <f>1.25*H11</f>
        <v>1.6666666666666665</v>
      </c>
      <c r="U32">
        <f>10*F11</f>
        <v>13333333.333333332</v>
      </c>
      <c r="V32">
        <v>-3</v>
      </c>
      <c r="W32">
        <f>-0.25*D11</f>
        <v>-5</v>
      </c>
      <c r="Y32">
        <v>3</v>
      </c>
      <c r="Z32" t="s">
        <v>2126</v>
      </c>
    </row>
    <row r="34" spans="19:24" x14ac:dyDescent="0.3">
      <c r="S34" t="str">
        <f>B11&amp;", Output: "&amp;D11&amp;IF(AND(Z4="",Z5="",Z6=""),"",", "&amp;Z8&amp;AA8&amp;Z9&amp;AA9&amp;Z10)&amp;IF(C15=S16,"",", Emergency Power")&amp;IF(C16=S16,"",", Armored")&amp;IF(C18=S13,"",", "&amp;D18&amp;"x "&amp;C18&amp;" Batteries")&amp;IF(C20=S16,"",", Jump Collectors x"&amp;D20)&amp;IF(D22&gt;0,", "&amp;D22&amp;" Units of "&amp;C22&amp;" Solar Panels: "&amp;L22&amp;" Base Power","")</f>
        <v>TL 12 Fusion, Output: 20</v>
      </c>
    </row>
    <row r="36" spans="19:24" x14ac:dyDescent="0.3">
      <c r="T36" t="s">
        <v>116</v>
      </c>
      <c r="U36">
        <f>IF(SUM(U37:U39)=0,INDEX(V43:X46,MATCH(SUM(E12:E14),V43:V46,0),3)*F11,SUM(U37:U39))</f>
        <v>0</v>
      </c>
    </row>
    <row r="37" spans="19:24" x14ac:dyDescent="0.3">
      <c r="T37">
        <v>1</v>
      </c>
      <c r="U37">
        <f>INDEX(S19:U32,MATCH(B12,S19:S32,0),3)</f>
        <v>0</v>
      </c>
    </row>
    <row r="38" spans="19:24" x14ac:dyDescent="0.3">
      <c r="T38">
        <v>2</v>
      </c>
      <c r="U38">
        <f>INDEX(S19:U32,MATCH(B13,S19:S32,0),3)</f>
        <v>0</v>
      </c>
    </row>
    <row r="39" spans="19:24" x14ac:dyDescent="0.3">
      <c r="T39">
        <v>3</v>
      </c>
      <c r="U39">
        <f>INDEX(S19:U32,MATCH(B14,S19:S32,0),3)</f>
        <v>0</v>
      </c>
    </row>
    <row r="40" spans="19:24" x14ac:dyDescent="0.3">
      <c r="S40" t="s">
        <v>386</v>
      </c>
    </row>
    <row r="41" spans="19:24" x14ac:dyDescent="0.3">
      <c r="S41">
        <f>SUM(H11:H22)</f>
        <v>1.3333333333333333</v>
      </c>
    </row>
    <row r="42" spans="19:24" x14ac:dyDescent="0.3">
      <c r="V42" t="s">
        <v>808</v>
      </c>
    </row>
    <row r="43" spans="19:24" x14ac:dyDescent="0.3">
      <c r="S43" s="9" t="s">
        <v>739</v>
      </c>
      <c r="T43">
        <f>SUM(T44:T49)</f>
        <v>0</v>
      </c>
      <c r="V43">
        <v>0</v>
      </c>
      <c r="X43">
        <v>0</v>
      </c>
    </row>
    <row r="44" spans="19:24" x14ac:dyDescent="0.3">
      <c r="S44" s="9" t="s">
        <v>759</v>
      </c>
      <c r="T44">
        <f>IF(E11&gt;E2,1,0)</f>
        <v>0</v>
      </c>
      <c r="V44">
        <v>1</v>
      </c>
      <c r="X44">
        <v>0.1</v>
      </c>
    </row>
    <row r="45" spans="19:24" x14ac:dyDescent="0.3">
      <c r="S45" s="9" t="s">
        <v>855</v>
      </c>
      <c r="T45">
        <f>IF(D14&gt;3,1,0)</f>
        <v>0</v>
      </c>
      <c r="V45">
        <v>2</v>
      </c>
      <c r="X45">
        <v>0.25</v>
      </c>
    </row>
    <row r="46" spans="19:24" x14ac:dyDescent="0.3">
      <c r="S46" s="9" t="s">
        <v>760</v>
      </c>
      <c r="T46">
        <f>IF(E18&gt;E2,1,0)</f>
        <v>0</v>
      </c>
      <c r="V46">
        <v>3</v>
      </c>
      <c r="X46">
        <v>0.5</v>
      </c>
    </row>
    <row r="47" spans="19:24" x14ac:dyDescent="0.3">
      <c r="S47" s="9" t="s">
        <v>951</v>
      </c>
      <c r="T47">
        <f>IF(E20&gt;E2,1,0)</f>
        <v>0</v>
      </c>
    </row>
    <row r="48" spans="19:24" x14ac:dyDescent="0.3">
      <c r="S48" s="9" t="s">
        <v>1350</v>
      </c>
      <c r="T48">
        <f>IF(C7=S17,0,IF(AND(U48,SUM('3-Pwr Plant'!H11:H12)&gt;0),1,0))</f>
        <v>0</v>
      </c>
      <c r="U48">
        <f>IF('Ship Info'!F7,IF(AND('Ship Info'!F7,'Ship Info'!I6="Yes"),0,1),0)</f>
        <v>0</v>
      </c>
      <c r="V48" t="s">
        <v>1815</v>
      </c>
    </row>
    <row r="49" spans="19:22" x14ac:dyDescent="0.3">
      <c r="S49" s="9" t="s">
        <v>2409</v>
      </c>
      <c r="T49">
        <f>IF(AND(D11&gt;0,D11&lt;1),1,0)</f>
        <v>0</v>
      </c>
    </row>
    <row r="51" spans="19:22" x14ac:dyDescent="0.3">
      <c r="S51" s="16" t="s">
        <v>1537</v>
      </c>
      <c r="T51" t="s">
        <v>26</v>
      </c>
      <c r="U51" t="s">
        <v>1540</v>
      </c>
      <c r="V51" t="s">
        <v>1</v>
      </c>
    </row>
    <row r="52" spans="19:22" x14ac:dyDescent="0.3">
      <c r="S52" s="9" t="s">
        <v>92</v>
      </c>
      <c r="T52">
        <v>0</v>
      </c>
      <c r="U52">
        <v>0</v>
      </c>
      <c r="V52">
        <v>0</v>
      </c>
    </row>
    <row r="53" spans="19:22" x14ac:dyDescent="0.3">
      <c r="S53" s="9" t="s">
        <v>880</v>
      </c>
      <c r="T53">
        <v>6</v>
      </c>
      <c r="U53">
        <v>0.25</v>
      </c>
      <c r="V53">
        <v>100000</v>
      </c>
    </row>
    <row r="54" spans="19:22" x14ac:dyDescent="0.3">
      <c r="S54" s="9" t="s">
        <v>1538</v>
      </c>
      <c r="T54">
        <v>8</v>
      </c>
      <c r="U54">
        <v>0.5</v>
      </c>
      <c r="V54">
        <v>200000</v>
      </c>
    </row>
    <row r="55" spans="19:22" x14ac:dyDescent="0.3">
      <c r="S55" s="9" t="s">
        <v>1539</v>
      </c>
      <c r="T55">
        <v>10</v>
      </c>
      <c r="U55">
        <v>1</v>
      </c>
      <c r="V55">
        <v>300000</v>
      </c>
    </row>
    <row r="56" spans="19:22" x14ac:dyDescent="0.3">
      <c r="S56" s="9" t="s">
        <v>573</v>
      </c>
      <c r="T56">
        <v>12</v>
      </c>
      <c r="U56">
        <v>2</v>
      </c>
      <c r="V56">
        <v>400000</v>
      </c>
    </row>
    <row r="57" spans="19:22" x14ac:dyDescent="0.3">
      <c r="S57" s="9" t="s">
        <v>1552</v>
      </c>
    </row>
    <row r="58" spans="19:22" x14ac:dyDescent="0.3">
      <c r="S58">
        <f>IF(MAX('2-Drives'!D29,'2-Drives'!D56)=0,0,1)</f>
        <v>0</v>
      </c>
    </row>
  </sheetData>
  <sheetProtection algorithmName="SHA-512" hashValue="9mj8hQjArPfTJHnBLu0NPBGskHApzyEIkRR7fUdNWek8d2lof9SOUnXdXeUex103iZsSeemkU7yfyzBLeqYt1g==" saltValue="5qTd3zw3aPMMZqCtpCfTeQ==" spinCount="100000" sheet="1" selectLockedCells="1"/>
  <sortState xmlns:xlrd2="http://schemas.microsoft.com/office/spreadsheetml/2017/richdata2" ref="S2:Y10">
    <sortCondition ref="V2:V10"/>
  </sortState>
  <mergeCells count="3">
    <mergeCell ref="H4:I4"/>
    <mergeCell ref="K4:L4"/>
    <mergeCell ref="N25:O25"/>
  </mergeCells>
  <conditionalFormatting sqref="A20:D20">
    <cfRule type="expression" dxfId="710" priority="2570" stopIfTrue="1">
      <formula>AND($C$20="Yes",$S$58=0)</formula>
    </cfRule>
  </conditionalFormatting>
  <conditionalFormatting sqref="B9">
    <cfRule type="expression" dxfId="708" priority="4">
      <formula>$T$73</formula>
    </cfRule>
  </conditionalFormatting>
  <conditionalFormatting sqref="B11">
    <cfRule type="expression" dxfId="707" priority="2431">
      <formula>$S$12&gt;$E$2</formula>
    </cfRule>
  </conditionalFormatting>
  <conditionalFormatting sqref="B12:B14">
    <cfRule type="cellIs" dxfId="706" priority="2419" operator="equal">
      <formula>$S$19</formula>
    </cfRule>
    <cfRule type="cellIs" priority="2420" operator="equal">
      <formula>$S$19</formula>
    </cfRule>
  </conditionalFormatting>
  <conditionalFormatting sqref="C7 C15:C16 C20">
    <cfRule type="cellIs" dxfId="705" priority="2432" operator="equal">
      <formula>$S$13</formula>
    </cfRule>
  </conditionalFormatting>
  <conditionalFormatting sqref="C18">
    <cfRule type="cellIs" dxfId="704" priority="2435" operator="equal">
      <formula>$S$13</formula>
    </cfRule>
  </conditionalFormatting>
  <conditionalFormatting sqref="C22:D22">
    <cfRule type="expression" dxfId="703" priority="2573">
      <formula>AND($C$22&lt;&gt;$S$52,$D$22=0)</formula>
    </cfRule>
    <cfRule type="expression" dxfId="702" priority="2574">
      <formula>$H$22=0</formula>
    </cfRule>
  </conditionalFormatting>
  <conditionalFormatting sqref="D11">
    <cfRule type="expression" dxfId="701" priority="1">
      <formula>$T$49=1</formula>
    </cfRule>
    <cfRule type="expression" dxfId="700" priority="2423">
      <formula>$T$48</formula>
    </cfRule>
    <cfRule type="expression" dxfId="699" priority="2424">
      <formula>$D$11=0</formula>
    </cfRule>
  </conditionalFormatting>
  <conditionalFormatting sqref="D13:D14">
    <cfRule type="expression" dxfId="698" priority="30">
      <formula>$D$14&gt;3</formula>
    </cfRule>
  </conditionalFormatting>
  <conditionalFormatting sqref="D18">
    <cfRule type="expression" dxfId="697" priority="2436" stopIfTrue="1">
      <formula>AND($C$18=$S$13,$D$18&gt;0)</formula>
    </cfRule>
    <cfRule type="expression" dxfId="696" priority="2437" stopIfTrue="1">
      <formula>AND($C$18&lt;&gt;$S$13,$D$18=0)</formula>
    </cfRule>
    <cfRule type="cellIs" dxfId="695" priority="2438" operator="equal">
      <formula>0</formula>
    </cfRule>
  </conditionalFormatting>
  <conditionalFormatting sqref="D20">
    <cfRule type="expression" dxfId="694" priority="2439" stopIfTrue="1">
      <formula>AND($C$20=$S$17,$D$20=0)</formula>
    </cfRule>
    <cfRule type="expression" dxfId="693" priority="2440">
      <formula>AND($C$20=$S$16,$D$20&gt;0)</formula>
    </cfRule>
    <cfRule type="cellIs" dxfId="692" priority="2441" operator="equal">
      <formula>0</formula>
    </cfRule>
  </conditionalFormatting>
  <conditionalFormatting sqref="D22">
    <cfRule type="expression" dxfId="691" priority="9">
      <formula>AND($H$22=0,$D$22&gt;0)</formula>
    </cfRule>
  </conditionalFormatting>
  <conditionalFormatting sqref="E11">
    <cfRule type="expression" dxfId="690" priority="33">
      <formula>$E$11&gt;$E$2</formula>
    </cfRule>
  </conditionalFormatting>
  <conditionalFormatting sqref="E12">
    <cfRule type="expression" dxfId="689" priority="146">
      <formula>$E$12&gt;$E$2</formula>
    </cfRule>
  </conditionalFormatting>
  <conditionalFormatting sqref="E18">
    <cfRule type="expression" dxfId="688" priority="32">
      <formula>$E$18&gt;$E$2</formula>
    </cfRule>
  </conditionalFormatting>
  <conditionalFormatting sqref="E20">
    <cfRule type="expression" dxfId="687" priority="28">
      <formula>$E$20&gt;$E$2</formula>
    </cfRule>
  </conditionalFormatting>
  <conditionalFormatting sqref="H6">
    <cfRule type="expression" dxfId="686" priority="35">
      <formula>$H$6&lt;0</formula>
    </cfRule>
  </conditionalFormatting>
  <conditionalFormatting sqref="K6 N23:O23">
    <cfRule type="expression" dxfId="685" priority="34">
      <formula>$K$6&lt;0</formula>
    </cfRule>
  </conditionalFormatting>
  <conditionalFormatting sqref="L6 N26:O26">
    <cfRule type="expression" dxfId="684" priority="27">
      <formula>$O$26&gt;$L$6</formula>
    </cfRule>
  </conditionalFormatting>
  <dataValidations count="8">
    <dataValidation type="decimal" allowBlank="1" showInputMessage="1" showErrorMessage="1" prompt="Enter battery tons" sqref="D18" xr:uid="{9298B520-4FB2-43C0-9794-AA9ECC633C51}">
      <formula1>0</formula1>
      <formula2>B4</formula2>
    </dataValidation>
    <dataValidation type="decimal" allowBlank="1" showInputMessage="1" showErrorMessage="1" prompt="Enter number of collectors" sqref="D20" xr:uid="{41588261-EA2E-4306-8EBE-A27C75A21A90}">
      <formula1>0</formula1>
      <formula2>B4</formula2>
    </dataValidation>
    <dataValidation type="decimal" allowBlank="1" showInputMessage="1" showErrorMessage="1" sqref="D22" xr:uid="{07BDAD48-6F9D-4C83-9723-C2BC96DCBDB8}">
      <formula1>0</formula1>
      <formula2>B4</formula2>
    </dataValidation>
    <dataValidation type="list" allowBlank="1" showInputMessage="1" showErrorMessage="1" sqref="B12:B14" xr:uid="{D9525C86-E228-4895-8DA6-F3C388143AE5}">
      <formula1>$S$19:$S$32</formula1>
    </dataValidation>
    <dataValidation type="list" allowBlank="1" showInputMessage="1" showErrorMessage="1" sqref="C15:C16 C20 P13 C7" xr:uid="{2BEFE919-23C6-43FF-8F1E-41335614FF77}">
      <formula1>$S$16:$S$17</formula1>
    </dataValidation>
    <dataValidation type="list" allowBlank="1" showInputMessage="1" showErrorMessage="1" prompt="Select TL of Batteries or No to ignore" sqref="C18" xr:uid="{E2A918C3-2D29-4B0D-AB2D-84D4AEA8163B}">
      <formula1>$S$13:$S$15</formula1>
    </dataValidation>
    <dataValidation type="list" allowBlank="1" showInputMessage="1" showErrorMessage="1" sqref="B11" xr:uid="{93A2F1D8-0D33-4F42-8622-EDAF80D2A0A3}">
      <formula1>$S$2:$S$10</formula1>
    </dataValidation>
    <dataValidation type="list" allowBlank="1" showInputMessage="1" showErrorMessage="1" sqref="C22" xr:uid="{3709EE0B-57A6-4E88-84C3-DF6BF65F6070}">
      <formula1>$S$52:$S$56</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 id="{E9A190A9-FE0B-45B0-8A06-8A4493A694C1}">
            <xm:f>AND(SUM($D$11,$D$20,$D$26,$D$34,$D$43,$D$53)&gt;0,'Ship Info'!$F$6)</xm:f>
            <x14:dxf>
              <font>
                <color theme="1"/>
              </font>
              <fill>
                <patternFill>
                  <bgColor rgb="FFFF0000"/>
                </patternFill>
              </fill>
            </x14:dxf>
          </x14:cfRule>
          <xm:sqref>B9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FE47-188E-49CD-A6E0-1F1C915047EE}">
  <dimension ref="A1:V58"/>
  <sheetViews>
    <sheetView workbookViewId="0">
      <selection activeCell="C5" sqref="C5"/>
    </sheetView>
  </sheetViews>
  <sheetFormatPr defaultRowHeight="14.4" x14ac:dyDescent="0.3"/>
  <cols>
    <col min="1" max="1" width="24.109375" customWidth="1"/>
    <col min="2" max="2" width="32.109375" customWidth="1"/>
    <col min="3" max="3" width="13.44140625" customWidth="1"/>
    <col min="4" max="4" width="17.109375" customWidth="1"/>
    <col min="5" max="5" width="3.6640625" customWidth="1"/>
    <col min="6" max="6" width="18" style="2" customWidth="1"/>
    <col min="7" max="7" width="9.109375" customWidth="1"/>
    <col min="8" max="8" width="12.6640625" customWidth="1"/>
    <col min="11" max="11" width="10.44140625" customWidth="1"/>
    <col min="12" max="12" width="11.109375" customWidth="1"/>
    <col min="18" max="18" width="9.109375" customWidth="1"/>
    <col min="19" max="19" width="27.33203125" hidden="1" customWidth="1"/>
    <col min="20" max="20" width="9.109375" hidden="1" customWidth="1"/>
    <col min="21" max="21" width="12.6640625" hidden="1" customWidth="1"/>
    <col min="22" max="22" width="9.109375" hidden="1" customWidth="1"/>
    <col min="23" max="23" width="9.109375" customWidth="1"/>
  </cols>
  <sheetData>
    <row r="1" spans="1:22" x14ac:dyDescent="0.3">
      <c r="A1" s="3" t="str">
        <f>'Ship Info'!A1</f>
        <v>Ship's Class Name</v>
      </c>
      <c r="B1">
        <f>'Ship Info'!B1</f>
        <v>0</v>
      </c>
      <c r="F1" s="1" t="s">
        <v>1</v>
      </c>
      <c r="S1" s="3" t="s">
        <v>104</v>
      </c>
      <c r="U1" s="120" t="s">
        <v>949</v>
      </c>
    </row>
    <row r="2" spans="1:22" x14ac:dyDescent="0.3">
      <c r="A2" s="3" t="s">
        <v>418</v>
      </c>
      <c r="B2">
        <f>'Ship Info'!B2</f>
        <v>0</v>
      </c>
      <c r="D2" s="3" t="s">
        <v>0</v>
      </c>
      <c r="E2" s="2">
        <f>Tech_Level</f>
        <v>12</v>
      </c>
      <c r="F2" s="10">
        <f>'Ship Info'!G2</f>
        <v>6177000</v>
      </c>
      <c r="S2" t="s">
        <v>105</v>
      </c>
      <c r="U2" s="121">
        <f>IF('3-Pwr Plant'!B11='3-Pwr Plant'!S3,1,0)</f>
        <v>0</v>
      </c>
    </row>
    <row r="3" spans="1:22" ht="15" thickBot="1" x14ac:dyDescent="0.35">
      <c r="F3" s="10"/>
      <c r="G3" s="28"/>
      <c r="H3" s="483">
        <f>S24</f>
        <v>0.13333333333333333</v>
      </c>
      <c r="I3" s="28"/>
      <c r="J3" s="28"/>
      <c r="K3" s="484">
        <f>S27</f>
        <v>0</v>
      </c>
      <c r="S3" t="s">
        <v>2567</v>
      </c>
    </row>
    <row r="4" spans="1:22" ht="15" thickBot="1" x14ac:dyDescent="0.35">
      <c r="B4" s="3" t="s">
        <v>1920</v>
      </c>
      <c r="C4" s="250" t="s">
        <v>93</v>
      </c>
      <c r="F4" s="485" t="s">
        <v>44</v>
      </c>
      <c r="H4" s="760" t="s">
        <v>45</v>
      </c>
      <c r="I4" s="760"/>
      <c r="K4" s="760" t="s">
        <v>46</v>
      </c>
      <c r="L4" s="760"/>
      <c r="S4" t="s">
        <v>2568</v>
      </c>
      <c r="U4" t="str">
        <f>B13</f>
        <v>Uninstalled</v>
      </c>
    </row>
    <row r="5" spans="1:22" ht="15" thickBot="1" x14ac:dyDescent="0.35">
      <c r="B5" s="7" t="s">
        <v>2519</v>
      </c>
      <c r="C5" s="250" t="s">
        <v>93</v>
      </c>
      <c r="F5" s="483">
        <f>SUM(F12:F47)</f>
        <v>0</v>
      </c>
      <c r="H5" s="1" t="s">
        <v>390</v>
      </c>
      <c r="I5" s="1" t="s">
        <v>27</v>
      </c>
      <c r="K5" s="1" t="s">
        <v>390</v>
      </c>
      <c r="L5" s="1" t="s">
        <v>27</v>
      </c>
      <c r="S5" t="s">
        <v>107</v>
      </c>
      <c r="U5">
        <f>500000*V5</f>
        <v>0</v>
      </c>
      <c r="V5">
        <f>IF(U4=S4,0.01*Tonnage,0)</f>
        <v>0</v>
      </c>
    </row>
    <row r="6" spans="1:22" ht="15" thickBot="1" x14ac:dyDescent="0.35">
      <c r="F6" s="10"/>
      <c r="H6" s="26">
        <f>'Ship Info'!I3</f>
        <v>92.53</v>
      </c>
      <c r="I6" s="266">
        <f>'1-Hull'!I6</f>
        <v>100</v>
      </c>
      <c r="K6" s="10">
        <f>'Ship Info'!L3</f>
        <v>0</v>
      </c>
      <c r="L6" s="266">
        <f>'3-Pwr Plant'!L6</f>
        <v>20</v>
      </c>
    </row>
    <row r="7" spans="1:22" ht="15" thickBot="1" x14ac:dyDescent="0.35">
      <c r="A7" s="5" t="s">
        <v>102</v>
      </c>
      <c r="B7" s="197" t="s">
        <v>130</v>
      </c>
      <c r="E7" s="2">
        <f>INDEX(S17:V19,MATCH(B7,S17:S19,0),4)</f>
        <v>7</v>
      </c>
      <c r="F7" s="10"/>
      <c r="I7" s="2"/>
      <c r="J7" s="2"/>
      <c r="K7" s="4"/>
      <c r="L7" s="2"/>
      <c r="M7" s="2"/>
      <c r="S7" s="3" t="s">
        <v>21</v>
      </c>
    </row>
    <row r="8" spans="1:22" ht="15" thickBot="1" x14ac:dyDescent="0.35">
      <c r="A8" s="3" t="s">
        <v>68</v>
      </c>
      <c r="B8" s="232">
        <v>0</v>
      </c>
      <c r="C8" s="3" t="s">
        <v>112</v>
      </c>
      <c r="D8" s="2" t="str">
        <f>IF(B8=0,"N/A",10*V9*B8)</f>
        <v>N/A</v>
      </c>
      <c r="F8" s="10"/>
      <c r="H8" s="326">
        <f>V9*0.025*'1-Hull'!B4*B8*'2-Drives'!AC58</f>
        <v>0</v>
      </c>
      <c r="J8" s="2"/>
      <c r="K8" s="4"/>
      <c r="L8" s="2"/>
      <c r="M8" s="2"/>
      <c r="S8" t="str">
        <f>'1-Hull'!B8</f>
        <v>Partial</v>
      </c>
    </row>
    <row r="9" spans="1:22" ht="15" thickBot="1" x14ac:dyDescent="0.35">
      <c r="A9" s="3" t="str">
        <f>T11&amp;" Available x "&amp;U11&amp;" pc"</f>
        <v>Jumps Available x 1 pc</v>
      </c>
      <c r="B9" s="197">
        <v>0</v>
      </c>
      <c r="D9" s="2"/>
      <c r="F9" s="10"/>
      <c r="H9" s="326">
        <f>IF(LEFT('2-Drives'!B29,10)="Jump Drive",'2-Drives'!U107*0.1*B9,0)*'2-Drives'!AC57</f>
        <v>0</v>
      </c>
      <c r="J9" s="2"/>
      <c r="K9" s="4"/>
      <c r="L9" s="2"/>
      <c r="M9" s="2"/>
      <c r="S9" s="3" t="s">
        <v>108</v>
      </c>
      <c r="T9" t="s">
        <v>92</v>
      </c>
      <c r="U9" t="s">
        <v>761</v>
      </c>
      <c r="V9">
        <f>MAX(U10:U13)</f>
        <v>1</v>
      </c>
    </row>
    <row r="10" spans="1:22" ht="15" thickBot="1" x14ac:dyDescent="0.35">
      <c r="A10" s="3" t="s">
        <v>63</v>
      </c>
      <c r="B10" s="7" t="s">
        <v>69</v>
      </c>
      <c r="C10" s="237">
        <v>4</v>
      </c>
      <c r="D10" s="117" t="s">
        <v>948</v>
      </c>
      <c r="F10" s="10"/>
      <c r="H10" s="10">
        <f>IF(INDEX('3-Pwr Plant'!S2:X10,MATCH('3-Pwr Plant'!B11,'3-Pwr Plant'!S2:S10,0),6)=0,0,IF(C10=0,0,IF('3-Pwr Plant'!D11=0,0,IF(U2=0,IF(OR(AND($C$4=$T$10,$C$5=$T$10),AND(Tonnage&lt;100,$C$4=$T$10)),C10*INDEX('3-Pwr Plant'!S2:X10,MATCH('3-Pwr Plant'!B11,'3-Pwr Plant'!S2:S10,0),6)/4,MAX(,1,C10*INDEX('3-Pwr Plant'!S2:X10,MATCH('3-Pwr Plant'!B11,'3-Pwr Plant'!S2:S10,0),6)/4)),C10*INDEX('3-Pwr Plant'!S2:X10,MATCH('3-Pwr Plant'!B11,'3-Pwr Plant'!S2:S10,0),6)/4))))</f>
        <v>0.13333333333333333</v>
      </c>
      <c r="I10" t="str">
        <f>IF(INDEX('3-Pwr Plant'!S2:Y10,MATCH('3-Pwr Plant'!B11,'3-Pwr Plant'!S2:S10,0),7)=0,"",INDEX('3-Pwr Plant'!S2:Y10,MATCH('3-Pwr Plant'!B11,'3-Pwr Plant'!S2:S10,0),7)&amp;" Year Lifespan, Loses "&amp;TEXT(INDEX('3-Pwr Plant'!S2:Y10,MATCH('3-Pwr Plant'!B11,'3-Pwr Plant'!S2:S10,0),2),"#,###.##")&amp;" Power Points Per Year After")</f>
        <v/>
      </c>
      <c r="J10" s="16"/>
      <c r="K10" s="4"/>
      <c r="L10" s="2"/>
      <c r="M10" s="2"/>
      <c r="S10" t="str">
        <f>'2-Drives'!B23</f>
        <v xml:space="preserve"> No Drive</v>
      </c>
      <c r="T10" t="s">
        <v>93</v>
      </c>
      <c r="U10">
        <f>IF(S10="Reaction Drive",'2-Drives'!D23,0)</f>
        <v>0</v>
      </c>
    </row>
    <row r="11" spans="1:22" ht="15" thickBot="1" x14ac:dyDescent="0.35">
      <c r="B11" s="7" t="s">
        <v>70</v>
      </c>
      <c r="C11" s="327">
        <v>0</v>
      </c>
      <c r="D11" s="2"/>
      <c r="F11" s="10"/>
      <c r="H11" s="326">
        <f>C11</f>
        <v>0</v>
      </c>
      <c r="J11" s="2"/>
      <c r="K11" s="4"/>
      <c r="L11" s="2"/>
      <c r="M11" s="2"/>
      <c r="S11" t="str">
        <f>'2-Drives'!B29</f>
        <v xml:space="preserve"> No FTL</v>
      </c>
      <c r="T11" t="str">
        <f>IF(RIGHT(S11,3)="op)","Hops",IF(RIGHT(S11,3)="ip)","Skips","Jumps"))</f>
        <v>Jumps</v>
      </c>
      <c r="U11">
        <f>IF(T11="Skips",100,IF(T11="Hops",10,1))</f>
        <v>1</v>
      </c>
    </row>
    <row r="12" spans="1:22" ht="15" thickBot="1" x14ac:dyDescent="0.35">
      <c r="B12" s="7" t="s">
        <v>91</v>
      </c>
      <c r="C12" s="251" t="s">
        <v>92</v>
      </c>
      <c r="F12" s="10" t="str">
        <f>IF(H12&gt;0,200000*H12," ")</f>
        <v xml:space="preserve"> </v>
      </c>
      <c r="H12" s="326">
        <f>IF(C12=T10,0.1*SUM(H13:H40,H8:H11),0)</f>
        <v>0</v>
      </c>
      <c r="K12" s="4"/>
      <c r="S12" t="str">
        <f>'2-Drives'!B37</f>
        <v>No High Burn Thruster</v>
      </c>
      <c r="U12">
        <f>IF(S12="High Burn Thruster",'2-Drives'!D37,0)</f>
        <v>0</v>
      </c>
    </row>
    <row r="13" spans="1:22" ht="15" thickBot="1" x14ac:dyDescent="0.35">
      <c r="A13" s="3" t="s">
        <v>103</v>
      </c>
      <c r="B13" s="666" t="s">
        <v>107</v>
      </c>
      <c r="F13" s="10">
        <f>IF(B13=S3,1000000,IF(U4=S4,U5,0))</f>
        <v>0</v>
      </c>
      <c r="H13" s="119">
        <f>V5</f>
        <v>0</v>
      </c>
      <c r="K13" s="4"/>
      <c r="S13" t="str">
        <f>'2-Drives'!B46</f>
        <v xml:space="preserve"> No Back Up Drive</v>
      </c>
      <c r="U13">
        <f>IF(S13="Reaction Drive",'2-Drives'!D46,0)</f>
        <v>0</v>
      </c>
    </row>
    <row r="14" spans="1:22" x14ac:dyDescent="0.3">
      <c r="F14" s="10"/>
      <c r="H14" s="119"/>
      <c r="K14" s="4"/>
      <c r="S14" t="s">
        <v>106</v>
      </c>
    </row>
    <row r="15" spans="1:22" ht="15" thickBot="1" x14ac:dyDescent="0.35">
      <c r="B15" s="1" t="s">
        <v>111</v>
      </c>
      <c r="C15" s="1" t="s">
        <v>110</v>
      </c>
      <c r="D15" s="1" t="s">
        <v>1553</v>
      </c>
      <c r="F15" s="10"/>
      <c r="H15" s="119"/>
      <c r="K15" s="4"/>
      <c r="S15" t="s">
        <v>129</v>
      </c>
    </row>
    <row r="16" spans="1:22" ht="15" thickBot="1" x14ac:dyDescent="0.35">
      <c r="A16" s="3" t="s">
        <v>109</v>
      </c>
      <c r="B16" s="266">
        <f>20*C16</f>
        <v>0</v>
      </c>
      <c r="C16" s="327">
        <v>0</v>
      </c>
      <c r="D16" s="326">
        <f>SUM(H9:H11)</f>
        <v>0.13333333333333333</v>
      </c>
      <c r="F16" s="10">
        <f>50000*C16</f>
        <v>0</v>
      </c>
      <c r="H16" s="326">
        <f>C16</f>
        <v>0</v>
      </c>
      <c r="K16" s="10">
        <f>C16</f>
        <v>0</v>
      </c>
    </row>
    <row r="17" spans="1:22" ht="15" customHeight="1" thickBot="1" x14ac:dyDescent="0.35">
      <c r="S17" t="s">
        <v>131</v>
      </c>
      <c r="T17">
        <v>2</v>
      </c>
      <c r="U17">
        <v>200000</v>
      </c>
      <c r="V17">
        <v>9</v>
      </c>
    </row>
    <row r="18" spans="1:22" ht="15" customHeight="1" thickBot="1" x14ac:dyDescent="0.35">
      <c r="A18" s="3" t="s">
        <v>2213</v>
      </c>
      <c r="B18" s="197" t="s">
        <v>107</v>
      </c>
      <c r="D18" s="1" t="s">
        <v>2215</v>
      </c>
      <c r="F18" s="326">
        <f>H18*250000</f>
        <v>0</v>
      </c>
      <c r="H18" s="326">
        <f>IF(B18=$S$5,0,IF(0.01*Tonnage+5&lt;10,10+C19,0.01*Tonnage+5+C19))</f>
        <v>0</v>
      </c>
      <c r="S18" t="s">
        <v>904</v>
      </c>
      <c r="T18">
        <v>0</v>
      </c>
      <c r="U18">
        <v>0</v>
      </c>
      <c r="V18">
        <v>9</v>
      </c>
    </row>
    <row r="19" spans="1:22" ht="15" customHeight="1" thickBot="1" x14ac:dyDescent="0.35">
      <c r="A19" s="3" t="str">
        <f>IF(T37=0,"","Streamlined w/ Ramscoop")</f>
        <v/>
      </c>
      <c r="B19" s="7" t="s">
        <v>2214</v>
      </c>
      <c r="C19" s="327">
        <v>0</v>
      </c>
      <c r="D19" s="2">
        <f>H18*5</f>
        <v>0</v>
      </c>
      <c r="S19" t="s">
        <v>130</v>
      </c>
      <c r="T19">
        <v>1</v>
      </c>
      <c r="U19">
        <v>0</v>
      </c>
      <c r="V19">
        <f>IF('3-Pwr Plant'!B11="Fission",4,IF('3-Pwr Plant'!B11="Chemical",5,IF('3-Pwr Plant'!B11="Fusion TL 08",6,7)))</f>
        <v>7</v>
      </c>
    </row>
    <row r="20" spans="1:22" ht="15" customHeight="1" x14ac:dyDescent="0.3"/>
    <row r="21" spans="1:22" x14ac:dyDescent="0.3">
      <c r="A21" s="312" t="s">
        <v>1533</v>
      </c>
      <c r="B21" s="45"/>
      <c r="C21" s="45"/>
      <c r="D21" s="306" t="s">
        <v>739</v>
      </c>
      <c r="F21" s="10"/>
      <c r="H21" s="119"/>
      <c r="K21" s="4"/>
      <c r="S21" t="s">
        <v>14</v>
      </c>
      <c r="T21">
        <f>IF('1-Hull'!B8="Streamlined",1,0)</f>
        <v>0</v>
      </c>
    </row>
    <row r="22" spans="1:22" ht="29.4" thickBot="1" x14ac:dyDescent="0.35">
      <c r="A22" s="307" t="s">
        <v>127</v>
      </c>
      <c r="B22" s="12" t="str">
        <f>"(Requires Cargo Bay, No Piping to Jump Drive) Cargo: "&amp;TEXT(SUM('12-Cargo'!D18,'12-Cargo'!D22,'12-Cargo'!D26),"#,###")</f>
        <v xml:space="preserve">(Requires Cargo Bay, No Piping to Jump Drive) Cargo: </v>
      </c>
      <c r="C22" s="13" t="s">
        <v>110</v>
      </c>
      <c r="D22" s="308" t="str">
        <f>IF(T30=0,"",S30)&amp;IF(T34=0,""," /"&amp;S34&amp;"/")</f>
        <v/>
      </c>
      <c r="F22" s="10"/>
      <c r="H22" s="119"/>
      <c r="K22" s="4"/>
      <c r="S22" t="s">
        <v>1225</v>
      </c>
      <c r="T22">
        <f>IF('1-Hull'!A20="None",0,1)</f>
        <v>0</v>
      </c>
    </row>
    <row r="23" spans="1:22" ht="30.75" customHeight="1" thickBot="1" x14ac:dyDescent="0.35">
      <c r="A23" s="309" t="s">
        <v>129</v>
      </c>
      <c r="B23" s="7" t="s">
        <v>132</v>
      </c>
      <c r="C23" s="232">
        <v>0</v>
      </c>
      <c r="D23" s="88" t="str">
        <f>IF(T31=0,"","//"&amp;S31&amp;"//")</f>
        <v/>
      </c>
      <c r="F23" s="10">
        <f>C23*500</f>
        <v>0</v>
      </c>
      <c r="H23" s="119"/>
      <c r="K23" s="4"/>
      <c r="S23" t="s">
        <v>386</v>
      </c>
      <c r="U23" t="s">
        <v>102</v>
      </c>
    </row>
    <row r="24" spans="1:22" x14ac:dyDescent="0.3">
      <c r="A24" s="78"/>
      <c r="D24" s="88"/>
      <c r="F24" s="10"/>
      <c r="H24" s="119"/>
      <c r="K24" s="4"/>
      <c r="S24">
        <f>SUM(H7:H47)</f>
        <v>0.13333333333333333</v>
      </c>
      <c r="U24">
        <f>SUM(H8:H11)</f>
        <v>0.13333333333333333</v>
      </c>
    </row>
    <row r="25" spans="1:22" ht="29.4" thickBot="1" x14ac:dyDescent="0.35">
      <c r="A25" s="307" t="s">
        <v>1593</v>
      </c>
      <c r="B25" s="12" t="str">
        <f>"(Requires Cargo Bay, Direct Feed to Jump Drives) Cargo: "&amp;TEXT(SUM('12-Cargo'!D18,'12-Cargo'!D22,'12-Cargo'!D26),"#,###")</f>
        <v xml:space="preserve">(Requires Cargo Bay, Direct Feed to Jump Drives) Cargo: </v>
      </c>
      <c r="C25" s="13" t="s">
        <v>110</v>
      </c>
      <c r="D25" s="310" t="str">
        <f>IF(T32=0,"",S32)&amp;IF(T34=0,""," /"&amp;S34&amp;"/")</f>
        <v/>
      </c>
      <c r="F25" s="10"/>
      <c r="H25" s="205"/>
      <c r="K25" s="4"/>
    </row>
    <row r="26" spans="1:22" ht="15" thickBot="1" x14ac:dyDescent="0.35">
      <c r="A26" s="311" t="s">
        <v>129</v>
      </c>
      <c r="B26" s="7" t="s">
        <v>133</v>
      </c>
      <c r="C26" s="232">
        <v>0</v>
      </c>
      <c r="D26" s="88" t="str">
        <f>IF(T33=0,"","//"&amp;S33&amp;"//")</f>
        <v/>
      </c>
      <c r="F26" s="10">
        <f>C26*1000</f>
        <v>0</v>
      </c>
      <c r="H26" s="205"/>
      <c r="K26" s="4"/>
      <c r="S26" t="s">
        <v>387</v>
      </c>
    </row>
    <row r="27" spans="1:22" x14ac:dyDescent="0.3">
      <c r="A27" s="444"/>
      <c r="D27" s="46"/>
      <c r="K27" s="4"/>
      <c r="S27" s="260">
        <f>SUM(K16,K32,K47)</f>
        <v>0</v>
      </c>
    </row>
    <row r="28" spans="1:22" ht="15" thickBot="1" x14ac:dyDescent="0.35">
      <c r="A28" s="235" t="s">
        <v>1534</v>
      </c>
      <c r="B28" s="1" t="s">
        <v>1590</v>
      </c>
      <c r="C28" s="1" t="s">
        <v>1592</v>
      </c>
      <c r="D28" s="46"/>
      <c r="K28" s="4"/>
    </row>
    <row r="29" spans="1:22" ht="15" thickBot="1" x14ac:dyDescent="0.35">
      <c r="A29" s="78"/>
      <c r="B29" s="232">
        <v>0</v>
      </c>
      <c r="C29" s="232">
        <v>0</v>
      </c>
      <c r="D29" s="46"/>
      <c r="F29" s="10">
        <f>B29*H29*5000</f>
        <v>0</v>
      </c>
      <c r="H29" s="10">
        <f>(B29*C29*1.05)-IF(C30=T9,0,IF(B29*C29&gt;D16,D16,B29*C29))</f>
        <v>0</v>
      </c>
      <c r="K29" s="4"/>
      <c r="S29" t="s">
        <v>739</v>
      </c>
      <c r="T29">
        <f>SUM(T30:T41)</f>
        <v>0</v>
      </c>
      <c r="U29">
        <f>SUM(U30:U34)</f>
        <v>0</v>
      </c>
    </row>
    <row r="30" spans="1:22" ht="15" customHeight="1" thickBot="1" x14ac:dyDescent="0.35">
      <c r="A30" s="78"/>
      <c r="B30" s="3" t="s">
        <v>1591</v>
      </c>
      <c r="C30" s="251" t="s">
        <v>92</v>
      </c>
      <c r="D30" s="46"/>
      <c r="F30" s="10"/>
      <c r="H30" s="205"/>
      <c r="K30" s="4"/>
      <c r="S30" t="s">
        <v>771</v>
      </c>
      <c r="T30">
        <f>IF(AND(A23=S15,C23&gt;0),1,0)</f>
        <v>0</v>
      </c>
    </row>
    <row r="31" spans="1:22" ht="15" thickBot="1" x14ac:dyDescent="0.35">
      <c r="A31" s="78"/>
      <c r="B31" t="s">
        <v>1719</v>
      </c>
      <c r="C31" s="251" t="s">
        <v>92</v>
      </c>
      <c r="D31" s="442"/>
      <c r="F31" s="10">
        <f>1000000*H31</f>
        <v>0</v>
      </c>
      <c r="G31" s="4"/>
      <c r="H31" s="10">
        <f>IF(C31=S48,0,(2.5+0.5*ROUNDUP((C29/150),0))*B29)</f>
        <v>0</v>
      </c>
      <c r="I31" s="4"/>
      <c r="J31" s="4"/>
      <c r="K31" s="4"/>
      <c r="S31" t="s">
        <v>772</v>
      </c>
      <c r="T31">
        <f>IF(C23&gt;SUM('12-Cargo'!D18,'12-Cargo'!D22,'12-Cargo'!D26),1,0)</f>
        <v>0</v>
      </c>
      <c r="U31">
        <f>T31</f>
        <v>0</v>
      </c>
    </row>
    <row r="32" spans="1:22" ht="15" thickBot="1" x14ac:dyDescent="0.35">
      <c r="A32" s="86"/>
      <c r="B32" s="446" t="s">
        <v>1720</v>
      </c>
      <c r="C32" s="251" t="s">
        <v>92</v>
      </c>
      <c r="D32" s="443"/>
      <c r="E32">
        <f>INDEX(S44:U46,MATCH(C32,S44:S46,0),2)</f>
        <v>0</v>
      </c>
      <c r="F32" s="10">
        <f>INDEX(S44:U46,MATCH(C32,S44:S46,0),3)*B29</f>
        <v>0</v>
      </c>
      <c r="G32" s="4"/>
      <c r="H32" s="10">
        <f>IF(C32=S44,0,B29)</f>
        <v>0</v>
      </c>
      <c r="I32" s="10"/>
      <c r="J32" s="10"/>
      <c r="K32" s="10">
        <f>IF(C32=S44,0,B29)</f>
        <v>0</v>
      </c>
      <c r="S32" t="s">
        <v>773</v>
      </c>
      <c r="T32">
        <f>IF(AND(A26=S15,C26&gt;0),1,0)</f>
        <v>0</v>
      </c>
    </row>
    <row r="33" spans="1:21" x14ac:dyDescent="0.3">
      <c r="C33" s="445"/>
      <c r="F33" s="10"/>
      <c r="G33" s="10"/>
      <c r="H33" s="10"/>
      <c r="I33" s="4"/>
      <c r="J33" s="4"/>
      <c r="K33" s="4"/>
      <c r="S33" t="s">
        <v>774</v>
      </c>
      <c r="T33">
        <f>IF(C26&gt;SUM('12-Cargo'!D18,'12-Cargo'!D22,'12-Cargo'!D26),1,0)</f>
        <v>0</v>
      </c>
      <c r="U33">
        <f>T33</f>
        <v>0</v>
      </c>
    </row>
    <row r="34" spans="1:21" ht="15" customHeight="1" x14ac:dyDescent="0.3">
      <c r="K34" s="4"/>
      <c r="S34" t="s">
        <v>775</v>
      </c>
      <c r="T34">
        <f>IF(C23+C26&gt;SUM('12-Cargo'!D18,'12-Cargo'!D22,'12-Cargo'!D26),1,0)</f>
        <v>0</v>
      </c>
      <c r="U34">
        <f>T34</f>
        <v>0</v>
      </c>
    </row>
    <row r="35" spans="1:21" ht="15" thickBot="1" x14ac:dyDescent="0.35">
      <c r="A35" s="3" t="s">
        <v>128</v>
      </c>
      <c r="C35" s="13" t="s">
        <v>110</v>
      </c>
      <c r="F35" s="10"/>
      <c r="H35" s="205"/>
      <c r="K35" s="4"/>
      <c r="S35" t="s">
        <v>936</v>
      </c>
      <c r="T35">
        <f>IF(C39&gt;SUM(H8:H11),1,0)</f>
        <v>0</v>
      </c>
    </row>
    <row r="36" spans="1:21" ht="15" thickBot="1" x14ac:dyDescent="0.35">
      <c r="A36" s="252" t="s">
        <v>129</v>
      </c>
      <c r="B36" s="7" t="s">
        <v>134</v>
      </c>
      <c r="C36" s="232">
        <v>0</v>
      </c>
      <c r="F36" s="10">
        <f>C36*0.004*500000</f>
        <v>0</v>
      </c>
      <c r="H36" s="326">
        <f>C36*0.004</f>
        <v>0</v>
      </c>
      <c r="K36" s="4"/>
      <c r="S36" t="s">
        <v>2181</v>
      </c>
      <c r="T36">
        <f>IF(AND(AND(INDEX('3-Pwr Plant'!S2:X10,MATCH('3-Pwr Plant'!B11,'3-Pwr Plant'!S2:S10,0),6)&gt;0,H10=0),L6&gt;0),1,0)</f>
        <v>0</v>
      </c>
    </row>
    <row r="37" spans="1:21" ht="15" customHeight="1" x14ac:dyDescent="0.3">
      <c r="A37" s="7"/>
      <c r="B37" s="394"/>
      <c r="C37" s="393"/>
      <c r="F37" s="10"/>
      <c r="H37" s="119"/>
      <c r="K37" s="4"/>
      <c r="S37" t="s">
        <v>2216</v>
      </c>
      <c r="T37">
        <f>IF(B18=S5,0,IF(T21=0,0,IF(SUM(T21:T22)=2,0,1)))</f>
        <v>0</v>
      </c>
    </row>
    <row r="38" spans="1:21" ht="15" thickBot="1" x14ac:dyDescent="0.35">
      <c r="C38" s="1" t="s">
        <v>110</v>
      </c>
      <c r="F38" s="10"/>
      <c r="H38" s="119"/>
      <c r="K38" s="4"/>
      <c r="S38" t="s">
        <v>2235</v>
      </c>
      <c r="T38">
        <f>IF(T21=0,0,IF(AND(T21=1,OR(U4=S2,U4=S4)),0,1))</f>
        <v>0</v>
      </c>
    </row>
    <row r="39" spans="1:21" ht="15" thickBot="1" x14ac:dyDescent="0.35">
      <c r="B39" t="s">
        <v>130</v>
      </c>
      <c r="C39" s="327">
        <v>0</v>
      </c>
      <c r="D39" t="str">
        <f>IF(T35=0,"","//"&amp;S35&amp;"//")</f>
        <v/>
      </c>
      <c r="F39" s="10"/>
      <c r="H39" s="119"/>
      <c r="K39" s="4"/>
      <c r="S39" t="s">
        <v>2236</v>
      </c>
      <c r="T39">
        <f>IF(T21=1,0,IF(AND(T21=0,U4=S2),1,0))</f>
        <v>0</v>
      </c>
    </row>
    <row r="40" spans="1:21" ht="15" customHeight="1" x14ac:dyDescent="0.3">
      <c r="B40" t="s">
        <v>131</v>
      </c>
      <c r="C40" s="266">
        <v>0</v>
      </c>
      <c r="F40" s="10">
        <f>200000*H40</f>
        <v>0</v>
      </c>
      <c r="H40" s="326">
        <f>C40</f>
        <v>0</v>
      </c>
      <c r="K40" s="4"/>
      <c r="S40" t="s">
        <v>2389</v>
      </c>
      <c r="T40">
        <f>U56</f>
        <v>0</v>
      </c>
    </row>
    <row r="41" spans="1:21" ht="15" customHeight="1" x14ac:dyDescent="0.3">
      <c r="F41" s="10"/>
      <c r="K41" s="4"/>
    </row>
    <row r="42" spans="1:21" ht="15" customHeight="1" x14ac:dyDescent="0.3">
      <c r="A42" s="552" t="s">
        <v>95</v>
      </c>
      <c r="B42" s="822" t="s">
        <v>902</v>
      </c>
      <c r="C42" s="822"/>
      <c r="D42" s="822"/>
      <c r="F42" s="10"/>
      <c r="S42" t="str">
        <f>SUM(H8:H11)&amp;" tons"&amp;", "&amp;C10&amp;" Weeks"&amp;IF(B9=0,"",", "&amp;B9&amp;" ")&amp;T11&amp;IF(B8=0,"",", "&amp;B8&amp;" "&amp;A8)&amp;IF(B7=S17,", "&amp;S17,IF(B7=S18,", "&amp;C39&amp;"/"&amp;C40&amp;" tons Standard/Metal Hydride Tanks",""))&amp;IF(C12=T9,"",", Armored")&amp;IF(C16=0,"",", "&amp;C16&amp;" tons "&amp;A16)&amp;IF(A23=S15,"",", "&amp;C23&amp;" tons "&amp;A22)&amp;IF(A26=S15,"",", "&amp;C26&amp;" tons "&amp;A25)&amp;IF(A36=S15,"",", "&amp;C36&amp;" tons "&amp;A35)&amp;IF(F29&gt;0,", "&amp;B29&amp;" x "&amp;C29&amp;" Tons "&amp;A28,"")</f>
        <v>0.133333333333333 tons, 4 WeeksJumps</v>
      </c>
    </row>
    <row r="43" spans="1:21" x14ac:dyDescent="0.3">
      <c r="A43" s="552"/>
      <c r="B43" t="s">
        <v>903</v>
      </c>
      <c r="F43" s="10"/>
      <c r="S43" s="52" t="s">
        <v>1721</v>
      </c>
    </row>
    <row r="44" spans="1:21" x14ac:dyDescent="0.3">
      <c r="S44" t="s">
        <v>92</v>
      </c>
      <c r="T44">
        <v>0</v>
      </c>
      <c r="U44">
        <v>0</v>
      </c>
    </row>
    <row r="45" spans="1:21" ht="18" x14ac:dyDescent="0.35">
      <c r="B45" s="565" t="s">
        <v>2359</v>
      </c>
      <c r="S45" t="str">
        <f>IF(H29&gt;0,"Standard","No")</f>
        <v>No</v>
      </c>
      <c r="T45">
        <v>7</v>
      </c>
      <c r="U45">
        <v>3000</v>
      </c>
    </row>
    <row r="46" spans="1:21" ht="15" thickBot="1" x14ac:dyDescent="0.35">
      <c r="A46" s="738" t="s">
        <v>1597</v>
      </c>
      <c r="B46" s="738"/>
      <c r="C46" s="1" t="s">
        <v>110</v>
      </c>
      <c r="D46" s="1" t="s">
        <v>2360</v>
      </c>
      <c r="S46" t="str">
        <f>IF(H29&gt;0,"Advanced","No")</f>
        <v>No</v>
      </c>
      <c r="T46">
        <v>12</v>
      </c>
      <c r="U46">
        <v>10000</v>
      </c>
    </row>
    <row r="47" spans="1:21" ht="15" thickBot="1" x14ac:dyDescent="0.35">
      <c r="B47" s="197"/>
      <c r="C47" s="197">
        <v>0</v>
      </c>
      <c r="D47" s="197" t="s">
        <v>553</v>
      </c>
      <c r="F47" s="10">
        <f>IF(D47=S53,C51+(C47*B51),0)</f>
        <v>0</v>
      </c>
      <c r="H47" s="4">
        <f>IF(D47=S53,C49+(C47*B49),0)</f>
        <v>0</v>
      </c>
      <c r="K47" s="4">
        <f>D49+(D51*C47)</f>
        <v>0</v>
      </c>
    </row>
    <row r="48" spans="1:21" ht="15" thickBot="1" x14ac:dyDescent="0.35">
      <c r="B48" s="3" t="s">
        <v>2379</v>
      </c>
      <c r="C48" s="3" t="s">
        <v>2381</v>
      </c>
      <c r="D48" s="1" t="s">
        <v>54</v>
      </c>
      <c r="S48" t="s">
        <v>92</v>
      </c>
    </row>
    <row r="49" spans="1:21" ht="15" thickBot="1" x14ac:dyDescent="0.35">
      <c r="B49" s="197">
        <v>1</v>
      </c>
      <c r="C49" s="197">
        <v>0</v>
      </c>
      <c r="D49" s="197">
        <v>0</v>
      </c>
      <c r="S49" t="str">
        <f>IF(H29&gt;0,"Yes","No")</f>
        <v>No</v>
      </c>
    </row>
    <row r="50" spans="1:21" ht="15" thickBot="1" x14ac:dyDescent="0.35">
      <c r="B50" s="3" t="s">
        <v>2382</v>
      </c>
      <c r="C50" s="3" t="s">
        <v>2378</v>
      </c>
      <c r="D50" s="1" t="s">
        <v>2384</v>
      </c>
    </row>
    <row r="51" spans="1:21" ht="15" thickBot="1" x14ac:dyDescent="0.35">
      <c r="B51" s="197">
        <v>0</v>
      </c>
      <c r="C51" s="197">
        <v>0</v>
      </c>
      <c r="D51" s="197">
        <v>0</v>
      </c>
    </row>
    <row r="52" spans="1:21" x14ac:dyDescent="0.3">
      <c r="B52" s="595" t="s">
        <v>2385</v>
      </c>
      <c r="C52" s="598">
        <f>SUM('12-Cargo'!H18,'12-Cargo'!H22,'12-Cargo'!H26,'12-Cargo'!H32)</f>
        <v>0</v>
      </c>
      <c r="D52" s="596" t="s">
        <v>2387</v>
      </c>
      <c r="S52" t="s">
        <v>2360</v>
      </c>
    </row>
    <row r="53" spans="1:21" x14ac:dyDescent="0.3">
      <c r="B53" s="597" t="s">
        <v>2386</v>
      </c>
      <c r="C53" s="599">
        <f>SUM('12-Cargo'!D11:D13)</f>
        <v>0</v>
      </c>
      <c r="D53" s="580" t="s">
        <v>2388</v>
      </c>
      <c r="S53" t="s">
        <v>553</v>
      </c>
      <c r="T53">
        <f>Tonnage</f>
        <v>100</v>
      </c>
      <c r="U53">
        <f>IF(AND($D$47=S53,$C$47&gt;T53),1,0)</f>
        <v>0</v>
      </c>
    </row>
    <row r="54" spans="1:21" x14ac:dyDescent="0.3">
      <c r="S54" t="s">
        <v>2361</v>
      </c>
      <c r="T54" s="4">
        <f>C52</f>
        <v>0</v>
      </c>
      <c r="U54">
        <f>IF(AND($D$47=S54,$C$47&gt;T54),1,0)</f>
        <v>0</v>
      </c>
    </row>
    <row r="55" spans="1:21" x14ac:dyDescent="0.3">
      <c r="A55" t="str">
        <f>"-This section allows you to make a custom/non-standard Fuel Storage system, or to introduce"</f>
        <v>-This section allows you to make a custom/non-standard Fuel Storage system, or to introduce</v>
      </c>
      <c r="S55" t="s">
        <v>2362</v>
      </c>
      <c r="T55" s="4">
        <f>C53</f>
        <v>0</v>
      </c>
      <c r="U55">
        <f t="shared" ref="U55" si="0">IF(AND($D$47=S55,$C$47&gt;T55),1,0)</f>
        <v>0</v>
      </c>
    </row>
    <row r="56" spans="1:21" x14ac:dyDescent="0.3">
      <c r="A56" t="s">
        <v>2380</v>
      </c>
      <c r="U56">
        <f>SUM(U53:U55)</f>
        <v>0</v>
      </c>
    </row>
    <row r="57" spans="1:21" x14ac:dyDescent="0.3">
      <c r="A57" t="str">
        <f>"-Cost/Usage per ton of fuel is added to flat cost/use. This is for a set connector size/cost"</f>
        <v>-Cost/Usage per ton of fuel is added to flat cost/use. This is for a set connector size/cost</v>
      </c>
    </row>
    <row r="58" spans="1:21" x14ac:dyDescent="0.3">
      <c r="A58" t="s">
        <v>2383</v>
      </c>
    </row>
  </sheetData>
  <sheetProtection algorithmName="SHA-512" hashValue="ZqGFexaI41vw3awWT3u67VhCVEFDqruJKhZMQwouT71ozbFn9AAR/kw+nKaN9XXZQ4OjACYpn4rwfRbSq1Apig==" saltValue="xJybGKcvdNZM+mvrDHOW3g==" spinCount="100000" sheet="1" selectLockedCells="1"/>
  <mergeCells count="4">
    <mergeCell ref="H4:I4"/>
    <mergeCell ref="K4:L4"/>
    <mergeCell ref="B42:D42"/>
    <mergeCell ref="A46:B46"/>
  </mergeCells>
  <conditionalFormatting sqref="A23">
    <cfRule type="cellIs" dxfId="683" priority="2975" operator="equal">
      <formula>$S$15</formula>
    </cfRule>
  </conditionalFormatting>
  <conditionalFormatting sqref="A36">
    <cfRule type="cellIs" dxfId="681" priority="2976" operator="equal">
      <formula>$S$15</formula>
    </cfRule>
  </conditionalFormatting>
  <conditionalFormatting sqref="A5:B5">
    <cfRule type="expression" dxfId="680" priority="3">
      <formula>$C$5="Yes"</formula>
    </cfRule>
  </conditionalFormatting>
  <conditionalFormatting sqref="A18:B18">
    <cfRule type="expression" dxfId="679" priority="10">
      <formula>$B$18=$S$3</formula>
    </cfRule>
  </conditionalFormatting>
  <conditionalFormatting sqref="A18:D19">
    <cfRule type="expression" dxfId="677" priority="2978">
      <formula>$T$37=1</formula>
    </cfRule>
  </conditionalFormatting>
  <conditionalFormatting sqref="B8">
    <cfRule type="expression" dxfId="676" priority="2979">
      <formula>AND($S$10="Manoeuvre Drive",$S$12&lt;&gt;"High Burn Thruster",$S$13&lt;&gt;"Reaction Drive")</formula>
    </cfRule>
  </conditionalFormatting>
  <conditionalFormatting sqref="B9">
    <cfRule type="expression" dxfId="675" priority="2980">
      <formula>LEFT($S$11,10)&lt;&gt;"Jump Drive"</formula>
    </cfRule>
  </conditionalFormatting>
  <conditionalFormatting sqref="B13">
    <cfRule type="expression" dxfId="674" priority="1">
      <formula>$T$39&lt;&gt;0</formula>
    </cfRule>
    <cfRule type="expression" dxfId="673" priority="2">
      <formula>$T$38&lt;&gt;0</formula>
    </cfRule>
  </conditionalFormatting>
  <conditionalFormatting sqref="B52:C52">
    <cfRule type="expression" dxfId="668" priority="8">
      <formula>$U$54&gt;0</formula>
    </cfRule>
  </conditionalFormatting>
  <conditionalFormatting sqref="B53:C53">
    <cfRule type="expression" dxfId="667" priority="2988">
      <formula>$U$55&gt;0</formula>
    </cfRule>
  </conditionalFormatting>
  <conditionalFormatting sqref="B47:D47">
    <cfRule type="expression" dxfId="666" priority="2989">
      <formula>$U$56&gt;0</formula>
    </cfRule>
  </conditionalFormatting>
  <conditionalFormatting sqref="C4:C5">
    <cfRule type="cellIs" dxfId="665" priority="2990" operator="equal">
      <formula>$T$9</formula>
    </cfRule>
  </conditionalFormatting>
  <conditionalFormatting sqref="C10 H10">
    <cfRule type="expression" dxfId="664" priority="2992">
      <formula>$I$10&lt;&gt;""</formula>
    </cfRule>
    <cfRule type="expression" dxfId="663" priority="2991">
      <formula>$T$41=1</formula>
    </cfRule>
  </conditionalFormatting>
  <conditionalFormatting sqref="C11">
    <cfRule type="cellIs" dxfId="662" priority="25" operator="equal">
      <formula>0</formula>
    </cfRule>
  </conditionalFormatting>
  <conditionalFormatting sqref="C12">
    <cfRule type="cellIs" dxfId="661" priority="2995" operator="equal">
      <formula>$T$9</formula>
    </cfRule>
  </conditionalFormatting>
  <conditionalFormatting sqref="C16">
    <cfRule type="cellIs" dxfId="660" priority="29" operator="equal">
      <formula>0</formula>
    </cfRule>
  </conditionalFormatting>
  <conditionalFormatting sqref="C19">
    <cfRule type="cellIs" dxfId="659" priority="11" operator="equal">
      <formula>0</formula>
    </cfRule>
  </conditionalFormatting>
  <conditionalFormatting sqref="C23">
    <cfRule type="expression" dxfId="658" priority="2996" stopIfTrue="1">
      <formula>AND($A$23=$S$15,$C$23&gt;0)</formula>
    </cfRule>
    <cfRule type="expression" dxfId="657" priority="2997">
      <formula>$A$23=$S$15</formula>
    </cfRule>
  </conditionalFormatting>
  <conditionalFormatting sqref="C26">
    <cfRule type="expression" dxfId="656" priority="2998" stopIfTrue="1">
      <formula>AND($A$26=$S$15,$C$26&gt;0)</formula>
    </cfRule>
    <cfRule type="expression" dxfId="655" priority="2999">
      <formula>$A$26=$S$15</formula>
    </cfRule>
  </conditionalFormatting>
  <conditionalFormatting sqref="C29">
    <cfRule type="expression" dxfId="654" priority="23">
      <formula>$B$29=0</formula>
    </cfRule>
    <cfRule type="expression" dxfId="653" priority="22">
      <formula>AND($B$29=0,$C$29&gt;0)</formula>
    </cfRule>
  </conditionalFormatting>
  <conditionalFormatting sqref="C30:C32">
    <cfRule type="expression" dxfId="652" priority="3000">
      <formula>AND($H$29=0,$C30&lt;&gt;"No")</formula>
    </cfRule>
    <cfRule type="cellIs" dxfId="651" priority="3001" operator="equal">
      <formula>$T$9</formula>
    </cfRule>
  </conditionalFormatting>
  <conditionalFormatting sqref="C36">
    <cfRule type="expression" dxfId="650" priority="3002" stopIfTrue="1">
      <formula>AND($A$36=$S$15,$C$36&gt;0)</formula>
    </cfRule>
    <cfRule type="expression" dxfId="649" priority="3003">
      <formula>$A$36=$S$15</formula>
    </cfRule>
  </conditionalFormatting>
  <conditionalFormatting sqref="C39">
    <cfRule type="expression" dxfId="648" priority="31">
      <formula>$C$39&gt;SUM($H$8:$H$11)</formula>
    </cfRule>
    <cfRule type="cellIs" dxfId="647" priority="28" operator="equal">
      <formula>0</formula>
    </cfRule>
  </conditionalFormatting>
  <conditionalFormatting sqref="D8">
    <cfRule type="expression" dxfId="646" priority="3004">
      <formula>AND($D$8&lt;&gt;"N/A",$S$10="Manoeuvre Drive",$S$12&lt;&gt;"High Burn Thruster",$S$13&lt;&gt;"Reaction Drive",$D$8&gt;0)</formula>
    </cfRule>
  </conditionalFormatting>
  <conditionalFormatting sqref="D21">
    <cfRule type="expression" dxfId="645" priority="3005">
      <formula>$T$29&gt;0</formula>
    </cfRule>
    <cfRule type="expression" dxfId="644" priority="3006">
      <formula>$T$29=0</formula>
    </cfRule>
  </conditionalFormatting>
  <conditionalFormatting sqref="E7">
    <cfRule type="expression" dxfId="642" priority="161">
      <formula>$E$7&gt;$E$2</formula>
    </cfRule>
  </conditionalFormatting>
  <conditionalFormatting sqref="H6">
    <cfRule type="expression" dxfId="641" priority="49">
      <formula>$H$6&lt;0</formula>
    </cfRule>
  </conditionalFormatting>
  <conditionalFormatting sqref="K6">
    <cfRule type="expression" dxfId="640" priority="48">
      <formula>$K$6&lt;0</formula>
    </cfRule>
  </conditionalFormatting>
  <dataValidations count="18">
    <dataValidation type="decimal" allowBlank="1" showInputMessage="1" showErrorMessage="1" sqref="C11" xr:uid="{AFE8D20F-7AFC-4E64-96D7-AF7FE8B504BF}">
      <formula1>0</formula1>
      <formula2>Tonnage</formula2>
    </dataValidation>
    <dataValidation type="decimal" operator="greaterThanOrEqual" allowBlank="1" showInputMessage="1" showErrorMessage="1" sqref="B51:D51 C47 C49:D49 C10" xr:uid="{EA9CADC9-6A9D-4AAA-92D3-D42D9DAC7101}">
      <formula1>0</formula1>
    </dataValidation>
    <dataValidation type="decimal" allowBlank="1" showInputMessage="1" showErrorMessage="1" sqref="B8" xr:uid="{81124385-8250-4E46-933B-EE93E0D83D4C}">
      <formula1>0</formula1>
      <formula2>I6</formula2>
    </dataValidation>
    <dataValidation type="whole" allowBlank="1" showInputMessage="1" showErrorMessage="1" sqref="B9" xr:uid="{A9A46466-E807-417D-8B72-443B43BAE813}">
      <formula1>0</formula1>
      <formula2>9</formula2>
    </dataValidation>
    <dataValidation type="decimal" allowBlank="1" showInputMessage="1" showErrorMessage="1" prompt="Enter size of processor_x000a__x000a_0 if uninstalled" sqref="C16" xr:uid="{3148150D-5BE4-452A-98E6-B22094796DCD}">
      <formula1>0</formula1>
      <formula2>I6</formula2>
    </dataValidation>
    <dataValidation type="decimal" allowBlank="1" showInputMessage="1" showErrorMessage="1" prompt="Enter size of processor_x000a__x000a_0 if uninstalled" sqref="C19" xr:uid="{7C7F124C-8608-4770-BE8A-D2E9BFC87344}">
      <formula1>0</formula1>
      <formula2>I6</formula2>
    </dataValidation>
    <dataValidation type="decimal" operator="greaterThanOrEqual" allowBlank="1" showInputMessage="1" showErrorMessage="1" prompt="Minimum of 1._x000a_You cannot stuff 10 kg's of potatoes into a 5 kg bag." sqref="B49" xr:uid="{B09C7EFB-2A1E-4AFF-9C02-ED6AB823D8BD}">
      <formula1>1</formula1>
    </dataValidation>
    <dataValidation type="list" allowBlank="1" showInputMessage="1" showErrorMessage="1" sqref="A23 A36 A26" xr:uid="{FA140EF7-8664-463C-A89B-BC94A3B0C677}">
      <formula1>$S$14:$S$15</formula1>
    </dataValidation>
    <dataValidation type="list" allowBlank="1" showInputMessage="1" showErrorMessage="1" sqref="C12 C4" xr:uid="{8E284336-70EB-401C-8FBC-08C4F968C0EC}">
      <formula1>$T$9:$T$10</formula1>
    </dataValidation>
    <dataValidation type="list" allowBlank="1" showInputMessage="1" showErrorMessage="1" sqref="B7" xr:uid="{74C75DA8-8456-4A30-AFC9-FD852F442C0E}">
      <formula1>$S$17:$S$19</formula1>
    </dataValidation>
    <dataValidation type="decimal" allowBlank="1" showInputMessage="1" showErrorMessage="1" sqref="C39" xr:uid="{0BAA11A5-F0D6-402A-842B-9E2E0E631F02}">
      <formula1>0</formula1>
      <formula2>U24</formula2>
    </dataValidation>
    <dataValidation type="list" allowBlank="1" showInputMessage="1" showErrorMessage="1" sqref="B37" xr:uid="{6DF820A2-7F06-47CA-8DE0-18C9EBD0B8E6}">
      <formula1>$S$45:$S$46</formula1>
    </dataValidation>
    <dataValidation type="list" allowBlank="1" showInputMessage="1" showErrorMessage="1" sqref="C32" xr:uid="{B672A0CA-5F44-434F-A98A-63FE88258F73}">
      <formula1>$S$44:$S$46</formula1>
    </dataValidation>
    <dataValidation type="list" allowBlank="1" showInputMessage="1" showErrorMessage="1" sqref="C33 C30:C31" xr:uid="{3B19A760-6D9E-4404-AB64-D2A4B7C17BCC}">
      <formula1>$S$48:$S$49</formula1>
    </dataValidation>
    <dataValidation type="list" allowBlank="1" showInputMessage="1" showErrorMessage="1" sqref="D47" xr:uid="{A7BD3602-3D5B-45D4-B47C-E7871FE68B86}">
      <formula1>$S$53:$S$55</formula1>
    </dataValidation>
    <dataValidation type="list" allowBlank="1" showInputMessage="1" showErrorMessage="1" prompt="Note: Will not apply unless the Small Craft Catalog Fuel Rule is also Active" sqref="C5" xr:uid="{0C0CEEE9-AE6D-495E-840F-F7688AE72198}">
      <formula1>$T$9:$T$10</formula1>
    </dataValidation>
    <dataValidation type="list" allowBlank="1" showInputMessage="1" showErrorMessage="1" prompt="Select Fuel Scoop status._x000a_Streamlined ships include fuel scoops at no cost." sqref="B13" xr:uid="{AD018BBD-410A-4339-98D3-9E41F2818473}">
      <formula1>$S$2:$S$5</formula1>
    </dataValidation>
    <dataValidation type="list" allowBlank="1" showInputMessage="1" showErrorMessage="1" prompt="Select Fuel Scoop status._x000a_Streamlined ships include fuel scoops at no cost." sqref="B18" xr:uid="{0A05D616-04C5-44F6-B25C-F214BF7A9A9F}">
      <formula1>$S$3:$S$5</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41" id="{F02FA5A7-652E-4DC0-BF0B-B64CCAE3F0AB}">
            <xm:f>SUM('12-Cargo'!$D$18,'12-Cargo'!$D$22,'12-Cargo'!$D$26)=0</xm:f>
            <x14:dxf>
              <fill>
                <patternFill>
                  <bgColor theme="0" tint="-0.499984740745262"/>
                </patternFill>
              </fill>
            </x14:dxf>
          </x14:cfRule>
          <xm:sqref>A26</xm:sqref>
        </x14:conditionalFormatting>
        <x14:conditionalFormatting xmlns:xm="http://schemas.microsoft.com/office/excel/2006/main">
          <x14:cfRule type="expression" priority="42" stopIfTrue="1" id="{B1AEE7C1-8BDB-4AB0-B437-A8EB58395B95}">
            <xm:f>$C$26&gt;SUM('12-Cargo'!$D$18,'12-Cargo'!$D$22,'12-Cargo'!$D$26)</xm:f>
            <x14:dxf>
              <fill>
                <patternFill>
                  <bgColor rgb="FFFF0000"/>
                </patternFill>
              </fill>
            </x14:dxf>
          </x14:cfRule>
          <xm:sqref>A25:C26</xm:sqref>
        </x14:conditionalFormatting>
        <x14:conditionalFormatting xmlns:xm="http://schemas.microsoft.com/office/excel/2006/main">
          <x14:cfRule type="expression" priority="2984" id="{B79A3AA2-B75A-467A-961E-0DF20052FD5C}">
            <xm:f>AND($A$23=$S$14,SUM('12-Cargo'!$D$18,'12-Cargo'!$D$21,'12-Cargo'!$D$26)&gt;0)</xm:f>
            <x14:dxf>
              <fill>
                <patternFill>
                  <bgColor theme="9" tint="0.59996337778862885"/>
                </patternFill>
              </fill>
            </x14:dxf>
          </x14:cfRule>
          <x14:cfRule type="expression" priority="2983" id="{0BBECAFE-B293-4AA3-A8A1-B058FB5F3503}">
            <xm:f>AND($A$23=$S$14,SUM('12-Cargo'!$D$18,'12-Cargo'!$D$22,'12-Cargo'!$D$26)=0)</xm:f>
            <x14:dxf>
              <fill>
                <patternFill>
                  <bgColor rgb="FFFFFF00"/>
                </patternFill>
              </fill>
            </x14:dxf>
          </x14:cfRule>
          <xm:sqref>B22</xm:sqref>
        </x14:conditionalFormatting>
        <x14:conditionalFormatting xmlns:xm="http://schemas.microsoft.com/office/excel/2006/main">
          <x14:cfRule type="expression" priority="2986" id="{8A11A38C-427B-43FE-A1C8-EE34658FDA5C}">
            <xm:f>AND($A$26=$S$14,SUM('12-Cargo'!$D$18,'12-Cargo'!$D$21,'12-Cargo'!$D$26)&gt;0)</xm:f>
            <x14:dxf>
              <fill>
                <patternFill>
                  <bgColor theme="9" tint="0.59996337778862885"/>
                </patternFill>
              </fill>
            </x14:dxf>
          </x14:cfRule>
          <x14:cfRule type="expression" priority="2985" id="{C11935BF-D3AE-4537-B587-9157F37478D2}">
            <xm:f>AND($A$26=$S$14,SUM('12-Cargo'!$D$18,'12-Cargo'!$D$22,'12-Cargo'!$D$26)=0)</xm:f>
            <x14:dxf>
              <fill>
                <patternFill>
                  <bgColor rgb="FFFFFF00"/>
                </patternFill>
              </fill>
            </x14:dxf>
          </x14:cfRule>
          <xm:sqref>B25</xm:sqref>
        </x14:conditionalFormatting>
        <x14:conditionalFormatting xmlns:xm="http://schemas.microsoft.com/office/excel/2006/main">
          <x14:cfRule type="expression" priority="2619" id="{E8D8E2D7-26FB-4A38-91FB-B5F3C6128DFE}">
            <xm:f>AND('3-Pwr Plant'!$B$11&lt;&gt;'3-Pwr Plant'!$S$3,$C$10&lt;4,OR($C$4="No",AND($C$4="Yes",Tonnage&gt;99.999)))</xm:f>
            <x14:dxf>
              <font>
                <color auto="1"/>
              </font>
              <fill>
                <patternFill>
                  <bgColor rgb="FFFFFF00"/>
                </patternFill>
              </fill>
            </x14:dxf>
          </x14:cfRule>
          <xm:sqref>D10:E10</xm:sqref>
        </x14:conditionalFormatting>
      </x14:conditionalFormattings>
    </ext>
    <ext xmlns:x14="http://schemas.microsoft.com/office/spreadsheetml/2009/9/main" uri="{CCE6A557-97BC-4b89-ADB6-D9C93CAAB3DF}">
      <x14:dataValidations xmlns:xm="http://schemas.microsoft.com/office/excel/2006/main" count="2">
        <x14:dataValidation type="whole" allowBlank="1" showInputMessage="1" showErrorMessage="1" xr:uid="{1F9C74BB-16C6-4E3E-9585-07FF3B9A670A}">
          <x14:formula1>
            <xm:f>0</xm:f>
          </x14:formula1>
          <x14:formula2>
            <xm:f>'1-Hull'!B4</xm:f>
          </x14:formula2>
          <xm:sqref>B29</xm:sqref>
        </x14:dataValidation>
        <x14:dataValidation type="decimal" allowBlank="1" showInputMessage="1" showErrorMessage="1" xr:uid="{AFD9341E-9322-4C8B-838E-4AA397CE4929}">
          <x14:formula1>
            <xm:f>0</xm:f>
          </x14:formula1>
          <x14:formula2>
            <xm:f>'1-Hull'!B4/1.05</xm:f>
          </x14:formula2>
          <xm:sqref>C29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28D5-C238-4210-B9A2-3C2CA09A39A4}">
  <dimension ref="A1:AH61"/>
  <sheetViews>
    <sheetView workbookViewId="0">
      <selection activeCell="A9" sqref="A9"/>
    </sheetView>
  </sheetViews>
  <sheetFormatPr defaultRowHeight="14.4" x14ac:dyDescent="0.3"/>
  <cols>
    <col min="1" max="1" width="26" customWidth="1"/>
    <col min="2" max="2" width="32.109375" customWidth="1"/>
    <col min="3" max="3" width="13.44140625" customWidth="1"/>
    <col min="4" max="4" width="17.109375" customWidth="1"/>
    <col min="5" max="5" width="3.6640625" customWidth="1"/>
    <col min="6" max="6" width="18" customWidth="1"/>
    <col min="8" max="8" width="11.88671875" customWidth="1"/>
    <col min="9" max="9" width="10" customWidth="1"/>
    <col min="11" max="11" width="10" customWidth="1"/>
    <col min="18" max="18" width="9.109375" customWidth="1"/>
    <col min="19" max="19" width="18.109375" hidden="1" customWidth="1"/>
    <col min="20" max="20" width="9.109375" hidden="1" customWidth="1"/>
    <col min="21" max="21" width="14.109375" hidden="1" customWidth="1"/>
    <col min="22" max="34" width="9.109375" hidden="1" customWidth="1"/>
    <col min="35" max="35" width="9.109375" customWidth="1"/>
  </cols>
  <sheetData>
    <row r="1" spans="1:34" x14ac:dyDescent="0.3">
      <c r="A1" s="3" t="str">
        <f>'Ship Info'!A1</f>
        <v>Ship's Class Name</v>
      </c>
      <c r="B1">
        <f>'Ship Info'!B1</f>
        <v>0</v>
      </c>
      <c r="D1" s="2"/>
      <c r="E1" s="2"/>
      <c r="F1" s="6" t="s">
        <v>1</v>
      </c>
      <c r="S1" t="s">
        <v>71</v>
      </c>
      <c r="T1" t="s">
        <v>2</v>
      </c>
      <c r="U1" t="s">
        <v>1</v>
      </c>
      <c r="V1" t="s">
        <v>73</v>
      </c>
      <c r="AB1" s="2"/>
      <c r="AC1" s="2"/>
      <c r="AD1" s="2"/>
      <c r="AE1" s="2"/>
      <c r="AF1" s="2"/>
      <c r="AG1" s="2"/>
      <c r="AH1" s="9" t="s">
        <v>2528</v>
      </c>
    </row>
    <row r="2" spans="1:34" x14ac:dyDescent="0.3">
      <c r="A2" s="3" t="s">
        <v>418</v>
      </c>
      <c r="B2">
        <f>'Ship Info'!B2</f>
        <v>0</v>
      </c>
      <c r="D2" t="s">
        <v>0</v>
      </c>
      <c r="E2" s="2">
        <f>Tech_Level</f>
        <v>12</v>
      </c>
      <c r="F2" s="4">
        <f>'Ship Info'!G2</f>
        <v>6177000</v>
      </c>
      <c r="S2" t="str">
        <f>IF('Ship Info'!E6&lt;&gt;"Ship","No Bridge",IF('10-Crew'!J36&gt;='5-Bridge'!T22,"Drone Ship","No Bridge"))</f>
        <v>No Bridge</v>
      </c>
      <c r="T2">
        <v>0</v>
      </c>
      <c r="U2">
        <v>0</v>
      </c>
      <c r="W2" t="str">
        <f>IF('Ship Info'!E6&lt;&gt;"Ship","No Bridge",IF('10-Crew'!J36&gt;='5-Bridge'!T22,"Drone Ship","No Bridge"))</f>
        <v>No Bridge</v>
      </c>
    </row>
    <row r="3" spans="1:34" x14ac:dyDescent="0.3">
      <c r="D3" s="2"/>
      <c r="E3" s="2"/>
      <c r="G3" s="79"/>
      <c r="H3" s="483">
        <f>S20</f>
        <v>6</v>
      </c>
      <c r="S3" t="str">
        <f>IF('Ship Info'!F6,"Command Center (Mil)","")</f>
        <v/>
      </c>
      <c r="T3">
        <f>IF('Ship Info'!F5,0,T4)</f>
        <v>0</v>
      </c>
      <c r="U3">
        <f>200000*ROUNDUP(Tonnage/100,0)</f>
        <v>200000</v>
      </c>
      <c r="W3" t="str">
        <f>IF('Ship Info'!F6,"DM+1 to all Tactics (naval) checks","Error, Wrong selection for type")</f>
        <v>Error, Wrong selection for type</v>
      </c>
    </row>
    <row r="4" spans="1:34" x14ac:dyDescent="0.3">
      <c r="A4" t="s">
        <v>2</v>
      </c>
      <c r="B4" s="260">
        <f>'1-Hull'!B4</f>
        <v>100</v>
      </c>
      <c r="D4" s="2"/>
      <c r="E4" s="2"/>
      <c r="F4" s="481" t="s">
        <v>44</v>
      </c>
      <c r="H4" s="760" t="s">
        <v>45</v>
      </c>
      <c r="I4" s="760"/>
      <c r="K4" s="760" t="s">
        <v>46</v>
      </c>
      <c r="L4" s="760"/>
      <c r="S4" t="str">
        <f>IF('Ship Info'!F6,"Control Center","")</f>
        <v/>
      </c>
      <c r="T4">
        <f>IF('Ship Info'!F5,0,IF(Tonnage&gt;2500000,100,IF(Tonnage&gt;100000,80,IF(Tonnage&gt;20000,60,IF(Tonnage&gt;5000,40,IF(Tonnage&gt;500,20,10))))))</f>
        <v>0</v>
      </c>
      <c r="U4">
        <f>100000*ROUNDUP(Tonnage/100,0)</f>
        <v>100000</v>
      </c>
      <c r="W4" t="str">
        <f>IF('Ship Info'!F6,"No Modifiers","Error, Wrong selection for type")</f>
        <v>Error, Wrong selection for type</v>
      </c>
    </row>
    <row r="5" spans="1:34" x14ac:dyDescent="0.3">
      <c r="F5" s="482">
        <f>SUM(F9:F30)</f>
        <v>500000</v>
      </c>
      <c r="H5" s="1" t="s">
        <v>390</v>
      </c>
      <c r="I5" s="1" t="s">
        <v>27</v>
      </c>
      <c r="K5" s="1" t="s">
        <v>390</v>
      </c>
      <c r="L5" s="1" t="s">
        <v>27</v>
      </c>
      <c r="S5" t="str">
        <f>IF('Ship Info'!F5,"Cockpit","")</f>
        <v>Cockpit</v>
      </c>
      <c r="T5">
        <f>IF('Ship Info'!F6,0,1.5)</f>
        <v>1.5</v>
      </c>
      <c r="U5">
        <v>10000</v>
      </c>
      <c r="W5" t="str">
        <f>IF('Ship Info'!F5,"24 hours of Life Support","Error, Wrong selection for type")</f>
        <v>24 hours of Life Support</v>
      </c>
      <c r="AA5" t="s">
        <v>82</v>
      </c>
      <c r="AB5" s="2"/>
      <c r="AC5" s="2"/>
      <c r="AD5" s="2"/>
      <c r="AE5" s="2"/>
      <c r="AF5" s="2"/>
      <c r="AG5" s="2"/>
    </row>
    <row r="6" spans="1:34" x14ac:dyDescent="0.3">
      <c r="A6" s="825" t="str">
        <f>"This ship requires "&amp;T22-'10-Crew'!J36&amp;" additional Virtual Crew to be a Drone Ship"</f>
        <v>This ship requires 2 additional Virtual Crew to be a Drone Ship</v>
      </c>
      <c r="B6" s="825"/>
      <c r="H6" s="10">
        <f>'Ship Info'!I3</f>
        <v>92.53</v>
      </c>
      <c r="I6" s="266">
        <f>'1-Hull'!I6</f>
        <v>100</v>
      </c>
      <c r="K6" s="266">
        <f>'Ship Info'!L3</f>
        <v>0</v>
      </c>
      <c r="L6" s="266">
        <f>'3-Pwr Plant'!L6</f>
        <v>20</v>
      </c>
      <c r="S6" t="str">
        <f>IF('Ship Info'!F5,"Command Bridge","")</f>
        <v>Command Bridge</v>
      </c>
      <c r="T6">
        <f>IF('Ship Info'!F6,0,T10+40)</f>
        <v>46</v>
      </c>
      <c r="U6">
        <f>U33</f>
        <v>30500000</v>
      </c>
      <c r="W6" t="str">
        <f>IF('Ship Info'!F5,"DM+1 to all Tactics (naval) checks","Error, Wrong selection for type")</f>
        <v>DM+1 to all Tactics (naval) checks</v>
      </c>
      <c r="AA6" t="s">
        <v>75</v>
      </c>
      <c r="AB6" s="2"/>
      <c r="AC6" s="2" t="b">
        <f>OR(A9=S6,A13=AA6)</f>
        <v>0</v>
      </c>
      <c r="AD6" s="2"/>
      <c r="AE6" s="2"/>
      <c r="AF6" s="2"/>
      <c r="AG6" s="2"/>
    </row>
    <row r="7" spans="1:34" ht="15" thickBot="1" x14ac:dyDescent="0.35">
      <c r="H7" s="1" t="s">
        <v>47</v>
      </c>
      <c r="I7" s="2"/>
      <c r="K7" s="2"/>
      <c r="L7" s="2"/>
      <c r="S7" t="str">
        <f>IF('Ship Info'!F5,"Detachable Bridge","")</f>
        <v>Detachable Bridge</v>
      </c>
      <c r="T7">
        <f>IF('Ship Info'!F6,0,T10*1.2)</f>
        <v>7.1999999999999993</v>
      </c>
      <c r="U7">
        <f>1.5*U10</f>
        <v>750000</v>
      </c>
      <c r="V7">
        <f>IF(B4&lt;51,1,IF(B4&lt;V15,2,IF(B4&lt;201,3,IF(B4&lt;1001,4,IF(B4&lt;2001,5,IF(B4&lt;100001,6,7))))))</f>
        <v>2</v>
      </c>
      <c r="W7" t="str">
        <f>IF('Ship Info'!F5,"Lifeboat with two weeks of life support and Thrust 0)","Error, Wrong selection for type")</f>
        <v>Lifeboat with two weeks of life support and Thrust 0)</v>
      </c>
      <c r="AB7" s="2"/>
      <c r="AC7" s="2"/>
      <c r="AD7" s="2"/>
      <c r="AE7" s="2"/>
      <c r="AF7" s="2"/>
      <c r="AG7" s="2"/>
    </row>
    <row r="8" spans="1:34" ht="15" thickBot="1" x14ac:dyDescent="0.35">
      <c r="A8" s="5" t="s">
        <v>81</v>
      </c>
      <c r="B8" s="197" t="s">
        <v>2526</v>
      </c>
      <c r="D8" s="2"/>
      <c r="E8" s="3" t="s">
        <v>26</v>
      </c>
      <c r="F8" s="4"/>
      <c r="I8" s="2"/>
      <c r="J8" s="2"/>
      <c r="L8" s="2"/>
      <c r="S8" t="str">
        <f>IF('Ship Info'!F5,"Dual Cockpit","")</f>
        <v>Dual Cockpit</v>
      </c>
      <c r="T8">
        <f>IF('Ship Info'!F6,0,2.5)</f>
        <v>2.5</v>
      </c>
      <c r="U8">
        <v>15000</v>
      </c>
      <c r="W8" t="str">
        <f>IF('Ship Info'!F5,"24 hours of Life Support","Error, Wrong selection for type")</f>
        <v>24 hours of Life Support</v>
      </c>
      <c r="Z8" t="b">
        <f>OR(A9=S5,A9=S8)</f>
        <v>0</v>
      </c>
      <c r="AA8">
        <v>0</v>
      </c>
      <c r="AB8" s="2">
        <v>1</v>
      </c>
      <c r="AC8" s="2">
        <v>2</v>
      </c>
      <c r="AD8" s="2">
        <v>3</v>
      </c>
      <c r="AE8" s="2">
        <v>4</v>
      </c>
      <c r="AF8" s="2">
        <v>5</v>
      </c>
      <c r="AG8" s="2">
        <v>6</v>
      </c>
      <c r="AH8" s="2">
        <v>7</v>
      </c>
    </row>
    <row r="9" spans="1:34" ht="15" thickBot="1" x14ac:dyDescent="0.35">
      <c r="A9" s="196" t="s">
        <v>72</v>
      </c>
      <c r="B9" s="16" t="str">
        <f>IFERROR(INDEX(S2:W12,MATCH(A9,S2:S12,0),5),"Wrong selection for type")</f>
        <v>No Modifiers</v>
      </c>
      <c r="D9" s="2"/>
      <c r="F9" s="4">
        <f>IFERROR(INDEX(S2:W12,MATCH(A9,S2:S12,0),3),0)</f>
        <v>500000</v>
      </c>
      <c r="H9" s="10">
        <f>IFERROR(INDEX(S2:W12,MATCH(A9,S2:S12,0),2),IF('Ship Info'!F7,1,0))</f>
        <v>6</v>
      </c>
      <c r="J9" s="2"/>
      <c r="L9" s="2"/>
      <c r="S9" t="str">
        <f>IF('Ship Info'!F5,"Small Bridge","")</f>
        <v>Small Bridge</v>
      </c>
      <c r="T9">
        <f>IF('Ship Info'!F6,0,HLOOKUP(V9,AA8:AH9,2))</f>
        <v>3</v>
      </c>
      <c r="U9">
        <f>ROUNDUP(B4/100,0)*250000</f>
        <v>250000</v>
      </c>
      <c r="V9">
        <f>V10-1</f>
        <v>1</v>
      </c>
      <c r="W9" t="str">
        <f>IF('Ship Info'!F5,"DM-1 for all Ship's Ops checks from Bridge","Error, Wrong selection for type")</f>
        <v>DM-1 for all Ship's Ops checks from Bridge</v>
      </c>
      <c r="AA9">
        <v>3</v>
      </c>
      <c r="AB9" s="2">
        <v>3</v>
      </c>
      <c r="AC9" s="2">
        <v>6</v>
      </c>
      <c r="AD9" s="2">
        <v>10</v>
      </c>
      <c r="AE9" s="2">
        <v>20</v>
      </c>
      <c r="AF9" s="2">
        <v>40</v>
      </c>
      <c r="AG9" s="2">
        <v>60</v>
      </c>
      <c r="AH9">
        <f>40+(20*ROUNDUP(Tonnage/100000,0))</f>
        <v>60</v>
      </c>
    </row>
    <row r="10" spans="1:34" ht="15" thickBot="1" x14ac:dyDescent="0.35">
      <c r="A10" s="196" t="s">
        <v>124</v>
      </c>
      <c r="B10" s="16" t="str">
        <f>INDEX(S16:W17,MATCH(A10,S16:S17,0),5)</f>
        <v>No Modifiers</v>
      </c>
      <c r="D10" s="2"/>
      <c r="E10">
        <f>INDEX(S16:W17,MATCH(A10,S16:S17,0),2)</f>
        <v>7</v>
      </c>
      <c r="F10" s="4">
        <f>INDEX(S16:W17,MATCH(A10,S16:S17,0),3)</f>
        <v>0</v>
      </c>
      <c r="H10" s="10"/>
      <c r="J10" s="2"/>
      <c r="L10" s="2"/>
      <c r="S10" t="str">
        <f>IF('Ship Info'!F5,"Standard Bridge","")</f>
        <v>Standard Bridge</v>
      </c>
      <c r="T10">
        <f>IF('Ship Info'!F6,0,HLOOKUP(V10,AB8:AH9,2))</f>
        <v>6</v>
      </c>
      <c r="U10">
        <f>ROUNDUP(B4/100,0)*500000</f>
        <v>500000</v>
      </c>
      <c r="V10">
        <f>IF(B4&lt;51,1,IF(B4&lt;V15,2,IF(B4&lt;201,3,IF(B4&lt;1001,4,IF(B4&lt;2001,5,IF(B4&lt;100001,6,7))))))</f>
        <v>2</v>
      </c>
      <c r="W10" t="str">
        <f>IF('Ship Info'!F5,"No Modifiers","Error Wrong selection for type")</f>
        <v>No Modifiers</v>
      </c>
      <c r="Y10" t="b">
        <f>AND(OR(A9=S7,A9=S10),A13=AA5)</f>
        <v>1</v>
      </c>
    </row>
    <row r="11" spans="1:34" x14ac:dyDescent="0.3">
      <c r="H11" s="4"/>
      <c r="J11" s="2"/>
      <c r="L11" s="2"/>
      <c r="S11" t="s">
        <v>2720</v>
      </c>
      <c r="T11">
        <f>30+0.01*Tonnage</f>
        <v>31</v>
      </c>
      <c r="U11">
        <f>ROUNDUP(Tonnage/100,0)*1000000</f>
        <v>1000000</v>
      </c>
      <c r="W11" t="s">
        <v>2721</v>
      </c>
    </row>
    <row r="12" spans="1:34" ht="15" thickBot="1" x14ac:dyDescent="0.35">
      <c r="A12" s="3" t="s">
        <v>1528</v>
      </c>
      <c r="C12" s="2" t="s">
        <v>296</v>
      </c>
      <c r="H12" s="4"/>
      <c r="J12" s="2"/>
      <c r="L12" s="2"/>
      <c r="S12" t="s">
        <v>2722</v>
      </c>
      <c r="T12">
        <f>40+0.01*Tonnage</f>
        <v>41</v>
      </c>
      <c r="U12">
        <f>ROUNDUP(Tonnage/100,0)*1250000</f>
        <v>1250000</v>
      </c>
      <c r="W12" t="s">
        <v>2723</v>
      </c>
    </row>
    <row r="13" spans="1:34" ht="15" thickBot="1" x14ac:dyDescent="0.35">
      <c r="A13" s="208" t="s">
        <v>82</v>
      </c>
      <c r="B13" s="112" t="str">
        <f>IF(A13=AA6,W6," ")</f>
        <v xml:space="preserve"> </v>
      </c>
      <c r="C13" s="232">
        <v>0</v>
      </c>
      <c r="D13" s="2"/>
      <c r="F13" s="4">
        <f>C13*IF(B4&lt;5000,0,IF(A13=AA6,30000000,0))</f>
        <v>0</v>
      </c>
      <c r="H13" s="10">
        <f>C13*IF(B4&lt;5000,0,IF(A13=AA6,40,0))</f>
        <v>0</v>
      </c>
    </row>
    <row r="14" spans="1:34" ht="15" thickBot="1" x14ac:dyDescent="0.35">
      <c r="A14" s="196" t="s">
        <v>124</v>
      </c>
      <c r="B14" s="16" t="str">
        <f>INDEX(S16:W17,MATCH(A14,S16:S17,0),5)</f>
        <v>No Modifiers</v>
      </c>
      <c r="C14" s="2" t="str">
        <f>"Max = "&amp;C17+1</f>
        <v>Max = 1</v>
      </c>
      <c r="E14">
        <f>INDEX(S16:Y17,MATCH(A14,S16:S17,0),2)</f>
        <v>7</v>
      </c>
      <c r="F14" s="4">
        <f>IF(A13=AA5,0,INDEX(S16:Y17,MATCH(A14,S16:S17,0),7))*C13</f>
        <v>0</v>
      </c>
      <c r="H14" s="10"/>
      <c r="S14" t="str">
        <f>IFERROR(INDEX(S2:S12,MATCH(A9,S2:S12,0),1),1)</f>
        <v>Standard Bridge</v>
      </c>
    </row>
    <row r="15" spans="1:34" x14ac:dyDescent="0.3">
      <c r="B15" s="2"/>
      <c r="H15" s="4"/>
      <c r="U15" t="s">
        <v>2527</v>
      </c>
      <c r="V15">
        <f>IF(B8="Use Core24 Bridge Rule",101,100)</f>
        <v>101</v>
      </c>
    </row>
    <row r="16" spans="1:34" ht="15" thickBot="1" x14ac:dyDescent="0.35">
      <c r="A16" s="3" t="s">
        <v>762</v>
      </c>
      <c r="B16" s="2"/>
      <c r="C16" s="2" t="s">
        <v>296</v>
      </c>
      <c r="H16" s="10"/>
      <c r="S16" t="s">
        <v>125</v>
      </c>
      <c r="T16">
        <v>9</v>
      </c>
      <c r="U16">
        <f>0.25*F9</f>
        <v>125000</v>
      </c>
      <c r="W16" t="s">
        <v>126</v>
      </c>
      <c r="Y16">
        <f>0.25*F13</f>
        <v>0</v>
      </c>
      <c r="Z16">
        <f>0.25*F17</f>
        <v>0</v>
      </c>
    </row>
    <row r="17" spans="1:23" ht="15" thickBot="1" x14ac:dyDescent="0.35">
      <c r="A17" s="196" t="s">
        <v>763</v>
      </c>
      <c r="B17" s="111" t="str">
        <f>INDEX(S32:W36,MATCH(A17,S32:S36,0),5)</f>
        <v>No Aux Con</v>
      </c>
      <c r="C17" s="232">
        <v>0</v>
      </c>
      <c r="F17" s="4">
        <f>INDEX(S32:X38,MATCH(A17,S32:S38,0),3)*C17</f>
        <v>0</v>
      </c>
      <c r="H17" s="10">
        <f>INDEX(S32:T36,MATCH(A17,S32:S36,0),2)*C17</f>
        <v>0</v>
      </c>
      <c r="S17" t="s">
        <v>124</v>
      </c>
      <c r="T17">
        <v>7</v>
      </c>
      <c r="U17">
        <v>0</v>
      </c>
      <c r="W17" t="s">
        <v>80</v>
      </c>
    </row>
    <row r="18" spans="1:23" ht="15" thickBot="1" x14ac:dyDescent="0.35">
      <c r="A18" s="196" t="s">
        <v>124</v>
      </c>
      <c r="B18" s="16" t="str">
        <f>INDEX(S16:W17,MATCH(A18,S16:S17,0),5)</f>
        <v>No Modifiers</v>
      </c>
      <c r="E18">
        <f>INDEX(S16:Y17,MATCH(A18,S16:S17,0),2)</f>
        <v>7</v>
      </c>
      <c r="F18" s="4">
        <f>IF(A17=S32,0,INDEX(S16:Z17,MATCH(A18,S16:S17,0),8))*C17</f>
        <v>0</v>
      </c>
      <c r="H18" s="4"/>
    </row>
    <row r="19" spans="1:23" ht="15" thickBot="1" x14ac:dyDescent="0.35">
      <c r="C19" s="75" t="s">
        <v>1765</v>
      </c>
      <c r="H19" s="4"/>
      <c r="S19" t="s">
        <v>386</v>
      </c>
    </row>
    <row r="20" spans="1:23" ht="15" thickBot="1" x14ac:dyDescent="0.35">
      <c r="B20" s="7" t="s">
        <v>1763</v>
      </c>
      <c r="C20" s="232">
        <v>0</v>
      </c>
      <c r="H20" s="4"/>
      <c r="S20">
        <f>SUM(H9:H22)</f>
        <v>6</v>
      </c>
    </row>
    <row r="21" spans="1:23" ht="15" thickBot="1" x14ac:dyDescent="0.35">
      <c r="B21" s="9" t="s">
        <v>1764</v>
      </c>
      <c r="H21" s="4"/>
    </row>
    <row r="22" spans="1:23" ht="15" thickBot="1" x14ac:dyDescent="0.35">
      <c r="B22" s="7" t="s">
        <v>642</v>
      </c>
      <c r="C22" s="252" t="s">
        <v>92</v>
      </c>
      <c r="F22" s="4">
        <f>200000*H22</f>
        <v>0</v>
      </c>
      <c r="H22" s="10">
        <f>IF(C22="No",0,0.1*SUM(H8:H19))</f>
        <v>0</v>
      </c>
      <c r="S22" t="s">
        <v>1921</v>
      </c>
      <c r="T22" s="260">
        <f>'10-Crew'!F11-'10-Crew'!H11-'10-Crew'!K11+'10-Crew'!F12-'10-Crew'!K12+'10-Crew'!F17-'10-Crew'!K17</f>
        <v>2</v>
      </c>
    </row>
    <row r="23" spans="1:23" ht="15" thickBot="1" x14ac:dyDescent="0.35"/>
    <row r="24" spans="1:23" ht="15" thickBot="1" x14ac:dyDescent="0.35">
      <c r="A24" s="732" t="s">
        <v>1618</v>
      </c>
      <c r="B24" s="733"/>
      <c r="F24" s="4">
        <f>IF(A24=S50,0,IF(A24=S51,Tonnage*5000,Tonnage*7000))</f>
        <v>0</v>
      </c>
    </row>
    <row r="25" spans="1:23" x14ac:dyDescent="0.3">
      <c r="F25" s="4"/>
      <c r="S25" t="str">
        <f>IF(A9=S9,"Small ","")&amp;"Bridge: "&amp;IF(A10=S16,"Initiative+2",IF(Y10=TRUE,W10,""))&amp;""&amp;IF(AC6=TRUE," Tactics+1","")&amp;""&amp;IF(A9=S9,"DM -1 All Bridge Checks","")&amp;""&amp;IF(Z8=TRUE,"Cockpit","")</f>
        <v>Bridge: No Modifiers</v>
      </c>
    </row>
    <row r="26" spans="1:23" ht="15" thickBot="1" x14ac:dyDescent="0.35">
      <c r="A26" t="s">
        <v>1626</v>
      </c>
      <c r="F26" s="4"/>
    </row>
    <row r="27" spans="1:23" ht="15" thickBot="1" x14ac:dyDescent="0.35">
      <c r="A27" s="196" t="s">
        <v>1020</v>
      </c>
      <c r="B27" t="str">
        <f>INDEX(S53:V56,MATCH(A27,S53:S56,0),4)</f>
        <v/>
      </c>
      <c r="E27">
        <f>INDEX(S53:V56,MATCH(A27,S53:S56,0),2)</f>
        <v>0</v>
      </c>
      <c r="F27" s="4">
        <f>INDEX(S53:V56,MATCH(A27,S53:S56,0),3)</f>
        <v>0</v>
      </c>
    </row>
    <row r="28" spans="1:23" x14ac:dyDescent="0.3">
      <c r="F28" s="4"/>
      <c r="S28" t="s">
        <v>92</v>
      </c>
    </row>
    <row r="29" spans="1:23" ht="15" thickBot="1" x14ac:dyDescent="0.35">
      <c r="A29" t="s">
        <v>1620</v>
      </c>
      <c r="B29" t="s">
        <v>164</v>
      </c>
      <c r="F29" s="4"/>
      <c r="S29" t="s">
        <v>93</v>
      </c>
    </row>
    <row r="30" spans="1:23" ht="15" thickBot="1" x14ac:dyDescent="0.35">
      <c r="A30" s="414"/>
      <c r="B30" s="823"/>
      <c r="C30" s="824"/>
      <c r="D30" s="365"/>
      <c r="E30" s="414"/>
      <c r="F30" s="415"/>
    </row>
    <row r="31" spans="1:23" x14ac:dyDescent="0.3">
      <c r="S31" t="s">
        <v>71</v>
      </c>
      <c r="T31" t="s">
        <v>2</v>
      </c>
      <c r="U31" t="s">
        <v>1</v>
      </c>
      <c r="V31" t="s">
        <v>73</v>
      </c>
    </row>
    <row r="32" spans="1:23" x14ac:dyDescent="0.3">
      <c r="S32" t="s">
        <v>763</v>
      </c>
      <c r="T32">
        <v>0</v>
      </c>
      <c r="U32">
        <v>0</v>
      </c>
      <c r="V32">
        <v>0</v>
      </c>
      <c r="W32" t="s">
        <v>768</v>
      </c>
    </row>
    <row r="33" spans="19:23" x14ac:dyDescent="0.3">
      <c r="S33" t="s">
        <v>75</v>
      </c>
      <c r="T33">
        <f>T6</f>
        <v>46</v>
      </c>
      <c r="U33">
        <f>U36+30000000</f>
        <v>30500000</v>
      </c>
      <c r="W33" t="s">
        <v>76</v>
      </c>
    </row>
    <row r="34" spans="19:23" x14ac:dyDescent="0.3">
      <c r="S34" t="s">
        <v>122</v>
      </c>
      <c r="T34">
        <f>T36*1.2</f>
        <v>12</v>
      </c>
      <c r="U34">
        <f>1.5*U36</f>
        <v>750000</v>
      </c>
      <c r="V34">
        <f>IF(B4&lt;51,1,IF(B4&lt;100,2,IF(B4&lt;201,3,IF(B4&lt;1001,4,IF(B4&lt;2001,5,IF(B4&lt;100001,6,7))))))</f>
        <v>3</v>
      </c>
      <c r="W34" t="s">
        <v>123</v>
      </c>
    </row>
    <row r="35" spans="19:23" x14ac:dyDescent="0.3">
      <c r="S35" t="s">
        <v>78</v>
      </c>
      <c r="T35">
        <f>HLOOKUP(V35,AA8:AH9,2)</f>
        <v>6</v>
      </c>
      <c r="U35">
        <f>ROUNDUP(B4/100,0)*250000</f>
        <v>250000</v>
      </c>
      <c r="V35">
        <f>V36-1</f>
        <v>2</v>
      </c>
      <c r="W35" t="s">
        <v>79</v>
      </c>
    </row>
    <row r="36" spans="19:23" x14ac:dyDescent="0.3">
      <c r="S36" t="s">
        <v>72</v>
      </c>
      <c r="T36">
        <f>HLOOKUP(V36,AB8:AH9,2)</f>
        <v>10</v>
      </c>
      <c r="U36">
        <f>ROUNDUP(B4/100,0)*500000</f>
        <v>500000</v>
      </c>
      <c r="V36">
        <f>IF(B4&lt;51,1,IF(B4&lt;100,2,IF(B4&lt;201,3,IF(B4&lt;1001,4,IF(B4&lt;2001,5,IF(B4&lt;100001,6,7))))))</f>
        <v>3</v>
      </c>
      <c r="W36" t="s">
        <v>80</v>
      </c>
    </row>
    <row r="37" spans="19:23" x14ac:dyDescent="0.3">
      <c r="S37" t="s">
        <v>2720</v>
      </c>
      <c r="T37">
        <f>30+0.01*Tonnage</f>
        <v>31</v>
      </c>
      <c r="U37">
        <f>ROUNDUP(Tonnage/100,0)*1000000</f>
        <v>1000000</v>
      </c>
      <c r="W37" t="s">
        <v>2721</v>
      </c>
    </row>
    <row r="38" spans="19:23" x14ac:dyDescent="0.3">
      <c r="S38" t="s">
        <v>2722</v>
      </c>
      <c r="T38">
        <f>40+0.01*Tonnage</f>
        <v>41</v>
      </c>
      <c r="U38">
        <f>ROUNDUP(Tonnage/100,0)*1250000</f>
        <v>1250000</v>
      </c>
      <c r="W38" t="s">
        <v>2723</v>
      </c>
    </row>
    <row r="40" spans="19:23" x14ac:dyDescent="0.3">
      <c r="S40" t="s">
        <v>764</v>
      </c>
      <c r="T40">
        <f>IFERROR(SUM(T41:T48),1)</f>
        <v>0</v>
      </c>
    </row>
    <row r="41" spans="19:23" x14ac:dyDescent="0.3">
      <c r="S41" t="s">
        <v>765</v>
      </c>
      <c r="T41">
        <f>IF(AND(B4&lt;5000,A9=S6),1,0)</f>
        <v>0</v>
      </c>
    </row>
    <row r="42" spans="19:23" x14ac:dyDescent="0.3">
      <c r="S42" t="s">
        <v>766</v>
      </c>
      <c r="T42">
        <f>IF(AND(B4&lt;5000,A13=AA6),1,0)</f>
        <v>0</v>
      </c>
    </row>
    <row r="43" spans="19:23" x14ac:dyDescent="0.3">
      <c r="S43" t="s">
        <v>767</v>
      </c>
      <c r="T43">
        <f>IF(AND(B4&lt;5000,A17=S33),1,0)</f>
        <v>0</v>
      </c>
    </row>
    <row r="44" spans="19:23" x14ac:dyDescent="0.3">
      <c r="S44" t="s">
        <v>769</v>
      </c>
      <c r="T44">
        <f>IF(OR(AND(B4&gt;99,A9=S5),AND(B4&gt;99,A9=S8)),1,0)</f>
        <v>0</v>
      </c>
    </row>
    <row r="45" spans="19:23" x14ac:dyDescent="0.3">
      <c r="S45" t="s">
        <v>877</v>
      </c>
      <c r="T45">
        <f>IFERROR(IF(AND(H9=0,'Ship Info'!F7),0,IF(AND(,S2="No Bridge",H9=0),1,0)),1)</f>
        <v>0</v>
      </c>
    </row>
    <row r="46" spans="19:23" x14ac:dyDescent="0.3">
      <c r="S46" t="s">
        <v>1353</v>
      </c>
      <c r="T46">
        <f>IF(AND(H17=S20,C17=C20),0,IFERROR(IF(AND(S20&gt;0,'Ship Info'!F7),1,0),1))</f>
        <v>0</v>
      </c>
    </row>
    <row r="47" spans="19:23" x14ac:dyDescent="0.3">
      <c r="S47" t="s">
        <v>1354</v>
      </c>
      <c r="T47">
        <f>IF(S14=A9,0,1)</f>
        <v>0</v>
      </c>
    </row>
    <row r="48" spans="19:23" x14ac:dyDescent="0.3">
      <c r="S48" t="s">
        <v>26</v>
      </c>
      <c r="T48">
        <f>IF(OR(E27&gt;TL,E30&gt;TL),1,0)</f>
        <v>0</v>
      </c>
    </row>
    <row r="50" spans="19:34" x14ac:dyDescent="0.3">
      <c r="S50" t="s">
        <v>1618</v>
      </c>
    </row>
    <row r="51" spans="19:34" x14ac:dyDescent="0.3">
      <c r="S51" t="s">
        <v>1619</v>
      </c>
    </row>
    <row r="52" spans="19:34" x14ac:dyDescent="0.3">
      <c r="S52" t="s">
        <v>1625</v>
      </c>
    </row>
    <row r="53" spans="19:34" x14ac:dyDescent="0.3">
      <c r="S53" t="str">
        <f>""</f>
        <v/>
      </c>
      <c r="V53" t="str">
        <f>""</f>
        <v/>
      </c>
    </row>
    <row r="54" spans="19:34" x14ac:dyDescent="0.3">
      <c r="S54" t="s">
        <v>1616</v>
      </c>
      <c r="T54">
        <v>10</v>
      </c>
      <c r="U54" s="4">
        <f>IF(TL&gt;11,40000,IF(TL&gt;10,80000,130000))</f>
        <v>40000</v>
      </c>
      <c r="V54" t="s">
        <v>1621</v>
      </c>
    </row>
    <row r="55" spans="19:34" x14ac:dyDescent="0.3">
      <c r="S55" t="s">
        <v>1624</v>
      </c>
      <c r="T55">
        <v>12</v>
      </c>
      <c r="U55" s="4">
        <v>1000000</v>
      </c>
      <c r="V55" t="s">
        <v>1622</v>
      </c>
    </row>
    <row r="56" spans="19:34" x14ac:dyDescent="0.3">
      <c r="S56" t="s">
        <v>1617</v>
      </c>
      <c r="T56">
        <v>12</v>
      </c>
      <c r="U56" s="4">
        <v>10000000</v>
      </c>
      <c r="V56" t="s">
        <v>1623</v>
      </c>
    </row>
    <row r="59" spans="19:34" x14ac:dyDescent="0.3">
      <c r="S59">
        <f>IF(A27="",0,A27)</f>
        <v>0</v>
      </c>
      <c r="T59" t="s">
        <v>1627</v>
      </c>
      <c r="U59" t="str">
        <f>IF(S59=0,"",S59)</f>
        <v/>
      </c>
    </row>
    <row r="60" spans="19:34" x14ac:dyDescent="0.3">
      <c r="S60">
        <f>A30</f>
        <v>0</v>
      </c>
      <c r="T60" t="s">
        <v>1628</v>
      </c>
      <c r="U60" t="str">
        <f>IF(S60=0,"",S60)</f>
        <v/>
      </c>
      <c r="AH60" s="9" t="s">
        <v>2528</v>
      </c>
    </row>
    <row r="61" spans="19:34" x14ac:dyDescent="0.3">
      <c r="S61" s="107" t="str">
        <f>IF(AND(S59=0,S60=0),"",IF(OR(S59=0,S60=0),U59&amp;U60,U59&amp;"/"&amp;U60))</f>
        <v/>
      </c>
    </row>
  </sheetData>
  <sheetProtection algorithmName="SHA-512" hashValue="emL8mGZ5ZQJD0b3VkWOlCud8JGLseb6ZT1qo1tAROPNVxmSBa0qSE/4tWqsyqiN5i3Mn1s1A2JITt028lh/L5Q==" saltValue="y8Ld0NbzcOV6+EIHnAvnYw==" spinCount="100000" sheet="1" selectLockedCells="1"/>
  <mergeCells count="5">
    <mergeCell ref="H4:I4"/>
    <mergeCell ref="K4:L4"/>
    <mergeCell ref="A24:B24"/>
    <mergeCell ref="B30:C30"/>
    <mergeCell ref="A6:B6"/>
  </mergeCells>
  <conditionalFormatting sqref="A9">
    <cfRule type="expression" dxfId="638" priority="3323">
      <formula>$T$47</formula>
    </cfRule>
    <cfRule type="expression" dxfId="636" priority="3325">
      <formula>AND($B$4&gt;99,$A$9=$S$8)</formula>
    </cfRule>
    <cfRule type="expression" dxfId="635" priority="3326">
      <formula>AND($B$4&gt;99,$A$9=$S$5)</formula>
    </cfRule>
    <cfRule type="expression" dxfId="634" priority="3327">
      <formula>AND(B4&lt;5000,A9=S6)</formula>
    </cfRule>
  </conditionalFormatting>
  <conditionalFormatting sqref="A13 A9 A17">
    <cfRule type="expression" dxfId="633" priority="3320">
      <formula>$T$46</formula>
    </cfRule>
  </conditionalFormatting>
  <conditionalFormatting sqref="A13 C13">
    <cfRule type="expression" dxfId="632" priority="161">
      <formula>$B$4&lt;5000</formula>
    </cfRule>
  </conditionalFormatting>
  <conditionalFormatting sqref="A13">
    <cfRule type="expression" dxfId="631" priority="867" stopIfTrue="1">
      <formula>AND(B4&lt;5000,$A$13=$AA$6)</formula>
    </cfRule>
  </conditionalFormatting>
  <conditionalFormatting sqref="A14">
    <cfRule type="expression" dxfId="630" priority="3331" stopIfTrue="1">
      <formula>AND($A$13=$AA$5,$A$14=$S$16)</formula>
    </cfRule>
  </conditionalFormatting>
  <conditionalFormatting sqref="A17">
    <cfRule type="expression" dxfId="629" priority="3332">
      <formula>AND(B4&lt;5000,$A$17=$S$33)</formula>
    </cfRule>
  </conditionalFormatting>
  <conditionalFormatting sqref="A18">
    <cfRule type="expression" dxfId="628" priority="3333">
      <formula>$A$17=$S$32</formula>
    </cfRule>
    <cfRule type="expression" dxfId="627" priority="3334">
      <formula>AND($A$17=$S$32,$A$18=$S$16)</formula>
    </cfRule>
  </conditionalFormatting>
  <conditionalFormatting sqref="A24">
    <cfRule type="expression" dxfId="626" priority="9">
      <formula>$F$24&gt;0</formula>
    </cfRule>
  </conditionalFormatting>
  <conditionalFormatting sqref="A30:F30">
    <cfRule type="expression" dxfId="625" priority="3335">
      <formula>$A$27=$S$53</formula>
    </cfRule>
  </conditionalFormatting>
  <conditionalFormatting sqref="B8">
    <cfRule type="expression" dxfId="624" priority="1">
      <formula>$B$8="Use HG22 Bridge Rule"</formula>
    </cfRule>
  </conditionalFormatting>
  <conditionalFormatting sqref="C13 A14">
    <cfRule type="expression" dxfId="623" priority="871">
      <formula>$A$13=$AA$5</formula>
    </cfRule>
  </conditionalFormatting>
  <conditionalFormatting sqref="C17">
    <cfRule type="expression" dxfId="622" priority="10" stopIfTrue="1">
      <formula>AND($C$17&gt;0,$H$17=0)</formula>
    </cfRule>
    <cfRule type="expression" dxfId="621" priority="16">
      <formula>$A$17=" N/A"</formula>
    </cfRule>
  </conditionalFormatting>
  <conditionalFormatting sqref="C20">
    <cfRule type="expression" dxfId="619" priority="4">
      <formula>$C$20&gt;$C$17</formula>
    </cfRule>
    <cfRule type="expression" dxfId="618" priority="5" stopIfTrue="1">
      <formula>AND($C$17&gt;0,$H$17=0)</formula>
    </cfRule>
    <cfRule type="expression" dxfId="617" priority="6">
      <formula>$A$17=" N/A"</formula>
    </cfRule>
  </conditionalFormatting>
  <conditionalFormatting sqref="C22">
    <cfRule type="cellIs" dxfId="616" priority="3337" operator="equal">
      <formula>$S$28</formula>
    </cfRule>
    <cfRule type="cellIs" dxfId="615" priority="3338" operator="equal">
      <formula>"""No"""</formula>
    </cfRule>
  </conditionalFormatting>
  <conditionalFormatting sqref="E27 E30">
    <cfRule type="expression" dxfId="614" priority="8">
      <formula>$E27&gt;TL</formula>
    </cfRule>
  </conditionalFormatting>
  <conditionalFormatting sqref="H6">
    <cfRule type="expression" dxfId="613" priority="31">
      <formula>$H$6&lt;0</formula>
    </cfRule>
  </conditionalFormatting>
  <conditionalFormatting sqref="K6">
    <cfRule type="expression" dxfId="612" priority="30">
      <formula>$K$6&lt;0</formula>
    </cfRule>
  </conditionalFormatting>
  <dataValidations count="12">
    <dataValidation type="whole" operator="greaterThanOrEqual" allowBlank="1" showInputMessage="1" showErrorMessage="1" sqref="C17 C20" xr:uid="{81346A54-24E3-45DA-B62F-112BBE850193}">
      <formula1>0</formula1>
    </dataValidation>
    <dataValidation type="list" allowBlank="1" showInputMessage="1" showErrorMessage="1" sqref="A13" xr:uid="{49CB8F57-ADCE-4ED7-BD23-132769D25A28}">
      <formula1>$AA$5:$AA$6</formula1>
    </dataValidation>
    <dataValidation type="list" allowBlank="1" showInputMessage="1" showErrorMessage="1" sqref="A9" xr:uid="{F6BF235A-9639-42D6-95AD-FEB743ADD562}">
      <formula1>$S$2:$S$12</formula1>
    </dataValidation>
    <dataValidation type="whole" allowBlank="1" showInputMessage="1" showErrorMessage="1" prompt="Must be added to an existing bridge." sqref="C13" xr:uid="{BAE5B2AF-7D79-4F54-96F5-7DD6F26893A3}">
      <formula1>0</formula1>
      <formula2>C17+1</formula2>
    </dataValidation>
    <dataValidation type="whole" allowBlank="1" showInputMessage="1" showErrorMessage="1" prompt="Whole Number_x000a_7-30_x000a_or delete entry to clear" sqref="E30" xr:uid="{781FF70C-AA64-4C19-94D5-1CBDD48568D5}">
      <formula1>7</formula1>
      <formula2>30</formula2>
    </dataValidation>
    <dataValidation type="decimal" operator="greaterThanOrEqual" allowBlank="1" showInputMessage="1" showErrorMessage="1" sqref="F30" xr:uid="{0FDEA18D-F0F4-444F-AB9E-A36E41B26462}">
      <formula1>0</formula1>
    </dataValidation>
    <dataValidation type="list" allowBlank="1" showInputMessage="1" showErrorMessage="1" sqref="B8" xr:uid="{F40DE3C0-03B0-4671-BAC9-28C52687A47E}">
      <formula1>"Use Core24 Bridge Rule, Use HG22 Bridge Rule"</formula1>
    </dataValidation>
    <dataValidation type="list" allowBlank="1" showInputMessage="1" showErrorMessage="1" sqref="A10 A18 A14" xr:uid="{2CB58F0B-EDE2-49A3-9DBF-62B4DB99439B}">
      <formula1>$S$16:$S$17</formula1>
    </dataValidation>
    <dataValidation type="list" allowBlank="1" showInputMessage="1" showErrorMessage="1" sqref="C22" xr:uid="{834C46B9-5035-4F09-B69C-1388F72BB09B}">
      <formula1>$S$28:$S$29</formula1>
    </dataValidation>
    <dataValidation type="list" allowBlank="1" showInputMessage="1" showErrorMessage="1" sqref="A17" xr:uid="{DBC45B8C-DC23-4B73-A377-845AB0835A00}">
      <formula1>$S$32:$S$38</formula1>
    </dataValidation>
    <dataValidation type="list" allowBlank="1" showInputMessage="1" showErrorMessage="1" sqref="A24:B24" xr:uid="{08ABFEC7-B440-48F6-906B-122C13CC301A}">
      <formula1>$S$50:$S$52</formula1>
    </dataValidation>
    <dataValidation type="list" allowBlank="1" showInputMessage="1" showErrorMessage="1" sqref="A27" xr:uid="{7F10E181-2454-48B3-9017-6762384B35F5}">
      <formula1>$S$53:$S$56</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 id="{F4475CA7-D5DF-4241-B4BC-8A90D431B00C}">
            <xm:f>AND('Ship Info'!F5,$S$2="No Bridge",OR($A$9="Drone Ship",$A$9="No Bridge"))</xm:f>
            <x14:dxf>
              <font>
                <color auto="1"/>
              </font>
              <fill>
                <patternFill patternType="solid">
                  <bgColor rgb="FFFF0000"/>
                </patternFill>
              </fill>
            </x14:dxf>
          </x14:cfRule>
          <xm:sqref>A6</xm:sqref>
        </x14:conditionalFormatting>
        <x14:conditionalFormatting xmlns:xm="http://schemas.microsoft.com/office/excel/2006/main">
          <x14:cfRule type="expression" priority="3324" id="{00000000-000E-0000-0800-000006000000}">
            <xm:f>AND(OR('Ship Info'!$F$5,'Ship Info'!$F$6),AND($H$9=0,$S$2="No Bridge"))</xm:f>
            <x14:dxf>
              <fill>
                <patternFill>
                  <bgColor rgb="FFFF0000"/>
                </patternFill>
              </fill>
            </x14:dxf>
          </x14:cfRule>
          <xm:sqref>A9</xm:sqref>
        </x14:conditionalFormatting>
        <x14:conditionalFormatting xmlns:xm="http://schemas.microsoft.com/office/excel/2006/main">
          <x14:cfRule type="expression" priority="3" id="{8029C387-5FA1-430F-A791-EBF8DC0F0930}">
            <xm:f>AND('Ship Info'!F7,$C$17&gt;0)</xm:f>
            <x14:dxf>
              <font>
                <color theme="1"/>
              </font>
            </x14:dxf>
          </x14:cfRule>
          <xm:sqref>C19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1A0A5-EA10-4E68-8A10-7DE7B5AF454F}">
  <dimension ref="A1:AF299"/>
  <sheetViews>
    <sheetView workbookViewId="0">
      <selection activeCell="C7" sqref="C7"/>
    </sheetView>
  </sheetViews>
  <sheetFormatPr defaultRowHeight="14.4" x14ac:dyDescent="0.3"/>
  <cols>
    <col min="1" max="1" width="24.109375" customWidth="1"/>
    <col min="2" max="2" width="32.109375" customWidth="1"/>
    <col min="3" max="3" width="13.44140625" customWidth="1"/>
    <col min="4" max="4" width="17.109375" style="2" customWidth="1"/>
    <col min="5" max="5" width="3.6640625" customWidth="1"/>
    <col min="6" max="6" width="18" customWidth="1"/>
    <col min="18" max="18" width="9.109375" customWidth="1"/>
    <col min="19" max="19" width="22.6640625" hidden="1" customWidth="1"/>
    <col min="20" max="20" width="9.109375" hidden="1" customWidth="1"/>
    <col min="21" max="21" width="18.44140625" hidden="1" customWidth="1"/>
    <col min="22" max="32" width="9.109375" hidden="1" customWidth="1"/>
    <col min="33" max="33" width="9.109375" customWidth="1"/>
  </cols>
  <sheetData>
    <row r="1" spans="1:32" x14ac:dyDescent="0.3">
      <c r="A1" s="3" t="str">
        <f>'Ship Info'!A1</f>
        <v>Ship's Class Name</v>
      </c>
      <c r="B1">
        <f>'Ship Info'!B1</f>
        <v>0</v>
      </c>
      <c r="E1" s="2"/>
      <c r="F1" s="6" t="s">
        <v>1</v>
      </c>
      <c r="S1" t="str">
        <f>""</f>
        <v/>
      </c>
      <c r="T1">
        <v>0</v>
      </c>
      <c r="U1">
        <v>0</v>
      </c>
      <c r="V1">
        <v>0</v>
      </c>
      <c r="AF1" s="9" t="s">
        <v>2212</v>
      </c>
    </row>
    <row r="2" spans="1:32" x14ac:dyDescent="0.3">
      <c r="A2" s="3" t="s">
        <v>418</v>
      </c>
      <c r="B2">
        <f>'Ship Info'!B2</f>
        <v>0</v>
      </c>
      <c r="C2" t="s">
        <v>0</v>
      </c>
      <c r="D2" s="2">
        <f>'Ship Info'!F2</f>
        <v>12</v>
      </c>
      <c r="E2" s="2"/>
      <c r="F2" s="4">
        <f>'Ship Info'!G2</f>
        <v>6177000</v>
      </c>
      <c r="S2" t="s">
        <v>150</v>
      </c>
      <c r="T2">
        <v>7</v>
      </c>
      <c r="U2">
        <v>30000</v>
      </c>
      <c r="V2">
        <v>5</v>
      </c>
    </row>
    <row r="3" spans="1:32" x14ac:dyDescent="0.3">
      <c r="E3" s="2"/>
      <c r="S3" t="s">
        <v>135</v>
      </c>
      <c r="T3">
        <v>9</v>
      </c>
      <c r="U3">
        <v>160000</v>
      </c>
      <c r="V3">
        <v>10</v>
      </c>
    </row>
    <row r="4" spans="1:32" x14ac:dyDescent="0.3">
      <c r="A4" t="s">
        <v>2</v>
      </c>
      <c r="B4" s="260">
        <f>'1-Hull'!B4</f>
        <v>100</v>
      </c>
      <c r="E4" s="2"/>
      <c r="F4" s="6" t="s">
        <v>44</v>
      </c>
      <c r="H4" s="760"/>
      <c r="I4" s="760"/>
      <c r="K4" s="760"/>
      <c r="L4" s="760"/>
      <c r="S4" t="s">
        <v>136</v>
      </c>
      <c r="T4">
        <v>11</v>
      </c>
      <c r="U4">
        <v>2000000</v>
      </c>
      <c r="V4">
        <v>15</v>
      </c>
      <c r="X4" t="s">
        <v>672</v>
      </c>
      <c r="AA4" s="44"/>
      <c r="AB4" s="45"/>
      <c r="AC4" s="45" t="s">
        <v>2416</v>
      </c>
      <c r="AD4" s="47" t="s">
        <v>2415</v>
      </c>
    </row>
    <row r="5" spans="1:32" ht="15" thickBot="1" x14ac:dyDescent="0.35">
      <c r="B5" s="5" t="s">
        <v>870</v>
      </c>
      <c r="F5" s="4">
        <f>IF(AND(C7="No",'Ship Info'!F7),0,SUM(F9:F44,F48:F67))</f>
        <v>30000</v>
      </c>
      <c r="H5" s="1"/>
      <c r="I5" s="6" t="s">
        <v>870</v>
      </c>
      <c r="K5" s="1"/>
      <c r="L5" s="1"/>
      <c r="S5" t="s">
        <v>137</v>
      </c>
      <c r="T5">
        <v>12</v>
      </c>
      <c r="U5">
        <v>5000000</v>
      </c>
      <c r="V5">
        <v>20</v>
      </c>
      <c r="X5" t="s">
        <v>671</v>
      </c>
      <c r="Y5" t="str">
        <f>IF(B21=S25,IF(B24=S36,"N/A",INDEX(S36:T41,MATCH(B24,S36:S41,0),2)),INDEX(S25:T28,MATCH(B21,S25:S28,0),2))</f>
        <v>N/A</v>
      </c>
      <c r="AA5" s="78"/>
      <c r="AB5" s="9" t="s">
        <v>2417</v>
      </c>
      <c r="AC5">
        <v>10</v>
      </c>
      <c r="AD5" s="46">
        <v>-2</v>
      </c>
      <c r="AE5">
        <v>10</v>
      </c>
      <c r="AF5">
        <v>-2</v>
      </c>
    </row>
    <row r="6" spans="1:32" ht="15" thickBot="1" x14ac:dyDescent="0.35">
      <c r="B6" s="7" t="s">
        <v>871</v>
      </c>
      <c r="C6" s="196" t="s">
        <v>92</v>
      </c>
      <c r="H6" s="2"/>
      <c r="I6" s="1" t="s">
        <v>2413</v>
      </c>
      <c r="K6" s="2"/>
      <c r="L6" s="732" t="s">
        <v>19</v>
      </c>
      <c r="M6" s="733"/>
      <c r="S6" t="s">
        <v>138</v>
      </c>
      <c r="T6">
        <v>13</v>
      </c>
      <c r="U6">
        <v>10000000</v>
      </c>
      <c r="V6">
        <v>25</v>
      </c>
      <c r="X6" t="s">
        <v>676</v>
      </c>
      <c r="Y6" t="str">
        <f>INDEX(S75:T78,MATCH(B33,S75:S78,0),2)</f>
        <v>N/A</v>
      </c>
      <c r="AA6" s="78"/>
      <c r="AB6" s="9" t="s">
        <v>2418</v>
      </c>
      <c r="AC6">
        <v>5</v>
      </c>
      <c r="AD6" s="46">
        <v>-1</v>
      </c>
      <c r="AE6">
        <v>5</v>
      </c>
      <c r="AF6">
        <v>-1</v>
      </c>
    </row>
    <row r="7" spans="1:32" ht="15" thickBot="1" x14ac:dyDescent="0.35">
      <c r="B7" s="7" t="s">
        <v>1446</v>
      </c>
      <c r="C7" s="196" t="s">
        <v>93</v>
      </c>
      <c r="H7" s="1"/>
      <c r="I7" s="2"/>
      <c r="K7" s="2"/>
      <c r="L7" s="2"/>
      <c r="S7" t="s">
        <v>139</v>
      </c>
      <c r="T7">
        <v>14</v>
      </c>
      <c r="U7">
        <v>20000000</v>
      </c>
      <c r="V7">
        <v>30</v>
      </c>
      <c r="X7" t="s">
        <v>673</v>
      </c>
      <c r="Y7" t="str">
        <f>INDEX(S45:T48,MATCH(B26,S45:S48,0),2)</f>
        <v>N/A</v>
      </c>
      <c r="AA7" s="78"/>
      <c r="AB7" s="9" t="s">
        <v>19</v>
      </c>
      <c r="AC7">
        <v>1</v>
      </c>
      <c r="AD7" s="46">
        <v>0</v>
      </c>
      <c r="AE7">
        <v>1</v>
      </c>
      <c r="AF7">
        <v>0</v>
      </c>
    </row>
    <row r="8" spans="1:32" ht="15" thickBot="1" x14ac:dyDescent="0.35">
      <c r="A8" s="5" t="s">
        <v>83</v>
      </c>
      <c r="S8" t="s">
        <v>140</v>
      </c>
      <c r="T8">
        <v>15</v>
      </c>
      <c r="U8">
        <v>30000000</v>
      </c>
      <c r="V8">
        <v>35</v>
      </c>
      <c r="X8" t="s">
        <v>246</v>
      </c>
      <c r="Y8" t="str">
        <f>INDEX(S59:T62,MATCH(B30,S59:S62,0),2)</f>
        <v>N/A</v>
      </c>
      <c r="AA8" s="78"/>
      <c r="AB8" s="9" t="s">
        <v>2520</v>
      </c>
      <c r="AC8">
        <f>1*(1/(2^(AD8)))</f>
        <v>3.125E-2</v>
      </c>
      <c r="AD8">
        <f>D2-INDEX(S1:T17,MATCH(B9,S1:S17,0),2)</f>
        <v>5</v>
      </c>
      <c r="AE8" s="539">
        <f>1*(1/(2^(AF8)))</f>
        <v>1</v>
      </c>
      <c r="AF8" s="540">
        <f>IF(INDEX(S1:T17,MATCH(B13,S1:S17,0),2)=0,0,D2-INDEX(S1:T17,MATCH(B13,S1:S17,0),2))</f>
        <v>0</v>
      </c>
    </row>
    <row r="9" spans="1:32" ht="15" thickBot="1" x14ac:dyDescent="0.35">
      <c r="A9" s="7" t="s">
        <v>84</v>
      </c>
      <c r="B9" s="197" t="s">
        <v>150</v>
      </c>
      <c r="D9" s="2">
        <f>IF(INDEX(S1:U17,MATCH(B9,S1:S17,0),2)&gt;D2,INDEX(S1:U17,MATCH(B9,S1:S17,0),2),INDEX(S1:U17,MATCH(B9,S1:S17,0),2)+AD11)</f>
        <v>7</v>
      </c>
      <c r="F9" s="4">
        <f>IF(D9&gt;D2,INDEX(S1:V17,MATCH(B9,S1:S17,0),3),INDEX(S1:V17,MATCH(B9,S1:S17,0),3)*AC11)</f>
        <v>30000</v>
      </c>
      <c r="G9" s="3" t="str">
        <f>IF(B9=S1,"Robobrain must have sufficient bandwidth to BE the ship and control any software needed for normal operations","")</f>
        <v/>
      </c>
      <c r="S9" t="s">
        <v>1334</v>
      </c>
      <c r="T9">
        <v>16</v>
      </c>
      <c r="U9">
        <v>40000000</v>
      </c>
      <c r="V9">
        <v>40</v>
      </c>
      <c r="X9" t="s">
        <v>674</v>
      </c>
      <c r="Y9" t="str">
        <f>INDEX(S55:T58,MATCH(B29,S55:S58,0),2)</f>
        <v>N/A</v>
      </c>
      <c r="AA9" s="78"/>
      <c r="AB9" s="9"/>
      <c r="AD9" s="46"/>
    </row>
    <row r="10" spans="1:32" ht="15" thickBot="1" x14ac:dyDescent="0.35">
      <c r="A10" s="7" t="s">
        <v>142</v>
      </c>
      <c r="B10" s="251" t="s">
        <v>92</v>
      </c>
      <c r="F10" s="4">
        <f>INDEX(S21:T22,MATCH(B10,S21:S22,0),2)*F9</f>
        <v>0</v>
      </c>
      <c r="S10" t="s">
        <v>144</v>
      </c>
      <c r="T10">
        <v>9</v>
      </c>
      <c r="U10">
        <v>45000000</v>
      </c>
      <c r="V10">
        <v>40</v>
      </c>
      <c r="X10" t="s">
        <v>675</v>
      </c>
      <c r="Y10" t="str">
        <f>INDEX(S49:T50,MATCH(B27,S49:S50,0),2)</f>
        <v>N/A</v>
      </c>
      <c r="AA10" s="78"/>
      <c r="AB10" s="9"/>
      <c r="AD10" s="46"/>
    </row>
    <row r="11" spans="1:32" ht="15" thickBot="1" x14ac:dyDescent="0.35">
      <c r="A11" s="7" t="s">
        <v>143</v>
      </c>
      <c r="B11" s="251" t="s">
        <v>92</v>
      </c>
      <c r="F11" s="4">
        <f>INDEX(S21:T22,MATCH(B11,S21:S22,0),2)*F9</f>
        <v>0</v>
      </c>
      <c r="S11" t="s">
        <v>145</v>
      </c>
      <c r="T11">
        <v>10</v>
      </c>
      <c r="U11">
        <v>60000000</v>
      </c>
      <c r="V11">
        <v>50</v>
      </c>
      <c r="X11" t="s">
        <v>677</v>
      </c>
      <c r="Y11" t="str">
        <f>INDEX(S79:T81,MATCH(B36,S79:S81,0),2)</f>
        <v>X</v>
      </c>
      <c r="AA11" s="86"/>
      <c r="AB11" s="101" t="s">
        <v>2414</v>
      </c>
      <c r="AC11" s="28">
        <f>INDEX(AB5:AD10,MATCH(L6,AB5:AB10,0),2)</f>
        <v>1</v>
      </c>
      <c r="AD11" s="79">
        <f>INDEX(AB5:AD8,MATCH(L6,AB5:AB8,0),3)</f>
        <v>0</v>
      </c>
      <c r="AE11">
        <f>INDEX(AB5:AE10,MATCH(L6,AB5:AB10,0),4)</f>
        <v>1</v>
      </c>
      <c r="AF11">
        <f>INDEX(AB5:AF8,MATCH(L6,AB5:AB8,0),5)</f>
        <v>0</v>
      </c>
    </row>
    <row r="12" spans="1:32" ht="15" thickBot="1" x14ac:dyDescent="0.35">
      <c r="B12" s="2"/>
      <c r="F12" s="4"/>
      <c r="S12" t="s">
        <v>146</v>
      </c>
      <c r="T12">
        <v>11</v>
      </c>
      <c r="U12">
        <v>75000000</v>
      </c>
      <c r="V12">
        <v>60</v>
      </c>
      <c r="AB12" s="559" t="str">
        <f>IF(L6=AB7,"",", ("&amp;L6&amp;")")</f>
        <v/>
      </c>
      <c r="AC12" s="540"/>
    </row>
    <row r="13" spans="1:32" ht="15" thickBot="1" x14ac:dyDescent="0.35">
      <c r="A13" s="7" t="s">
        <v>85</v>
      </c>
      <c r="B13" s="251" t="s">
        <v>1020</v>
      </c>
      <c r="D13" s="2">
        <f>INDEX(S1:U17,MATCH(B13,S1:S17,0),2)+IF(INDEX(S1:U17,MATCH(B13,S1:S17,0),2)=0,0,AF11)</f>
        <v>0</v>
      </c>
      <c r="F13" s="4">
        <f>IF(D13&gt;D2,INDEX(S1:V17,MATCH(B13,S1:S17,0),3),INDEX(S1:V17,MATCH(B13,S1:S17,0),3)*AE11)</f>
        <v>0</v>
      </c>
      <c r="S13" t="s">
        <v>147</v>
      </c>
      <c r="T13">
        <v>12</v>
      </c>
      <c r="U13">
        <v>80000000</v>
      </c>
      <c r="V13">
        <v>70</v>
      </c>
    </row>
    <row r="14" spans="1:32" ht="15" thickBot="1" x14ac:dyDescent="0.35">
      <c r="A14" s="7" t="s">
        <v>142</v>
      </c>
      <c r="B14" s="251" t="s">
        <v>92</v>
      </c>
      <c r="F14" s="4">
        <f>INDEX(S21:T22,MATCH(B14,S21:S22,0),2)*F13</f>
        <v>0</v>
      </c>
      <c r="S14" t="s">
        <v>148</v>
      </c>
      <c r="T14">
        <v>13</v>
      </c>
      <c r="U14">
        <v>95000000</v>
      </c>
      <c r="V14">
        <v>80</v>
      </c>
      <c r="X14" t="s">
        <v>614</v>
      </c>
      <c r="Y14">
        <f>IF(C6=S22,1,0)</f>
        <v>0</v>
      </c>
    </row>
    <row r="15" spans="1:32" ht="15" thickBot="1" x14ac:dyDescent="0.35">
      <c r="A15" s="7" t="s">
        <v>143</v>
      </c>
      <c r="B15" s="251" t="s">
        <v>92</v>
      </c>
      <c r="F15" s="4">
        <f>INDEX(S21:T22,MATCH(B15,S21:S22,0),2)*F13</f>
        <v>0</v>
      </c>
      <c r="S15" t="s">
        <v>149</v>
      </c>
      <c r="T15">
        <v>14</v>
      </c>
      <c r="U15">
        <v>120000000</v>
      </c>
      <c r="V15">
        <v>90</v>
      </c>
    </row>
    <row r="16" spans="1:32" x14ac:dyDescent="0.3">
      <c r="B16" s="2"/>
      <c r="F16" s="4"/>
      <c r="S16" t="s">
        <v>141</v>
      </c>
      <c r="T16">
        <v>15</v>
      </c>
      <c r="U16">
        <v>130000000</v>
      </c>
      <c r="V16">
        <v>100</v>
      </c>
    </row>
    <row r="17" spans="1:25" x14ac:dyDescent="0.3">
      <c r="B17" s="7" t="s">
        <v>254</v>
      </c>
      <c r="C17" s="2" t="str">
        <f>INDEX(S1:V17,MATCH(B9,S1:S17,0),4)+IF(C6="No",0,INDEX(S1:V17,MATCH(B13,S1:S17,0),4))&amp;IF(B9=S9,"",IF(INDEX(S1:V17,MATCH(B9,S1:S17,0),4)&gt;39,"+"&amp;C32,""))</f>
        <v>5</v>
      </c>
      <c r="D17" s="16" t="str">
        <f>IF(B9=S9,"",IF(INDEX(S1:V17,MATCH(B9,S1:S17,0),4)&gt;39,C32&amp;" units of bandwidth reserved for Jump Control Only. No other programs permitted",""))</f>
        <v/>
      </c>
      <c r="F17" s="4"/>
      <c r="S17" t="s">
        <v>1335</v>
      </c>
      <c r="T17">
        <v>16</v>
      </c>
      <c r="U17">
        <v>150000000</v>
      </c>
      <c r="V17">
        <v>110</v>
      </c>
    </row>
    <row r="18" spans="1:25" x14ac:dyDescent="0.3">
      <c r="B18" s="7" t="s">
        <v>723</v>
      </c>
      <c r="C18" s="2">
        <f>SUM(C21:C44,D48:D55)</f>
        <v>0</v>
      </c>
    </row>
    <row r="19" spans="1:25" x14ac:dyDescent="0.3">
      <c r="B19" s="2"/>
      <c r="C19" s="2"/>
      <c r="X19" t="s">
        <v>1530</v>
      </c>
      <c r="Y19" s="107">
        <f>IF(B40=S90,0,B41)</f>
        <v>0</v>
      </c>
    </row>
    <row r="20" spans="1:25" ht="15" thickBot="1" x14ac:dyDescent="0.35">
      <c r="A20" s="15" t="s">
        <v>212</v>
      </c>
      <c r="B20" s="2"/>
      <c r="C20" s="1" t="s">
        <v>213</v>
      </c>
      <c r="D20" s="1" t="s">
        <v>26</v>
      </c>
      <c r="I20" s="3" t="s">
        <v>164</v>
      </c>
      <c r="X20" t="s">
        <v>739</v>
      </c>
      <c r="Y20">
        <f>SUM(Y21:Y23)</f>
        <v>0</v>
      </c>
    </row>
    <row r="21" spans="1:25" ht="15" thickBot="1" x14ac:dyDescent="0.35">
      <c r="A21" t="s">
        <v>240</v>
      </c>
      <c r="B21" s="251" t="s">
        <v>1020</v>
      </c>
      <c r="C21" s="2">
        <f>INDEX(S25:X28,MATCH(B21,S25:S28,0),4)</f>
        <v>0</v>
      </c>
      <c r="D21" s="2">
        <f>INDEX(S25:X28,MATCH(B21,S25:S28,0),5)</f>
        <v>0</v>
      </c>
      <c r="F21" s="4">
        <f>INDEX(S25:X28,MATCH(B21,S25:S28,0),3)</f>
        <v>0</v>
      </c>
      <c r="I21" t="str">
        <f>INDEX(S25:X28,MATCH(B21,S25:S28,0),6)</f>
        <v xml:space="preserve"> </v>
      </c>
      <c r="S21" t="s">
        <v>92</v>
      </c>
      <c r="T21">
        <v>0</v>
      </c>
      <c r="V21">
        <f>INDEX(S1:V17,MATCH(B9,S1:S17,0),4)</f>
        <v>5</v>
      </c>
      <c r="X21" t="s">
        <v>26</v>
      </c>
      <c r="Y21">
        <f>IF(MAX(D9:D15,D21:D42,E49:E53)&gt;D2,1,0)</f>
        <v>0</v>
      </c>
    </row>
    <row r="22" spans="1:25" ht="15" thickBot="1" x14ac:dyDescent="0.35">
      <c r="A22" t="s">
        <v>241</v>
      </c>
      <c r="B22" s="251" t="s">
        <v>1020</v>
      </c>
      <c r="C22" s="2">
        <f>INDEX(S29:X32,MATCH(B22,S29:S32,0),4)</f>
        <v>0</v>
      </c>
      <c r="D22" s="2">
        <f>INDEX(S29:X32,MATCH(B22,S29:S32,0),5)</f>
        <v>0</v>
      </c>
      <c r="F22" s="4">
        <f>INDEX(S29:X32,MATCH(B22,S29:S32,0),3)</f>
        <v>0</v>
      </c>
      <c r="I22" t="str">
        <f>INDEX(S29:X32,MATCH(B22,S29:S32,0),6)</f>
        <v xml:space="preserve"> </v>
      </c>
      <c r="S22" t="s">
        <v>93</v>
      </c>
      <c r="T22">
        <v>0.5</v>
      </c>
      <c r="V22">
        <f>INDEX(S1:V17,MATCH(B13,S1:S17,0),4)</f>
        <v>0</v>
      </c>
      <c r="X22" t="s">
        <v>770</v>
      </c>
      <c r="Y22">
        <f>IF(B9&gt;B13,0,IF(AND(B9="",B13=""),0,1))</f>
        <v>0</v>
      </c>
    </row>
    <row r="23" spans="1:25" ht="15" thickBot="1" x14ac:dyDescent="0.35">
      <c r="A23" t="s">
        <v>242</v>
      </c>
      <c r="B23" s="251" t="s">
        <v>1020</v>
      </c>
      <c r="C23" s="2">
        <f>INDEX(S33:X35,MATCH(B23,S33:S35,0),4)</f>
        <v>0</v>
      </c>
      <c r="D23" s="2">
        <f>INDEX(S33:X35,MATCH(B23,S33:S35,0),5)</f>
        <v>0</v>
      </c>
      <c r="F23" s="4">
        <f>INDEX(S33:X35,MATCH(B23,S33:S35,0),3)</f>
        <v>0</v>
      </c>
      <c r="I23" t="str">
        <f>INDEX(S33:X35,MATCH(B23,S33:S35,0),6)</f>
        <v xml:space="preserve"> </v>
      </c>
      <c r="V23" s="14">
        <f>SUM(V21:V22)</f>
        <v>5</v>
      </c>
      <c r="X23" t="s">
        <v>1530</v>
      </c>
      <c r="Y23">
        <f>IF(B41&gt;'10-Crew'!X7,1,0)</f>
        <v>0</v>
      </c>
    </row>
    <row r="24" spans="1:25" ht="15" thickBot="1" x14ac:dyDescent="0.35">
      <c r="A24" t="s">
        <v>243</v>
      </c>
      <c r="B24" s="251" t="s">
        <v>1020</v>
      </c>
      <c r="C24" s="2">
        <f>INDEX(S36:X41,MATCH(B24,S36:S41,0),4)</f>
        <v>0</v>
      </c>
      <c r="D24" s="2">
        <f>INDEX(S36:X41,MATCH(B24,S36:S41,0),5)</f>
        <v>0</v>
      </c>
      <c r="F24" s="4">
        <f>INDEX(S36:X41,MATCH(B24,S36:S41,0),3)</f>
        <v>0</v>
      </c>
      <c r="I24" t="str">
        <f>INDEX(S36:X41,MATCH(B24,S36:S41,0),6)</f>
        <v xml:space="preserve"> </v>
      </c>
      <c r="S24" s="1" t="s">
        <v>165</v>
      </c>
      <c r="T24" s="1"/>
      <c r="U24" s="1" t="s">
        <v>1</v>
      </c>
      <c r="V24" s="1" t="s">
        <v>163</v>
      </c>
      <c r="W24" s="1" t="s">
        <v>26</v>
      </c>
      <c r="X24" s="1" t="s">
        <v>164</v>
      </c>
      <c r="Y24" s="3"/>
    </row>
    <row r="25" spans="1:25" ht="15" thickBot="1" x14ac:dyDescent="0.35">
      <c r="A25" t="s">
        <v>1273</v>
      </c>
      <c r="B25" s="251" t="s">
        <v>1020</v>
      </c>
      <c r="C25" s="2">
        <f>INDEX(S42:X44,MATCH(B25,S42:S44,0),4)</f>
        <v>0</v>
      </c>
      <c r="D25" s="2">
        <f>INDEX(S42:X44,MATCH(B25,S42:S44,0),5)</f>
        <v>0</v>
      </c>
      <c r="F25" s="4">
        <f>INDEX(S42:X44,MATCH(B25,S42:S44,0),3)</f>
        <v>0</v>
      </c>
      <c r="I25" t="str">
        <f>INDEX(S42:X44,MATCH(B25,S42:S44,0),6)</f>
        <v/>
      </c>
      <c r="S25" t="str">
        <f>""</f>
        <v/>
      </c>
      <c r="T25" t="s">
        <v>60</v>
      </c>
      <c r="U25">
        <v>0</v>
      </c>
      <c r="V25">
        <v>0</v>
      </c>
      <c r="W25">
        <v>0</v>
      </c>
      <c r="X25" t="s">
        <v>33</v>
      </c>
    </row>
    <row r="26" spans="1:25" ht="15" thickBot="1" x14ac:dyDescent="0.35">
      <c r="A26" t="s">
        <v>244</v>
      </c>
      <c r="B26" s="251" t="s">
        <v>1020</v>
      </c>
      <c r="C26" s="2">
        <f>INDEX(S45:X48,MATCH(B26,S45:S48,0),4)</f>
        <v>0</v>
      </c>
      <c r="D26" s="2">
        <f>INDEX(S45:X48,MATCH(B26,S45:S48,0),5)</f>
        <v>0</v>
      </c>
      <c r="F26" s="4">
        <f>INDEX(S45:X48,MATCH(B26,S45:S48,0),3)</f>
        <v>0</v>
      </c>
      <c r="I26" t="str">
        <f>INDEX(S45:X48,MATCH(B26,S45:S48,0),6)</f>
        <v xml:space="preserve"> </v>
      </c>
      <c r="S26" t="s">
        <v>151</v>
      </c>
      <c r="T26" t="s">
        <v>686</v>
      </c>
      <c r="U26">
        <v>12000000</v>
      </c>
      <c r="V26">
        <v>15</v>
      </c>
      <c r="W26">
        <v>10</v>
      </c>
      <c r="X26" t="s">
        <v>157</v>
      </c>
    </row>
    <row r="27" spans="1:25" ht="15" thickBot="1" x14ac:dyDescent="0.35">
      <c r="A27" t="s">
        <v>172</v>
      </c>
      <c r="B27" s="251" t="s">
        <v>1020</v>
      </c>
      <c r="C27" s="2">
        <f>INDEX(S49:X50,MATCH(B27,S49:S50,0),4)</f>
        <v>0</v>
      </c>
      <c r="D27" s="2">
        <f>INDEX(S49:X50,MATCH(B27,S49:S50,0),5)</f>
        <v>0</v>
      </c>
      <c r="F27" s="4">
        <f>INDEX(S49:X50,MATCH(B27,S49:S50,0),3)</f>
        <v>0</v>
      </c>
      <c r="I27" t="str">
        <f>INDEX(S49:X50,MATCH(B27,S49:S50,0),6)</f>
        <v xml:space="preserve"> </v>
      </c>
      <c r="S27" t="s">
        <v>153</v>
      </c>
      <c r="T27" t="s">
        <v>687</v>
      </c>
      <c r="U27">
        <v>15000000</v>
      </c>
      <c r="V27">
        <v>25</v>
      </c>
      <c r="W27">
        <v>12</v>
      </c>
      <c r="X27" t="s">
        <v>159</v>
      </c>
    </row>
    <row r="28" spans="1:25" ht="15" thickBot="1" x14ac:dyDescent="0.35">
      <c r="A28" t="s">
        <v>174</v>
      </c>
      <c r="B28" s="251" t="s">
        <v>1020</v>
      </c>
      <c r="C28" s="2">
        <f>INDEX(S51:X54,MATCH(B28,S51:S54,0),4)</f>
        <v>0</v>
      </c>
      <c r="D28" s="2">
        <f>INDEX(S51:X54,MATCH(B28,S51:S54,0),5)</f>
        <v>0</v>
      </c>
      <c r="F28" s="4">
        <f>INDEX(S51:X54,MATCH(B28,S51:S54,0),3)</f>
        <v>0</v>
      </c>
      <c r="I28" t="str">
        <f>INDEX(S51:X54,MATCH(B28,S51:S54,0),6)</f>
        <v xml:space="preserve"> </v>
      </c>
      <c r="S28" t="s">
        <v>152</v>
      </c>
      <c r="T28" t="s">
        <v>688</v>
      </c>
      <c r="U28">
        <v>18000000</v>
      </c>
      <c r="V28">
        <v>30</v>
      </c>
      <c r="W28">
        <v>14</v>
      </c>
      <c r="X28" t="s">
        <v>158</v>
      </c>
    </row>
    <row r="29" spans="1:25" ht="15" thickBot="1" x14ac:dyDescent="0.35">
      <c r="A29" t="s">
        <v>245</v>
      </c>
      <c r="B29" s="251" t="s">
        <v>1020</v>
      </c>
      <c r="C29" s="2">
        <f>INDEX(S55:X58,MATCH(B29,S55:S58,0),4)</f>
        <v>0</v>
      </c>
      <c r="D29" s="2">
        <f>INDEX(S55:X58,MATCH(B29,S55:S58,0),5)</f>
        <v>0</v>
      </c>
      <c r="F29" s="4">
        <f>INDEX(S55:X58,MATCH(B29,S55:S58,0),3)</f>
        <v>0</v>
      </c>
      <c r="I29" t="str">
        <f>INDEX(S55:X58,MATCH(B29,S55:S58,0),6)</f>
        <v xml:space="preserve"> </v>
      </c>
      <c r="S29" t="str">
        <f>""</f>
        <v/>
      </c>
      <c r="U29">
        <v>0</v>
      </c>
      <c r="V29">
        <v>0</v>
      </c>
      <c r="W29">
        <v>0</v>
      </c>
      <c r="X29" t="s">
        <v>33</v>
      </c>
    </row>
    <row r="30" spans="1:25" ht="15" thickBot="1" x14ac:dyDescent="0.35">
      <c r="A30" t="s">
        <v>246</v>
      </c>
      <c r="B30" s="251" t="s">
        <v>1020</v>
      </c>
      <c r="C30" s="2">
        <f>INDEX(S59:X62,MATCH(B30,S59:S62,0),4)</f>
        <v>0</v>
      </c>
      <c r="D30" s="2">
        <f>INDEX(S59:X62,MATCH(B30,S59:S62,0),5)</f>
        <v>0</v>
      </c>
      <c r="F30" s="4">
        <f>INDEX(S59:X62,MATCH(B30,S59:S62,0),3)</f>
        <v>0</v>
      </c>
      <c r="I30" t="str">
        <f>INDEX(S59:X62,MATCH(B30,S59:S62,0),6)</f>
        <v xml:space="preserve"> </v>
      </c>
      <c r="S30" t="s">
        <v>154</v>
      </c>
      <c r="U30">
        <v>6000000</v>
      </c>
      <c r="V30">
        <v>2</v>
      </c>
      <c r="W30">
        <v>11</v>
      </c>
      <c r="X30" t="s">
        <v>160</v>
      </c>
    </row>
    <row r="31" spans="1:25" ht="15" thickBot="1" x14ac:dyDescent="0.35">
      <c r="A31" t="s">
        <v>208</v>
      </c>
      <c r="B31" s="255" t="str">
        <f>IF(B9="","",IF(Tech_Level&lt;11,S63,IF(AND(C7=S21,'Ship Info'!E6="Module"),S63,S64)))</f>
        <v>Intellect</v>
      </c>
      <c r="C31" s="2">
        <f>INDEX(S63:X64,MATCH(B31,S63:S64,0),4)</f>
        <v>0</v>
      </c>
      <c r="D31" s="2">
        <f>INDEX(S63:X64,MATCH(B31,S63:S64,0),5)</f>
        <v>11</v>
      </c>
      <c r="F31" s="4">
        <f>INDEX(S63:X64,MATCH(B31,S63:S64,0),3)</f>
        <v>0</v>
      </c>
      <c r="I31" t="str">
        <f>INDEX(S63:X64,MATCH(B31,S63:S64,0),6)</f>
        <v>Allows a ship to understand and obey verbal commands</v>
      </c>
      <c r="S31" t="s">
        <v>155</v>
      </c>
      <c r="U31">
        <v>8000000</v>
      </c>
      <c r="V31">
        <v>5</v>
      </c>
      <c r="W31">
        <v>12</v>
      </c>
      <c r="X31" t="s">
        <v>162</v>
      </c>
    </row>
    <row r="32" spans="1:25" ht="15" thickBot="1" x14ac:dyDescent="0.35">
      <c r="A32" t="str">
        <f>IF('2-Drives'!B29="Jump Drive (Hop)","Hop Control",IF('2-Drives'!B29="Jump Drive (Skip)","Skip Control","Jump Control"))</f>
        <v>Jump Control</v>
      </c>
      <c r="B32" s="251" t="s">
        <v>1020</v>
      </c>
      <c r="C32" s="2">
        <f>INDEX(S65:X74,MATCH(B32,S65:S74,0),4)</f>
        <v>0</v>
      </c>
      <c r="D32" s="2">
        <f>INDEX(S65:X74,MATCH(B32,S65:S74,0),5)+IF(SUM('2-Drives'!E32:E34)&lt;0,SUM('2-Drives'!E32:E34),0)</f>
        <v>0</v>
      </c>
      <c r="F32" s="4">
        <f>IF(LEFT(B9,4)="Core",0,INDEX(S65:X74,MATCH(B32,S65:S74,0),3))*IF(D32=INDEX(S65:X74,MATCH(B32,S65:S74,0),5),1,IF(INDEX(S65:X74,MATCH(B32,S65:S74,0),5)-D32=1,5,10))</f>
        <v>0</v>
      </c>
      <c r="I32" t="str">
        <f>INDEX(S65:X74,MATCH(B32,S65:S74,0),6)</f>
        <v xml:space="preserve"> </v>
      </c>
      <c r="S32" t="s">
        <v>156</v>
      </c>
      <c r="U32">
        <v>10000000</v>
      </c>
      <c r="V32">
        <v>10</v>
      </c>
      <c r="W32">
        <v>13</v>
      </c>
      <c r="X32" t="s">
        <v>161</v>
      </c>
    </row>
    <row r="33" spans="1:24" ht="15" thickBot="1" x14ac:dyDescent="0.35">
      <c r="A33" t="s">
        <v>247</v>
      </c>
      <c r="B33" s="251" t="s">
        <v>1020</v>
      </c>
      <c r="C33" s="2">
        <f>INDEX(S75:X78,MATCH(B33,S75:S78,0),4)</f>
        <v>0</v>
      </c>
      <c r="D33" s="2">
        <f>INDEX(S75:X78,MATCH(B33,S75:S78,0),5)</f>
        <v>0</v>
      </c>
      <c r="F33" s="4">
        <f>INDEX(S75:X78,MATCH(B33,S75:S78,0),3)</f>
        <v>0</v>
      </c>
      <c r="I33" t="str">
        <f>INDEX(S75:X78,MATCH(B33,S75:S78,0),6)</f>
        <v xml:space="preserve"> </v>
      </c>
      <c r="S33" t="str">
        <f>""</f>
        <v/>
      </c>
      <c r="U33">
        <v>0</v>
      </c>
      <c r="V33">
        <v>0</v>
      </c>
      <c r="W33">
        <v>0</v>
      </c>
      <c r="X33" t="s">
        <v>33</v>
      </c>
    </row>
    <row r="34" spans="1:24" x14ac:dyDescent="0.3">
      <c r="A34" s="16" t="s">
        <v>211</v>
      </c>
      <c r="B34" s="256" t="str">
        <f>IF(B9="","",IF(AND(C7=S21,'Ship Info'!E6="Module"),"","Library"))</f>
        <v>Library</v>
      </c>
      <c r="C34" s="2">
        <v>0</v>
      </c>
      <c r="D34" s="2">
        <f>IF(SUM(F9:F15)=0,0,8+IF(D2=7,-1,0))</f>
        <v>8</v>
      </c>
      <c r="F34" s="4">
        <v>0</v>
      </c>
      <c r="I34" t="s">
        <v>214</v>
      </c>
      <c r="S34" t="s">
        <v>188</v>
      </c>
      <c r="U34">
        <v>5000000</v>
      </c>
      <c r="V34">
        <v>10</v>
      </c>
      <c r="W34">
        <v>10</v>
      </c>
      <c r="X34" t="s">
        <v>190</v>
      </c>
    </row>
    <row r="35" spans="1:24" ht="15" thickBot="1" x14ac:dyDescent="0.35">
      <c r="A35" s="16" t="s">
        <v>215</v>
      </c>
      <c r="B35" s="256" t="str">
        <f>IF(B9="","",IF(AND(C7=S21,'Ship Info'!E6="Module"),"","Manoeuvre/0"))</f>
        <v>Manoeuvre/0</v>
      </c>
      <c r="C35" s="2">
        <v>0</v>
      </c>
      <c r="D35" s="2">
        <f>8+IF(SUM('2-Drives'!E19:E21)&lt;0,SUM('2-Drives'!E19:E21),0)-IF(SUM(F9:F15)=0,8,0)</f>
        <v>8</v>
      </c>
      <c r="F35" s="4">
        <v>0</v>
      </c>
      <c r="I35" t="s">
        <v>216</v>
      </c>
      <c r="S35" t="s">
        <v>239</v>
      </c>
      <c r="U35">
        <v>10000000</v>
      </c>
      <c r="V35">
        <v>20</v>
      </c>
      <c r="W35">
        <v>12</v>
      </c>
      <c r="X35" t="s">
        <v>189</v>
      </c>
    </row>
    <row r="36" spans="1:24" ht="15" thickBot="1" x14ac:dyDescent="0.35">
      <c r="A36" t="s">
        <v>248</v>
      </c>
      <c r="B36" s="251" t="s">
        <v>1020</v>
      </c>
      <c r="C36" s="2">
        <f>INDEX(S79:X81,MATCH(B36,S79:S81,0),4)</f>
        <v>0</v>
      </c>
      <c r="D36" s="2">
        <f>INDEX(S79:X81,MATCH(B36,S79:S81,0),5)</f>
        <v>0</v>
      </c>
      <c r="F36" s="4">
        <f>INDEX(S79:X81,MATCH(B36,S79:S81,0),3)</f>
        <v>0</v>
      </c>
      <c r="I36" t="str">
        <f>INDEX(S79:X81,MATCH(B36,S79:S81,0),6)</f>
        <v xml:space="preserve"> </v>
      </c>
      <c r="S36" t="str">
        <f>""</f>
        <v/>
      </c>
      <c r="U36">
        <v>0</v>
      </c>
      <c r="V36">
        <v>0</v>
      </c>
      <c r="W36">
        <v>0</v>
      </c>
      <c r="X36" t="s">
        <v>33</v>
      </c>
    </row>
    <row r="37" spans="1:24" ht="15" thickBot="1" x14ac:dyDescent="0.35">
      <c r="A37" t="s">
        <v>220</v>
      </c>
      <c r="B37" s="251" t="s">
        <v>1020</v>
      </c>
      <c r="C37" s="2">
        <f>INDEX(S82:X83,MATCH(B37,S82:S83,0),4)</f>
        <v>0</v>
      </c>
      <c r="D37" s="2">
        <f>INDEX(S82:X83,MATCH(B37,S82:S83,0),5)</f>
        <v>0</v>
      </c>
      <c r="F37" s="4">
        <f>INDEX(S82:X83,MATCH(B37,S82:S83,0),3)</f>
        <v>0</v>
      </c>
      <c r="I37" t="str">
        <f>INDEX(S82:X83,MATCH(B37,S82:S83,0),6)</f>
        <v xml:space="preserve"> </v>
      </c>
      <c r="S37" t="s">
        <v>191</v>
      </c>
      <c r="T37" t="s">
        <v>690</v>
      </c>
      <c r="U37">
        <v>2000000</v>
      </c>
      <c r="V37">
        <v>5</v>
      </c>
      <c r="W37">
        <v>9</v>
      </c>
      <c r="X37" t="s">
        <v>196</v>
      </c>
    </row>
    <row r="38" spans="1:24" ht="15" thickBot="1" x14ac:dyDescent="0.35">
      <c r="A38" t="s">
        <v>249</v>
      </c>
      <c r="B38" s="251" t="s">
        <v>1020</v>
      </c>
      <c r="C38" s="2">
        <f>INDEX(S84:X87,MATCH(B38,S84:S87,0),4)</f>
        <v>0</v>
      </c>
      <c r="D38" s="2">
        <f>INDEX(S84:X87,MATCH(B38,S84:S87,0),5)</f>
        <v>0</v>
      </c>
      <c r="F38" s="4">
        <f>INDEX(S84:X87,MATCH(B38,S84:S87,0),3)</f>
        <v>0</v>
      </c>
      <c r="I38" t="str">
        <f>INDEX(S84:X87,MATCH(B38,S84:S87,0),6)</f>
        <v xml:space="preserve"> </v>
      </c>
      <c r="S38" t="s">
        <v>192</v>
      </c>
      <c r="T38" t="s">
        <v>691</v>
      </c>
      <c r="U38">
        <v>4000000</v>
      </c>
      <c r="V38">
        <v>10</v>
      </c>
      <c r="W38">
        <v>10</v>
      </c>
      <c r="X38" t="s">
        <v>197</v>
      </c>
    </row>
    <row r="39" spans="1:24" ht="15" thickBot="1" x14ac:dyDescent="0.35">
      <c r="A39" s="9" t="s">
        <v>251</v>
      </c>
      <c r="B39" s="252">
        <v>0</v>
      </c>
      <c r="C39" s="2">
        <f>IF(B39&gt;0,ROUNDUP(B39/5,0)-1,0)</f>
        <v>0</v>
      </c>
      <c r="F39" s="4">
        <v>0</v>
      </c>
      <c r="S39" t="s">
        <v>193</v>
      </c>
      <c r="T39" t="s">
        <v>692</v>
      </c>
      <c r="U39">
        <v>6000000</v>
      </c>
      <c r="V39">
        <v>15</v>
      </c>
      <c r="W39">
        <v>11</v>
      </c>
      <c r="X39" t="s">
        <v>198</v>
      </c>
    </row>
    <row r="40" spans="1:24" ht="15" thickBot="1" x14ac:dyDescent="0.35">
      <c r="A40" t="s">
        <v>250</v>
      </c>
      <c r="B40" s="251" t="s">
        <v>1020</v>
      </c>
      <c r="C40" s="2">
        <f>INDEX(S90:X93,MATCH(B40,S90:S93,0),4)</f>
        <v>0</v>
      </c>
      <c r="D40" s="2">
        <f>INDEX(S90:X93,MATCH(B40,S90:S93,0),5)</f>
        <v>0</v>
      </c>
      <c r="F40" s="4">
        <f>INDEX(S90:X93,MATCH(B40,S90:S93,0),3)</f>
        <v>0</v>
      </c>
      <c r="I40" t="str">
        <f>INDEX(S90:X93,MATCH(B40,S90:S93,0),6)</f>
        <v xml:space="preserve"> </v>
      </c>
      <c r="S40" t="s">
        <v>194</v>
      </c>
      <c r="T40" t="s">
        <v>693</v>
      </c>
      <c r="U40">
        <v>8000000</v>
      </c>
      <c r="V40">
        <v>20</v>
      </c>
      <c r="W40">
        <v>12</v>
      </c>
      <c r="X40" t="s">
        <v>199</v>
      </c>
    </row>
    <row r="41" spans="1:24" ht="15" thickBot="1" x14ac:dyDescent="0.35">
      <c r="A41" s="9" t="s">
        <v>252</v>
      </c>
      <c r="B41" s="252">
        <v>0</v>
      </c>
      <c r="C41" s="2">
        <f>IF(B41&gt;0,ROUNDUP(B41/10,0)-1,0)</f>
        <v>0</v>
      </c>
      <c r="F41" s="4"/>
      <c r="I41" t="str">
        <f>"Limit = "&amp;'10-Crew'!X7</f>
        <v>Limit = 0</v>
      </c>
      <c r="S41" t="s">
        <v>195</v>
      </c>
      <c r="T41" t="s">
        <v>694</v>
      </c>
      <c r="U41">
        <v>10000000</v>
      </c>
      <c r="V41">
        <v>25</v>
      </c>
      <c r="W41">
        <v>13</v>
      </c>
      <c r="X41" t="s">
        <v>200</v>
      </c>
    </row>
    <row r="42" spans="1:24" ht="15" thickBot="1" x14ac:dyDescent="0.35">
      <c r="A42" s="16" t="s">
        <v>238</v>
      </c>
      <c r="B42" s="9" t="s">
        <v>253</v>
      </c>
      <c r="C42" s="253">
        <v>0</v>
      </c>
      <c r="D42" s="2">
        <f>IF(C42=0,0,7)</f>
        <v>0</v>
      </c>
      <c r="F42" s="4">
        <f>100*C42</f>
        <v>0</v>
      </c>
      <c r="I42" t="str">
        <f>"Generates "&amp;D2*C42&amp;" credits daily"</f>
        <v>Generates 0 credits daily</v>
      </c>
      <c r="S42" t="str">
        <f>""</f>
        <v/>
      </c>
      <c r="U42">
        <v>0</v>
      </c>
      <c r="V42">
        <v>0</v>
      </c>
      <c r="W42">
        <v>0</v>
      </c>
      <c r="X42" t="str">
        <f>""</f>
        <v/>
      </c>
    </row>
    <row r="43" spans="1:24" ht="15" thickBot="1" x14ac:dyDescent="0.35">
      <c r="C43" s="2"/>
      <c r="F43" s="4"/>
      <c r="S43" t="s">
        <v>1274</v>
      </c>
      <c r="U43">
        <v>5000000</v>
      </c>
      <c r="V43">
        <v>5</v>
      </c>
      <c r="W43">
        <v>12</v>
      </c>
      <c r="X43" t="s">
        <v>1276</v>
      </c>
    </row>
    <row r="44" spans="1:24" ht="15" thickBot="1" x14ac:dyDescent="0.35">
      <c r="A44" t="s">
        <v>1272</v>
      </c>
      <c r="B44" s="251" t="s">
        <v>276</v>
      </c>
      <c r="C44" s="2">
        <f>INDEX($S$96:$X$97,MATCH($B$44,$S$96:$S$97,0),4)</f>
        <v>0</v>
      </c>
      <c r="D44" s="2">
        <f>INDEX($S$96:$X$97,MATCH($B$44,$S$96:$S$97,0),5)</f>
        <v>0</v>
      </c>
      <c r="F44" s="4">
        <f>INDEX($S$96:$X$97,MATCH($B$44,$S$96:$S$97,0),3)</f>
        <v>0</v>
      </c>
      <c r="I44" t="str">
        <f>INDEX($S$96:$X$97,MATCH($B$44,$S$96:$S$97,0),6)</f>
        <v/>
      </c>
      <c r="S44" t="s">
        <v>1275</v>
      </c>
      <c r="U44">
        <v>10000000</v>
      </c>
      <c r="V44">
        <v>10</v>
      </c>
      <c r="W44">
        <v>14</v>
      </c>
      <c r="X44" t="s">
        <v>1277</v>
      </c>
    </row>
    <row r="45" spans="1:24" x14ac:dyDescent="0.3">
      <c r="C45" s="2"/>
      <c r="F45" s="4"/>
      <c r="S45" t="str">
        <f>""</f>
        <v/>
      </c>
      <c r="T45" t="s">
        <v>60</v>
      </c>
      <c r="U45">
        <v>0</v>
      </c>
      <c r="V45">
        <v>0</v>
      </c>
      <c r="W45">
        <v>0</v>
      </c>
      <c r="X45" t="s">
        <v>33</v>
      </c>
    </row>
    <row r="46" spans="1:24" x14ac:dyDescent="0.3">
      <c r="A46" s="9" t="s">
        <v>95</v>
      </c>
      <c r="B46" t="s">
        <v>385</v>
      </c>
      <c r="C46" s="2"/>
      <c r="F46" s="4"/>
      <c r="S46" t="s">
        <v>168</v>
      </c>
      <c r="T46" t="str">
        <f>"+1"</f>
        <v>+1</v>
      </c>
      <c r="U46">
        <v>18000000</v>
      </c>
      <c r="V46">
        <v>5</v>
      </c>
      <c r="W46">
        <v>9</v>
      </c>
      <c r="X46" t="s">
        <v>169</v>
      </c>
    </row>
    <row r="47" spans="1:24" ht="15" thickBot="1" x14ac:dyDescent="0.35">
      <c r="A47" s="3" t="s">
        <v>1416</v>
      </c>
      <c r="C47" s="1" t="s">
        <v>1422</v>
      </c>
      <c r="D47" s="1" t="s">
        <v>213</v>
      </c>
      <c r="E47" s="3" t="s">
        <v>26</v>
      </c>
      <c r="F47" s="284" t="s">
        <v>1</v>
      </c>
      <c r="G47" s="3"/>
      <c r="H47" s="3"/>
      <c r="I47" s="3" t="s">
        <v>164</v>
      </c>
      <c r="S47" t="s">
        <v>167</v>
      </c>
      <c r="T47" t="str">
        <f>"+2"</f>
        <v>+2</v>
      </c>
      <c r="U47">
        <v>24000000</v>
      </c>
      <c r="V47">
        <v>10</v>
      </c>
      <c r="W47">
        <v>12</v>
      </c>
      <c r="X47" t="s">
        <v>170</v>
      </c>
    </row>
    <row r="48" spans="1:24" ht="15" thickBot="1" x14ac:dyDescent="0.35">
      <c r="A48" t="s">
        <v>1424</v>
      </c>
      <c r="B48" s="251" t="s">
        <v>1020</v>
      </c>
      <c r="D48" s="2">
        <f>INDEX(S104:X105,MATCH(B48,S104:S105,0),4)</f>
        <v>0</v>
      </c>
      <c r="E48">
        <f>INDEX(S104:X105,MATCH(B48,S104:S105,0),5)</f>
        <v>0</v>
      </c>
      <c r="F48" s="4">
        <f>INDEX(S104:X105,MATCH(B48,S104:S105,0),3)</f>
        <v>0</v>
      </c>
      <c r="I48" t="str">
        <f>INDEX(S104:X105,MATCH(B48,S104:S105,0),6)</f>
        <v/>
      </c>
      <c r="S48" t="s">
        <v>166</v>
      </c>
      <c r="T48" t="str">
        <f>"+3"</f>
        <v>+3</v>
      </c>
      <c r="U48">
        <v>36000000</v>
      </c>
      <c r="V48">
        <v>15</v>
      </c>
      <c r="W48">
        <v>15</v>
      </c>
      <c r="X48" t="s">
        <v>171</v>
      </c>
    </row>
    <row r="49" spans="1:24" ht="15" thickBot="1" x14ac:dyDescent="0.35">
      <c r="A49" t="s">
        <v>1442</v>
      </c>
      <c r="B49" s="251" t="s">
        <v>1020</v>
      </c>
      <c r="C49" s="237">
        <v>0</v>
      </c>
      <c r="D49" s="2">
        <f>INDEX(S106:X108,MATCH(B49,S106:S108,0),4)*C49</f>
        <v>0</v>
      </c>
      <c r="E49">
        <f>INDEX(S106:X108,MATCH(B49,S106:S108,0),5)</f>
        <v>0</v>
      </c>
      <c r="F49" s="4">
        <f>INDEX(S106:X108,MATCH(B49,S106:S108,0),3)*C49</f>
        <v>0</v>
      </c>
      <c r="I49" t="str">
        <f>INDEX(S106:X108,MATCH(B49,S106:S108,0),6)</f>
        <v/>
      </c>
      <c r="S49" t="str">
        <f>""</f>
        <v/>
      </c>
      <c r="T49" t="s">
        <v>60</v>
      </c>
      <c r="U49">
        <v>0</v>
      </c>
      <c r="V49">
        <v>0</v>
      </c>
      <c r="W49">
        <v>0</v>
      </c>
      <c r="X49" t="s">
        <v>33</v>
      </c>
    </row>
    <row r="50" spans="1:24" ht="15" thickBot="1" x14ac:dyDescent="0.35">
      <c r="A50" t="s">
        <v>1418</v>
      </c>
      <c r="B50" s="251" t="s">
        <v>1020</v>
      </c>
      <c r="C50" s="237">
        <v>0</v>
      </c>
      <c r="D50" s="2">
        <f>INDEX(S109:X112,MATCH(B50,S109:S112,0),4)*C50</f>
        <v>0</v>
      </c>
      <c r="E50">
        <f>INDEX(S109:X112,MATCH(B50,S109:S112,0),5)</f>
        <v>0</v>
      </c>
      <c r="F50" s="4">
        <f>INDEX(S109:X112,MATCH(B50,S109:S112,0),3)*C50</f>
        <v>0</v>
      </c>
      <c r="I50" t="str">
        <f>INDEX(S109:X112,MATCH(B50,S109:S112,0),6)</f>
        <v/>
      </c>
      <c r="S50" t="s">
        <v>172</v>
      </c>
      <c r="T50" t="s">
        <v>93</v>
      </c>
      <c r="U50">
        <v>14000000</v>
      </c>
      <c r="V50">
        <v>12</v>
      </c>
      <c r="W50">
        <v>13</v>
      </c>
      <c r="X50" t="s">
        <v>173</v>
      </c>
    </row>
    <row r="51" spans="1:24" ht="15" thickBot="1" x14ac:dyDescent="0.35">
      <c r="A51" t="s">
        <v>1419</v>
      </c>
      <c r="B51" s="251" t="s">
        <v>1020</v>
      </c>
      <c r="C51" s="237">
        <v>0</v>
      </c>
      <c r="D51" s="2">
        <f>INDEX(S113:X116,MATCH(B51,S113:S116,0),4)*C51</f>
        <v>0</v>
      </c>
      <c r="E51">
        <f>INDEX(S113:X116,MATCH(B51,S113:S116,0),5)</f>
        <v>0</v>
      </c>
      <c r="F51" s="4">
        <f>INDEX(S113:X116,MATCH(B51,S113:S116,0),3)*C51</f>
        <v>0</v>
      </c>
      <c r="I51" t="str">
        <f>INDEX(S113:X116,MATCH(B51,S113:S116,0),6)</f>
        <v/>
      </c>
      <c r="S51" t="str">
        <f>""</f>
        <v/>
      </c>
      <c r="U51">
        <v>0</v>
      </c>
      <c r="V51">
        <v>0</v>
      </c>
      <c r="W51">
        <v>0</v>
      </c>
      <c r="X51" t="s">
        <v>33</v>
      </c>
    </row>
    <row r="52" spans="1:24" ht="15" thickBot="1" x14ac:dyDescent="0.35">
      <c r="A52" t="s">
        <v>1420</v>
      </c>
      <c r="B52" s="251" t="s">
        <v>1020</v>
      </c>
      <c r="C52" s="237">
        <v>0</v>
      </c>
      <c r="D52" s="2">
        <f>INDEX(S117:X120,MATCH(B52,S117:S120,0),4)*C52</f>
        <v>0</v>
      </c>
      <c r="E52">
        <f>INDEX(S117:X120,MATCH(B52,S117:S120,0),5)</f>
        <v>0</v>
      </c>
      <c r="F52" s="4">
        <f>INDEX(S117:X120,MATCH(B52,S117:S120,0),3)*C52</f>
        <v>0</v>
      </c>
      <c r="I52" t="str">
        <f>INDEX(S117:X120,MATCH(B52,S117:S120,0),6)</f>
        <v/>
      </c>
      <c r="S52" t="s">
        <v>731</v>
      </c>
      <c r="U52">
        <v>25000000</v>
      </c>
      <c r="V52">
        <v>40</v>
      </c>
      <c r="W52">
        <v>16</v>
      </c>
      <c r="X52" t="s">
        <v>178</v>
      </c>
    </row>
    <row r="53" spans="1:24" ht="15" thickBot="1" x14ac:dyDescent="0.35">
      <c r="A53" t="s">
        <v>1421</v>
      </c>
      <c r="B53" s="251" t="s">
        <v>1020</v>
      </c>
      <c r="C53" s="2"/>
      <c r="D53" s="2">
        <f>INDEX(S121:X124,MATCH(B53,S121:S124,0),4)</f>
        <v>0</v>
      </c>
      <c r="E53">
        <f>INDEX(S121:X124,MATCH(B53,S121:S124,0),5)</f>
        <v>0</v>
      </c>
      <c r="F53" s="4">
        <f>INDEX(S121:X124,MATCH(B53,S121:S124,0),3)</f>
        <v>0</v>
      </c>
      <c r="I53" t="str">
        <f>INDEX(S121:X124,MATCH(B53,S121:S124,0),6)</f>
        <v/>
      </c>
      <c r="S53" t="s">
        <v>732</v>
      </c>
      <c r="U53">
        <v>20000000</v>
      </c>
      <c r="V53">
        <v>25</v>
      </c>
      <c r="W53">
        <v>17</v>
      </c>
      <c r="X53" t="s">
        <v>178</v>
      </c>
    </row>
    <row r="54" spans="1:24" ht="15" thickBot="1" x14ac:dyDescent="0.35">
      <c r="A54" s="3" t="s">
        <v>1615</v>
      </c>
      <c r="C54" s="2"/>
      <c r="F54" s="4"/>
      <c r="S54" t="s">
        <v>733</v>
      </c>
      <c r="U54">
        <v>15000000</v>
      </c>
      <c r="V54">
        <v>10</v>
      </c>
      <c r="W54">
        <v>18</v>
      </c>
      <c r="X54" t="s">
        <v>178</v>
      </c>
    </row>
    <row r="55" spans="1:24" ht="29.4" thickBot="1" x14ac:dyDescent="0.35">
      <c r="A55" s="12" t="s">
        <v>2523</v>
      </c>
      <c r="B55" s="251" t="s">
        <v>1020</v>
      </c>
      <c r="C55" s="2"/>
      <c r="D55" s="2">
        <f>INDEX(S125:X126,MATCH(B55,S125:S126,0),4)</f>
        <v>0</v>
      </c>
      <c r="E55">
        <f>INDEX(S125:X126,MATCH(B55,S125:S126,0),5)</f>
        <v>0</v>
      </c>
      <c r="F55" s="4">
        <f>INDEX(S125:X126,MATCH(B55,S125:S126,0),3)</f>
        <v>0</v>
      </c>
      <c r="I55" t="str">
        <f>INDEX(S125:X126,MATCH(B55,S125:S126,0),6)</f>
        <v>Software package: Allows Ship's Brain to run any of the Ship's Computer Software</v>
      </c>
      <c r="S55" t="str">
        <f>""</f>
        <v/>
      </c>
      <c r="T55" t="s">
        <v>60</v>
      </c>
      <c r="U55">
        <v>0</v>
      </c>
      <c r="V55">
        <v>0</v>
      </c>
      <c r="W55">
        <v>0</v>
      </c>
      <c r="X55" t="s">
        <v>33</v>
      </c>
    </row>
    <row r="56" spans="1:24" x14ac:dyDescent="0.3">
      <c r="C56" s="2"/>
      <c r="F56" s="4"/>
      <c r="S56" t="s">
        <v>175</v>
      </c>
      <c r="T56" t="str">
        <f>"+1"</f>
        <v>+1</v>
      </c>
      <c r="U56">
        <v>15000000</v>
      </c>
      <c r="V56">
        <v>10</v>
      </c>
      <c r="W56">
        <v>10</v>
      </c>
      <c r="X56" t="s">
        <v>179</v>
      </c>
    </row>
    <row r="57" spans="1:24" x14ac:dyDescent="0.3">
      <c r="C57" s="2"/>
      <c r="F57" s="4"/>
      <c r="S57" t="s">
        <v>176</v>
      </c>
      <c r="T57" t="str">
        <f>"+2"</f>
        <v>+2</v>
      </c>
      <c r="U57">
        <v>18000000</v>
      </c>
      <c r="V57">
        <v>15</v>
      </c>
      <c r="W57">
        <v>13</v>
      </c>
      <c r="X57" t="s">
        <v>180</v>
      </c>
    </row>
    <row r="58" spans="1:24" x14ac:dyDescent="0.3">
      <c r="C58" s="2"/>
      <c r="F58" s="4"/>
      <c r="S58" t="s">
        <v>177</v>
      </c>
      <c r="T58" t="str">
        <f>"+3"</f>
        <v>+3</v>
      </c>
      <c r="U58">
        <v>24000000</v>
      </c>
      <c r="V58">
        <v>20</v>
      </c>
      <c r="W58">
        <v>15</v>
      </c>
      <c r="X58" t="s">
        <v>181</v>
      </c>
    </row>
    <row r="59" spans="1:24" x14ac:dyDescent="0.3">
      <c r="C59" s="2"/>
      <c r="F59" s="4"/>
      <c r="S59" t="str">
        <f>""</f>
        <v/>
      </c>
      <c r="T59" t="s">
        <v>60</v>
      </c>
      <c r="U59">
        <v>0</v>
      </c>
      <c r="V59">
        <v>0</v>
      </c>
      <c r="W59">
        <v>0</v>
      </c>
      <c r="X59" t="s">
        <v>33</v>
      </c>
    </row>
    <row r="60" spans="1:24" x14ac:dyDescent="0.3">
      <c r="C60" s="2"/>
      <c r="F60" s="4"/>
      <c r="S60" t="s">
        <v>201</v>
      </c>
      <c r="T60" t="str">
        <f>"-1"</f>
        <v>-1</v>
      </c>
      <c r="U60">
        <v>1000000</v>
      </c>
      <c r="V60">
        <v>10</v>
      </c>
      <c r="W60">
        <v>9</v>
      </c>
      <c r="X60" t="s">
        <v>204</v>
      </c>
    </row>
    <row r="61" spans="1:24" x14ac:dyDescent="0.3">
      <c r="C61" s="2"/>
      <c r="F61" s="4"/>
      <c r="S61" t="s">
        <v>202</v>
      </c>
      <c r="T61" t="str">
        <f>"-2"</f>
        <v>-2</v>
      </c>
      <c r="U61">
        <v>2000000</v>
      </c>
      <c r="V61">
        <v>15</v>
      </c>
      <c r="W61">
        <v>11</v>
      </c>
      <c r="X61" t="s">
        <v>205</v>
      </c>
    </row>
    <row r="62" spans="1:24" x14ac:dyDescent="0.3">
      <c r="C62" s="2"/>
      <c r="F62" s="4"/>
      <c r="S62" t="s">
        <v>203</v>
      </c>
      <c r="T62" t="str">
        <f>"-3"</f>
        <v>-3</v>
      </c>
      <c r="U62">
        <v>3000000</v>
      </c>
      <c r="V62">
        <v>25</v>
      </c>
      <c r="W62">
        <v>13</v>
      </c>
      <c r="X62" t="s">
        <v>206</v>
      </c>
    </row>
    <row r="63" spans="1:24" x14ac:dyDescent="0.3">
      <c r="C63" s="2"/>
      <c r="F63" s="4"/>
      <c r="S63" t="str">
        <f>""</f>
        <v/>
      </c>
      <c r="U63">
        <v>0</v>
      </c>
      <c r="V63">
        <v>0</v>
      </c>
      <c r="W63">
        <v>0</v>
      </c>
      <c r="X63" t="s">
        <v>33</v>
      </c>
    </row>
    <row r="64" spans="1:24" x14ac:dyDescent="0.3">
      <c r="C64" s="2"/>
      <c r="F64" s="4"/>
      <c r="S64" t="s">
        <v>208</v>
      </c>
      <c r="U64">
        <v>0</v>
      </c>
      <c r="V64">
        <v>0</v>
      </c>
      <c r="W64">
        <v>11</v>
      </c>
      <c r="X64" t="s">
        <v>209</v>
      </c>
    </row>
    <row r="65" spans="3:32" x14ac:dyDescent="0.3">
      <c r="C65" s="2"/>
      <c r="F65" s="4"/>
      <c r="S65" t="str">
        <f>""</f>
        <v/>
      </c>
      <c r="U65">
        <v>0</v>
      </c>
      <c r="V65">
        <v>0</v>
      </c>
      <c r="W65">
        <v>0</v>
      </c>
      <c r="X65" t="s">
        <v>33</v>
      </c>
      <c r="AD65">
        <v>0</v>
      </c>
      <c r="AE65">
        <v>1</v>
      </c>
      <c r="AF65">
        <v>2</v>
      </c>
    </row>
    <row r="66" spans="3:32" x14ac:dyDescent="0.3">
      <c r="C66" s="2"/>
      <c r="F66" s="4"/>
      <c r="S66" t="str">
        <f>AC66&amp;" Control/1"</f>
        <v>Jump Control/1</v>
      </c>
      <c r="U66">
        <f>IF(AC67=0,100000,1000000)</f>
        <v>100000</v>
      </c>
      <c r="V66">
        <f>IF(B10=S22,0,IF(B14=S22,0,5))+IF(AC67=0,0,35)</f>
        <v>5</v>
      </c>
      <c r="W66">
        <f>INDEX(AD66:AF74,1,MATCH(AC67,AD65:AF65,0))</f>
        <v>9</v>
      </c>
      <c r="X66" t="s">
        <v>210</v>
      </c>
      <c r="AC66" s="120" t="str">
        <f>IF('2-Drives'!B29="Jump Drive (Hop)","Hop",IF('2-Drives'!B29="Jump Drive (Skip)","Skip","Jump"))</f>
        <v>Jump</v>
      </c>
      <c r="AD66">
        <v>9</v>
      </c>
      <c r="AE66">
        <f>MIN(17,'2-Drives'!E29)</f>
        <v>0</v>
      </c>
      <c r="AF66">
        <v>20</v>
      </c>
    </row>
    <row r="67" spans="3:32" x14ac:dyDescent="0.3">
      <c r="C67" s="2"/>
      <c r="F67" s="4"/>
      <c r="S67" t="str">
        <f>AC66&amp;" Control/2"</f>
        <v>Jump Control/2</v>
      </c>
      <c r="U67">
        <f>IF(AC67=0,200000,2000000)</f>
        <v>200000</v>
      </c>
      <c r="V67">
        <f>IF(B10=S22,0,IF(B14=S22,0,5))+IF(AC67=0,5,45)</f>
        <v>10</v>
      </c>
      <c r="W67">
        <f>INDEX(AD66:AF74,2,MATCH(AC67,AD65:AF65,0))</f>
        <v>11</v>
      </c>
      <c r="X67" t="s">
        <v>210</v>
      </c>
      <c r="AC67" s="121">
        <f>IF(AC66="Jump",0,IF(AC66="Hop",1,2))</f>
        <v>0</v>
      </c>
      <c r="AD67">
        <v>11</v>
      </c>
      <c r="AE67">
        <f>MIN(18,'2-Drives'!E29)</f>
        <v>0</v>
      </c>
      <c r="AF67">
        <v>21</v>
      </c>
    </row>
    <row r="68" spans="3:32" x14ac:dyDescent="0.3">
      <c r="C68" s="2"/>
      <c r="F68" s="4"/>
      <c r="S68" t="str">
        <f>AC66&amp;" Control/3"</f>
        <v>Jump Control/3</v>
      </c>
      <c r="U68">
        <f>IF(AC67=0,300000,3000000)</f>
        <v>300000</v>
      </c>
      <c r="V68">
        <f>IF(B10=S22,0,IF(B14=S22,0,5))+IF(AC67=0,10,55)</f>
        <v>15</v>
      </c>
      <c r="W68">
        <f>INDEX(AD66:AF74,3,MATCH(AC67,AD65:AF65,0))</f>
        <v>12</v>
      </c>
      <c r="X68" t="s">
        <v>210</v>
      </c>
      <c r="AD68">
        <v>12</v>
      </c>
      <c r="AE68">
        <v>19</v>
      </c>
      <c r="AF68">
        <v>22</v>
      </c>
    </row>
    <row r="69" spans="3:32" x14ac:dyDescent="0.3">
      <c r="C69" s="2"/>
      <c r="F69" s="4"/>
      <c r="S69" t="str">
        <f>AC66&amp;" Control/4"</f>
        <v>Jump Control/4</v>
      </c>
      <c r="U69">
        <f>IF(AC67=0,400000,4000000)</f>
        <v>400000</v>
      </c>
      <c r="V69">
        <f>IF(B10=S22,0,IF(B14=S22,0,5))+IF(AC67=0,15,65)</f>
        <v>20</v>
      </c>
      <c r="W69">
        <f>INDEX(AD66:AF74,4,MATCH(AC67,AD65:AF65,0))</f>
        <v>13</v>
      </c>
      <c r="X69" t="s">
        <v>210</v>
      </c>
      <c r="AD69">
        <v>13</v>
      </c>
      <c r="AE69">
        <v>20</v>
      </c>
      <c r="AF69">
        <v>23</v>
      </c>
    </row>
    <row r="70" spans="3:32" x14ac:dyDescent="0.3">
      <c r="C70" s="2"/>
      <c r="F70" s="4"/>
      <c r="S70" t="str">
        <f>AC66&amp;" Control/5"</f>
        <v>Jump Control/5</v>
      </c>
      <c r="U70">
        <f>IF(AC67=0,500000,5000000)</f>
        <v>500000</v>
      </c>
      <c r="V70">
        <f>IF(B10=S22,0,IF(B14=S22,0,5))+IF(AC67=0,20,75)</f>
        <v>25</v>
      </c>
      <c r="W70">
        <f>INDEX(AD66:AF74,5,MATCH(AC67,AD65:AF65,0))</f>
        <v>14</v>
      </c>
      <c r="X70" t="s">
        <v>210</v>
      </c>
      <c r="AD70">
        <v>14</v>
      </c>
      <c r="AE70">
        <v>21</v>
      </c>
      <c r="AF70">
        <v>24</v>
      </c>
    </row>
    <row r="71" spans="3:32" x14ac:dyDescent="0.3">
      <c r="C71" s="2"/>
      <c r="F71" s="4"/>
      <c r="S71" t="str">
        <f>AC66&amp;" Control/6"</f>
        <v>Jump Control/6</v>
      </c>
      <c r="U71">
        <f>IF(AC67=0,600000,6000000)</f>
        <v>600000</v>
      </c>
      <c r="V71">
        <f>IF(B10=S22,0,IF(B14=S22,0,5))+IF(AC67=0,25,85)</f>
        <v>30</v>
      </c>
      <c r="W71">
        <f>INDEX(AD66:AF74,6,MATCH(AC67,AD65:AF65,0))</f>
        <v>15</v>
      </c>
      <c r="X71" t="s">
        <v>210</v>
      </c>
      <c r="AD71">
        <v>15</v>
      </c>
      <c r="AE71">
        <v>22</v>
      </c>
      <c r="AF71">
        <v>25</v>
      </c>
    </row>
    <row r="72" spans="3:32" x14ac:dyDescent="0.3">
      <c r="C72" s="2"/>
      <c r="F72" s="4"/>
      <c r="S72" t="str">
        <f>AC66&amp;" Control/7"</f>
        <v>Jump Control/7</v>
      </c>
      <c r="U72">
        <f>IF(AC67=0,700000,7000000)</f>
        <v>700000</v>
      </c>
      <c r="V72">
        <f>IF(B10=S22,0,IF(B14=S22,0,5))+IF(AC67=0,30,95)</f>
        <v>35</v>
      </c>
      <c r="W72">
        <f>INDEX(AD66:AF74,7,MATCH(AC67,AD65:AF65,0))</f>
        <v>16</v>
      </c>
      <c r="X72" t="s">
        <v>210</v>
      </c>
      <c r="AD72">
        <v>16</v>
      </c>
      <c r="AE72">
        <v>23</v>
      </c>
      <c r="AF72">
        <v>26</v>
      </c>
    </row>
    <row r="73" spans="3:32" x14ac:dyDescent="0.3">
      <c r="C73" s="2"/>
      <c r="F73" s="4"/>
      <c r="S73" t="str">
        <f>AC66&amp;" Control/8"</f>
        <v>Jump Control/8</v>
      </c>
      <c r="U73">
        <f>IF(AC67=0,800000,8000000)</f>
        <v>800000</v>
      </c>
      <c r="V73">
        <f>IF(B10=S22,0,IF(B14=S22,0,5))+IF(AC67=0,35,105)</f>
        <v>40</v>
      </c>
      <c r="W73">
        <f>INDEX(AD66:AF74,8,MATCH(AC67,AD65:AF65,0))</f>
        <v>17</v>
      </c>
      <c r="X73" t="s">
        <v>210</v>
      </c>
      <c r="AD73">
        <v>17</v>
      </c>
      <c r="AE73">
        <v>24</v>
      </c>
      <c r="AF73">
        <v>27</v>
      </c>
    </row>
    <row r="74" spans="3:32" x14ac:dyDescent="0.3">
      <c r="C74" s="2"/>
      <c r="F74" s="4"/>
      <c r="S74" t="str">
        <f>AC66&amp;" Control/9"</f>
        <v>Jump Control/9</v>
      </c>
      <c r="U74">
        <f>IF(AC67=0,900000,9000000)</f>
        <v>900000</v>
      </c>
      <c r="V74">
        <f>IF(B10=S22,0,IF(B14=S22,0,5))+IF(AC67=0,40,115)</f>
        <v>45</v>
      </c>
      <c r="W74">
        <f>INDEX(AD66:AF74,9,MATCH(AC67,AD65:AF65,0))</f>
        <v>18</v>
      </c>
      <c r="X74" t="s">
        <v>210</v>
      </c>
      <c r="AD74">
        <v>18</v>
      </c>
      <c r="AE74">
        <v>25</v>
      </c>
      <c r="AF74">
        <v>28</v>
      </c>
    </row>
    <row r="75" spans="3:32" x14ac:dyDescent="0.3">
      <c r="C75" s="2"/>
      <c r="F75" s="4"/>
      <c r="S75" t="str">
        <f>""</f>
        <v/>
      </c>
      <c r="T75" t="s">
        <v>60</v>
      </c>
      <c r="U75">
        <v>0</v>
      </c>
      <c r="V75">
        <v>0</v>
      </c>
      <c r="W75">
        <v>0</v>
      </c>
      <c r="X75" t="s">
        <v>33</v>
      </c>
    </row>
    <row r="76" spans="3:32" x14ac:dyDescent="0.3">
      <c r="C76" s="2"/>
      <c r="F76" s="4"/>
      <c r="S76" t="s">
        <v>182</v>
      </c>
      <c r="T76" t="str">
        <f>"+1"</f>
        <v>+1</v>
      </c>
      <c r="U76">
        <v>10000000</v>
      </c>
      <c r="V76">
        <v>5</v>
      </c>
      <c r="W76">
        <v>8</v>
      </c>
      <c r="X76" t="s">
        <v>185</v>
      </c>
    </row>
    <row r="77" spans="3:32" x14ac:dyDescent="0.3">
      <c r="C77" s="2"/>
      <c r="F77" s="4"/>
      <c r="S77" t="s">
        <v>183</v>
      </c>
      <c r="T77" t="str">
        <f>"+2"</f>
        <v>+2</v>
      </c>
      <c r="U77">
        <v>12000000</v>
      </c>
      <c r="V77">
        <v>10</v>
      </c>
      <c r="W77">
        <v>10</v>
      </c>
      <c r="X77" t="s">
        <v>186</v>
      </c>
    </row>
    <row r="78" spans="3:32" x14ac:dyDescent="0.3">
      <c r="C78" s="2"/>
      <c r="F78" s="4"/>
      <c r="S78" t="s">
        <v>184</v>
      </c>
      <c r="T78" t="str">
        <f>"+3"</f>
        <v>+3</v>
      </c>
      <c r="U78">
        <v>16000000</v>
      </c>
      <c r="V78">
        <v>15</v>
      </c>
      <c r="W78">
        <v>12</v>
      </c>
      <c r="X78" t="s">
        <v>187</v>
      </c>
    </row>
    <row r="79" spans="3:32" x14ac:dyDescent="0.3">
      <c r="C79" s="2"/>
      <c r="F79" s="4"/>
      <c r="S79" t="str">
        <f>""</f>
        <v/>
      </c>
      <c r="T79" t="s">
        <v>689</v>
      </c>
      <c r="U79">
        <v>0</v>
      </c>
      <c r="V79">
        <v>0</v>
      </c>
      <c r="W79">
        <v>0</v>
      </c>
      <c r="X79" t="s">
        <v>33</v>
      </c>
    </row>
    <row r="80" spans="3:32" x14ac:dyDescent="0.3">
      <c r="C80" s="2"/>
      <c r="F80" s="4"/>
      <c r="S80" t="s">
        <v>219</v>
      </c>
      <c r="T80" t="s">
        <v>611</v>
      </c>
      <c r="U80">
        <v>8000000</v>
      </c>
      <c r="V80">
        <v>12</v>
      </c>
      <c r="W80">
        <v>9</v>
      </c>
      <c r="X80" t="s">
        <v>217</v>
      </c>
    </row>
    <row r="81" spans="6:24" x14ac:dyDescent="0.3">
      <c r="F81" s="4"/>
      <c r="S81" t="s">
        <v>218</v>
      </c>
      <c r="T81" t="s">
        <v>612</v>
      </c>
      <c r="U81">
        <v>12000000</v>
      </c>
      <c r="V81">
        <v>15</v>
      </c>
      <c r="W81">
        <v>12</v>
      </c>
      <c r="X81" t="s">
        <v>217</v>
      </c>
    </row>
    <row r="82" spans="6:24" x14ac:dyDescent="0.3">
      <c r="F82" s="4"/>
      <c r="S82" t="str">
        <f>""</f>
        <v/>
      </c>
      <c r="U82">
        <v>0</v>
      </c>
      <c r="V82">
        <v>0</v>
      </c>
      <c r="W82">
        <v>0</v>
      </c>
      <c r="X82" t="s">
        <v>33</v>
      </c>
    </row>
    <row r="83" spans="6:24" x14ac:dyDescent="0.3">
      <c r="F83" s="4"/>
      <c r="S83" t="s">
        <v>220</v>
      </c>
      <c r="U83">
        <v>5000000</v>
      </c>
      <c r="V83">
        <v>10</v>
      </c>
      <c r="W83">
        <v>10</v>
      </c>
      <c r="X83" t="s">
        <v>221</v>
      </c>
    </row>
    <row r="84" spans="6:24" x14ac:dyDescent="0.3">
      <c r="F84" s="4"/>
      <c r="S84" t="str">
        <f>""</f>
        <v/>
      </c>
      <c r="U84">
        <v>0</v>
      </c>
      <c r="V84">
        <v>0</v>
      </c>
      <c r="W84">
        <v>0</v>
      </c>
      <c r="X84" t="s">
        <v>33</v>
      </c>
    </row>
    <row r="85" spans="6:24" x14ac:dyDescent="0.3">
      <c r="F85" s="4"/>
      <c r="S85" t="s">
        <v>222</v>
      </c>
      <c r="U85">
        <v>1000000</v>
      </c>
      <c r="V85">
        <v>5</v>
      </c>
      <c r="W85">
        <v>10</v>
      </c>
      <c r="X85" t="s">
        <v>227</v>
      </c>
    </row>
    <row r="86" spans="6:24" x14ac:dyDescent="0.3">
      <c r="F86" s="4"/>
      <c r="S86" t="s">
        <v>223</v>
      </c>
      <c r="U86">
        <v>5000000</v>
      </c>
      <c r="V86">
        <v>10</v>
      </c>
      <c r="W86">
        <v>13</v>
      </c>
      <c r="X86" t="s">
        <v>228</v>
      </c>
    </row>
    <row r="87" spans="6:24" x14ac:dyDescent="0.3">
      <c r="F87" s="4"/>
      <c r="S87" t="s">
        <v>224</v>
      </c>
      <c r="U87">
        <v>10000000</v>
      </c>
      <c r="V87">
        <v>15</v>
      </c>
      <c r="W87">
        <v>15</v>
      </c>
      <c r="X87" t="s">
        <v>229</v>
      </c>
    </row>
    <row r="88" spans="6:24" x14ac:dyDescent="0.3">
      <c r="F88" s="4"/>
      <c r="S88" t="str">
        <f>""</f>
        <v/>
      </c>
      <c r="U88">
        <v>0</v>
      </c>
      <c r="V88">
        <v>0</v>
      </c>
      <c r="W88">
        <v>0</v>
      </c>
      <c r="X88" t="s">
        <v>33</v>
      </c>
    </row>
    <row r="89" spans="6:24" x14ac:dyDescent="0.3">
      <c r="F89" s="4"/>
      <c r="S89" t="s">
        <v>225</v>
      </c>
      <c r="U89">
        <v>0</v>
      </c>
      <c r="V89">
        <v>1</v>
      </c>
      <c r="W89">
        <v>10</v>
      </c>
      <c r="X89" t="s">
        <v>226</v>
      </c>
    </row>
    <row r="90" spans="6:24" x14ac:dyDescent="0.3">
      <c r="F90" s="4"/>
      <c r="S90" t="str">
        <f>""</f>
        <v/>
      </c>
      <c r="U90">
        <v>0</v>
      </c>
      <c r="V90">
        <v>0</v>
      </c>
      <c r="W90">
        <v>0</v>
      </c>
      <c r="X90" t="s">
        <v>33</v>
      </c>
    </row>
    <row r="91" spans="6:24" x14ac:dyDescent="0.3">
      <c r="F91" s="4"/>
      <c r="S91" t="s">
        <v>230</v>
      </c>
      <c r="U91">
        <v>1000000</v>
      </c>
      <c r="V91">
        <v>5</v>
      </c>
      <c r="W91">
        <v>9</v>
      </c>
      <c r="X91" t="s">
        <v>235</v>
      </c>
    </row>
    <row r="92" spans="6:24" x14ac:dyDescent="0.3">
      <c r="F92" s="4"/>
      <c r="S92" t="s">
        <v>232</v>
      </c>
      <c r="U92">
        <v>5000000</v>
      </c>
      <c r="V92">
        <v>10</v>
      </c>
      <c r="W92">
        <v>12</v>
      </c>
      <c r="X92" t="s">
        <v>236</v>
      </c>
    </row>
    <row r="93" spans="6:24" x14ac:dyDescent="0.3">
      <c r="F93" s="4"/>
      <c r="S93" t="s">
        <v>231</v>
      </c>
      <c r="U93">
        <v>10000000</v>
      </c>
      <c r="V93">
        <v>15</v>
      </c>
      <c r="W93">
        <v>15</v>
      </c>
      <c r="X93" t="s">
        <v>237</v>
      </c>
    </row>
    <row r="94" spans="6:24" x14ac:dyDescent="0.3">
      <c r="F94" s="4"/>
      <c r="S94" t="str">
        <f>""</f>
        <v/>
      </c>
      <c r="U94">
        <v>0</v>
      </c>
      <c r="V94">
        <v>0</v>
      </c>
      <c r="W94">
        <v>0</v>
      </c>
      <c r="X94" t="s">
        <v>33</v>
      </c>
    </row>
    <row r="95" spans="6:24" x14ac:dyDescent="0.3">
      <c r="F95" s="4"/>
      <c r="S95" t="s">
        <v>233</v>
      </c>
      <c r="U95">
        <v>0</v>
      </c>
      <c r="V95">
        <v>1</v>
      </c>
      <c r="W95">
        <v>9</v>
      </c>
      <c r="X95" t="s">
        <v>234</v>
      </c>
    </row>
    <row r="96" spans="6:24" x14ac:dyDescent="0.3">
      <c r="F96" s="4"/>
      <c r="S96" t="s">
        <v>106</v>
      </c>
      <c r="U96">
        <v>5000000</v>
      </c>
      <c r="V96">
        <v>5</v>
      </c>
      <c r="W96">
        <v>14</v>
      </c>
      <c r="X96" t="s">
        <v>1595</v>
      </c>
    </row>
    <row r="97" spans="6:24" x14ac:dyDescent="0.3">
      <c r="F97" s="4"/>
      <c r="S97" t="s">
        <v>276</v>
      </c>
      <c r="U97">
        <v>0</v>
      </c>
      <c r="V97">
        <v>0</v>
      </c>
      <c r="W97">
        <v>0</v>
      </c>
      <c r="X97" t="str">
        <f>""</f>
        <v/>
      </c>
    </row>
    <row r="98" spans="6:24" x14ac:dyDescent="0.3">
      <c r="F98" s="4"/>
      <c r="S98" t="str">
        <f>B34&amp;", "&amp;B35&amp;""&amp;IF(B21=S25,"",", "&amp;B21)&amp;""&amp;IF(B22=S29,"",", "&amp;B22)&amp;""&amp;IF(B23=S33,"",", "&amp;B23)&amp;""&amp;IF(B24=S36,"",", "&amp;B24)&amp;""&amp;IF(B25=S42,"",", "&amp;B25)&amp;""&amp;IF(B26=S45,"",", "&amp;B26)&amp;""&amp;IF(B27=S49,"",", "&amp;B27)&amp;""&amp;IF(B28=S51,"",", "&amp;B28)&amp;""&amp;IF(B29=S55,"",", "&amp;B29)&amp;""&amp;IF(B30=S59,"",", "&amp;B30)&amp;""&amp;IF(B31=S63,"",", "&amp;B31)&amp;""&amp;IF(B32=S65,"",", "&amp;B32)&amp;""&amp;IF(B33=S75,"",", "&amp;B33)&amp;""&amp;IF(B36=S79,"",", "&amp;B36)&amp;""&amp;IF(B37=S82,"",", "&amp;B37)&amp;""&amp;IF(B38=S84,"",", "&amp;B38&amp;": "&amp;B39&amp;" additional crew replaced")&amp;""&amp;IF(B40=S90,"",", "&amp;B40&amp;": "&amp;B41&amp;" additional gunners replaced")&amp;""&amp;IF(C42=0,"",", "&amp;A42&amp;": "&amp;C42&amp;" Max bandwidth")&amp;""&amp;IF(B44=S97,"",", "&amp;A44)&amp;IF(D48=0,"",", "&amp;B48)&amp;IF(D49=0,"",", "&amp;C49&amp;"x "&amp;B49)&amp;IF(D50=0,"",", "&amp;C50&amp;"x "&amp;B50)&amp;IF(D51=0,"",", "&amp;C51&amp;"x "&amp;B51)&amp;IF(D52=0,"",", "&amp;C52&amp;"x "&amp;B52)&amp;IF(D53=0,"",", "&amp;B53)</f>
        <v>Library, Manoeuvre/0, Intellect</v>
      </c>
      <c r="U98" t="s">
        <v>1468</v>
      </c>
    </row>
    <row r="99" spans="6:24" x14ac:dyDescent="0.3">
      <c r="F99" s="4"/>
    </row>
    <row r="100" spans="6:24" x14ac:dyDescent="0.3">
      <c r="F100" s="4"/>
      <c r="S100" t="s">
        <v>54</v>
      </c>
    </row>
    <row r="101" spans="6:24" x14ac:dyDescent="0.3">
      <c r="F101" s="4"/>
      <c r="S101">
        <f>IF(B44=S96,1,0)</f>
        <v>0</v>
      </c>
    </row>
    <row r="102" spans="6:24" x14ac:dyDescent="0.3">
      <c r="F102" s="4"/>
    </row>
    <row r="103" spans="6:24" x14ac:dyDescent="0.3">
      <c r="F103" s="4"/>
      <c r="S103" t="s">
        <v>1423</v>
      </c>
      <c r="U103" t="s">
        <v>524</v>
      </c>
      <c r="V103" t="s">
        <v>163</v>
      </c>
      <c r="W103" t="s">
        <v>26</v>
      </c>
      <c r="X103" t="s">
        <v>164</v>
      </c>
    </row>
    <row r="104" spans="6:24" x14ac:dyDescent="0.3">
      <c r="F104" s="4"/>
      <c r="S104" t="str">
        <f>""</f>
        <v/>
      </c>
      <c r="U104">
        <v>0</v>
      </c>
      <c r="V104">
        <v>0</v>
      </c>
      <c r="W104">
        <v>0</v>
      </c>
      <c r="X104" t="str">
        <f>""</f>
        <v/>
      </c>
    </row>
    <row r="105" spans="6:24" x14ac:dyDescent="0.3">
      <c r="F105" s="4"/>
      <c r="S105" t="s">
        <v>1424</v>
      </c>
      <c r="U105">
        <v>25000000</v>
      </c>
      <c r="V105">
        <v>9</v>
      </c>
      <c r="W105">
        <v>12</v>
      </c>
      <c r="X105" t="s">
        <v>1438</v>
      </c>
    </row>
    <row r="106" spans="6:24" x14ac:dyDescent="0.3">
      <c r="F106" s="4"/>
      <c r="S106" t="str">
        <f>""</f>
        <v/>
      </c>
      <c r="U106">
        <v>0</v>
      </c>
      <c r="V106">
        <v>0</v>
      </c>
      <c r="W106">
        <v>0</v>
      </c>
      <c r="X106" t="str">
        <f>""</f>
        <v/>
      </c>
    </row>
    <row r="107" spans="6:24" x14ac:dyDescent="0.3">
      <c r="F107" s="4"/>
      <c r="S107" t="s">
        <v>1417</v>
      </c>
      <c r="U107">
        <v>20000000</v>
      </c>
      <c r="V107">
        <v>6</v>
      </c>
      <c r="W107">
        <v>11</v>
      </c>
      <c r="X107" t="s">
        <v>1443</v>
      </c>
    </row>
    <row r="108" spans="6:24" x14ac:dyDescent="0.3">
      <c r="F108" s="4"/>
      <c r="S108" t="s">
        <v>1425</v>
      </c>
      <c r="U108">
        <v>30000000</v>
      </c>
      <c r="V108">
        <v>12</v>
      </c>
      <c r="W108">
        <v>13</v>
      </c>
      <c r="X108" t="s">
        <v>1444</v>
      </c>
    </row>
    <row r="109" spans="6:24" x14ac:dyDescent="0.3">
      <c r="F109" s="4"/>
      <c r="S109" t="str">
        <f>""</f>
        <v/>
      </c>
      <c r="U109">
        <v>0</v>
      </c>
      <c r="V109">
        <v>0</v>
      </c>
      <c r="W109">
        <v>0</v>
      </c>
      <c r="X109" t="str">
        <f>""</f>
        <v/>
      </c>
    </row>
    <row r="110" spans="6:24" x14ac:dyDescent="0.3">
      <c r="F110" s="4"/>
      <c r="S110" t="s">
        <v>1426</v>
      </c>
      <c r="U110">
        <v>2000000</v>
      </c>
      <c r="V110">
        <v>3</v>
      </c>
      <c r="W110">
        <v>8</v>
      </c>
      <c r="X110" t="str">
        <f>"DM +2 to avoid mishap for up to "&amp;C50*12&amp;" people."</f>
        <v>DM +2 to avoid mishap for up to 0 people.</v>
      </c>
    </row>
    <row r="111" spans="6:24" x14ac:dyDescent="0.3">
      <c r="F111" s="4"/>
      <c r="S111" t="s">
        <v>1427</v>
      </c>
      <c r="U111">
        <v>3000000</v>
      </c>
      <c r="V111">
        <v>5</v>
      </c>
      <c r="W111">
        <v>10</v>
      </c>
      <c r="X111" t="str">
        <f>"DM +3 to avoid mishap for up to "&amp;C50*12&amp;" people."</f>
        <v>DM +3 to avoid mishap for up to 0 people.</v>
      </c>
    </row>
    <row r="112" spans="6:24" x14ac:dyDescent="0.3">
      <c r="F112" s="4"/>
      <c r="S112" t="s">
        <v>1428</v>
      </c>
      <c r="U112">
        <v>4000000</v>
      </c>
      <c r="V112">
        <v>7</v>
      </c>
      <c r="W112">
        <v>12</v>
      </c>
      <c r="X112" t="str">
        <f>"DM +4 to avoid mishap for up to "&amp;C50*12&amp;" people."</f>
        <v>DM +4 to avoid mishap for up to 0 people.</v>
      </c>
    </row>
    <row r="113" spans="6:24" x14ac:dyDescent="0.3">
      <c r="F113" s="4"/>
      <c r="S113" t="str">
        <f>""</f>
        <v/>
      </c>
      <c r="U113">
        <v>0</v>
      </c>
      <c r="V113">
        <v>0</v>
      </c>
      <c r="W113">
        <v>0</v>
      </c>
      <c r="X113" t="str">
        <f>""</f>
        <v/>
      </c>
    </row>
    <row r="114" spans="6:24" x14ac:dyDescent="0.3">
      <c r="F114" s="4"/>
      <c r="S114" t="s">
        <v>1429</v>
      </c>
      <c r="U114">
        <v>2000000</v>
      </c>
      <c r="V114">
        <v>4</v>
      </c>
      <c r="W114">
        <v>9</v>
      </c>
      <c r="X114" t="str">
        <f>"DM +1 to any Science research checks for up to "&amp;12*C51&amp;" researchers."</f>
        <v>DM +1 to any Science research checks for up to 0 researchers.</v>
      </c>
    </row>
    <row r="115" spans="6:24" x14ac:dyDescent="0.3">
      <c r="F115" s="4"/>
      <c r="S115" t="s">
        <v>1430</v>
      </c>
      <c r="U115">
        <v>3000000</v>
      </c>
      <c r="V115">
        <v>6</v>
      </c>
      <c r="W115">
        <v>11</v>
      </c>
      <c r="X115" t="str">
        <f>"DM +2 to any Science research checks for up to "&amp;12*C51&amp;" researchers."</f>
        <v>DM +2 to any Science research checks for up to 0 researchers.</v>
      </c>
    </row>
    <row r="116" spans="6:24" x14ac:dyDescent="0.3">
      <c r="F116" s="4"/>
      <c r="S116" t="s">
        <v>1431</v>
      </c>
      <c r="U116">
        <v>5000000</v>
      </c>
      <c r="V116">
        <v>8</v>
      </c>
      <c r="W116">
        <v>13</v>
      </c>
      <c r="X116" t="str">
        <f>"DM +3 to any Science research checks for up to "&amp;12*C51&amp;" researchers."</f>
        <v>DM +3 to any Science research checks for up to 0 researchers.</v>
      </c>
    </row>
    <row r="117" spans="6:24" x14ac:dyDescent="0.3">
      <c r="F117" s="4"/>
      <c r="S117" t="str">
        <f>""</f>
        <v/>
      </c>
      <c r="U117">
        <v>0</v>
      </c>
      <c r="V117">
        <v>0</v>
      </c>
      <c r="W117">
        <v>0</v>
      </c>
      <c r="X117" t="str">
        <f>""</f>
        <v/>
      </c>
    </row>
    <row r="118" spans="6:24" x14ac:dyDescent="0.3">
      <c r="F118" s="4"/>
      <c r="S118" t="s">
        <v>1432</v>
      </c>
      <c r="U118">
        <v>6000000</v>
      </c>
      <c r="V118">
        <v>4</v>
      </c>
      <c r="W118">
        <v>9</v>
      </c>
      <c r="X118" t="str">
        <f>"DM +1 to Hazard Avoidance/Docking for "&amp;8*C52&amp;" controlled craft."</f>
        <v>DM +1 to Hazard Avoidance/Docking for 0 controlled craft.</v>
      </c>
    </row>
    <row r="119" spans="6:24" x14ac:dyDescent="0.3">
      <c r="F119" s="4"/>
      <c r="S119" t="s">
        <v>1433</v>
      </c>
      <c r="U119">
        <v>10000000</v>
      </c>
      <c r="V119">
        <v>8</v>
      </c>
      <c r="W119">
        <v>11</v>
      </c>
      <c r="X119" t="str">
        <f>"DM +2 to Hazard Avoidance/Docking for "&amp;16*C52&amp;" controlled craft."</f>
        <v>DM +2 to Hazard Avoidance/Docking for 0 controlled craft.</v>
      </c>
    </row>
    <row r="120" spans="6:24" x14ac:dyDescent="0.3">
      <c r="F120" s="4"/>
      <c r="S120" t="s">
        <v>1434</v>
      </c>
      <c r="U120">
        <v>15000000</v>
      </c>
      <c r="V120">
        <v>12</v>
      </c>
      <c r="W120">
        <v>12</v>
      </c>
      <c r="X120" t="str">
        <f>"DM +3 to Hazard Avoidance/Docking for "&amp;32*C52&amp;" controlled craft."</f>
        <v>DM +3 to Hazard Avoidance/Docking for 0 controlled craft.</v>
      </c>
    </row>
    <row r="121" spans="6:24" x14ac:dyDescent="0.3">
      <c r="F121" s="4"/>
      <c r="S121" t="str">
        <f>""</f>
        <v/>
      </c>
      <c r="U121">
        <v>0</v>
      </c>
      <c r="V121">
        <v>0</v>
      </c>
      <c r="W121">
        <v>0</v>
      </c>
      <c r="X121" t="str">
        <f>""</f>
        <v/>
      </c>
    </row>
    <row r="122" spans="6:24" x14ac:dyDescent="0.3">
      <c r="F122" s="4"/>
      <c r="S122" t="s">
        <v>1435</v>
      </c>
      <c r="U122">
        <v>1000000</v>
      </c>
      <c r="V122">
        <v>2</v>
      </c>
      <c r="W122">
        <v>9</v>
      </c>
      <c r="X122" t="s">
        <v>1439</v>
      </c>
    </row>
    <row r="123" spans="6:24" x14ac:dyDescent="0.3">
      <c r="F123" s="4"/>
      <c r="S123" t="s">
        <v>1436</v>
      </c>
      <c r="U123">
        <v>3000000</v>
      </c>
      <c r="V123">
        <v>3</v>
      </c>
      <c r="W123">
        <v>11</v>
      </c>
      <c r="X123" t="s">
        <v>1440</v>
      </c>
    </row>
    <row r="124" spans="6:24" x14ac:dyDescent="0.3">
      <c r="F124" s="4"/>
      <c r="S124" t="s">
        <v>1437</v>
      </c>
      <c r="U124">
        <v>7000000</v>
      </c>
      <c r="V124">
        <v>5</v>
      </c>
      <c r="W124">
        <v>13</v>
      </c>
      <c r="X124" t="s">
        <v>1441</v>
      </c>
    </row>
    <row r="125" spans="6:24" x14ac:dyDescent="0.3">
      <c r="F125" s="4"/>
      <c r="S125" t="str">
        <f>""</f>
        <v/>
      </c>
      <c r="X125" t="s">
        <v>2524</v>
      </c>
    </row>
    <row r="126" spans="6:24" x14ac:dyDescent="0.3">
      <c r="F126" s="4"/>
      <c r="S126" t="s">
        <v>1629</v>
      </c>
      <c r="U126">
        <v>100000</v>
      </c>
      <c r="V126">
        <v>5</v>
      </c>
      <c r="W126">
        <v>12</v>
      </c>
      <c r="X126" t="s">
        <v>2524</v>
      </c>
    </row>
    <row r="127" spans="6:24" x14ac:dyDescent="0.3">
      <c r="F127" s="4"/>
    </row>
    <row r="128" spans="6:24" x14ac:dyDescent="0.3">
      <c r="F128" s="4"/>
    </row>
    <row r="129" spans="6:6" x14ac:dyDescent="0.3">
      <c r="F129" s="4"/>
    </row>
    <row r="130" spans="6:6" x14ac:dyDescent="0.3">
      <c r="F130" s="4"/>
    </row>
    <row r="131" spans="6:6" x14ac:dyDescent="0.3">
      <c r="F131" s="4"/>
    </row>
    <row r="132" spans="6:6" x14ac:dyDescent="0.3">
      <c r="F132" s="4"/>
    </row>
    <row r="133" spans="6:6" x14ac:dyDescent="0.3">
      <c r="F133" s="4"/>
    </row>
    <row r="134" spans="6:6" x14ac:dyDescent="0.3">
      <c r="F134" s="4"/>
    </row>
    <row r="135" spans="6:6" x14ac:dyDescent="0.3">
      <c r="F135" s="4"/>
    </row>
    <row r="136" spans="6:6" x14ac:dyDescent="0.3">
      <c r="F136" s="4"/>
    </row>
    <row r="137" spans="6:6" x14ac:dyDescent="0.3">
      <c r="F137" s="4"/>
    </row>
    <row r="138" spans="6:6" x14ac:dyDescent="0.3">
      <c r="F138" s="4"/>
    </row>
    <row r="139" spans="6:6" x14ac:dyDescent="0.3">
      <c r="F139" s="4"/>
    </row>
    <row r="140" spans="6:6" x14ac:dyDescent="0.3">
      <c r="F140" s="4"/>
    </row>
    <row r="141" spans="6:6" x14ac:dyDescent="0.3">
      <c r="F141" s="4"/>
    </row>
    <row r="142" spans="6:6" x14ac:dyDescent="0.3">
      <c r="F142" s="4"/>
    </row>
    <row r="143" spans="6:6" x14ac:dyDescent="0.3">
      <c r="F143" s="4"/>
    </row>
    <row r="144" spans="6:6" x14ac:dyDescent="0.3">
      <c r="F144" s="4"/>
    </row>
    <row r="145" spans="6:6" x14ac:dyDescent="0.3">
      <c r="F145" s="4"/>
    </row>
    <row r="146" spans="6:6" x14ac:dyDescent="0.3">
      <c r="F146" s="4"/>
    </row>
    <row r="147" spans="6:6" x14ac:dyDescent="0.3">
      <c r="F147" s="4"/>
    </row>
    <row r="148" spans="6:6" x14ac:dyDescent="0.3">
      <c r="F148" s="4"/>
    </row>
    <row r="149" spans="6:6" x14ac:dyDescent="0.3">
      <c r="F149" s="4"/>
    </row>
    <row r="150" spans="6:6" x14ac:dyDescent="0.3">
      <c r="F150" s="4"/>
    </row>
    <row r="151" spans="6:6" x14ac:dyDescent="0.3">
      <c r="F151" s="4"/>
    </row>
    <row r="152" spans="6:6" x14ac:dyDescent="0.3">
      <c r="F152" s="4"/>
    </row>
    <row r="153" spans="6:6" x14ac:dyDescent="0.3">
      <c r="F153" s="4"/>
    </row>
    <row r="154" spans="6:6" x14ac:dyDescent="0.3">
      <c r="F154" s="4"/>
    </row>
    <row r="155" spans="6:6" x14ac:dyDescent="0.3">
      <c r="F155" s="4"/>
    </row>
    <row r="156" spans="6:6" x14ac:dyDescent="0.3">
      <c r="F156" s="4"/>
    </row>
    <row r="157" spans="6:6" x14ac:dyDescent="0.3">
      <c r="F157" s="4"/>
    </row>
    <row r="158" spans="6:6" x14ac:dyDescent="0.3">
      <c r="F158" s="4"/>
    </row>
    <row r="159" spans="6:6" x14ac:dyDescent="0.3">
      <c r="F159" s="4"/>
    </row>
    <row r="160" spans="6:6" x14ac:dyDescent="0.3">
      <c r="F160" s="4"/>
    </row>
    <row r="161" spans="6:6" x14ac:dyDescent="0.3">
      <c r="F161" s="4"/>
    </row>
    <row r="162" spans="6:6" x14ac:dyDescent="0.3">
      <c r="F162" s="4"/>
    </row>
    <row r="163" spans="6:6" x14ac:dyDescent="0.3">
      <c r="F163" s="4"/>
    </row>
    <row r="164" spans="6:6" x14ac:dyDescent="0.3">
      <c r="F164" s="4"/>
    </row>
    <row r="165" spans="6:6" x14ac:dyDescent="0.3">
      <c r="F165" s="4"/>
    </row>
    <row r="166" spans="6:6" x14ac:dyDescent="0.3">
      <c r="F166" s="4"/>
    </row>
    <row r="167" spans="6:6" x14ac:dyDescent="0.3">
      <c r="F167" s="4"/>
    </row>
    <row r="168" spans="6:6" x14ac:dyDescent="0.3">
      <c r="F168" s="4"/>
    </row>
    <row r="169" spans="6:6" x14ac:dyDescent="0.3">
      <c r="F169" s="4"/>
    </row>
    <row r="170" spans="6:6" x14ac:dyDescent="0.3">
      <c r="F170" s="4"/>
    </row>
    <row r="171" spans="6:6" x14ac:dyDescent="0.3">
      <c r="F171" s="4"/>
    </row>
    <row r="172" spans="6:6" x14ac:dyDescent="0.3">
      <c r="F172" s="4"/>
    </row>
    <row r="173" spans="6:6" x14ac:dyDescent="0.3">
      <c r="F173" s="4"/>
    </row>
    <row r="174" spans="6:6" x14ac:dyDescent="0.3">
      <c r="F174" s="4"/>
    </row>
    <row r="175" spans="6:6" x14ac:dyDescent="0.3">
      <c r="F175" s="4"/>
    </row>
    <row r="176" spans="6:6" x14ac:dyDescent="0.3">
      <c r="F176" s="4"/>
    </row>
    <row r="177" spans="6:6" x14ac:dyDescent="0.3">
      <c r="F177" s="4"/>
    </row>
    <row r="178" spans="6:6" x14ac:dyDescent="0.3">
      <c r="F178" s="4"/>
    </row>
    <row r="179" spans="6:6" x14ac:dyDescent="0.3">
      <c r="F179" s="4"/>
    </row>
    <row r="180" spans="6:6" x14ac:dyDescent="0.3">
      <c r="F180" s="4"/>
    </row>
    <row r="181" spans="6:6" x14ac:dyDescent="0.3">
      <c r="F181" s="4"/>
    </row>
    <row r="182" spans="6:6" x14ac:dyDescent="0.3">
      <c r="F182" s="4"/>
    </row>
    <row r="183" spans="6:6" x14ac:dyDescent="0.3">
      <c r="F183" s="4"/>
    </row>
    <row r="184" spans="6:6" x14ac:dyDescent="0.3">
      <c r="F184" s="4"/>
    </row>
    <row r="185" spans="6:6" x14ac:dyDescent="0.3">
      <c r="F185" s="4"/>
    </row>
    <row r="186" spans="6:6" x14ac:dyDescent="0.3">
      <c r="F186" s="4"/>
    </row>
    <row r="187" spans="6:6" x14ac:dyDescent="0.3">
      <c r="F187" s="4"/>
    </row>
    <row r="188" spans="6:6" x14ac:dyDescent="0.3">
      <c r="F188" s="4"/>
    </row>
    <row r="189" spans="6:6" x14ac:dyDescent="0.3">
      <c r="F189" s="4"/>
    </row>
    <row r="190" spans="6:6" x14ac:dyDescent="0.3">
      <c r="F190" s="4"/>
    </row>
    <row r="191" spans="6:6" x14ac:dyDescent="0.3">
      <c r="F191" s="4"/>
    </row>
    <row r="192" spans="6:6" x14ac:dyDescent="0.3">
      <c r="F192" s="4"/>
    </row>
    <row r="193" spans="6:6" x14ac:dyDescent="0.3">
      <c r="F193" s="4"/>
    </row>
    <row r="194" spans="6:6" x14ac:dyDescent="0.3">
      <c r="F194" s="4"/>
    </row>
    <row r="195" spans="6:6" x14ac:dyDescent="0.3">
      <c r="F195" s="4"/>
    </row>
    <row r="196" spans="6:6" x14ac:dyDescent="0.3">
      <c r="F196" s="4"/>
    </row>
    <row r="197" spans="6:6" x14ac:dyDescent="0.3">
      <c r="F197" s="4"/>
    </row>
    <row r="198" spans="6:6" x14ac:dyDescent="0.3">
      <c r="F198" s="4"/>
    </row>
    <row r="199" spans="6:6" x14ac:dyDescent="0.3">
      <c r="F199" s="4"/>
    </row>
    <row r="200" spans="6:6" x14ac:dyDescent="0.3">
      <c r="F200" s="4"/>
    </row>
    <row r="201" spans="6:6" x14ac:dyDescent="0.3">
      <c r="F201" s="4"/>
    </row>
    <row r="202" spans="6:6" x14ac:dyDescent="0.3">
      <c r="F202" s="4"/>
    </row>
    <row r="203" spans="6:6" x14ac:dyDescent="0.3">
      <c r="F203" s="4"/>
    </row>
    <row r="204" spans="6:6" x14ac:dyDescent="0.3">
      <c r="F204" s="4"/>
    </row>
    <row r="205" spans="6:6" x14ac:dyDescent="0.3">
      <c r="F205" s="4"/>
    </row>
    <row r="206" spans="6:6" x14ac:dyDescent="0.3">
      <c r="F206" s="4"/>
    </row>
    <row r="207" spans="6:6" x14ac:dyDescent="0.3">
      <c r="F207" s="4"/>
    </row>
    <row r="208" spans="6:6" x14ac:dyDescent="0.3">
      <c r="F208" s="4"/>
    </row>
    <row r="209" spans="6:6" x14ac:dyDescent="0.3">
      <c r="F209" s="4"/>
    </row>
    <row r="210" spans="6:6" x14ac:dyDescent="0.3">
      <c r="F210" s="4"/>
    </row>
    <row r="211" spans="6:6" x14ac:dyDescent="0.3">
      <c r="F211" s="4"/>
    </row>
    <row r="212" spans="6:6" x14ac:dyDescent="0.3">
      <c r="F212" s="4"/>
    </row>
    <row r="213" spans="6:6" x14ac:dyDescent="0.3">
      <c r="F213" s="4"/>
    </row>
    <row r="214" spans="6:6" x14ac:dyDescent="0.3">
      <c r="F214" s="4"/>
    </row>
    <row r="215" spans="6:6" x14ac:dyDescent="0.3">
      <c r="F215" s="4"/>
    </row>
    <row r="216" spans="6:6" x14ac:dyDescent="0.3">
      <c r="F216" s="4"/>
    </row>
    <row r="217" spans="6:6" x14ac:dyDescent="0.3">
      <c r="F217" s="4"/>
    </row>
    <row r="218" spans="6:6" x14ac:dyDescent="0.3">
      <c r="F218" s="4"/>
    </row>
    <row r="219" spans="6:6" x14ac:dyDescent="0.3">
      <c r="F219" s="4"/>
    </row>
    <row r="220" spans="6:6" x14ac:dyDescent="0.3">
      <c r="F220" s="4"/>
    </row>
    <row r="221" spans="6:6" x14ac:dyDescent="0.3">
      <c r="F221" s="4"/>
    </row>
    <row r="222" spans="6:6" x14ac:dyDescent="0.3">
      <c r="F222" s="4"/>
    </row>
    <row r="223" spans="6:6" x14ac:dyDescent="0.3">
      <c r="F223" s="4"/>
    </row>
    <row r="224" spans="6:6" x14ac:dyDescent="0.3">
      <c r="F224" s="4"/>
    </row>
    <row r="225" spans="6:6" x14ac:dyDescent="0.3">
      <c r="F225" s="4"/>
    </row>
    <row r="226" spans="6:6" x14ac:dyDescent="0.3">
      <c r="F226" s="4"/>
    </row>
    <row r="227" spans="6:6" x14ac:dyDescent="0.3">
      <c r="F227" s="4"/>
    </row>
    <row r="228" spans="6:6" x14ac:dyDescent="0.3">
      <c r="F228" s="4"/>
    </row>
    <row r="229" spans="6:6" x14ac:dyDescent="0.3">
      <c r="F229" s="4"/>
    </row>
    <row r="230" spans="6:6" x14ac:dyDescent="0.3">
      <c r="F230" s="4"/>
    </row>
    <row r="231" spans="6:6" x14ac:dyDescent="0.3">
      <c r="F231" s="4"/>
    </row>
    <row r="232" spans="6:6" x14ac:dyDescent="0.3">
      <c r="F232" s="4"/>
    </row>
    <row r="233" spans="6:6" x14ac:dyDescent="0.3">
      <c r="F233" s="4"/>
    </row>
    <row r="234" spans="6:6" x14ac:dyDescent="0.3">
      <c r="F234" s="4"/>
    </row>
    <row r="235" spans="6:6" x14ac:dyDescent="0.3">
      <c r="F235" s="4"/>
    </row>
    <row r="236" spans="6:6" x14ac:dyDescent="0.3">
      <c r="F236" s="4"/>
    </row>
    <row r="237" spans="6:6" x14ac:dyDescent="0.3">
      <c r="F237" s="4"/>
    </row>
    <row r="238" spans="6:6" x14ac:dyDescent="0.3">
      <c r="F238" s="4"/>
    </row>
    <row r="239" spans="6:6" x14ac:dyDescent="0.3">
      <c r="F239" s="4"/>
    </row>
    <row r="240" spans="6:6" x14ac:dyDescent="0.3">
      <c r="F240" s="4"/>
    </row>
    <row r="241" spans="6:6" x14ac:dyDescent="0.3">
      <c r="F241" s="4"/>
    </row>
    <row r="242" spans="6:6" x14ac:dyDescent="0.3">
      <c r="F242" s="4"/>
    </row>
    <row r="243" spans="6:6" x14ac:dyDescent="0.3">
      <c r="F243" s="4"/>
    </row>
    <row r="244" spans="6:6" x14ac:dyDescent="0.3">
      <c r="F244" s="4"/>
    </row>
    <row r="245" spans="6:6" x14ac:dyDescent="0.3">
      <c r="F245" s="4"/>
    </row>
    <row r="246" spans="6:6" x14ac:dyDescent="0.3">
      <c r="F246" s="4"/>
    </row>
    <row r="247" spans="6:6" x14ac:dyDescent="0.3">
      <c r="F247" s="4"/>
    </row>
    <row r="248" spans="6:6" x14ac:dyDescent="0.3">
      <c r="F248" s="4"/>
    </row>
    <row r="249" spans="6:6" x14ac:dyDescent="0.3">
      <c r="F249" s="4"/>
    </row>
    <row r="250" spans="6:6" x14ac:dyDescent="0.3">
      <c r="F250" s="4"/>
    </row>
    <row r="251" spans="6:6" x14ac:dyDescent="0.3">
      <c r="F251" s="4"/>
    </row>
    <row r="252" spans="6:6" x14ac:dyDescent="0.3">
      <c r="F252" s="4"/>
    </row>
    <row r="253" spans="6:6" x14ac:dyDescent="0.3">
      <c r="F253" s="4"/>
    </row>
    <row r="254" spans="6:6" x14ac:dyDescent="0.3">
      <c r="F254" s="4"/>
    </row>
    <row r="255" spans="6:6" x14ac:dyDescent="0.3">
      <c r="F255" s="4"/>
    </row>
    <row r="256" spans="6:6" x14ac:dyDescent="0.3">
      <c r="F256" s="4"/>
    </row>
    <row r="257" spans="6:6" x14ac:dyDescent="0.3">
      <c r="F257" s="4"/>
    </row>
    <row r="258" spans="6:6" x14ac:dyDescent="0.3">
      <c r="F258" s="4"/>
    </row>
    <row r="259" spans="6:6" x14ac:dyDescent="0.3">
      <c r="F259" s="4"/>
    </row>
    <row r="260" spans="6:6" x14ac:dyDescent="0.3">
      <c r="F260" s="4"/>
    </row>
    <row r="261" spans="6:6" x14ac:dyDescent="0.3">
      <c r="F261" s="4"/>
    </row>
    <row r="262" spans="6:6" x14ac:dyDescent="0.3">
      <c r="F262" s="4"/>
    </row>
    <row r="263" spans="6:6" x14ac:dyDescent="0.3">
      <c r="F263" s="4"/>
    </row>
    <row r="264" spans="6:6" x14ac:dyDescent="0.3">
      <c r="F264" s="4"/>
    </row>
    <row r="265" spans="6:6" x14ac:dyDescent="0.3">
      <c r="F265" s="4"/>
    </row>
    <row r="266" spans="6:6" x14ac:dyDescent="0.3">
      <c r="F266" s="4"/>
    </row>
    <row r="267" spans="6:6" x14ac:dyDescent="0.3">
      <c r="F267" s="4"/>
    </row>
    <row r="268" spans="6:6" x14ac:dyDescent="0.3">
      <c r="F268" s="4"/>
    </row>
    <row r="269" spans="6:6" x14ac:dyDescent="0.3">
      <c r="F269" s="4"/>
    </row>
    <row r="270" spans="6:6" x14ac:dyDescent="0.3">
      <c r="F270" s="4"/>
    </row>
    <row r="271" spans="6:6" x14ac:dyDescent="0.3">
      <c r="F271" s="4"/>
    </row>
    <row r="272" spans="6:6" x14ac:dyDescent="0.3">
      <c r="F272" s="4"/>
    </row>
    <row r="273" spans="6:6" x14ac:dyDescent="0.3">
      <c r="F273" s="4"/>
    </row>
    <row r="274" spans="6:6" x14ac:dyDescent="0.3">
      <c r="F274" s="4"/>
    </row>
    <row r="275" spans="6:6" x14ac:dyDescent="0.3">
      <c r="F275" s="4"/>
    </row>
    <row r="276" spans="6:6" x14ac:dyDescent="0.3">
      <c r="F276" s="4"/>
    </row>
    <row r="277" spans="6:6" x14ac:dyDescent="0.3">
      <c r="F277" s="4"/>
    </row>
    <row r="278" spans="6:6" x14ac:dyDescent="0.3">
      <c r="F278" s="4"/>
    </row>
    <row r="279" spans="6:6" x14ac:dyDescent="0.3">
      <c r="F279" s="4"/>
    </row>
    <row r="280" spans="6:6" x14ac:dyDescent="0.3">
      <c r="F280" s="4"/>
    </row>
    <row r="281" spans="6:6" x14ac:dyDescent="0.3">
      <c r="F281" s="4"/>
    </row>
    <row r="282" spans="6:6" x14ac:dyDescent="0.3">
      <c r="F282" s="4"/>
    </row>
    <row r="283" spans="6:6" x14ac:dyDescent="0.3">
      <c r="F283" s="4"/>
    </row>
    <row r="284" spans="6:6" x14ac:dyDescent="0.3">
      <c r="F284" s="4"/>
    </row>
    <row r="285" spans="6:6" x14ac:dyDescent="0.3">
      <c r="F285" s="4"/>
    </row>
    <row r="286" spans="6:6" x14ac:dyDescent="0.3">
      <c r="F286" s="4"/>
    </row>
    <row r="287" spans="6:6" x14ac:dyDescent="0.3">
      <c r="F287" s="4"/>
    </row>
    <row r="288" spans="6:6" x14ac:dyDescent="0.3">
      <c r="F288" s="4"/>
    </row>
    <row r="289" spans="6:6" x14ac:dyDescent="0.3">
      <c r="F289" s="4"/>
    </row>
    <row r="290" spans="6:6" x14ac:dyDescent="0.3">
      <c r="F290" s="4"/>
    </row>
    <row r="291" spans="6:6" x14ac:dyDescent="0.3">
      <c r="F291" s="4"/>
    </row>
    <row r="292" spans="6:6" x14ac:dyDescent="0.3">
      <c r="F292" s="4"/>
    </row>
    <row r="293" spans="6:6" x14ac:dyDescent="0.3">
      <c r="F293" s="4"/>
    </row>
    <row r="294" spans="6:6" x14ac:dyDescent="0.3">
      <c r="F294" s="4"/>
    </row>
    <row r="295" spans="6:6" x14ac:dyDescent="0.3">
      <c r="F295" s="4"/>
    </row>
    <row r="296" spans="6:6" x14ac:dyDescent="0.3">
      <c r="F296" s="4"/>
    </row>
    <row r="297" spans="6:6" x14ac:dyDescent="0.3">
      <c r="F297" s="4"/>
    </row>
    <row r="298" spans="6:6" x14ac:dyDescent="0.3">
      <c r="F298" s="4"/>
    </row>
    <row r="299" spans="6:6" x14ac:dyDescent="0.3">
      <c r="F299" s="4"/>
    </row>
  </sheetData>
  <sheetProtection algorithmName="SHA-512" hashValue="SCt0LiwexN7kMoZT5k4S9rGcKKtITubsxj1ZrzoOQddQZl/ib2QMA6wsaKMmv/p8Wcw2PERK+EdK/7G5mZBdFA==" saltValue="4R5+Vwmc+CVtHkV1Cf8aNA==" spinCount="100000" sheet="1" selectLockedCells="1"/>
  <mergeCells count="3">
    <mergeCell ref="H4:I4"/>
    <mergeCell ref="K4:L4"/>
    <mergeCell ref="L6:M6"/>
  </mergeCells>
  <conditionalFormatting sqref="A21:D21">
    <cfRule type="expression" dxfId="611" priority="49">
      <formula>$D$21&gt;$D$2</formula>
    </cfRule>
  </conditionalFormatting>
  <conditionalFormatting sqref="A22:D22">
    <cfRule type="expression" dxfId="610" priority="48">
      <formula>$D$22&gt;$D$2</formula>
    </cfRule>
  </conditionalFormatting>
  <conditionalFormatting sqref="A23:D23">
    <cfRule type="expression" dxfId="609" priority="47">
      <formula>$D$23&gt;$D$2</formula>
    </cfRule>
  </conditionalFormatting>
  <conditionalFormatting sqref="A24:D24">
    <cfRule type="expression" dxfId="608" priority="46">
      <formula>$D$24&gt;$D$2</formula>
    </cfRule>
  </conditionalFormatting>
  <conditionalFormatting sqref="A25:D25">
    <cfRule type="expression" dxfId="607" priority="3">
      <formula>$D$25&gt;$D$2</formula>
    </cfRule>
  </conditionalFormatting>
  <conditionalFormatting sqref="A26:D26">
    <cfRule type="expression" dxfId="606" priority="45">
      <formula>$D$26&gt;$D$2</formula>
    </cfRule>
  </conditionalFormatting>
  <conditionalFormatting sqref="A27:D27">
    <cfRule type="expression" dxfId="605" priority="44">
      <formula>$D$27&gt;$D$2</formula>
    </cfRule>
  </conditionalFormatting>
  <conditionalFormatting sqref="A28:D28">
    <cfRule type="expression" dxfId="604" priority="43">
      <formula>$D$28&gt;$D$2</formula>
    </cfRule>
  </conditionalFormatting>
  <conditionalFormatting sqref="A29:D29">
    <cfRule type="expression" dxfId="603" priority="42">
      <formula>$D$29&gt;$D$2</formula>
    </cfRule>
  </conditionalFormatting>
  <conditionalFormatting sqref="A30:D30">
    <cfRule type="expression" dxfId="602" priority="41">
      <formula>$D$30&gt;$D$2</formula>
    </cfRule>
  </conditionalFormatting>
  <conditionalFormatting sqref="A31:D31">
    <cfRule type="expression" dxfId="601" priority="40">
      <formula>$D$31&gt;$D$2</formula>
    </cfRule>
  </conditionalFormatting>
  <conditionalFormatting sqref="A32:D32">
    <cfRule type="expression" dxfId="600" priority="39">
      <formula>$D$32&gt;$D$2</formula>
    </cfRule>
  </conditionalFormatting>
  <conditionalFormatting sqref="A33:D33">
    <cfRule type="expression" dxfId="599" priority="38">
      <formula>$D$33&gt;$D$2</formula>
    </cfRule>
  </conditionalFormatting>
  <conditionalFormatting sqref="A36:D36">
    <cfRule type="expression" dxfId="598" priority="37">
      <formula>$D$36&gt;$D$2</formula>
    </cfRule>
  </conditionalFormatting>
  <conditionalFormatting sqref="A37:D37">
    <cfRule type="expression" dxfId="597" priority="36">
      <formula>$D$37&gt;$D$2</formula>
    </cfRule>
  </conditionalFormatting>
  <conditionalFormatting sqref="A38:D38">
    <cfRule type="expression" dxfId="596" priority="35">
      <formula>$D$38&gt;$D$2</formula>
    </cfRule>
  </conditionalFormatting>
  <conditionalFormatting sqref="A40:D40">
    <cfRule type="expression" dxfId="595" priority="34">
      <formula>$D$40&gt;$D$2</formula>
    </cfRule>
  </conditionalFormatting>
  <conditionalFormatting sqref="B9">
    <cfRule type="cellIs" dxfId="594" priority="2" operator="notEqual">
      <formula>""</formula>
    </cfRule>
  </conditionalFormatting>
  <conditionalFormatting sqref="B10">
    <cfRule type="cellIs" dxfId="592" priority="21" operator="equal">
      <formula>$S$21</formula>
    </cfRule>
  </conditionalFormatting>
  <conditionalFormatting sqref="B11 B14:B15">
    <cfRule type="cellIs" dxfId="591" priority="28" operator="equal">
      <formula>$S$21</formula>
    </cfRule>
  </conditionalFormatting>
  <conditionalFormatting sqref="B13">
    <cfRule type="cellIs" dxfId="590" priority="730" operator="equal">
      <formula>$S$1</formula>
    </cfRule>
    <cfRule type="expression" dxfId="589" priority="731">
      <formula>($V$21-1)&lt;$V$22</formula>
    </cfRule>
  </conditionalFormatting>
  <conditionalFormatting sqref="B21">
    <cfRule type="cellIs" dxfId="588" priority="22" operator="equal">
      <formula>$S$25</formula>
    </cfRule>
  </conditionalFormatting>
  <conditionalFormatting sqref="B22 B24">
    <cfRule type="cellIs" dxfId="587" priority="16" operator="equal">
      <formula>$S$29</formula>
    </cfRule>
  </conditionalFormatting>
  <conditionalFormatting sqref="B23 B27">
    <cfRule type="cellIs" dxfId="586" priority="19" operator="equal">
      <formula>$S$25</formula>
    </cfRule>
  </conditionalFormatting>
  <conditionalFormatting sqref="B25">
    <cfRule type="cellIs" dxfId="585" priority="747" operator="equal">
      <formula>$S$42</formula>
    </cfRule>
  </conditionalFormatting>
  <conditionalFormatting sqref="B26 B28">
    <cfRule type="cellIs" dxfId="584" priority="740" operator="equal">
      <formula>$S$29</formula>
    </cfRule>
  </conditionalFormatting>
  <conditionalFormatting sqref="B29:B33">
    <cfRule type="cellIs" dxfId="583" priority="743" operator="equal">
      <formula>$S$33</formula>
    </cfRule>
  </conditionalFormatting>
  <conditionalFormatting sqref="B34:B35">
    <cfRule type="expression" dxfId="582" priority="4">
      <formula>$B$34=""</formula>
    </cfRule>
  </conditionalFormatting>
  <conditionalFormatting sqref="B36:B38 B40">
    <cfRule type="cellIs" dxfId="581" priority="744" operator="equal">
      <formula>$S$36</formula>
    </cfRule>
  </conditionalFormatting>
  <conditionalFormatting sqref="B39">
    <cfRule type="cellIs" dxfId="580" priority="29" operator="equal">
      <formula>0</formula>
    </cfRule>
  </conditionalFormatting>
  <conditionalFormatting sqref="B41">
    <cfRule type="cellIs" dxfId="579" priority="30" operator="equal">
      <formula>0</formula>
    </cfRule>
    <cfRule type="expression" dxfId="578" priority="7">
      <formula>$Y$23=1</formula>
    </cfRule>
  </conditionalFormatting>
  <conditionalFormatting sqref="B44">
    <cfRule type="cellIs" dxfId="577" priority="746" operator="equal">
      <formula>$S$97</formula>
    </cfRule>
  </conditionalFormatting>
  <conditionalFormatting sqref="B48:B53">
    <cfRule type="cellIs" dxfId="576" priority="12" operator="equal">
      <formula>$S$104</formula>
    </cfRule>
  </conditionalFormatting>
  <conditionalFormatting sqref="B49:B52">
    <cfRule type="expression" dxfId="575" priority="9">
      <formula>AND($B49="",$C49&gt;0)</formula>
    </cfRule>
  </conditionalFormatting>
  <conditionalFormatting sqref="B55">
    <cfRule type="cellIs" dxfId="574" priority="6" operator="equal">
      <formula>$S$104</formula>
    </cfRule>
  </conditionalFormatting>
  <conditionalFormatting sqref="B9:Q9">
    <cfRule type="expression" dxfId="572" priority="57">
      <formula>$B$9=$S$1</formula>
    </cfRule>
  </conditionalFormatting>
  <conditionalFormatting sqref="C6:C7">
    <cfRule type="expression" dxfId="571" priority="33">
      <formula>$C$6="Yes"</formula>
    </cfRule>
  </conditionalFormatting>
  <conditionalFormatting sqref="C17">
    <cfRule type="expression" dxfId="570" priority="751">
      <formula>SUM($C$21:$C$41)&gt;(VLOOKUP(B9,S1:V16,4))</formula>
    </cfRule>
  </conditionalFormatting>
  <conditionalFormatting sqref="C42">
    <cfRule type="cellIs" dxfId="569" priority="31" operator="equal">
      <formula>0</formula>
    </cfRule>
    <cfRule type="expression" dxfId="568" priority="50">
      <formula>$C$42&gt;$C$17</formula>
    </cfRule>
  </conditionalFormatting>
  <conditionalFormatting sqref="C49:C52">
    <cfRule type="expression" dxfId="567" priority="11">
      <formula>AND($B49&lt;&gt;"",$C49=0)</formula>
    </cfRule>
  </conditionalFormatting>
  <conditionalFormatting sqref="D9 D13">
    <cfRule type="cellIs" dxfId="566" priority="32" operator="greaterThan">
      <formula>$D$2</formula>
    </cfRule>
  </conditionalFormatting>
  <conditionalFormatting sqref="E48:E53">
    <cfRule type="cellIs" dxfId="565" priority="10" operator="greaterThan">
      <formula>$D$2</formula>
    </cfRule>
  </conditionalFormatting>
  <dataValidations count="30">
    <dataValidation type="list" allowBlank="1" showInputMessage="1" showErrorMessage="1" sqref="B10:B11 C6:C7 B14:B15" xr:uid="{F6CA2F1C-3EA3-47D4-86D9-5EC64271D356}">
      <formula1>$S$21:$S$22</formula1>
    </dataValidation>
    <dataValidation type="list" allowBlank="1" showInputMessage="1" showErrorMessage="1" sqref="B21" xr:uid="{9CCE63E6-CA24-4106-8FB2-C443F2CD8AE5}">
      <formula1>$S$25:$S$28</formula1>
    </dataValidation>
    <dataValidation type="list" allowBlank="1" showInputMessage="1" showErrorMessage="1" sqref="B22" xr:uid="{E2FDE1FD-1930-4774-97BF-370E6384B365}">
      <formula1>$S$29:$S$32</formula1>
    </dataValidation>
    <dataValidation type="list" allowBlank="1" showInputMessage="1" showErrorMessage="1" sqref="B23" xr:uid="{42087024-1047-47C0-8648-003A59DBA378}">
      <formula1>$S$33:$S$35</formula1>
    </dataValidation>
    <dataValidation type="list" allowBlank="1" showInputMessage="1" showErrorMessage="1" sqref="B24" xr:uid="{0A23DB7B-F4BE-4FFB-84D6-8127CB92C830}">
      <formula1>$S$36:$S$41</formula1>
    </dataValidation>
    <dataValidation type="list" allowBlank="1" showInputMessage="1" showErrorMessage="1" sqref="B26" xr:uid="{C1050F98-A84B-45DF-9121-0FE47FA9B4AB}">
      <formula1>$S$45:$S$48</formula1>
    </dataValidation>
    <dataValidation type="list" allowBlank="1" showInputMessage="1" showErrorMessage="1" sqref="B27" xr:uid="{FE4D374E-FE0B-406F-9387-9646D1913EE5}">
      <formula1>$S$49:$S$50</formula1>
    </dataValidation>
    <dataValidation type="list" allowBlank="1" showInputMessage="1" showErrorMessage="1" sqref="B28" xr:uid="{3546A452-DADE-422D-A839-A8E7D217DC57}">
      <formula1>$S$51:$S$54</formula1>
    </dataValidation>
    <dataValidation type="list" allowBlank="1" showInputMessage="1" showErrorMessage="1" sqref="B29" xr:uid="{874376BC-2063-4734-BDEA-472E2A7802C3}">
      <formula1>$S$55:$S$58</formula1>
    </dataValidation>
    <dataValidation type="list" allowBlank="1" showInputMessage="1" showErrorMessage="1" sqref="B30" xr:uid="{B4C947A6-AFCE-4BCE-AFC5-6AE21AF1DA23}">
      <formula1>$S$59:$S$62</formula1>
    </dataValidation>
    <dataValidation type="list" allowBlank="1" showInputMessage="1" showErrorMessage="1" sqref="B32" xr:uid="{ED944866-A1CA-40D5-A628-DE71C683B0A4}">
      <formula1>$S$65:$S$74</formula1>
    </dataValidation>
    <dataValidation type="list" allowBlank="1" showInputMessage="1" showErrorMessage="1" sqref="B33" xr:uid="{7D319B1E-3767-443B-9BAC-8D298350CC06}">
      <formula1>$S$75:$S$78</formula1>
    </dataValidation>
    <dataValidation type="list" allowBlank="1" showInputMessage="1" showErrorMessage="1" sqref="B36" xr:uid="{CE20C064-163A-4101-85A8-68348B798C28}">
      <formula1>$S$79:$S$81</formula1>
    </dataValidation>
    <dataValidation type="list" allowBlank="1" showInputMessage="1" showErrorMessage="1" sqref="B37" xr:uid="{E7519125-7B76-4BB0-8A13-74752461DF60}">
      <formula1>$S$82:$S$83</formula1>
    </dataValidation>
    <dataValidation type="list" allowBlank="1" showInputMessage="1" showErrorMessage="1" sqref="B38" xr:uid="{4400F5F1-B766-4E1A-AD14-35A42E67B5D9}">
      <formula1>$S$84:$S$87</formula1>
    </dataValidation>
    <dataValidation type="list" allowBlank="1" showInputMessage="1" showErrorMessage="1" sqref="B40" xr:uid="{E76EAD45-185A-42D1-840F-3E6CBCDE732D}">
      <formula1>$S$90:$S$93</formula1>
    </dataValidation>
    <dataValidation type="list" allowBlank="1" showInputMessage="1" showErrorMessage="1" sqref="B44" xr:uid="{06252543-6718-4947-B3E6-CB4B143E6FC0}">
      <formula1>$S$96:$S$97</formula1>
    </dataValidation>
    <dataValidation type="list" allowBlank="1" showInputMessage="1" showErrorMessage="1" sqref="B25" xr:uid="{497F10F8-A4CF-4471-8C35-4DF75B3A4C3E}">
      <formula1>$S$42:$S$44</formula1>
    </dataValidation>
    <dataValidation type="list" allowBlank="1" showInputMessage="1" showErrorMessage="1" prompt="Backup must be smaller than the main computer" sqref="B13" xr:uid="{A531E571-C2B2-4FDF-B1B2-32654D1D2D02}">
      <formula1>$S$1:$S$17</formula1>
    </dataValidation>
    <dataValidation type="list" allowBlank="1" showInputMessage="1" showErrorMessage="1" sqref="B9" xr:uid="{9639ABCD-CADF-4DEB-B624-D658E8C551E9}">
      <formula1>$S$1:$S$17</formula1>
    </dataValidation>
    <dataValidation type="whole" operator="greaterThanOrEqual" allowBlank="1" showInputMessage="1" showErrorMessage="1" sqref="C49:C52" xr:uid="{4FD269E9-FF1D-4CC0-9B45-1921C462C59F}">
      <formula1>0</formula1>
    </dataValidation>
    <dataValidation type="list" allowBlank="1" showInputMessage="1" showErrorMessage="1" sqref="B50" xr:uid="{AAE9A053-3A2F-411C-A80B-1276AAF95B4C}">
      <formula1>$S$109:$S$112</formula1>
    </dataValidation>
    <dataValidation type="list" allowBlank="1" showInputMessage="1" showErrorMessage="1" sqref="B51" xr:uid="{0B1927F7-25F0-444B-8033-3C3D8ECDE49A}">
      <formula1>$S$113:$S$116</formula1>
    </dataValidation>
    <dataValidation type="list" allowBlank="1" showInputMessage="1" showErrorMessage="1" sqref="B52" xr:uid="{7DCADDBE-743D-4624-97A5-A560D54930C0}">
      <formula1>$S$117:$S$120</formula1>
    </dataValidation>
    <dataValidation type="list" allowBlank="1" showInputMessage="1" showErrorMessage="1" sqref="B53" xr:uid="{B3C21689-8596-4AF7-B79B-3CEFF032B1A2}">
      <formula1>$S$121:$S$124</formula1>
    </dataValidation>
    <dataValidation type="list" allowBlank="1" showInputMessage="1" showErrorMessage="1" sqref="B49" xr:uid="{055961A6-5253-4AB8-935D-B03248362CC5}">
      <formula1>$S$106:$S$108</formula1>
    </dataValidation>
    <dataValidation type="list" allowBlank="1" showInputMessage="1" showErrorMessage="1" sqref="B48" xr:uid="{9E773FD6-4280-4318-89F1-7525AC50C6A7}">
      <formula1>$S$104:$S$105</formula1>
    </dataValidation>
    <dataValidation type="whole" allowBlank="1" showInputMessage="1" showErrorMessage="1" sqref="C42" xr:uid="{CB19F497-BC0C-4EA6-9BA5-3D41DEB66703}">
      <formula1>0</formula1>
      <formula2>V21</formula2>
    </dataValidation>
    <dataValidation type="list" allowBlank="1" showInputMessage="1" showErrorMessage="1" sqref="B55" xr:uid="{259EAAA7-3270-4EDC-9CF1-D26068E417DD}">
      <formula1>$S$125:$S$126</formula1>
    </dataValidation>
    <dataValidation type="list" allowBlank="1" showInputMessage="1" showErrorMessage="1" sqref="L6:M6" xr:uid="{63C922EA-43A6-4E85-AD81-178B51E62946}">
      <formula1>$AB$5:$AB$8</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8" stopIfTrue="1" id="{8086C472-9A46-4922-9A9C-D0D01E4C93C9}">
            <xm:f>AND($C$7="No",OR('Ship Info'!$F$7,'Ship Info'!$F$4))</xm:f>
            <x14:dxf>
              <fill>
                <patternFill>
                  <bgColor theme="0" tint="-0.499984740745262"/>
                </patternFill>
              </fill>
            </x14:dxf>
          </x14:cfRule>
          <xm:sqref>B9:B53 C42 C49:C52</xm:sqref>
        </x14:conditionalFormatting>
        <x14:conditionalFormatting xmlns:xm="http://schemas.microsoft.com/office/excel/2006/main">
          <x14:cfRule type="expression" priority="5" stopIfTrue="1" id="{95F0C0E0-0A7D-4DF6-839E-BE1332FA3D36}">
            <xm:f>AND($C$7="No",OR('Ship Info'!$F$7,'Ship Info'!$F$4))</xm:f>
            <x14:dxf>
              <fill>
                <patternFill>
                  <bgColor theme="0" tint="-0.499984740745262"/>
                </patternFill>
              </fill>
            </x14:dxf>
          </x14:cfRule>
          <xm:sqref>B55</xm:sqref>
        </x14:conditionalFormatting>
      </x14:conditionalFormattings>
    </ext>
    <ext xmlns:x14="http://schemas.microsoft.com/office/spreadsheetml/2009/9/main" uri="{CCE6A557-97BC-4b89-ADB6-D9C93CAAB3DF}">
      <x14:dataValidations xmlns:xm="http://schemas.microsoft.com/office/excel/2006/main" count="1">
        <x14:dataValidation type="whole" allowBlank="1" showInputMessage="1" showErrorMessage="1" error="Number of Active Gunners Exceeded" xr:uid="{92E82789-7744-4A93-A290-BAA9DD43AF45}">
          <x14:formula1>
            <xm:f>0</xm:f>
          </x14:formula1>
          <x14:formula2>
            <xm:f>'10-Crew'!X7</xm:f>
          </x14:formula2>
          <xm:sqref>B41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6824-A7FF-4597-B325-B57EF0AFB45E}">
  <dimension ref="A1:Z52"/>
  <sheetViews>
    <sheetView workbookViewId="0">
      <selection activeCell="C8" sqref="C8"/>
    </sheetView>
  </sheetViews>
  <sheetFormatPr defaultRowHeight="14.4" x14ac:dyDescent="0.3"/>
  <cols>
    <col min="1" max="1" width="25.109375" customWidth="1"/>
    <col min="2" max="2" width="46.44140625" customWidth="1"/>
    <col min="3" max="3" width="19" customWidth="1"/>
    <col min="4" max="4" width="5.6640625" customWidth="1"/>
    <col min="5" max="5" width="15.5546875" customWidth="1"/>
    <col min="6" max="6" width="18" customWidth="1"/>
    <col min="8" max="8" width="11.33203125" customWidth="1"/>
    <col min="9" max="9" width="10.33203125" customWidth="1"/>
    <col min="11" max="11" width="10.5546875" customWidth="1"/>
    <col min="12" max="12" width="11.33203125" customWidth="1"/>
    <col min="13" max="14" width="2.44140625" customWidth="1"/>
    <col min="15" max="15" width="2.6640625" customWidth="1"/>
    <col min="16" max="16" width="1.88671875" customWidth="1"/>
    <col min="17" max="17" width="1.6640625" customWidth="1"/>
    <col min="18" max="18" width="2.88671875" customWidth="1"/>
    <col min="19" max="19" width="23.5546875" hidden="1" customWidth="1"/>
    <col min="20" max="20" width="9.109375" hidden="1" customWidth="1"/>
    <col min="21" max="21" width="9.33203125" hidden="1" customWidth="1"/>
    <col min="22" max="26" width="9.109375" hidden="1" customWidth="1"/>
    <col min="27" max="33" width="9.109375" customWidth="1"/>
  </cols>
  <sheetData>
    <row r="1" spans="1:26" x14ac:dyDescent="0.3">
      <c r="A1" s="3" t="str">
        <f>'Ship Info'!A1</f>
        <v>Ship's Class Name</v>
      </c>
      <c r="B1">
        <f>'Ship Info'!B1</f>
        <v>0</v>
      </c>
      <c r="F1" s="1" t="s">
        <v>1</v>
      </c>
      <c r="S1" s="3" t="s">
        <v>260</v>
      </c>
      <c r="T1" s="3" t="s">
        <v>26</v>
      </c>
      <c r="U1" s="3" t="s">
        <v>1</v>
      </c>
      <c r="V1" s="3" t="s">
        <v>255</v>
      </c>
      <c r="W1" s="3" t="s">
        <v>110</v>
      </c>
      <c r="X1" s="3"/>
      <c r="Y1" s="3" t="s">
        <v>164</v>
      </c>
      <c r="Z1" s="7" t="s">
        <v>2399</v>
      </c>
    </row>
    <row r="2" spans="1:26" x14ac:dyDescent="0.3">
      <c r="A2" s="3" t="s">
        <v>418</v>
      </c>
      <c r="B2">
        <f>'Ship Info'!B2</f>
        <v>0</v>
      </c>
      <c r="C2" s="3" t="s">
        <v>0</v>
      </c>
      <c r="D2" s="2">
        <f>'Ship Info'!F2</f>
        <v>12</v>
      </c>
      <c r="F2" s="10">
        <f>'Ship Info'!G2</f>
        <v>6177000</v>
      </c>
      <c r="S2" t="s">
        <v>82</v>
      </c>
      <c r="T2">
        <v>0</v>
      </c>
      <c r="U2">
        <v>0</v>
      </c>
      <c r="V2">
        <v>0</v>
      </c>
      <c r="W2">
        <v>0</v>
      </c>
      <c r="X2">
        <v>0</v>
      </c>
      <c r="Y2" t="str">
        <f>""</f>
        <v/>
      </c>
    </row>
    <row r="3" spans="1:26" x14ac:dyDescent="0.3">
      <c r="F3" s="10"/>
      <c r="H3" s="483">
        <f>S14</f>
        <v>0</v>
      </c>
      <c r="K3" s="484">
        <f>S17</f>
        <v>0</v>
      </c>
      <c r="S3" t="s">
        <v>880</v>
      </c>
      <c r="T3">
        <f>IF(D2=7,7,8)</f>
        <v>8</v>
      </c>
      <c r="U3">
        <f>IF(T3=8,0,U4)</f>
        <v>0</v>
      </c>
      <c r="V3">
        <f>IF($T$3=8,0,V4)</f>
        <v>0</v>
      </c>
      <c r="W3">
        <f>IF($T$3=8,0,W4)</f>
        <v>0</v>
      </c>
      <c r="X3" t="str">
        <f>"-4"</f>
        <v>-4</v>
      </c>
      <c r="Y3" t="s">
        <v>285</v>
      </c>
    </row>
    <row r="4" spans="1:26" x14ac:dyDescent="0.3">
      <c r="F4" s="485" t="s">
        <v>44</v>
      </c>
      <c r="H4" s="760" t="s">
        <v>45</v>
      </c>
      <c r="I4" s="760"/>
      <c r="K4" s="760" t="s">
        <v>46</v>
      </c>
      <c r="L4" s="760"/>
      <c r="S4" t="s">
        <v>2395</v>
      </c>
      <c r="T4">
        <v>9</v>
      </c>
      <c r="U4">
        <v>3000000</v>
      </c>
      <c r="V4">
        <v>1</v>
      </c>
      <c r="W4">
        <v>1</v>
      </c>
      <c r="X4" t="str">
        <f>"-2"</f>
        <v>-2</v>
      </c>
      <c r="Y4" t="s">
        <v>286</v>
      </c>
    </row>
    <row r="5" spans="1:26" x14ac:dyDescent="0.3">
      <c r="F5" s="483">
        <f>SUM(F8:F35)</f>
        <v>0</v>
      </c>
      <c r="H5" s="1" t="s">
        <v>390</v>
      </c>
      <c r="I5" s="1" t="s">
        <v>27</v>
      </c>
      <c r="K5" s="1" t="s">
        <v>390</v>
      </c>
      <c r="L5" s="1" t="s">
        <v>27</v>
      </c>
      <c r="S5" t="s">
        <v>2396</v>
      </c>
      <c r="T5">
        <v>10</v>
      </c>
      <c r="U5">
        <v>4100000</v>
      </c>
      <c r="V5">
        <v>2</v>
      </c>
      <c r="W5">
        <v>2</v>
      </c>
      <c r="X5" t="str">
        <f>"0"</f>
        <v>0</v>
      </c>
      <c r="Y5" t="s">
        <v>287</v>
      </c>
    </row>
    <row r="6" spans="1:26" x14ac:dyDescent="0.3">
      <c r="B6" s="475" t="s">
        <v>1816</v>
      </c>
      <c r="F6" s="4"/>
      <c r="H6" s="10">
        <f>'Ship Info'!I3</f>
        <v>92.53</v>
      </c>
      <c r="I6" s="266">
        <f>'1-Hull'!B4</f>
        <v>100</v>
      </c>
      <c r="J6" s="2"/>
      <c r="K6" s="10">
        <f>'Ship Info'!L3</f>
        <v>0</v>
      </c>
      <c r="L6" s="266">
        <f>'3-Pwr Plant'!L6</f>
        <v>20</v>
      </c>
      <c r="S6" t="s">
        <v>2397</v>
      </c>
      <c r="T6">
        <v>12</v>
      </c>
      <c r="U6">
        <v>4300000</v>
      </c>
      <c r="V6">
        <v>4</v>
      </c>
      <c r="W6">
        <v>3</v>
      </c>
      <c r="X6" t="str">
        <f>"+1"</f>
        <v>+1</v>
      </c>
      <c r="Y6" t="s">
        <v>288</v>
      </c>
    </row>
    <row r="7" spans="1:26" ht="15" thickBot="1" x14ac:dyDescent="0.35">
      <c r="C7" s="2" t="s">
        <v>296</v>
      </c>
      <c r="F7" s="4"/>
      <c r="K7" s="4"/>
      <c r="S7" t="s">
        <v>2398</v>
      </c>
      <c r="T7">
        <v>15</v>
      </c>
      <c r="U7">
        <v>5300000</v>
      </c>
      <c r="V7">
        <v>6</v>
      </c>
      <c r="W7">
        <v>5</v>
      </c>
      <c r="X7" t="str">
        <f>"+2"</f>
        <v>+2</v>
      </c>
      <c r="Y7" t="s">
        <v>289</v>
      </c>
    </row>
    <row r="8" spans="1:26" ht="15" thickBot="1" x14ac:dyDescent="0.35">
      <c r="A8" s="3" t="s">
        <v>256</v>
      </c>
      <c r="B8" s="196" t="s">
        <v>880</v>
      </c>
      <c r="C8" s="232">
        <v>1</v>
      </c>
      <c r="D8" s="18">
        <f>IF(C8=0,0,INDEX(S3:Y8,MATCH(B8,S3:S8,0),2))</f>
        <v>8</v>
      </c>
      <c r="F8" s="4">
        <f>INDEX(S3:Y8,MATCH(B8,S3:S8,0),3)*C8</f>
        <v>0</v>
      </c>
      <c r="H8" s="4">
        <f>INDEX(S3:Y8,MATCH(B8,S3:S8,0),5)*C8</f>
        <v>0</v>
      </c>
      <c r="K8" s="4">
        <f>INDEX(S3:Y8,MATCH(B8,S3:S8,0),4)*C8</f>
        <v>0</v>
      </c>
      <c r="S8" t="s">
        <v>2254</v>
      </c>
      <c r="T8">
        <v>16</v>
      </c>
      <c r="U8">
        <v>8400000</v>
      </c>
      <c r="V8">
        <v>8</v>
      </c>
      <c r="W8">
        <v>8</v>
      </c>
      <c r="X8" t="str">
        <f>"+3"</f>
        <v>+3</v>
      </c>
      <c r="Y8" t="s">
        <v>1338</v>
      </c>
    </row>
    <row r="9" spans="1:26" x14ac:dyDescent="0.3">
      <c r="A9" s="17" t="s">
        <v>257</v>
      </c>
      <c r="C9" s="2"/>
      <c r="D9" s="18"/>
      <c r="F9" s="4"/>
      <c r="H9" s="4"/>
      <c r="K9" s="4"/>
      <c r="X9">
        <v>0</v>
      </c>
    </row>
    <row r="10" spans="1:26" ht="15" thickBot="1" x14ac:dyDescent="0.35">
      <c r="A10" t="str">
        <f>INDEX(S3:Y8,MATCH(B8,S3:S8,0),7)</f>
        <v>Lidar, Radar; DM -4 to all Sensor Checks</v>
      </c>
      <c r="C10" s="2" t="s">
        <v>296</v>
      </c>
      <c r="D10" s="18"/>
      <c r="F10" s="4"/>
      <c r="H10" s="4"/>
      <c r="K10" s="4"/>
      <c r="S10" t="s">
        <v>106</v>
      </c>
      <c r="U10" t="s">
        <v>1582</v>
      </c>
    </row>
    <row r="11" spans="1:26" ht="15" thickBot="1" x14ac:dyDescent="0.35">
      <c r="A11" s="3" t="s">
        <v>933</v>
      </c>
      <c r="B11" s="196" t="s">
        <v>82</v>
      </c>
      <c r="C11" s="232">
        <v>0</v>
      </c>
      <c r="D11" s="18">
        <f>INDEX(S2:Y7,MATCH(B11,S2:S7,0),2)</f>
        <v>0</v>
      </c>
      <c r="F11" s="4">
        <f>INDEX(S2:Y7,MATCH(B11,S2:S7,0),3)*C11</f>
        <v>0</v>
      </c>
      <c r="H11" s="4">
        <f>INDEX(S2:Y7,MATCH(B11,S2:S7,0),5)*C11</f>
        <v>0</v>
      </c>
      <c r="K11" s="4">
        <f>INDEX(S2:Y7,MATCH(B11,S2:S7,0),4)*C11</f>
        <v>0</v>
      </c>
      <c r="S11" t="s">
        <v>276</v>
      </c>
    </row>
    <row r="12" spans="1:26" ht="15" thickBot="1" x14ac:dyDescent="0.35">
      <c r="A12" s="22"/>
      <c r="B12" s="102" t="s">
        <v>258</v>
      </c>
      <c r="C12" s="467">
        <v>0</v>
      </c>
      <c r="D12" s="224"/>
      <c r="E12" s="103" t="s">
        <v>1145</v>
      </c>
      <c r="F12" s="23">
        <f>500000*ROUNDDOWN(C12,0)+(200000*IF(E13=U13,0,0.1*C12))</f>
        <v>0</v>
      </c>
      <c r="G12" s="22"/>
      <c r="H12" s="23">
        <f>1*ROUNDDOWN(C12,0)*IF(E13=U13,1,1.1)</f>
        <v>0</v>
      </c>
      <c r="I12" s="22"/>
      <c r="J12" s="22"/>
      <c r="K12" s="23"/>
      <c r="L12" s="22"/>
    </row>
    <row r="13" spans="1:26" ht="15" thickBot="1" x14ac:dyDescent="0.35">
      <c r="A13" s="22"/>
      <c r="B13" s="102" t="s">
        <v>259</v>
      </c>
      <c r="C13" s="318">
        <f>MAX(MIN(1+('10-Crew'!F17*'10-Crew'!R17),C12+1+'5-Bridge'!C17),MIN(ROUNDUP(Tonnage/7500,0)+C12,'10-Crew'!F17/'10-Crew'!R17))</f>
        <v>1</v>
      </c>
      <c r="D13" s="224"/>
      <c r="E13" s="203" t="s">
        <v>92</v>
      </c>
      <c r="F13" s="23"/>
      <c r="G13" s="22"/>
      <c r="H13" s="23"/>
      <c r="I13" s="22"/>
      <c r="J13" s="22"/>
      <c r="K13" s="23"/>
      <c r="L13" s="22"/>
      <c r="S13" t="s">
        <v>386</v>
      </c>
      <c r="U13" t="s">
        <v>92</v>
      </c>
      <c r="V13">
        <v>1</v>
      </c>
    </row>
    <row r="14" spans="1:26" x14ac:dyDescent="0.3">
      <c r="A14" s="3" t="s">
        <v>261</v>
      </c>
      <c r="B14" s="118"/>
      <c r="C14" s="75" t="s">
        <v>2164</v>
      </c>
      <c r="D14" s="372"/>
      <c r="E14" s="118"/>
      <c r="F14" s="373"/>
      <c r="H14" s="4"/>
      <c r="K14" s="4"/>
      <c r="S14">
        <f>SUM(H8:H33)</f>
        <v>0</v>
      </c>
      <c r="U14" t="s">
        <v>93</v>
      </c>
      <c r="V14">
        <v>1.5</v>
      </c>
      <c r="X14" t="s">
        <v>764</v>
      </c>
      <c r="Y14">
        <f>SUM(W15,Z15)</f>
        <v>0</v>
      </c>
    </row>
    <row r="15" spans="1:26" ht="15" thickBot="1" x14ac:dyDescent="0.35">
      <c r="B15" s="1" t="s">
        <v>462</v>
      </c>
      <c r="C15" s="5" t="s">
        <v>164</v>
      </c>
      <c r="D15" s="18"/>
      <c r="E15" s="1"/>
      <c r="F15" s="4"/>
      <c r="H15" s="4"/>
      <c r="K15" s="4"/>
      <c r="V15" t="s">
        <v>864</v>
      </c>
      <c r="W15">
        <f>SUM(W16:W32)</f>
        <v>0</v>
      </c>
      <c r="Y15" s="9" t="s">
        <v>865</v>
      </c>
      <c r="Z15">
        <f>SUM(Z16:Z30)</f>
        <v>0</v>
      </c>
    </row>
    <row r="16" spans="1:26" ht="15" thickBot="1" x14ac:dyDescent="0.35">
      <c r="A16" t="s">
        <v>262</v>
      </c>
      <c r="B16" s="329">
        <v>0</v>
      </c>
      <c r="C16" t="s">
        <v>278</v>
      </c>
      <c r="D16" s="18">
        <v>13</v>
      </c>
      <c r="E16" s="18"/>
      <c r="F16" s="20">
        <f>B16*4000000</f>
        <v>0</v>
      </c>
      <c r="G16" s="19"/>
      <c r="H16" s="404">
        <f>IF(B16&gt;0,2,0)*B16</f>
        <v>0</v>
      </c>
      <c r="I16" s="19"/>
      <c r="J16" s="19"/>
      <c r="K16" s="404">
        <f>IF(B16&gt;0,1,0)*B16</f>
        <v>0</v>
      </c>
      <c r="L16" s="19"/>
      <c r="S16" t="s">
        <v>387</v>
      </c>
      <c r="V16" t="s">
        <v>863</v>
      </c>
      <c r="W16">
        <f>IF(D8&gt;D2,1,0)</f>
        <v>0</v>
      </c>
      <c r="Y16" t="s">
        <v>866</v>
      </c>
      <c r="Z16">
        <f>IF(AND(INDEX(S34:X40,MATCH(B8,S34:S40,0),6)&lt;X38,B20&gt;0),1,0)</f>
        <v>0</v>
      </c>
    </row>
    <row r="17" spans="1:26" ht="15" thickBot="1" x14ac:dyDescent="0.35">
      <c r="A17" t="s">
        <v>263</v>
      </c>
      <c r="B17" s="329">
        <v>0</v>
      </c>
      <c r="C17" t="str">
        <f>+"Scan "&amp;H17*20&amp;" T/Hr"</f>
        <v>Scan 0 T/Hr</v>
      </c>
      <c r="D17" s="18">
        <v>13</v>
      </c>
      <c r="E17" s="18"/>
      <c r="F17" s="20">
        <f>H17*1000000</f>
        <v>0</v>
      </c>
      <c r="G17" s="19"/>
      <c r="H17" s="404">
        <f>B17</f>
        <v>0</v>
      </c>
      <c r="I17" s="19"/>
      <c r="J17" s="19"/>
      <c r="K17" s="404">
        <f>IF(F17&gt;0,1,0)*B17</f>
        <v>0</v>
      </c>
      <c r="L17" s="19"/>
      <c r="S17">
        <f>SUM(K8:K31)</f>
        <v>0</v>
      </c>
      <c r="V17">
        <v>16</v>
      </c>
      <c r="W17">
        <f>IF(AND(B16&gt;0,D16&gt;D2),1,0)</f>
        <v>0</v>
      </c>
      <c r="Y17" t="s">
        <v>867</v>
      </c>
      <c r="Z17">
        <f>IF(AND(OR('1-Hull'!B4&lt;5000,INDEX(S34:X40,MATCH(B8,S34:S40,0),6)&lt;4),'7-Sensors'!B18&gt;0),1,0)</f>
        <v>0</v>
      </c>
    </row>
    <row r="18" spans="1:26" ht="15" thickBot="1" x14ac:dyDescent="0.35">
      <c r="A18" t="s">
        <v>264</v>
      </c>
      <c r="B18" s="329">
        <v>0</v>
      </c>
      <c r="C18" t="s">
        <v>277</v>
      </c>
      <c r="D18" s="18">
        <v>11</v>
      </c>
      <c r="E18" s="18"/>
      <c r="F18" s="20">
        <f>IF(B18&gt;0,2*F8,0)*B18</f>
        <v>0</v>
      </c>
      <c r="G18" s="19"/>
      <c r="H18" s="404">
        <f>IF(F18&gt;0,2*H8,0)*B18</f>
        <v>0</v>
      </c>
      <c r="I18" s="19"/>
      <c r="J18" s="19"/>
      <c r="K18" s="404">
        <f>IF(F18&gt;0,K8,0)*B18</f>
        <v>0</v>
      </c>
      <c r="L18" s="19"/>
      <c r="V18">
        <v>17</v>
      </c>
      <c r="W18">
        <f>IF(AND(B17&gt;0,D17&gt;D2),1,0)</f>
        <v>0</v>
      </c>
      <c r="Y18" t="s">
        <v>868</v>
      </c>
      <c r="Z18">
        <f>IF(AND(INDEX(S34:X40,MATCH(B8,S34:S40,0),6)&lt;X38,B29&gt;0),1,0)</f>
        <v>0</v>
      </c>
    </row>
    <row r="19" spans="1:26" ht="15" thickBot="1" x14ac:dyDescent="0.35">
      <c r="A19" t="s">
        <v>265</v>
      </c>
      <c r="B19" s="329">
        <v>0</v>
      </c>
      <c r="C19" t="s">
        <v>279</v>
      </c>
      <c r="D19" s="18">
        <v>13</v>
      </c>
      <c r="E19" s="18"/>
      <c r="F19" s="20">
        <f>IF(B19&gt;0,8000000,0)*B19</f>
        <v>0</v>
      </c>
      <c r="G19" s="19"/>
      <c r="H19" s="404">
        <f>IF(F19&gt;0,2,0)*B19</f>
        <v>0</v>
      </c>
      <c r="I19" s="19"/>
      <c r="J19" s="19"/>
      <c r="K19" s="404">
        <f>IF(F19&gt;0,2,0)*B19</f>
        <v>0</v>
      </c>
      <c r="L19" s="19"/>
      <c r="V19">
        <v>18</v>
      </c>
      <c r="W19">
        <f>IF(AND(B18&gt;0,D18&gt;D2),1,0)</f>
        <v>0</v>
      </c>
      <c r="Y19" t="s">
        <v>869</v>
      </c>
      <c r="Z19">
        <f>IF(AND(INDEX(S34:X40,MATCH(B8,S34:S40,0),6)&lt;X38,B30&gt;0),1,0)</f>
        <v>0</v>
      </c>
    </row>
    <row r="20" spans="1:26" ht="15" thickBot="1" x14ac:dyDescent="0.35">
      <c r="A20" t="s">
        <v>266</v>
      </c>
      <c r="B20" s="329">
        <v>0</v>
      </c>
      <c r="C20" t="s">
        <v>277</v>
      </c>
      <c r="D20" s="18">
        <v>11</v>
      </c>
      <c r="E20" s="18"/>
      <c r="F20" s="20">
        <f>IF(B20&gt;0,2*F8,0)*B20</f>
        <v>0</v>
      </c>
      <c r="G20" s="19"/>
      <c r="H20" s="404">
        <f>IF(F20&gt;0,2*H8,0)*B20</f>
        <v>0</v>
      </c>
      <c r="I20" s="19"/>
      <c r="J20" s="19"/>
      <c r="K20" s="404">
        <f>IF(F20&gt;0,2*K8,0)*B20</f>
        <v>0</v>
      </c>
      <c r="L20" s="19"/>
      <c r="S20" t="s">
        <v>417</v>
      </c>
      <c r="V20">
        <v>19</v>
      </c>
      <c r="W20">
        <f>IF(AND(B19&gt;0,D19&gt;D2),1,0)</f>
        <v>0</v>
      </c>
      <c r="Y20" t="s">
        <v>934</v>
      </c>
      <c r="Z20">
        <f>IF(Y35&gt;Y34,1,0)</f>
        <v>0</v>
      </c>
    </row>
    <row r="21" spans="1:26" ht="15" thickBot="1" x14ac:dyDescent="0.35">
      <c r="A21" t="s">
        <v>267</v>
      </c>
      <c r="B21" s="329">
        <v>0</v>
      </c>
      <c r="C21" t="s">
        <v>280</v>
      </c>
      <c r="D21" s="18">
        <v>10</v>
      </c>
      <c r="E21" s="18"/>
      <c r="F21" s="20">
        <f>IF(H21&gt;0,1000000*H21,0)*B21</f>
        <v>0</v>
      </c>
      <c r="G21" s="19"/>
      <c r="H21" s="404">
        <f>IF(B21&gt;0,ROUNDUP(0.01*'1-Hull'!B4,0),0)*B21</f>
        <v>0</v>
      </c>
      <c r="I21" s="19"/>
      <c r="J21" s="19"/>
      <c r="K21" s="404">
        <v>0</v>
      </c>
      <c r="L21" s="19"/>
      <c r="S21">
        <f>0.1*SUM(H14:H31,H8:H11)</f>
        <v>0</v>
      </c>
      <c r="V21">
        <v>20</v>
      </c>
      <c r="W21">
        <f>IF(AND(B20&gt;0,D20&gt;D2),1,0)</f>
        <v>0</v>
      </c>
      <c r="Y21" t="s">
        <v>935</v>
      </c>
      <c r="Z21">
        <f>IF(AND(B8=S3,B11=S3),1,0)</f>
        <v>0</v>
      </c>
    </row>
    <row r="22" spans="1:26" ht="15" thickBot="1" x14ac:dyDescent="0.35">
      <c r="A22" t="s">
        <v>268</v>
      </c>
      <c r="B22" s="329">
        <v>0</v>
      </c>
      <c r="C22" t="s">
        <v>281</v>
      </c>
      <c r="D22" s="18">
        <v>11</v>
      </c>
      <c r="E22" s="18"/>
      <c r="F22" s="20">
        <f>IF(B22&gt;0,4000000,0)*B22</f>
        <v>0</v>
      </c>
      <c r="G22" s="19"/>
      <c r="H22" s="404">
        <f>IF(F22&gt;0,1,0)*B22</f>
        <v>0</v>
      </c>
      <c r="I22" s="19"/>
      <c r="J22" s="19"/>
      <c r="K22" s="404">
        <f>IF(F22&gt;0,1,0)*B22</f>
        <v>0</v>
      </c>
      <c r="L22" s="19"/>
      <c r="S22">
        <f>200000*S21</f>
        <v>0</v>
      </c>
      <c r="V22">
        <v>21</v>
      </c>
      <c r="W22">
        <f>IF(AND(B21&gt;0,D21&gt;D2),1,0)</f>
        <v>0</v>
      </c>
      <c r="Y22" t="s">
        <v>1132</v>
      </c>
      <c r="Z22">
        <f>IF(AND(B8=S3,C8&gt;1),1,0)</f>
        <v>0</v>
      </c>
    </row>
    <row r="23" spans="1:26" ht="15" thickBot="1" x14ac:dyDescent="0.35">
      <c r="A23" t="s">
        <v>269</v>
      </c>
      <c r="B23" s="329">
        <v>0</v>
      </c>
      <c r="C23" t="s">
        <v>283</v>
      </c>
      <c r="D23" s="18">
        <v>12</v>
      </c>
      <c r="E23" s="18"/>
      <c r="F23" s="20">
        <f>IF(B23&gt;0,2000000,0)*B23</f>
        <v>0</v>
      </c>
      <c r="G23" s="19"/>
      <c r="H23" s="404">
        <f>IF(F23&gt;0,1,0)*B23</f>
        <v>0</v>
      </c>
      <c r="I23" s="19"/>
      <c r="J23" s="19"/>
      <c r="K23" s="404">
        <f>IF(F23&gt;0,1,0)*B23</f>
        <v>0</v>
      </c>
      <c r="L23" s="19"/>
      <c r="S23" t="s">
        <v>672</v>
      </c>
      <c r="V23">
        <v>22</v>
      </c>
      <c r="W23">
        <f>IF(AND(B22&gt;0,D22&gt;D2),1,0)</f>
        <v>0</v>
      </c>
      <c r="Y23" t="s">
        <v>1133</v>
      </c>
      <c r="Z23">
        <f>IF(AND(B11=S3,C11&gt;1),1,0)</f>
        <v>0</v>
      </c>
    </row>
    <row r="24" spans="1:26" ht="15" thickBot="1" x14ac:dyDescent="0.35">
      <c r="A24" t="s">
        <v>270</v>
      </c>
      <c r="B24" s="329">
        <v>0</v>
      </c>
      <c r="C24" t="s">
        <v>284</v>
      </c>
      <c r="D24" s="18">
        <v>14</v>
      </c>
      <c r="E24" s="18"/>
      <c r="F24" s="20">
        <f>IF(B24&gt;0,4000000,0)*B24</f>
        <v>0</v>
      </c>
      <c r="G24" s="19"/>
      <c r="H24" s="404">
        <f>IF(F24&gt;0,1,0)*B24</f>
        <v>0</v>
      </c>
      <c r="I24" s="19"/>
      <c r="J24" s="19"/>
      <c r="K24" s="404">
        <f>IF(F24&gt;0,1,0)*B24</f>
        <v>0</v>
      </c>
      <c r="L24" s="19"/>
      <c r="S24" t="s">
        <v>695</v>
      </c>
      <c r="T24" t="str">
        <f>INDEX(S3:Y8,MATCH(B8,S3:S8,0),6)</f>
        <v>-4</v>
      </c>
      <c r="V24">
        <v>23</v>
      </c>
      <c r="W24">
        <f>IF(AND(B23&gt;0,D23&gt;D2),1,0)</f>
        <v>0</v>
      </c>
      <c r="Y24" s="9" t="s">
        <v>1812</v>
      </c>
      <c r="Z24">
        <f>IF(C8=0,IF('Ship Info'!E6="Module",0,1),0)</f>
        <v>0</v>
      </c>
    </row>
    <row r="25" spans="1:26" ht="15" thickBot="1" x14ac:dyDescent="0.35">
      <c r="A25" t="s">
        <v>271</v>
      </c>
      <c r="B25" s="329">
        <v>0</v>
      </c>
      <c r="C25" t="s">
        <v>282</v>
      </c>
      <c r="D25" s="18">
        <v>10</v>
      </c>
      <c r="E25" s="18"/>
      <c r="F25" s="20">
        <f>IF(B25&gt;0,20000000,0)*B25</f>
        <v>0</v>
      </c>
      <c r="G25" s="19"/>
      <c r="H25" s="404">
        <f>IF(F25&gt;0,10,0)*B25</f>
        <v>0</v>
      </c>
      <c r="I25" s="19"/>
      <c r="J25" s="19"/>
      <c r="K25" s="404">
        <v>0</v>
      </c>
      <c r="L25" s="19"/>
      <c r="S25" t="s">
        <v>681</v>
      </c>
      <c r="T25" t="str">
        <f>IF(B27&gt;0,"+6",IF(B16&gt;0,"+4","0"))</f>
        <v>0</v>
      </c>
      <c r="V25">
        <v>24</v>
      </c>
      <c r="W25">
        <f>IF(AND(B24&gt;0,D24&gt;D2),1,0)</f>
        <v>0</v>
      </c>
    </row>
    <row r="26" spans="1:26" ht="15" thickBot="1" x14ac:dyDescent="0.35">
      <c r="A26" t="s">
        <v>290</v>
      </c>
      <c r="B26" s="232">
        <v>0</v>
      </c>
      <c r="C26" t="s">
        <v>282</v>
      </c>
      <c r="D26" s="2">
        <v>13</v>
      </c>
      <c r="E26" s="18"/>
      <c r="F26" s="20">
        <f>IF(B26&gt;0,10000000,0)*B26</f>
        <v>0</v>
      </c>
      <c r="G26" s="19"/>
      <c r="H26" s="404">
        <f>IF(F26&gt;0,20,0)*B26</f>
        <v>0</v>
      </c>
      <c r="I26" s="19"/>
      <c r="J26" s="19"/>
      <c r="K26" s="404">
        <v>0</v>
      </c>
      <c r="L26" s="19"/>
      <c r="S26" t="s">
        <v>682</v>
      </c>
      <c r="T26" t="str">
        <f>IF(B19&gt;0,"+4",IF(B22&gt;0,"+2","0"))</f>
        <v>0</v>
      </c>
      <c r="V26">
        <v>25</v>
      </c>
      <c r="W26">
        <f>IF(AND(B25&gt;0,D25&gt;D2),1,0)</f>
        <v>0</v>
      </c>
    </row>
    <row r="27" spans="1:26" ht="29.4" thickBot="1" x14ac:dyDescent="0.35">
      <c r="A27" s="12" t="s">
        <v>272</v>
      </c>
      <c r="B27" s="329">
        <v>0</v>
      </c>
      <c r="C27" s="19" t="s">
        <v>291</v>
      </c>
      <c r="D27" s="18">
        <v>15</v>
      </c>
      <c r="E27" s="18"/>
      <c r="F27" s="20">
        <f>IF(B27&gt;0,28000000,0)*B27</f>
        <v>0</v>
      </c>
      <c r="G27" s="19"/>
      <c r="H27" s="404">
        <f>IF(F27&gt;0,15,0)*B27</f>
        <v>0</v>
      </c>
      <c r="I27" s="19"/>
      <c r="J27" s="19"/>
      <c r="K27" s="404">
        <f>IF(F27&gt;0,2,0)*B27</f>
        <v>0</v>
      </c>
      <c r="L27" s="19"/>
      <c r="S27" t="s">
        <v>696</v>
      </c>
      <c r="T27" t="str">
        <f>IF(OR(B18&gt;0,B20&gt;0,B21&gt;0,B30&gt;0),"+Rng","N/A")</f>
        <v>N/A</v>
      </c>
      <c r="V27">
        <v>26</v>
      </c>
      <c r="W27">
        <f>IF(AND(B26&gt;0,D26&gt;D2),1,0)</f>
        <v>0</v>
      </c>
    </row>
    <row r="28" spans="1:26" ht="29.4" thickBot="1" x14ac:dyDescent="0.35">
      <c r="A28" s="12" t="s">
        <v>1336</v>
      </c>
      <c r="B28" s="329">
        <v>0</v>
      </c>
      <c r="C28" s="19" t="s">
        <v>1337</v>
      </c>
      <c r="D28" s="18">
        <v>16</v>
      </c>
      <c r="E28" s="18"/>
      <c r="F28" s="20">
        <f>IF(B28&gt;0,40000000,0)*B28</f>
        <v>0</v>
      </c>
      <c r="G28" s="19"/>
      <c r="H28" s="404">
        <f>IF(F28&gt;0,20,0)*B28</f>
        <v>0</v>
      </c>
      <c r="I28" s="19"/>
      <c r="J28" s="19"/>
      <c r="K28" s="404">
        <f>IF(F28&gt;0,5,0)*B28</f>
        <v>0</v>
      </c>
      <c r="L28" s="19"/>
      <c r="V28">
        <v>27</v>
      </c>
      <c r="W28">
        <f>IF(AND(B27&gt;0,D27&gt;D2),1,0)</f>
        <v>0</v>
      </c>
    </row>
    <row r="29" spans="1:26" ht="15" thickBot="1" x14ac:dyDescent="0.35">
      <c r="A29" t="s">
        <v>273</v>
      </c>
      <c r="B29" s="329">
        <v>0</v>
      </c>
      <c r="C29" t="s">
        <v>292</v>
      </c>
      <c r="D29" s="18">
        <v>12</v>
      </c>
      <c r="E29" s="18"/>
      <c r="F29" s="20">
        <f>IF(B29&gt;0,5000000,0)*B29</f>
        <v>0</v>
      </c>
      <c r="G29" s="19"/>
      <c r="H29" s="404">
        <f>IF(F29&gt;0,1,0)*B29</f>
        <v>0</v>
      </c>
      <c r="I29" s="19"/>
      <c r="J29" s="19"/>
      <c r="K29" s="404">
        <v>0</v>
      </c>
      <c r="L29" s="19"/>
      <c r="V29">
        <v>28</v>
      </c>
      <c r="W29">
        <f>IF(AND(B28&gt;0,D28&gt;D2),1,0)</f>
        <v>0</v>
      </c>
    </row>
    <row r="30" spans="1:26" ht="29.4" thickBot="1" x14ac:dyDescent="0.35">
      <c r="A30" s="12" t="s">
        <v>274</v>
      </c>
      <c r="B30" s="329">
        <v>0</v>
      </c>
      <c r="C30" s="12" t="s">
        <v>293</v>
      </c>
      <c r="D30" s="18">
        <v>11</v>
      </c>
      <c r="E30" s="18"/>
      <c r="F30" s="20">
        <f>IF(B30&gt;0,4*F8,0)*B30</f>
        <v>0</v>
      </c>
      <c r="G30" s="19"/>
      <c r="H30" s="404">
        <f>IF(F30&gt;0,2*H8,0)*B30</f>
        <v>0</v>
      </c>
      <c r="I30" s="19"/>
      <c r="J30" s="19"/>
      <c r="K30" s="404">
        <f>IF(F30&gt;0,2*K8,0)</f>
        <v>0</v>
      </c>
      <c r="V30">
        <v>29</v>
      </c>
      <c r="W30">
        <f>IF(AND(B29&gt;0,D29&gt;D2),1,0)</f>
        <v>0</v>
      </c>
    </row>
    <row r="31" spans="1:26" ht="15" thickBot="1" x14ac:dyDescent="0.35">
      <c r="A31" t="s">
        <v>275</v>
      </c>
      <c r="B31" s="329">
        <v>0</v>
      </c>
      <c r="C31" t="s">
        <v>294</v>
      </c>
      <c r="D31" s="18">
        <v>10</v>
      </c>
      <c r="E31" s="18"/>
      <c r="F31" s="4">
        <f>IF(B31&gt;0,5000000,0)*B31</f>
        <v>0</v>
      </c>
      <c r="H31" s="4">
        <f>IF(F31&gt;0,10,0)*B31</f>
        <v>0</v>
      </c>
      <c r="K31" s="4">
        <f>IF(F31&gt;0,1,0)</f>
        <v>0</v>
      </c>
      <c r="V31">
        <v>30</v>
      </c>
      <c r="W31">
        <f>IF(AND(B30&gt;0,D30&gt;D2),1,0)</f>
        <v>0</v>
      </c>
    </row>
    <row r="32" spans="1:26" ht="15" thickBot="1" x14ac:dyDescent="0.35">
      <c r="F32" s="4"/>
      <c r="H32" s="4"/>
      <c r="V32">
        <v>31</v>
      </c>
      <c r="W32">
        <f>IF(AND(B31&gt;0,D31&gt;D2),1,0)</f>
        <v>0</v>
      </c>
    </row>
    <row r="33" spans="1:25" ht="15" thickBot="1" x14ac:dyDescent="0.35">
      <c r="A33" s="3" t="s">
        <v>417</v>
      </c>
      <c r="B33" s="251" t="s">
        <v>276</v>
      </c>
      <c r="C33" t="s">
        <v>366</v>
      </c>
      <c r="F33" s="4">
        <f>IF(B33=S10,S22,0)</f>
        <v>0</v>
      </c>
      <c r="H33" s="4">
        <f>IF(B33=S10,S21,0)</f>
        <v>0</v>
      </c>
      <c r="S33" t="str">
        <f>C8&amp;"x "&amp;INDEX(S35:T40,MATCH(B8,S35:S40,0),2)&amp;": "&amp;C13&amp;" Stations"&amp;IF(B11=S2,"",", "&amp;C11&amp;"x Aux Array: "&amp;B11)&amp;IF(B16=0,"",", "&amp;B16&amp;"x "&amp;A16)&amp;""&amp;IF(B17=0,"",", "&amp;B17&amp;" tons "&amp;A17&amp;"- "&amp;C17)&amp;""&amp;IF(B18=0,"",", "&amp;B18&amp;"x "&amp;A18)&amp;""&amp;IF(B19=0,"",", "&amp;B19&amp;"x "&amp;A19)&amp;""&amp;IF(B20=0,"",", "&amp;B20&amp;"x "&amp;A20)&amp;""&amp;IF(B21=0,"",", "&amp;B21&amp;"x "&amp;A21)&amp;""&amp;IF(B22=0,"",", "&amp;B22&amp;"x "&amp;A22)&amp;""&amp;IF(B23=0,"",", "&amp;B23&amp;"x "&amp;A23)&amp;""&amp;IF(B24=0,"",", "&amp;B24&amp;"x "&amp;A24)&amp;""&amp;IF(B25=0,"",", "&amp;B25&amp;"x "&amp;A25)&amp;""&amp;IF(B26=0,"",", "&amp;B26&amp;"x "&amp;A26)&amp;""&amp;IF(B27=0,"",", "&amp;B27&amp;"x "&amp;A27)&amp;""&amp;IF(B28=0,"",", "&amp;B28&amp;"x "&amp;A28)&amp;""&amp;IF(B29=0,"",", "&amp;B29&amp;"x "&amp;A29)&amp;""&amp;IF(B30=0,"",", "&amp;B30&amp;"x "&amp;A30)&amp;""&amp;IF(B31=0,"",", "&amp;B31&amp;"x "&amp;A31)&amp;""&amp;IF(B33=S11,"",", "&amp;A33)&amp;""&amp;IF(B34=S11,"",", "&amp;A34)</f>
        <v>1x Basic Sensor Array: 1 Stations</v>
      </c>
    </row>
    <row r="34" spans="1:25" ht="15" thickBot="1" x14ac:dyDescent="0.35">
      <c r="A34" s="3" t="s">
        <v>558</v>
      </c>
      <c r="B34" s="251" t="s">
        <v>276</v>
      </c>
      <c r="C34" t="s">
        <v>559</v>
      </c>
      <c r="F34" s="4">
        <f>IF(B34=S11,0,0.5*SUM(F8,F16:F31))</f>
        <v>0</v>
      </c>
      <c r="H34" s="4"/>
      <c r="S34" t="s">
        <v>82</v>
      </c>
      <c r="W34">
        <v>0</v>
      </c>
      <c r="X34">
        <v>0</v>
      </c>
      <c r="Y34">
        <f>INDEX(S34:X40,MATCH(B8,S34:S40,0),6)</f>
        <v>1</v>
      </c>
    </row>
    <row r="35" spans="1:25" x14ac:dyDescent="0.3">
      <c r="F35" s="4"/>
      <c r="H35" s="4"/>
      <c r="S35" t="s">
        <v>880</v>
      </c>
      <c r="T35" t="s">
        <v>582</v>
      </c>
      <c r="W35">
        <v>2</v>
      </c>
      <c r="X35">
        <v>1</v>
      </c>
      <c r="Y35">
        <f>INDEX(S34:X40,MATCH(B11,S34:S40,0),6)</f>
        <v>0</v>
      </c>
    </row>
    <row r="36" spans="1:25" x14ac:dyDescent="0.3">
      <c r="A36" s="7" t="s">
        <v>95</v>
      </c>
      <c r="B36" t="s">
        <v>937</v>
      </c>
      <c r="F36" s="4"/>
      <c r="H36" s="4"/>
      <c r="S36" t="s">
        <v>2395</v>
      </c>
      <c r="T36" t="s">
        <v>583</v>
      </c>
      <c r="W36">
        <v>4</v>
      </c>
      <c r="X36">
        <v>2</v>
      </c>
    </row>
    <row r="37" spans="1:25" x14ac:dyDescent="0.3">
      <c r="F37" s="4"/>
      <c r="S37" t="s">
        <v>2396</v>
      </c>
      <c r="T37" t="s">
        <v>584</v>
      </c>
      <c r="W37">
        <v>4</v>
      </c>
      <c r="X37">
        <v>3</v>
      </c>
    </row>
    <row r="38" spans="1:25" x14ac:dyDescent="0.3">
      <c r="F38" s="4"/>
      <c r="S38" t="s">
        <v>2397</v>
      </c>
      <c r="T38" t="s">
        <v>585</v>
      </c>
      <c r="W38">
        <v>5</v>
      </c>
      <c r="X38">
        <v>4</v>
      </c>
    </row>
    <row r="39" spans="1:25" x14ac:dyDescent="0.3">
      <c r="F39" s="4"/>
      <c r="S39" t="s">
        <v>2398</v>
      </c>
      <c r="T39" t="s">
        <v>586</v>
      </c>
      <c r="W39">
        <v>5</v>
      </c>
      <c r="X39">
        <v>5</v>
      </c>
    </row>
    <row r="40" spans="1:25" x14ac:dyDescent="0.3">
      <c r="F40" s="4"/>
      <c r="S40" t="s">
        <v>2254</v>
      </c>
      <c r="T40" t="s">
        <v>1339</v>
      </c>
      <c r="W40">
        <v>5</v>
      </c>
      <c r="X40">
        <v>6</v>
      </c>
    </row>
    <row r="41" spans="1:25" x14ac:dyDescent="0.3">
      <c r="F41" s="4"/>
      <c r="W41" s="3">
        <f>INDEX(S34:W40,MATCH(B8,S34:S40,0),5)</f>
        <v>2</v>
      </c>
    </row>
    <row r="42" spans="1:25" x14ac:dyDescent="0.3">
      <c r="F42" s="4"/>
    </row>
    <row r="43" spans="1:25" x14ac:dyDescent="0.3">
      <c r="F43" s="4"/>
    </row>
    <row r="44" spans="1:25" x14ac:dyDescent="0.3">
      <c r="F44" s="4"/>
    </row>
    <row r="45" spans="1:25" x14ac:dyDescent="0.3">
      <c r="F45" s="4"/>
    </row>
    <row r="46" spans="1:25" x14ac:dyDescent="0.3">
      <c r="F46" s="4"/>
    </row>
    <row r="47" spans="1:25" x14ac:dyDescent="0.3">
      <c r="F47" s="4"/>
    </row>
    <row r="48" spans="1:25" x14ac:dyDescent="0.3">
      <c r="F48" s="4"/>
    </row>
    <row r="49" spans="6:6" x14ac:dyDescent="0.3">
      <c r="F49" s="4"/>
    </row>
    <row r="50" spans="6:6" x14ac:dyDescent="0.3">
      <c r="F50" s="4"/>
    </row>
    <row r="51" spans="6:6" x14ac:dyDescent="0.3">
      <c r="F51" s="4"/>
    </row>
    <row r="52" spans="6:6" x14ac:dyDescent="0.3">
      <c r="F52" s="4"/>
    </row>
  </sheetData>
  <sheetProtection algorithmName="SHA-512" hashValue="XLIVWXA5zo38tBEMxV/FduUxtRjFPDwaDZGTO32CcoIsjtX4MY7dMnR6k9GQa1pKbnQeT+5wcU3qgm8GMGXJRg==" saltValue="Sdx1vDq3Q6xA9MXPN0V9Ig==" spinCount="100000" sheet="1" selectLockedCells="1"/>
  <mergeCells count="2">
    <mergeCell ref="H4:I4"/>
    <mergeCell ref="K4:L4"/>
  </mergeCells>
  <conditionalFormatting sqref="A16">
    <cfRule type="expression" dxfId="564" priority="788">
      <formula>$B$16=$S$10</formula>
    </cfRule>
  </conditionalFormatting>
  <conditionalFormatting sqref="A17">
    <cfRule type="expression" dxfId="563" priority="789">
      <formula>$B$17=$S$10</formula>
    </cfRule>
  </conditionalFormatting>
  <conditionalFormatting sqref="A18">
    <cfRule type="expression" dxfId="562" priority="790">
      <formula>$B$18=$S$10</formula>
    </cfRule>
  </conditionalFormatting>
  <conditionalFormatting sqref="A19">
    <cfRule type="expression" dxfId="561" priority="791">
      <formula>$B$19=$S$10</formula>
    </cfRule>
  </conditionalFormatting>
  <conditionalFormatting sqref="A20">
    <cfRule type="expression" dxfId="560" priority="792">
      <formula>$B$20=$S$10</formula>
    </cfRule>
  </conditionalFormatting>
  <conditionalFormatting sqref="A21">
    <cfRule type="expression" dxfId="559" priority="793">
      <formula>$B$21=$S$10</formula>
    </cfRule>
  </conditionalFormatting>
  <conditionalFormatting sqref="A22">
    <cfRule type="expression" dxfId="558" priority="794">
      <formula>$B$22=$S$10</formula>
    </cfRule>
  </conditionalFormatting>
  <conditionalFormatting sqref="A23">
    <cfRule type="expression" dxfId="557" priority="795">
      <formula>$B$23=$S$10</formula>
    </cfRule>
  </conditionalFormatting>
  <conditionalFormatting sqref="A24">
    <cfRule type="expression" dxfId="556" priority="796">
      <formula>$B$24=$S$10</formula>
    </cfRule>
  </conditionalFormatting>
  <conditionalFormatting sqref="A25">
    <cfRule type="expression" dxfId="555" priority="797">
      <formula>$B$25=$S$10</formula>
    </cfRule>
  </conditionalFormatting>
  <conditionalFormatting sqref="A26">
    <cfRule type="expression" dxfId="554" priority="784" stopIfTrue="1">
      <formula>$D$25&gt;$D$2</formula>
    </cfRule>
    <cfRule type="expression" dxfId="553" priority="785">
      <formula>$B$26=$S$10</formula>
    </cfRule>
  </conditionalFormatting>
  <conditionalFormatting sqref="A27:A28">
    <cfRule type="expression" dxfId="552" priority="798">
      <formula>$B$27=$S$10</formula>
    </cfRule>
  </conditionalFormatting>
  <conditionalFormatting sqref="A29">
    <cfRule type="expression" dxfId="551" priority="799">
      <formula>$B$29=$S$10</formula>
    </cfRule>
  </conditionalFormatting>
  <conditionalFormatting sqref="A30">
    <cfRule type="expression" dxfId="550" priority="800">
      <formula>$B$30=$S$10</formula>
    </cfRule>
  </conditionalFormatting>
  <conditionalFormatting sqref="A31">
    <cfRule type="expression" dxfId="549" priority="801">
      <formula>$B$31=$S$10</formula>
    </cfRule>
  </conditionalFormatting>
  <conditionalFormatting sqref="A16:D16">
    <cfRule type="expression" dxfId="548" priority="52" stopIfTrue="1">
      <formula>$D$16&gt;$D$2</formula>
    </cfRule>
  </conditionalFormatting>
  <conditionalFormatting sqref="A17:D17">
    <cfRule type="expression" dxfId="547" priority="51" stopIfTrue="1">
      <formula>$D$17&gt;$D$2</formula>
    </cfRule>
  </conditionalFormatting>
  <conditionalFormatting sqref="A18:D18">
    <cfRule type="expression" dxfId="546" priority="68" stopIfTrue="1">
      <formula>$B$8=$S$3</formula>
    </cfRule>
    <cfRule type="expression" dxfId="544" priority="70" stopIfTrue="1">
      <formula>$D$18&gt;$D$2</formula>
    </cfRule>
    <cfRule type="expression" dxfId="543" priority="67" stopIfTrue="1">
      <formula>$B$8=$S$4</formula>
    </cfRule>
    <cfRule type="expression" dxfId="542" priority="50" stopIfTrue="1">
      <formula>$B$8=$S$5</formula>
    </cfRule>
  </conditionalFormatting>
  <conditionalFormatting sqref="A19:D19">
    <cfRule type="expression" dxfId="541" priority="49" stopIfTrue="1">
      <formula>$D$19&gt;$D$2</formula>
    </cfRule>
  </conditionalFormatting>
  <conditionalFormatting sqref="A20:D20">
    <cfRule type="expression" dxfId="540" priority="64" stopIfTrue="1">
      <formula>$B$8=$S$4</formula>
    </cfRule>
    <cfRule type="expression" dxfId="539" priority="48" stopIfTrue="1">
      <formula>$B$8=$S$5</formula>
    </cfRule>
    <cfRule type="expression" dxfId="538" priority="66" stopIfTrue="1">
      <formula>$D$20&gt;$D$2</formula>
    </cfRule>
    <cfRule type="expression" dxfId="537" priority="65" stopIfTrue="1">
      <formula>$B$8=$S$3</formula>
    </cfRule>
  </conditionalFormatting>
  <conditionalFormatting sqref="A21:D21">
    <cfRule type="expression" dxfId="536" priority="80">
      <formula>$D$21&gt;$D$2</formula>
    </cfRule>
  </conditionalFormatting>
  <conditionalFormatting sqref="A22:D22">
    <cfRule type="expression" dxfId="535" priority="46" stopIfTrue="1">
      <formula>$D$22&gt;$D$2</formula>
    </cfRule>
  </conditionalFormatting>
  <conditionalFormatting sqref="A23:D23">
    <cfRule type="expression" dxfId="534" priority="45" stopIfTrue="1">
      <formula>$D$23&gt;$D$2</formula>
    </cfRule>
  </conditionalFormatting>
  <conditionalFormatting sqref="A24:D24">
    <cfRule type="expression" dxfId="533" priority="44" stopIfTrue="1">
      <formula>$D$24&gt;$D$2</formula>
    </cfRule>
  </conditionalFormatting>
  <conditionalFormatting sqref="A25:D25">
    <cfRule type="expression" dxfId="532" priority="774" stopIfTrue="1">
      <formula>$B$26=$S$10</formula>
    </cfRule>
    <cfRule type="expression" dxfId="531" priority="775" stopIfTrue="1">
      <formula>$D$25&gt;$D$2</formula>
    </cfRule>
  </conditionalFormatting>
  <conditionalFormatting sqref="A26:D26">
    <cfRule type="expression" dxfId="530" priority="786" stopIfTrue="1">
      <formula>$B$25=$S$10</formula>
    </cfRule>
    <cfRule type="expression" dxfId="529" priority="787" stopIfTrue="1">
      <formula>$D$26&gt;$D$2</formula>
    </cfRule>
  </conditionalFormatting>
  <conditionalFormatting sqref="A27:D27">
    <cfRule type="expression" dxfId="528" priority="41" stopIfTrue="1">
      <formula>$D$27&gt;$D$2</formula>
    </cfRule>
  </conditionalFormatting>
  <conditionalFormatting sqref="A28:D28">
    <cfRule type="expression" dxfId="527" priority="6" stopIfTrue="1">
      <formula>$D$27&gt;$D$2</formula>
    </cfRule>
  </conditionalFormatting>
  <conditionalFormatting sqref="A29:D29">
    <cfRule type="expression" dxfId="526" priority="74">
      <formula>$D$29&gt;$D$2</formula>
    </cfRule>
    <cfRule type="expression" dxfId="525" priority="56">
      <formula>$B$8=$S$5</formula>
    </cfRule>
    <cfRule type="expression" dxfId="524" priority="57">
      <formula>$B$8=$S$4</formula>
    </cfRule>
    <cfRule type="expression" dxfId="523" priority="58">
      <formula>$B$8=$S$3</formula>
    </cfRule>
  </conditionalFormatting>
  <conditionalFormatting sqref="A30:D30">
    <cfRule type="expression" dxfId="522" priority="55" stopIfTrue="1">
      <formula>$D$30&gt;$D$2</formula>
    </cfRule>
    <cfRule type="expression" dxfId="521" priority="54" stopIfTrue="1">
      <formula>$B$8=$S$5</formula>
    </cfRule>
    <cfRule type="expression" dxfId="520" priority="53" stopIfTrue="1">
      <formula>$B$8=$S$4</formula>
    </cfRule>
    <cfRule type="expression" dxfId="519" priority="39" stopIfTrue="1">
      <formula>$B$8=$S$3</formula>
    </cfRule>
  </conditionalFormatting>
  <conditionalFormatting sqref="A31:D31">
    <cfRule type="expression" dxfId="518" priority="72">
      <formula>$D$31&gt;$D$2</formula>
    </cfRule>
  </conditionalFormatting>
  <conditionalFormatting sqref="B8 B11">
    <cfRule type="expression" dxfId="516" priority="12">
      <formula>AND($B$8=$S$3,$B$8=$B$11)</formula>
    </cfRule>
  </conditionalFormatting>
  <conditionalFormatting sqref="B8 E20">
    <cfRule type="expression" dxfId="514" priority="823">
      <formula>AND($B$8&lt;$S$38,$B$20=$S$10)</formula>
    </cfRule>
  </conditionalFormatting>
  <conditionalFormatting sqref="B8 E29">
    <cfRule type="expression" dxfId="513" priority="825">
      <formula>AND($B$8&lt;$S$38,$B$29=$S$10)</formula>
    </cfRule>
  </conditionalFormatting>
  <conditionalFormatting sqref="B8 E30">
    <cfRule type="expression" dxfId="512" priority="827">
      <formula>AND($B$8&lt;$S$38,$B$30=$S$10)</formula>
    </cfRule>
  </conditionalFormatting>
  <conditionalFormatting sqref="B16:B31 C12">
    <cfRule type="cellIs" dxfId="511" priority="10" operator="greaterThan">
      <formula>0</formula>
    </cfRule>
  </conditionalFormatting>
  <conditionalFormatting sqref="B33:B34">
    <cfRule type="cellIs" dxfId="510" priority="822" operator="equal">
      <formula>$S$11</formula>
    </cfRule>
  </conditionalFormatting>
  <conditionalFormatting sqref="B8:D8">
    <cfRule type="expression" dxfId="509" priority="71">
      <formula>$D$8&gt;$D$2</formula>
    </cfRule>
  </conditionalFormatting>
  <conditionalFormatting sqref="B14:F14">
    <cfRule type="expression" dxfId="508" priority="3">
      <formula>AND($C$12&gt;0,Tonnage&gt;7500)</formula>
    </cfRule>
  </conditionalFormatting>
  <conditionalFormatting sqref="C8 B11:C11">
    <cfRule type="expression" dxfId="507" priority="15">
      <formula>$B$8="Class I - Basic"</formula>
    </cfRule>
  </conditionalFormatting>
  <conditionalFormatting sqref="C8">
    <cfRule type="expression" dxfId="506" priority="14">
      <formula>AND(B8=S3,C8&gt;1)</formula>
    </cfRule>
    <cfRule type="expression" dxfId="505" priority="2">
      <formula>$Z$24=1</formula>
    </cfRule>
  </conditionalFormatting>
  <conditionalFormatting sqref="C11">
    <cfRule type="expression" dxfId="504" priority="11">
      <formula>AND($B$11&lt;&gt;$S$2,$C$11=0)</formula>
    </cfRule>
    <cfRule type="expression" dxfId="503" priority="13">
      <formula>AND(B11=S3,C11&gt;1)</formula>
    </cfRule>
  </conditionalFormatting>
  <conditionalFormatting sqref="C12">
    <cfRule type="expression" dxfId="502" priority="4">
      <formula>AND($C$12&gt;0,Tonnage&gt;7500)</formula>
    </cfRule>
  </conditionalFormatting>
  <conditionalFormatting sqref="C26">
    <cfRule type="expression" dxfId="501" priority="63">
      <formula>$D$25&gt;$D$2</formula>
    </cfRule>
  </conditionalFormatting>
  <conditionalFormatting sqref="D2">
    <cfRule type="expression" dxfId="500" priority="802">
      <formula>$W$15&gt;0</formula>
    </cfRule>
  </conditionalFormatting>
  <conditionalFormatting sqref="E13">
    <cfRule type="cellIs" dxfId="499" priority="9" operator="equal">
      <formula>"Yes"</formula>
    </cfRule>
  </conditionalFormatting>
  <conditionalFormatting sqref="E16">
    <cfRule type="expression" dxfId="498" priority="33">
      <formula>$W$17=1</formula>
    </cfRule>
  </conditionalFormatting>
  <conditionalFormatting sqref="E17">
    <cfRule type="expression" dxfId="497" priority="32">
      <formula>$W$18=1</formula>
    </cfRule>
  </conditionalFormatting>
  <conditionalFormatting sqref="E18">
    <cfRule type="expression" dxfId="496" priority="31">
      <formula>$W$19=1</formula>
    </cfRule>
  </conditionalFormatting>
  <conditionalFormatting sqref="E19">
    <cfRule type="expression" dxfId="495" priority="30">
      <formula>$W$20=1</formula>
    </cfRule>
  </conditionalFormatting>
  <conditionalFormatting sqref="E20">
    <cfRule type="expression" dxfId="494" priority="29">
      <formula>$W$21=1</formula>
    </cfRule>
  </conditionalFormatting>
  <conditionalFormatting sqref="E21">
    <cfRule type="expression" dxfId="493" priority="28">
      <formula>$W$22=1</formula>
    </cfRule>
  </conditionalFormatting>
  <conditionalFormatting sqref="E22">
    <cfRule type="expression" dxfId="492" priority="27">
      <formula>$W$23=1</formula>
    </cfRule>
  </conditionalFormatting>
  <conditionalFormatting sqref="E23">
    <cfRule type="expression" dxfId="491" priority="26">
      <formula>$W$24=1</formula>
    </cfRule>
  </conditionalFormatting>
  <conditionalFormatting sqref="E24">
    <cfRule type="expression" dxfId="490" priority="25">
      <formula>$W$25=1</formula>
    </cfRule>
  </conditionalFormatting>
  <conditionalFormatting sqref="E25">
    <cfRule type="expression" dxfId="489" priority="24">
      <formula>$W$26=1</formula>
    </cfRule>
  </conditionalFormatting>
  <conditionalFormatting sqref="E26">
    <cfRule type="expression" dxfId="488" priority="23">
      <formula>$W$27=1</formula>
    </cfRule>
  </conditionalFormatting>
  <conditionalFormatting sqref="E27">
    <cfRule type="expression" dxfId="487" priority="814">
      <formula>$W$28=1</formula>
    </cfRule>
  </conditionalFormatting>
  <conditionalFormatting sqref="E28">
    <cfRule type="expression" dxfId="486" priority="832">
      <formula>$W$29&gt;0</formula>
    </cfRule>
  </conditionalFormatting>
  <conditionalFormatting sqref="E29">
    <cfRule type="expression" dxfId="485" priority="20">
      <formula>$W$30=1</formula>
    </cfRule>
  </conditionalFormatting>
  <conditionalFormatting sqref="E30">
    <cfRule type="expression" dxfId="484" priority="759">
      <formula>$W$31=1</formula>
    </cfRule>
  </conditionalFormatting>
  <conditionalFormatting sqref="E31">
    <cfRule type="expression" dxfId="483" priority="831">
      <formula>$W$32=1</formula>
    </cfRule>
  </conditionalFormatting>
  <conditionalFormatting sqref="H6">
    <cfRule type="expression" dxfId="482" priority="37">
      <formula>$H$6&lt;0</formula>
    </cfRule>
  </conditionalFormatting>
  <conditionalFormatting sqref="K6">
    <cfRule type="expression" dxfId="481" priority="36">
      <formula>$K$6&lt;0</formula>
    </cfRule>
  </conditionalFormatting>
  <dataValidations count="14">
    <dataValidation type="list" allowBlank="1" showInputMessage="1" showErrorMessage="1" sqref="B8" xr:uid="{96A4A88D-1082-4BB8-B69C-346F50D3950B}">
      <formula1>$S$3:$S$8</formula1>
    </dataValidation>
    <dataValidation allowBlank="1" showInputMessage="1" showErrorMessage="1" promptTitle="Enter Desired Tonnage" prompt="Each ton of deep penetration scanner allows for 20_x000a_tons of a target vessel to be scanned every hour (so, for_x000a_example, a 25 ton suite would scan a 500 ton ship in_x000a_an hour)." sqref="H17" xr:uid="{E6DFB272-57FE-48D1-8315-DF137577B287}"/>
    <dataValidation allowBlank="1" showInputMessage="1" showErrorMessage="1" prompt="Input the number of additional Sensor Stations desired. The bridge includes one. Each additional action requires another station." sqref="C12" xr:uid="{27A40CA5-55F7-4722-AFD2-13D2AD5DB84F}"/>
    <dataValidation type="list" allowBlank="1" showInputMessage="1" showErrorMessage="1" prompt="Aux Array must be of equal or lower grade compared to main array. You cannot have two Basic arrays." sqref="B11" xr:uid="{27B61365-4251-43C3-AFBE-6399E26794CA}">
      <formula1>$S$2:$S$7</formula1>
    </dataValidation>
    <dataValidation type="whole" operator="greaterThan" allowBlank="1" showInputMessage="1" showErrorMessage="1" sqref="B32" xr:uid="{DA761F39-3D1D-4E12-8DF4-9E2B9DF91182}">
      <formula1>0</formula1>
    </dataValidation>
    <dataValidation type="whole" operator="greaterThanOrEqual" allowBlank="1" showInputMessage="1" showErrorMessage="1" sqref="B27:B28 B25 C11 C8" xr:uid="{C19BCA24-E7CA-4D15-9A70-5ED0C4C3BC3D}">
      <formula1>0</formula1>
    </dataValidation>
    <dataValidation type="whole" operator="greaterThanOrEqual" allowBlank="1" showInputMessage="1" showErrorMessage="1" promptTitle="Tonnage" prompt="Enter the desired tonnage of the Deep Penetrating Scanners" sqref="B17" xr:uid="{44FA0969-B4B1-446E-9295-ACA5976A73D7}">
      <formula1>0</formula1>
    </dataValidation>
    <dataValidation type="whole" operator="greaterThanOrEqual" allowBlank="1" showInputMessage="1" showErrorMessage="1" promptTitle="Quantity" prompt="Requires an Improved or Advanced Sensor Array. Cannot be installed on a hull smaller than 5000 Dtons." sqref="B18" xr:uid="{F8979188-1804-4C73-A9BF-1B0C875F7A4C}">
      <formula1>0</formula1>
    </dataValidation>
    <dataValidation type="whole" operator="greaterThanOrEqual" allowBlank="1" showInputMessage="1" showErrorMessage="1" promptTitle="Quantity" prompt="Requires an Improved or Advanced Sensor Array. " sqref="B20 B29:B30" xr:uid="{EA09BEF9-5CB0-4BEA-899C-2BEFFA62FB32}">
      <formula1>0</formula1>
    </dataValidation>
    <dataValidation type="whole" operator="greaterThanOrEqual" allowBlank="1" showInputMessage="1" showErrorMessage="1" promptTitle="Quantity" prompt="_x000a_" sqref="B16 B19" xr:uid="{27636A34-91A4-494A-ADC8-485FD19064A4}">
      <formula1>0</formula1>
    </dataValidation>
    <dataValidation type="whole" operator="greaterThanOrEqual" allowBlank="1" showInputMessage="1" showErrorMessage="1" promptTitle="Quantity" sqref="B23" xr:uid="{AB28FE5C-5348-4AD5-A71F-0C54707CDBAC}">
      <formula1>0</formula1>
    </dataValidation>
    <dataValidation type="whole" operator="greaterThanOrEqual" allowBlank="1" showInputMessage="1" showErrorMessage="1" promptTitle="Quantity" prompt=" " sqref="B21:B22 B24 B26 B31" xr:uid="{E362044E-AD31-4998-98DA-90094522672F}">
      <formula1>0</formula1>
    </dataValidation>
    <dataValidation type="list" operator="greaterThan" allowBlank="1" showInputMessage="1" showErrorMessage="1" sqref="B33:B34" xr:uid="{9878B3F0-098E-46F2-A808-CE5C21F67A82}">
      <formula1>$S$10:$S$11</formula1>
    </dataValidation>
    <dataValidation type="list" allowBlank="1" showInputMessage="1" showErrorMessage="1" sqref="E13" xr:uid="{F6F02C6C-4945-40AC-BEA6-5156C74CC222}">
      <formula1>$U$13:$U$14</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9" stopIfTrue="1" id="{63345C38-FD89-46D1-9184-4B132381D0B0}">
            <xm:f>'1-Hull'!$B$4&lt;5000</xm:f>
            <x14:dxf>
              <fill>
                <patternFill>
                  <bgColor theme="0" tint="-0.499984740745262"/>
                </patternFill>
              </fill>
            </x14:dxf>
          </x14:cfRule>
          <xm:sqref>A18:D18</xm:sqref>
        </x14:conditionalFormatting>
        <x14:conditionalFormatting xmlns:xm="http://schemas.microsoft.com/office/excel/2006/main">
          <x14:cfRule type="expression" priority="1" id="{5E61B308-8E87-459A-96F9-4DE9F2F3386B}">
            <xm:f>'Ship Info'!F7</xm:f>
            <x14:dxf>
              <font>
                <color theme="1"/>
              </font>
            </x14:dxf>
          </x14:cfRule>
          <xm:sqref>B6</xm:sqref>
        </x14:conditionalFormatting>
        <x14:conditionalFormatting xmlns:xm="http://schemas.microsoft.com/office/excel/2006/main">
          <x14:cfRule type="expression" priority="829" id="{4D254901-1A35-4CC2-BCD9-8064655171F8}">
            <xm:f>AND(OR('1-Hull'!$B$4&lt;5000,$B$8&lt;$S$38),$B$18=$S$10)</xm:f>
            <x14:dxf>
              <fill>
                <patternFill>
                  <bgColor rgb="FFFF0000"/>
                </patternFill>
              </fill>
            </x14:dxf>
          </x14:cfRule>
          <xm:sqref>B8 E18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95F1-5432-4EFB-88F2-A2F5A4D5CB62}">
  <dimension ref="A1:BT186"/>
  <sheetViews>
    <sheetView workbookViewId="0">
      <selection activeCell="B36" sqref="B36"/>
    </sheetView>
  </sheetViews>
  <sheetFormatPr defaultRowHeight="14.4" x14ac:dyDescent="0.3"/>
  <cols>
    <col min="1" max="1" width="7.44140625" style="67" customWidth="1"/>
    <col min="2" max="2" width="21" style="67" customWidth="1"/>
    <col min="3" max="3" width="26.33203125" style="67" customWidth="1"/>
    <col min="4" max="4" width="8.6640625" style="67" customWidth="1"/>
    <col min="5" max="7" width="21.5546875" style="67" customWidth="1"/>
    <col min="8" max="8" width="3.44140625" style="69" customWidth="1"/>
    <col min="9" max="9" width="10.33203125" style="69" customWidth="1"/>
    <col min="10" max="10" width="10.5546875" style="69" customWidth="1"/>
    <col min="11" max="11" width="4.88671875" style="67" customWidth="1"/>
    <col min="12" max="12" width="19.109375" style="67" customWidth="1"/>
    <col min="13" max="13" width="9.109375" style="67"/>
    <col min="14" max="14" width="11.5546875" style="67" customWidth="1"/>
    <col min="15" max="18" width="9.109375" style="67"/>
    <col min="19" max="19" width="23.88671875" style="67" customWidth="1"/>
    <col min="20" max="22" width="10.6640625" customWidth="1"/>
    <col min="23" max="24" width="11" customWidth="1"/>
    <col min="25" max="25" width="9.109375" customWidth="1"/>
    <col min="26" max="26" width="27.5546875" customWidth="1"/>
    <col min="27" max="30" width="9.109375" customWidth="1"/>
    <col min="31" max="31" width="13.6640625" customWidth="1"/>
    <col min="32" max="32" width="13" customWidth="1"/>
    <col min="33" max="33" width="13.109375" customWidth="1"/>
    <col min="34" max="34" width="12.109375" customWidth="1"/>
    <col min="35" max="35" width="18.6640625" customWidth="1"/>
    <col min="36" max="37" width="11" customWidth="1"/>
    <col min="38" max="38" width="9.44140625" customWidth="1"/>
    <col min="39" max="40" width="11" customWidth="1"/>
    <col min="41" max="44" width="9.109375" customWidth="1"/>
    <col min="45" max="48" width="18.44140625" customWidth="1"/>
    <col min="49" max="49" width="18.109375" customWidth="1"/>
    <col min="50" max="50" width="18.44140625" customWidth="1"/>
    <col min="51" max="51" width="18.109375" customWidth="1"/>
    <col min="52" max="52" width="18" customWidth="1"/>
    <col min="53" max="59" width="18.33203125" customWidth="1"/>
    <col min="60" max="60" width="18.109375" customWidth="1"/>
    <col min="61" max="72" width="9.109375" customWidth="1"/>
  </cols>
  <sheetData>
    <row r="1" spans="1:72" x14ac:dyDescent="0.3">
      <c r="A1" s="69"/>
      <c r="B1" s="70" t="str">
        <f>'Ship Info'!A1</f>
        <v>Ship's Class Name</v>
      </c>
      <c r="C1" s="67">
        <f>'Ship Info'!B1</f>
        <v>0</v>
      </c>
      <c r="E1" s="69"/>
      <c r="F1" s="69"/>
      <c r="G1" s="154" t="s">
        <v>875</v>
      </c>
      <c r="L1" s="68" t="s">
        <v>1</v>
      </c>
      <c r="T1" t="s">
        <v>92</v>
      </c>
      <c r="U1" t="s">
        <v>92</v>
      </c>
      <c r="V1" t="s">
        <v>92</v>
      </c>
      <c r="Z1" s="3" t="s">
        <v>967</v>
      </c>
      <c r="AA1" t="s">
        <v>26</v>
      </c>
      <c r="AB1" t="s">
        <v>310</v>
      </c>
      <c r="AC1" t="s">
        <v>110</v>
      </c>
      <c r="AD1" t="s">
        <v>1</v>
      </c>
      <c r="AE1" t="s">
        <v>311</v>
      </c>
      <c r="AF1" t="s">
        <v>312</v>
      </c>
      <c r="AG1" t="s">
        <v>360</v>
      </c>
      <c r="AH1" t="s">
        <v>375</v>
      </c>
      <c r="AI1" s="2" t="s">
        <v>1445</v>
      </c>
      <c r="AJ1" t="s">
        <v>776</v>
      </c>
      <c r="AK1" t="s">
        <v>979</v>
      </c>
      <c r="AM1" s="44" t="s">
        <v>976</v>
      </c>
      <c r="AN1" s="45"/>
      <c r="AO1" s="45"/>
      <c r="AP1" s="47"/>
      <c r="AQ1" s="45"/>
      <c r="AR1" s="45"/>
      <c r="AS1" s="107" t="s">
        <v>991</v>
      </c>
      <c r="AT1" s="107" t="s">
        <v>992</v>
      </c>
      <c r="AU1" s="107" t="s">
        <v>993</v>
      </c>
      <c r="AV1" s="107" t="s">
        <v>994</v>
      </c>
      <c r="AW1" s="44" t="s">
        <v>968</v>
      </c>
      <c r="AX1" s="45" t="s">
        <v>969</v>
      </c>
      <c r="AY1" s="45" t="s">
        <v>970</v>
      </c>
      <c r="AZ1" s="46" t="s">
        <v>980</v>
      </c>
      <c r="BB1" s="3" t="s">
        <v>971</v>
      </c>
      <c r="BC1" t="s">
        <v>26</v>
      </c>
      <c r="BD1" t="s">
        <v>310</v>
      </c>
      <c r="BE1" t="s">
        <v>110</v>
      </c>
      <c r="BF1" t="s">
        <v>1</v>
      </c>
      <c r="BG1" t="s">
        <v>978</v>
      </c>
      <c r="BH1" t="s">
        <v>312</v>
      </c>
      <c r="BI1" t="s">
        <v>360</v>
      </c>
      <c r="BJ1" t="s">
        <v>375</v>
      </c>
      <c r="BK1" s="2" t="s">
        <v>685</v>
      </c>
      <c r="BL1" t="s">
        <v>776</v>
      </c>
      <c r="BM1" t="s">
        <v>979</v>
      </c>
      <c r="BN1" t="s">
        <v>1551</v>
      </c>
      <c r="BT1" t="s">
        <v>2517</v>
      </c>
    </row>
    <row r="2" spans="1:72" x14ac:dyDescent="0.3">
      <c r="A2" s="69"/>
      <c r="B2" s="70" t="s">
        <v>418</v>
      </c>
      <c r="C2" s="67">
        <f>'Ship Info'!B2</f>
        <v>0</v>
      </c>
      <c r="E2" s="157"/>
      <c r="F2" s="158" t="s">
        <v>1070</v>
      </c>
      <c r="G2" s="159"/>
      <c r="J2" s="68" t="s">
        <v>0</v>
      </c>
      <c r="K2" s="69">
        <f>'Ship Info'!F2</f>
        <v>12</v>
      </c>
      <c r="L2" s="155">
        <f>'Ship Info'!G2</f>
        <v>6177000</v>
      </c>
      <c r="T2" t="str">
        <f>IF(B4&lt;100,V2,U2)</f>
        <v>Yes</v>
      </c>
      <c r="U2" t="s">
        <v>93</v>
      </c>
      <c r="V2" t="s">
        <v>92</v>
      </c>
      <c r="W2" s="128" t="s">
        <v>1008</v>
      </c>
      <c r="X2" s="128" t="s">
        <v>1009</v>
      </c>
      <c r="Y2" s="128"/>
      <c r="Z2" t="s">
        <v>362</v>
      </c>
      <c r="AA2">
        <v>0</v>
      </c>
      <c r="AB2">
        <v>0</v>
      </c>
      <c r="AC2">
        <v>0</v>
      </c>
      <c r="AD2">
        <v>0</v>
      </c>
      <c r="AE2">
        <v>0</v>
      </c>
      <c r="AF2">
        <v>0</v>
      </c>
      <c r="AG2">
        <v>0</v>
      </c>
      <c r="AH2">
        <v>0</v>
      </c>
      <c r="AI2" s="2" t="str">
        <f>""</f>
        <v/>
      </c>
      <c r="AJ2">
        <v>0</v>
      </c>
      <c r="AK2" t="str">
        <f>""</f>
        <v/>
      </c>
      <c r="AM2" s="78" t="s">
        <v>362</v>
      </c>
      <c r="AN2" t="s">
        <v>362</v>
      </c>
      <c r="AO2" t="s">
        <v>362</v>
      </c>
      <c r="AP2" s="46"/>
      <c r="AS2" s="122" t="s">
        <v>362</v>
      </c>
      <c r="AT2" s="122" t="s">
        <v>362</v>
      </c>
      <c r="AU2" s="122" t="s">
        <v>362</v>
      </c>
      <c r="AV2" s="122" t="s">
        <v>362</v>
      </c>
      <c r="AW2" s="78" t="s">
        <v>362</v>
      </c>
      <c r="AX2" t="s">
        <v>362</v>
      </c>
      <c r="AY2" t="s">
        <v>362</v>
      </c>
      <c r="AZ2" s="133" t="s">
        <v>362</v>
      </c>
      <c r="BB2" t="s">
        <v>362</v>
      </c>
      <c r="BC2">
        <v>0</v>
      </c>
      <c r="BD2">
        <v>0</v>
      </c>
      <c r="BE2">
        <v>0</v>
      </c>
      <c r="BF2">
        <v>0</v>
      </c>
      <c r="BG2">
        <v>0</v>
      </c>
      <c r="BH2">
        <v>0</v>
      </c>
      <c r="BI2">
        <v>0</v>
      </c>
      <c r="BJ2">
        <v>0</v>
      </c>
      <c r="BK2" s="2">
        <v>0</v>
      </c>
      <c r="BL2">
        <v>0</v>
      </c>
      <c r="BM2" t="str">
        <f>""</f>
        <v/>
      </c>
      <c r="BN2">
        <v>0</v>
      </c>
      <c r="BP2" t="s">
        <v>2159</v>
      </c>
    </row>
    <row r="3" spans="1:72" ht="17.25" customHeight="1" x14ac:dyDescent="0.3">
      <c r="A3" s="69"/>
      <c r="B3" s="156" t="s">
        <v>966</v>
      </c>
      <c r="E3" s="845" t="s">
        <v>1000</v>
      </c>
      <c r="F3" s="845" t="s">
        <v>1001</v>
      </c>
      <c r="G3" s="845" t="s">
        <v>1002</v>
      </c>
      <c r="L3" s="155"/>
      <c r="W3" s="124">
        <f>Z86</f>
        <v>0</v>
      </c>
      <c r="X3" s="124">
        <v>1</v>
      </c>
      <c r="Y3" s="147"/>
      <c r="Z3" t="s">
        <v>1003</v>
      </c>
      <c r="AA3">
        <v>7</v>
      </c>
      <c r="AB3">
        <v>0</v>
      </c>
      <c r="AC3">
        <v>0</v>
      </c>
      <c r="AD3">
        <v>100000</v>
      </c>
      <c r="AE3">
        <v>0</v>
      </c>
      <c r="AF3">
        <v>1</v>
      </c>
      <c r="AG3">
        <v>1</v>
      </c>
      <c r="AH3">
        <v>1</v>
      </c>
      <c r="AI3" s="2" t="str">
        <f>""</f>
        <v/>
      </c>
      <c r="AJ3">
        <v>0.75</v>
      </c>
      <c r="AK3" t="s">
        <v>595</v>
      </c>
      <c r="AM3" s="78" t="s">
        <v>1003</v>
      </c>
      <c r="AN3" t="s">
        <v>362</v>
      </c>
      <c r="AO3" t="s">
        <v>1003</v>
      </c>
      <c r="AP3" s="46"/>
      <c r="AS3" s="122" t="str">
        <f>IF(OR(AND('Ship Info'!$F$7,'Ship Info'!$C$5&gt;=100),$B$4&gt;=100),$AZ$3,AW3)</f>
        <v>A Fixed Mount x1</v>
      </c>
      <c r="AT3" s="122" t="str">
        <f>IF(OR(AND('Ship Info'!$F$7,'Ship Info'!$C$5&gt;=100),$B$4&gt;=100),$AZ$3,IF(B12=AM7,AN3,AX3))</f>
        <v>A Fixed Mount x1</v>
      </c>
      <c r="AU3" t="str">
        <f>IF(OR(AND('Ship Info'!$F$7,'Ship Info'!$C$5&gt;=100),$B$4&gt;=100),AZ3,AY3)</f>
        <v>A Fixed Mount x1</v>
      </c>
      <c r="AV3" s="46" t="str">
        <f>IF(OR(AND('Ship Info'!$F$7,'Ship Info'!$C$5&gt;=100),$B$4&gt;=100),AZ3,AN3)</f>
        <v>A Fixed Mount x1</v>
      </c>
      <c r="AW3" s="78" t="s">
        <v>1003</v>
      </c>
      <c r="AX3" t="str">
        <f>IF(OR(Z28=AK7,B4&lt;35),AN3,AO3)</f>
        <v>a Fixed Firmpoint</v>
      </c>
      <c r="AY3" t="str">
        <f>IF(OR(Z28=AK7,B4&lt;70),AN3,AO3)</f>
        <v>a Fixed Firmpoint</v>
      </c>
      <c r="AZ3" s="132" t="s">
        <v>1021</v>
      </c>
      <c r="BB3" t="s">
        <v>1021</v>
      </c>
      <c r="BC3">
        <v>7</v>
      </c>
      <c r="BD3">
        <v>0</v>
      </c>
      <c r="BE3">
        <v>0</v>
      </c>
      <c r="BF3">
        <v>100000</v>
      </c>
      <c r="BG3">
        <v>1</v>
      </c>
      <c r="BH3">
        <v>1</v>
      </c>
      <c r="BI3">
        <v>1</v>
      </c>
      <c r="BJ3">
        <v>1</v>
      </c>
      <c r="BK3" s="2">
        <v>0</v>
      </c>
      <c r="BL3">
        <v>1</v>
      </c>
      <c r="BM3" t="s">
        <v>973</v>
      </c>
      <c r="BN3">
        <v>2</v>
      </c>
      <c r="BP3">
        <f>IF('1-Hull'!A20="None",0,1)</f>
        <v>0</v>
      </c>
    </row>
    <row r="4" spans="1:72" ht="15" customHeight="1" thickBot="1" x14ac:dyDescent="0.35">
      <c r="B4" s="239">
        <f>Tonnage</f>
        <v>100</v>
      </c>
      <c r="C4" s="70" t="s">
        <v>947</v>
      </c>
      <c r="D4" s="70"/>
      <c r="E4" s="846"/>
      <c r="F4" s="846"/>
      <c r="G4" s="846"/>
      <c r="L4" s="491" t="s">
        <v>44</v>
      </c>
      <c r="N4" s="842" t="s">
        <v>45</v>
      </c>
      <c r="O4" s="842"/>
      <c r="Q4" s="842" t="s">
        <v>46</v>
      </c>
      <c r="R4" s="842"/>
      <c r="W4" s="123" t="s">
        <v>362</v>
      </c>
      <c r="X4" s="123">
        <v>0</v>
      </c>
      <c r="Y4" s="124"/>
      <c r="Z4" t="s">
        <v>1004</v>
      </c>
      <c r="AA4">
        <v>10</v>
      </c>
      <c r="AB4">
        <v>0</v>
      </c>
      <c r="AC4">
        <v>1</v>
      </c>
      <c r="AD4">
        <v>1100000</v>
      </c>
      <c r="AE4">
        <v>0</v>
      </c>
      <c r="AF4">
        <v>1</v>
      </c>
      <c r="AG4">
        <v>1</v>
      </c>
      <c r="AH4">
        <v>1</v>
      </c>
      <c r="AI4" s="2" t="str">
        <f>""</f>
        <v/>
      </c>
      <c r="AJ4">
        <v>0.75</v>
      </c>
      <c r="AK4" t="s">
        <v>596</v>
      </c>
      <c r="AM4" s="78" t="s">
        <v>1004</v>
      </c>
      <c r="AN4" t="s">
        <v>362</v>
      </c>
      <c r="AO4" t="s">
        <v>1004</v>
      </c>
      <c r="AP4" s="46"/>
      <c r="AS4" s="122" t="str">
        <f>IF(OR(AND('Ship Info'!$F$7,'Ship Info'!$C$5&gt;=100),$B$4&gt;=100),AZ4,AW4)</f>
        <v>A Fixed Mount x2</v>
      </c>
      <c r="AT4" t="str">
        <f>IF(OR(AND('Ship Info'!$F$7,'Ship Info'!$C$5&gt;=100),$B$4&gt;=100),AZ4,IF(B12=AM7,AN3,AX4))</f>
        <v>A Fixed Mount x2</v>
      </c>
      <c r="AU4" t="str">
        <f>IF(OR(AND('Ship Info'!$F$7,'Ship Info'!$C$5&gt;=100),$B$4&gt;=100),AZ4,AY4)</f>
        <v>A Fixed Mount x2</v>
      </c>
      <c r="AV4" s="46" t="str">
        <f>IF(OR(AND('Ship Info'!$F$7,'Ship Info'!$C$5&gt;=100),$B$4&gt;=100),AZ4,AN4)</f>
        <v>A Fixed Mount x2</v>
      </c>
      <c r="AW4" s="78" t="s">
        <v>1004</v>
      </c>
      <c r="AX4" t="str">
        <f>IF(OR(Z28=AK7,B4&lt;35),AN4,AO4)</f>
        <v>b Firmpoint Pop-Up</v>
      </c>
      <c r="AY4" t="str">
        <f>IF(OR(Z28=AK7,B4&lt;70),AN4,AO4)</f>
        <v>b Firmpoint Pop-Up</v>
      </c>
      <c r="AZ4" s="133" t="s">
        <v>1023</v>
      </c>
      <c r="BB4" t="s">
        <v>1023</v>
      </c>
      <c r="BC4">
        <v>7</v>
      </c>
      <c r="BD4">
        <v>0</v>
      </c>
      <c r="BE4">
        <v>0</v>
      </c>
      <c r="BF4">
        <v>100000</v>
      </c>
      <c r="BG4">
        <v>1</v>
      </c>
      <c r="BH4">
        <v>1</v>
      </c>
      <c r="BI4">
        <v>1</v>
      </c>
      <c r="BJ4">
        <v>2</v>
      </c>
      <c r="BK4" s="2">
        <v>1</v>
      </c>
      <c r="BL4">
        <v>1</v>
      </c>
      <c r="BM4" t="s">
        <v>973</v>
      </c>
      <c r="BN4">
        <v>2</v>
      </c>
    </row>
    <row r="5" spans="1:72" ht="15" thickBot="1" x14ac:dyDescent="0.35">
      <c r="A5" s="70"/>
      <c r="B5" s="839" t="s">
        <v>1074</v>
      </c>
      <c r="C5" s="840"/>
      <c r="D5" s="68"/>
      <c r="E5" s="226" t="s">
        <v>92</v>
      </c>
      <c r="F5" s="226" t="s">
        <v>92</v>
      </c>
      <c r="G5" s="226" t="s">
        <v>92</v>
      </c>
      <c r="I5" s="160" t="s">
        <v>1039</v>
      </c>
      <c r="J5" s="264"/>
      <c r="K5" s="164">
        <f>IF('Ship Info'!C5&lt;35.001,1,IF('Ship Info'!C5&lt;70,2,IF('Ship Info'!C5&lt;99.999,3,ROUNDDOWN('Ship Info'!C5/100,0))))</f>
        <v>15</v>
      </c>
      <c r="L5" s="490">
        <f>SUM(L12:L37)</f>
        <v>0</v>
      </c>
      <c r="N5" s="68" t="s">
        <v>390</v>
      </c>
      <c r="O5" s="68" t="s">
        <v>27</v>
      </c>
      <c r="Q5" s="68" t="s">
        <v>390</v>
      </c>
      <c r="R5" s="68" t="s">
        <v>27</v>
      </c>
      <c r="T5" s="139" t="s">
        <v>1027</v>
      </c>
      <c r="U5" s="47"/>
      <c r="W5" s="124" t="s">
        <v>1003</v>
      </c>
      <c r="X5" s="124">
        <v>0</v>
      </c>
      <c r="Y5" s="124"/>
      <c r="Z5" t="s">
        <v>1005</v>
      </c>
      <c r="AA5">
        <v>7</v>
      </c>
      <c r="AB5">
        <v>1</v>
      </c>
      <c r="AC5">
        <v>1</v>
      </c>
      <c r="AD5">
        <v>200000</v>
      </c>
      <c r="AE5">
        <v>0</v>
      </c>
      <c r="AF5">
        <v>1</v>
      </c>
      <c r="AG5">
        <v>1</v>
      </c>
      <c r="AH5">
        <v>1</v>
      </c>
      <c r="AI5" s="2" t="str">
        <f>""</f>
        <v/>
      </c>
      <c r="AJ5">
        <v>0.75</v>
      </c>
      <c r="AK5" t="s">
        <v>597</v>
      </c>
      <c r="AM5" s="78" t="s">
        <v>1005</v>
      </c>
      <c r="AN5" t="s">
        <v>362</v>
      </c>
      <c r="AO5" t="s">
        <v>1005</v>
      </c>
      <c r="AP5" s="46"/>
      <c r="AS5" s="122" t="str">
        <f>IF(OR(AND('Ship Info'!$F$7,'Ship Info'!$C$5&gt;=100),$B$4&gt;=100),AZ5,AW5)</f>
        <v>A Fixed Mount x3</v>
      </c>
      <c r="AT5" t="str">
        <f>IF(OR(AND('Ship Info'!$F$7,'Ship Info'!$C$5&gt;=100),$B$4&gt;=100),AZ5,IF(B12=AM7,AN3,AX5))</f>
        <v>A Fixed Mount x3</v>
      </c>
      <c r="AU5" t="str">
        <f>IF(OR(AND('Ship Info'!$F$7,'Ship Info'!$C$5&gt;=100),$B$4&gt;=100),AZ5,AY5)</f>
        <v>A Fixed Mount x3</v>
      </c>
      <c r="AV5" s="46" t="str">
        <f>IF(OR(AND('Ship Info'!$F$7,'Ship Info'!$C$5&gt;=100),$B$4&gt;=100),AZ5,AN5)</f>
        <v>A Fixed Mount x3</v>
      </c>
      <c r="AW5" s="78" t="s">
        <v>1005</v>
      </c>
      <c r="AX5" t="str">
        <f>IF(OR(Z28=AK7,B4&lt;35),AN5,AO5)</f>
        <v>c Single Turret sm</v>
      </c>
      <c r="AY5" t="str">
        <f>IF(OR(Z28=AK7,B4&lt;70),AN5,AO5)</f>
        <v>c Single Turret sm</v>
      </c>
      <c r="AZ5" s="132" t="s">
        <v>1025</v>
      </c>
      <c r="BB5" t="s">
        <v>1025</v>
      </c>
      <c r="BC5">
        <v>7</v>
      </c>
      <c r="BD5">
        <v>0</v>
      </c>
      <c r="BE5">
        <v>0</v>
      </c>
      <c r="BF5">
        <v>100000</v>
      </c>
      <c r="BG5">
        <v>1</v>
      </c>
      <c r="BH5">
        <v>1</v>
      </c>
      <c r="BI5">
        <v>1</v>
      </c>
      <c r="BJ5">
        <v>3</v>
      </c>
      <c r="BK5" s="2">
        <v>2</v>
      </c>
      <c r="BL5">
        <v>1</v>
      </c>
      <c r="BM5" t="s">
        <v>973</v>
      </c>
      <c r="BN5">
        <v>2</v>
      </c>
    </row>
    <row r="6" spans="1:72" ht="15.75" customHeight="1" thickBot="1" x14ac:dyDescent="0.35">
      <c r="A6" s="833" t="s">
        <v>1071</v>
      </c>
      <c r="B6" s="834"/>
      <c r="C6" s="225"/>
      <c r="E6" s="196" t="s">
        <v>1020</v>
      </c>
      <c r="F6" s="196" t="s">
        <v>1020</v>
      </c>
      <c r="G6" s="196" t="s">
        <v>1020</v>
      </c>
      <c r="I6" s="162" t="str">
        <f>IF(LEFT(Y28,2)="Fm","Firmpoints","Hardpoints")</f>
        <v>Hardpoints</v>
      </c>
      <c r="J6" s="335">
        <f>IF('Ship Info'!F7,'8a-Weapons'!K5,IF(Tonnage&lt;35,1,IF(Tonnage&lt;70,2,IF(Tonnage&lt;99.999,3,ROUNDDOWN(Tonnage/100,0)))))</f>
        <v>1</v>
      </c>
      <c r="L6" s="486"/>
      <c r="N6" s="336">
        <f>'Ship Info'!I3</f>
        <v>92.53</v>
      </c>
      <c r="O6" s="337">
        <f>'1-Hull'!B4</f>
        <v>100</v>
      </c>
      <c r="Q6" s="155">
        <f>'Ship Info'!L3</f>
        <v>0</v>
      </c>
      <c r="R6" s="337">
        <f>'3-Pwr Plant'!L6</f>
        <v>20</v>
      </c>
      <c r="T6" s="78" t="s">
        <v>340</v>
      </c>
      <c r="U6" s="46">
        <f>VLOOKUP(B12,Table1[],9)</f>
        <v>0</v>
      </c>
      <c r="W6" s="124" t="s">
        <v>972</v>
      </c>
      <c r="X6" s="124">
        <v>1</v>
      </c>
      <c r="Y6" s="124"/>
      <c r="Z6" t="s">
        <v>1143</v>
      </c>
      <c r="AA6">
        <v>7</v>
      </c>
      <c r="AB6">
        <v>1</v>
      </c>
      <c r="AC6">
        <v>2</v>
      </c>
      <c r="AD6">
        <v>1200000</v>
      </c>
      <c r="AE6">
        <v>0</v>
      </c>
      <c r="AF6">
        <v>1</v>
      </c>
      <c r="AG6">
        <v>1</v>
      </c>
      <c r="AH6">
        <v>1</v>
      </c>
      <c r="AI6" s="2"/>
      <c r="AJ6">
        <v>0.75</v>
      </c>
      <c r="AK6" t="s">
        <v>1144</v>
      </c>
      <c r="AM6" t="s">
        <v>1143</v>
      </c>
      <c r="AN6" t="s">
        <v>362</v>
      </c>
      <c r="AO6" t="s">
        <v>1143</v>
      </c>
      <c r="AR6" s="28"/>
      <c r="AS6" s="122" t="str">
        <f>IF(OR(AND('Ship Info'!$F$7,'Ship Info'!$C$5&gt;=100),$B$4&gt;=100),AZ6,AW6)</f>
        <v>B Fixed Mount x1  Pop-Up</v>
      </c>
      <c r="AT6" t="str">
        <f>IF(OR(AND('Ship Info'!$F$7,'Ship Info'!$C$5&gt;=100),$B$4&gt;=100),AZ6,IF(B12=AM7,AN3,AX6))</f>
        <v>B Fixed Mount x1  Pop-Up</v>
      </c>
      <c r="AU6" t="str">
        <f>IF(OR(AND('Ship Info'!$F$7,'Ship Info'!$C$5&gt;=100),$B$4&gt;=100),AZ6,AY6)</f>
        <v>B Fixed Mount x1  Pop-Up</v>
      </c>
      <c r="AV6" s="46" t="str">
        <f>IF(OR(AND('Ship Info'!$F$7,'Ship Info'!$C$5&gt;=100),$B$4&gt;=100),AZ6,AN7)</f>
        <v>B Fixed Mount x1  Pop-Up</v>
      </c>
      <c r="AW6" s="78" t="s">
        <v>1143</v>
      </c>
      <c r="AX6" s="78" t="str">
        <f>IF(OR(Z28=AK7,B4&lt;35),AN6,AO6)</f>
        <v>d Single Pop-up Turret sm</v>
      </c>
      <c r="AY6" s="78" t="str">
        <f>IF(OR(Z28=AK7,B4&lt;70),AN6,AO6)</f>
        <v>d Single Pop-up Turret sm</v>
      </c>
      <c r="AZ6" s="133" t="s">
        <v>1022</v>
      </c>
      <c r="BB6" t="s">
        <v>1022</v>
      </c>
      <c r="BC6">
        <v>10</v>
      </c>
      <c r="BD6">
        <v>0</v>
      </c>
      <c r="BE6">
        <v>1</v>
      </c>
      <c r="BF6">
        <v>1100000</v>
      </c>
      <c r="BG6">
        <v>1</v>
      </c>
      <c r="BH6">
        <v>1</v>
      </c>
      <c r="BI6">
        <v>1</v>
      </c>
      <c r="BJ6">
        <v>1</v>
      </c>
      <c r="BK6" s="2">
        <v>0</v>
      </c>
      <c r="BL6">
        <v>1</v>
      </c>
      <c r="BM6" t="s">
        <v>974</v>
      </c>
      <c r="BN6">
        <v>2</v>
      </c>
    </row>
    <row r="7" spans="1:72" ht="15" thickBot="1" x14ac:dyDescent="0.35">
      <c r="A7" s="835"/>
      <c r="B7" s="836"/>
      <c r="C7" s="225"/>
      <c r="E7" s="196" t="s">
        <v>1020</v>
      </c>
      <c r="F7" s="196" t="s">
        <v>1020</v>
      </c>
      <c r="G7" s="196" t="s">
        <v>1020</v>
      </c>
      <c r="I7" s="160" t="s">
        <v>1040</v>
      </c>
      <c r="J7" s="161"/>
      <c r="L7" s="487"/>
      <c r="T7" s="78" t="s">
        <v>341</v>
      </c>
      <c r="U7" s="46">
        <f>VLOOKUP(B13,Table1[],9)</f>
        <v>0</v>
      </c>
      <c r="W7" s="123" t="s">
        <v>1004</v>
      </c>
      <c r="X7" s="123">
        <v>0</v>
      </c>
      <c r="Y7" s="124"/>
      <c r="Z7" t="s">
        <v>1135</v>
      </c>
      <c r="AA7">
        <v>7</v>
      </c>
      <c r="AB7">
        <v>0</v>
      </c>
      <c r="AC7">
        <v>5</v>
      </c>
      <c r="AD7">
        <v>0</v>
      </c>
      <c r="AE7">
        <v>0</v>
      </c>
      <c r="AF7">
        <v>1</v>
      </c>
      <c r="AG7">
        <v>2</v>
      </c>
      <c r="AH7">
        <v>3</v>
      </c>
      <c r="AI7" s="2"/>
      <c r="AJ7">
        <v>0.75</v>
      </c>
      <c r="AK7" t="s">
        <v>1308</v>
      </c>
      <c r="AM7" s="86" t="s">
        <v>1135</v>
      </c>
      <c r="AN7" s="28" t="s">
        <v>362</v>
      </c>
      <c r="AO7" s="28" t="s">
        <v>362</v>
      </c>
      <c r="AP7" s="79"/>
      <c r="AS7" s="122" t="str">
        <f>IF(OR(AND('Ship Info'!$F$7,'Ship Info'!$C$5&gt;=100),$B$4&gt;=100),AZ7,AW7)</f>
        <v>B Fixed Mount x2 Pop-Up</v>
      </c>
      <c r="AT7" t="str">
        <f>IF(OR(AND('Ship Info'!$F$7,'Ship Info'!$C$5&gt;=100),$B$4&gt;=100),AZ7,AX7)</f>
        <v>B Fixed Mount x2 Pop-Up</v>
      </c>
      <c r="AU7" t="str">
        <f>IF(OR(AND('Ship Info'!$F$7,'Ship Info'!$C$5&gt;=100),$B$4&gt;=100),AZ7,AY7)</f>
        <v>B Fixed Mount x2 Pop-Up</v>
      </c>
      <c r="AV7" s="46" t="str">
        <f>IF(OR(AND('Ship Info'!$F$7,'Ship Info'!$C$5&gt;=100),$B$4&gt;=100),AZ7,AW7)</f>
        <v>B Fixed Mount x2 Pop-Up</v>
      </c>
      <c r="AW7" s="78" t="str">
        <f>IF(B4&gt;=70,AM7,AO7)</f>
        <v>e Barbette Firmpoint</v>
      </c>
      <c r="AX7" s="78" t="s">
        <v>362</v>
      </c>
      <c r="AY7" s="78" t="s">
        <v>362</v>
      </c>
      <c r="AZ7" s="132" t="s">
        <v>1024</v>
      </c>
      <c r="BB7" t="s">
        <v>1024</v>
      </c>
      <c r="BC7">
        <v>10</v>
      </c>
      <c r="BD7">
        <v>0</v>
      </c>
      <c r="BE7">
        <v>1</v>
      </c>
      <c r="BF7">
        <v>1100000</v>
      </c>
      <c r="BG7">
        <v>1</v>
      </c>
      <c r="BH7">
        <v>1</v>
      </c>
      <c r="BI7">
        <v>1</v>
      </c>
      <c r="BJ7">
        <v>2</v>
      </c>
      <c r="BK7" s="2">
        <v>1</v>
      </c>
      <c r="BL7">
        <v>1</v>
      </c>
      <c r="BM7" t="s">
        <v>974</v>
      </c>
      <c r="BN7">
        <v>2</v>
      </c>
    </row>
    <row r="8" spans="1:72" ht="15" thickBot="1" x14ac:dyDescent="0.35">
      <c r="A8" s="835"/>
      <c r="B8" s="836"/>
      <c r="C8" s="225"/>
      <c r="E8" s="196" t="s">
        <v>1020</v>
      </c>
      <c r="F8" s="196" t="s">
        <v>1020</v>
      </c>
      <c r="G8" s="196" t="s">
        <v>1020</v>
      </c>
      <c r="I8" s="162" t="str">
        <f>IF(LEFT(Y28,2)="Fm","Firmpoints","Hardpoints")</f>
        <v>Hardpoints</v>
      </c>
      <c r="J8" s="335">
        <f>IF(AND('Ship Info'!F7,'Ship Info'!C5&gt;=100),SUM(AP28:AP47,D37),IF(B4&lt;100,SUM(AB9:AB11),SUM(AP28:AP47,D37)))+IF(AND('Ship Info'!F7,J6+'Ship Info'!C6&gt;'8a-Weapons'!K5),J6+'Ship Info'!C6-'8a-Weapons'!K5,0)</f>
        <v>0</v>
      </c>
      <c r="L8" s="163"/>
      <c r="M8" s="493"/>
      <c r="N8" s="488" t="s">
        <v>388</v>
      </c>
      <c r="O8" s="492"/>
      <c r="P8" s="493"/>
      <c r="Q8" s="488" t="s">
        <v>389</v>
      </c>
      <c r="R8" s="492"/>
      <c r="T8" s="86" t="s">
        <v>342</v>
      </c>
      <c r="U8" s="46">
        <f>VLOOKUP(B14,Table1[],9)</f>
        <v>0</v>
      </c>
      <c r="W8" s="123" t="s">
        <v>975</v>
      </c>
      <c r="X8" s="123">
        <v>1</v>
      </c>
      <c r="Y8" s="124"/>
      <c r="Z8" s="3" t="s">
        <v>1064</v>
      </c>
      <c r="AA8" t="s">
        <v>110</v>
      </c>
      <c r="AB8" t="s">
        <v>1099</v>
      </c>
      <c r="AC8" t="s">
        <v>310</v>
      </c>
      <c r="AD8" t="s">
        <v>2410</v>
      </c>
      <c r="AS8" s="122" t="str">
        <f>IF(OR(AND('Ship Info'!$F$7,'Ship Info'!$C$5&gt;=100),$B$4&gt;=100),AZ8,AW8)</f>
        <v>B Fixed Mount x3 Pop-Up</v>
      </c>
      <c r="AT8" t="str">
        <f>IF(OR(AND('Ship Info'!$F$7,'Ship Info'!$C$5&gt;=100),$B$4&gt;=100),AZ8,AX8)</f>
        <v>B Fixed Mount x3 Pop-Up</v>
      </c>
      <c r="AU8" t="str">
        <f>IF(OR(AND('Ship Info'!$F$7,'Ship Info'!$C$5&gt;=100),$B$4&gt;=100),AZ8,AY8)</f>
        <v>B Fixed Mount x3 Pop-Up</v>
      </c>
      <c r="AV8" s="46" t="str">
        <f>IF(OR(AND('Ship Info'!$F$7,'Ship Info'!$C$5&gt;=100),$B$4&gt;=100),AZ8,AW8)</f>
        <v>B Fixed Mount x3 Pop-Up</v>
      </c>
      <c r="AW8" s="78" t="s">
        <v>362</v>
      </c>
      <c r="AX8" s="78" t="s">
        <v>362</v>
      </c>
      <c r="AY8" s="78" t="s">
        <v>362</v>
      </c>
      <c r="AZ8" s="133" t="s">
        <v>1026</v>
      </c>
      <c r="BB8" t="s">
        <v>1026</v>
      </c>
      <c r="BC8">
        <v>10</v>
      </c>
      <c r="BD8">
        <v>0</v>
      </c>
      <c r="BE8">
        <v>1</v>
      </c>
      <c r="BF8">
        <v>1100000</v>
      </c>
      <c r="BG8">
        <v>1</v>
      </c>
      <c r="BH8">
        <v>1</v>
      </c>
      <c r="BI8">
        <v>1</v>
      </c>
      <c r="BJ8">
        <v>3</v>
      </c>
      <c r="BK8" s="2">
        <v>2</v>
      </c>
      <c r="BL8">
        <v>1</v>
      </c>
      <c r="BM8" t="s">
        <v>974</v>
      </c>
      <c r="BN8">
        <v>2</v>
      </c>
    </row>
    <row r="9" spans="1:72" ht="15" thickBot="1" x14ac:dyDescent="0.35">
      <c r="A9" s="835"/>
      <c r="B9" s="836"/>
      <c r="E9" s="196" t="s">
        <v>1020</v>
      </c>
      <c r="F9" s="196" t="s">
        <v>1020</v>
      </c>
      <c r="G9" s="196" t="s">
        <v>1020</v>
      </c>
      <c r="L9" s="163"/>
      <c r="N9" s="489">
        <f>SUM(N12:N37)</f>
        <v>0</v>
      </c>
      <c r="O9" s="336"/>
      <c r="P9" s="336"/>
      <c r="Q9" s="489">
        <f>SUMIF(Q12:Q37,"&lt;&gt;#N/A")</f>
        <v>0</v>
      </c>
      <c r="W9" s="124" t="s">
        <v>329</v>
      </c>
      <c r="X9" s="124">
        <v>1</v>
      </c>
      <c r="Y9" s="148" t="s">
        <v>1067</v>
      </c>
      <c r="Z9" s="4">
        <f>VLOOKUP(B12,Table2[],5)</f>
        <v>0</v>
      </c>
      <c r="AA9">
        <f>VLOOKUP(B12,Table2[],4)</f>
        <v>0</v>
      </c>
      <c r="AB9">
        <f>VLOOKUP(B12,Table2[],9)*D12</f>
        <v>0</v>
      </c>
      <c r="AC9">
        <f>VLOOKUP(B12,Table2[],3)</f>
        <v>0</v>
      </c>
      <c r="AD9">
        <f>IF(AND($B$4&lt;100,OR(B12=Z5,B12=Z6)),1,0)</f>
        <v>0</v>
      </c>
      <c r="AS9" s="122" t="str">
        <f>IF(OR(AND('Ship Info'!$F$7,'Ship Info'!$C$5&gt;=100),$B$4&gt;=100),AZ9,AW9)</f>
        <v>C Single Turret</v>
      </c>
      <c r="AT9" t="str">
        <f>IF(OR(AND('Ship Info'!$F$7,'Ship Info'!$C$5&gt;=100),$B$4&gt;=100),AZ9,AX9)</f>
        <v>C Single Turret</v>
      </c>
      <c r="AU9" t="str">
        <f>IF(OR(AND('Ship Info'!$F$7,'Ship Info'!$C$5&gt;=100),$B$4&gt;=100),AZ9,AY9)</f>
        <v>C Single Turret</v>
      </c>
      <c r="AV9" s="46" t="str">
        <f>IF(OR(AND('Ship Info'!$F$7,'Ship Info'!$C$5&gt;=100),$B$4&gt;=100),AZ9,AW9)</f>
        <v>C Single Turret</v>
      </c>
      <c r="AW9" s="78" t="s">
        <v>362</v>
      </c>
      <c r="AX9" s="78" t="s">
        <v>362</v>
      </c>
      <c r="AY9" s="78" t="s">
        <v>362</v>
      </c>
      <c r="AZ9" s="132" t="s">
        <v>329</v>
      </c>
      <c r="BB9" t="s">
        <v>329</v>
      </c>
      <c r="BC9">
        <v>7</v>
      </c>
      <c r="BD9">
        <v>1</v>
      </c>
      <c r="BE9">
        <v>1</v>
      </c>
      <c r="BF9">
        <v>200000</v>
      </c>
      <c r="BG9">
        <v>1</v>
      </c>
      <c r="BH9">
        <v>1</v>
      </c>
      <c r="BI9">
        <v>1</v>
      </c>
      <c r="BJ9">
        <v>1</v>
      </c>
      <c r="BK9" s="2">
        <v>0</v>
      </c>
      <c r="BL9">
        <v>1</v>
      </c>
      <c r="BM9" t="s">
        <v>597</v>
      </c>
      <c r="BN9">
        <v>2</v>
      </c>
    </row>
    <row r="10" spans="1:72" x14ac:dyDescent="0.3">
      <c r="A10" s="837"/>
      <c r="B10" s="838"/>
      <c r="C10" s="70" t="s">
        <v>2302</v>
      </c>
      <c r="E10" s="3"/>
      <c r="F10" s="164" t="s">
        <v>1037</v>
      </c>
      <c r="I10" s="68" t="s">
        <v>931</v>
      </c>
      <c r="L10" s="163"/>
      <c r="N10" s="163"/>
      <c r="O10" s="163"/>
      <c r="P10" s="163"/>
      <c r="Q10" s="163"/>
      <c r="W10" s="124" t="s">
        <v>1005</v>
      </c>
      <c r="X10" s="124">
        <v>0</v>
      </c>
      <c r="Y10" s="7" t="s">
        <v>1068</v>
      </c>
      <c r="Z10" s="4">
        <f>VLOOKUP(B13,Table2[],5)</f>
        <v>0</v>
      </c>
      <c r="AA10">
        <f>VLOOKUP(B13,Table2[],4)</f>
        <v>0</v>
      </c>
      <c r="AB10">
        <f>VLOOKUP(B13,Table2[],9)*D13</f>
        <v>0</v>
      </c>
      <c r="AC10">
        <f>VLOOKUP(B13,Table2[],3)</f>
        <v>0</v>
      </c>
      <c r="AD10">
        <f>IF(AND($B$4&lt;100,OR(B13=Z5,B13=Z6)),1,0)</f>
        <v>0</v>
      </c>
      <c r="AS10" s="122" t="str">
        <f>IF(OR(AND('Ship Info'!$F$7,'Ship Info'!$C$5&gt;=100),$B$4&gt;=100),AZ10,AW10)</f>
        <v>D Double Turret</v>
      </c>
      <c r="AT10" t="str">
        <f>IF(OR(AND('Ship Info'!$F$7,'Ship Info'!$C$5&gt;=100),$B$4&gt;=100),AZ10,AX10)</f>
        <v>D Double Turret</v>
      </c>
      <c r="AU10" t="str">
        <f>IF(OR(AND('Ship Info'!$F$7,'Ship Info'!$C$5&gt;=100),$B$4&gt;=100),AZ10,AY10)</f>
        <v>D Double Turret</v>
      </c>
      <c r="AV10" s="46" t="str">
        <f>IF(OR(AND('Ship Info'!$F$7,'Ship Info'!$C$5&gt;=100),$B$4&gt;=100),AZ10,AW10)</f>
        <v>D Double Turret</v>
      </c>
      <c r="AW10" s="78" t="s">
        <v>362</v>
      </c>
      <c r="AX10" s="78" t="s">
        <v>362</v>
      </c>
      <c r="AY10" s="78" t="s">
        <v>362</v>
      </c>
      <c r="AZ10" s="133" t="s">
        <v>361</v>
      </c>
      <c r="BB10" t="s">
        <v>361</v>
      </c>
      <c r="BC10">
        <v>8</v>
      </c>
      <c r="BD10">
        <v>1</v>
      </c>
      <c r="BE10">
        <v>1</v>
      </c>
      <c r="BF10">
        <v>500000</v>
      </c>
      <c r="BG10">
        <v>1</v>
      </c>
      <c r="BH10">
        <v>1</v>
      </c>
      <c r="BI10">
        <v>1</v>
      </c>
      <c r="BJ10">
        <v>2</v>
      </c>
      <c r="BK10" s="2">
        <v>1</v>
      </c>
      <c r="BL10">
        <v>1</v>
      </c>
      <c r="BM10" t="s">
        <v>598</v>
      </c>
      <c r="BN10">
        <v>2</v>
      </c>
    </row>
    <row r="11" spans="1:72" ht="15" thickBot="1" x14ac:dyDescent="0.35">
      <c r="A11" s="68" t="str">
        <f>IF(B4&gt;=100,"HpID","FmPtID")</f>
        <v>HpID</v>
      </c>
      <c r="B11" s="68" t="s">
        <v>260</v>
      </c>
      <c r="C11" s="68" t="s">
        <v>1010</v>
      </c>
      <c r="D11" s="68" t="s">
        <v>296</v>
      </c>
      <c r="E11" s="68" t="s">
        <v>995</v>
      </c>
      <c r="F11" s="68" t="s">
        <v>996</v>
      </c>
      <c r="G11" s="68" t="s">
        <v>997</v>
      </c>
      <c r="H11" s="68" t="s">
        <v>1011</v>
      </c>
      <c r="I11" s="68" t="s">
        <v>999</v>
      </c>
      <c r="J11" s="68" t="s">
        <v>998</v>
      </c>
      <c r="K11" s="69" t="s">
        <v>26</v>
      </c>
      <c r="L11" s="163"/>
      <c r="N11" s="163"/>
      <c r="O11" s="163"/>
      <c r="P11" s="163"/>
      <c r="Q11" s="163"/>
      <c r="S11" s="70" t="s">
        <v>376</v>
      </c>
      <c r="T11" s="142" t="s">
        <v>1030</v>
      </c>
      <c r="U11" s="143" t="s">
        <v>1031</v>
      </c>
      <c r="V11" s="3"/>
      <c r="W11" s="123" t="s">
        <v>361</v>
      </c>
      <c r="X11" s="123">
        <v>1</v>
      </c>
      <c r="Y11" s="7" t="s">
        <v>1069</v>
      </c>
      <c r="Z11" s="4">
        <f>VLOOKUP(B14,Table2[],5)</f>
        <v>0</v>
      </c>
      <c r="AA11">
        <f>VLOOKUP(B14,Table2[],4)</f>
        <v>0</v>
      </c>
      <c r="AB11">
        <f>VLOOKUP(B14,Table2[],9)*D14</f>
        <v>0</v>
      </c>
      <c r="AC11">
        <f>VLOOKUP(B14,Table2[],3)</f>
        <v>0</v>
      </c>
      <c r="AD11">
        <f>IF(AND($B$4&lt;100,OR(B14=Z5,B14=Z6)),1,0)</f>
        <v>0</v>
      </c>
      <c r="AS11" s="122" t="str">
        <f>IF(OR(AND('Ship Info'!$F$7,'Ship Info'!$C$5&gt;=100),$B$4&gt;=100),AZ11,AW11)</f>
        <v>E Triple Turret</v>
      </c>
      <c r="AT11" t="str">
        <f>IF(OR(AND('Ship Info'!$F$7,'Ship Info'!$C$5&gt;=100),$B$4&gt;=100),AZ11,AX11)</f>
        <v>E Triple Turret</v>
      </c>
      <c r="AU11" t="str">
        <f>IF(OR(AND('Ship Info'!$F$7,'Ship Info'!$C$5&gt;=100),$B$4&gt;=100),AZ11,AY11)</f>
        <v>E Triple Turret</v>
      </c>
      <c r="AV11" s="46" t="str">
        <f>IF(OR(AND('Ship Info'!$F$7,'Ship Info'!$C$5&gt;=100),$B$4&gt;=100),AZ11,AW11)</f>
        <v>E Triple Turret</v>
      </c>
      <c r="AW11" s="78" t="s">
        <v>362</v>
      </c>
      <c r="AX11" s="78" t="s">
        <v>362</v>
      </c>
      <c r="AY11" s="78" t="s">
        <v>362</v>
      </c>
      <c r="AZ11" s="132" t="s">
        <v>330</v>
      </c>
      <c r="BB11" t="s">
        <v>330</v>
      </c>
      <c r="BC11">
        <v>9</v>
      </c>
      <c r="BD11">
        <v>1</v>
      </c>
      <c r="BE11">
        <v>1</v>
      </c>
      <c r="BF11">
        <v>1000000</v>
      </c>
      <c r="BG11">
        <v>1</v>
      </c>
      <c r="BH11">
        <v>1</v>
      </c>
      <c r="BI11">
        <v>1</v>
      </c>
      <c r="BJ11">
        <v>3</v>
      </c>
      <c r="BK11" s="2">
        <v>2</v>
      </c>
      <c r="BL11">
        <v>1</v>
      </c>
      <c r="BM11" t="s">
        <v>599</v>
      </c>
      <c r="BN11">
        <v>2</v>
      </c>
    </row>
    <row r="12" spans="1:72" ht="15" thickBot="1" x14ac:dyDescent="0.35">
      <c r="A12" s="194" t="str">
        <f t="shared" ref="A12:A31" si="0">V28</f>
        <v>HP01</v>
      </c>
      <c r="B12" s="212" t="s">
        <v>362</v>
      </c>
      <c r="C12" s="212" t="s">
        <v>1020</v>
      </c>
      <c r="D12" s="330">
        <v>0</v>
      </c>
      <c r="E12" s="213" t="s">
        <v>382</v>
      </c>
      <c r="F12" s="213" t="s">
        <v>382</v>
      </c>
      <c r="G12" s="213" t="s">
        <v>382</v>
      </c>
      <c r="H12" s="69">
        <f t="shared" ref="H12:H31" si="1">VLOOKUP(E12,$Z$51:$AL$76,9)+VLOOKUP(F12,$Z$51:$AL$76,9)+VLOOKUP(G12,$Z$51:$AL$76,9)</f>
        <v>0</v>
      </c>
      <c r="I12" s="197" t="s">
        <v>92</v>
      </c>
      <c r="J12" s="197" t="s">
        <v>92</v>
      </c>
      <c r="K12" s="67">
        <f>SUM(T12:U12)</f>
        <v>0</v>
      </c>
      <c r="L12" s="163">
        <f>AI28+IF(I12="Yes",AI28*0.5,0)+IF(J12="Yes",200000*AJ28*0.1,0)</f>
        <v>0</v>
      </c>
      <c r="N12" s="336">
        <f>AJ28*IF(J12="No",1,1.1)+IF(C12=AF101,2*D12,0)</f>
        <v>0</v>
      </c>
      <c r="O12" s="163"/>
      <c r="P12" s="163"/>
      <c r="Q12" s="163">
        <f>AK28</f>
        <v>0</v>
      </c>
      <c r="S12" s="165" t="str">
        <f>VLOOKUP(E12,Table5[],6)&amp;IF(F12=$Z$52,"",", "&amp;VLOOKUP(F12,Table5[],6))&amp;IF(G12=$Z$52,"",", "&amp;VLOOKUP(G12,Table5[],6))</f>
        <v/>
      </c>
      <c r="T12" s="78">
        <f>IF(E5="No",VLOOKUP(C12,Table3[],2),MAX(V50:V53))</f>
        <v>0</v>
      </c>
      <c r="U12" s="46">
        <f>VLOOKUP(E12,Table5[],2)+VLOOKUP(F12,Table5[],2)+VLOOKUP(G12,Table5[],2)</f>
        <v>0</v>
      </c>
      <c r="W12" s="124" t="s">
        <v>1143</v>
      </c>
      <c r="X12" s="124">
        <v>0</v>
      </c>
      <c r="Y12" s="124"/>
      <c r="Z12" s="3" t="s">
        <v>1065</v>
      </c>
      <c r="AF12" s="44"/>
      <c r="AG12" s="47" t="s">
        <v>508</v>
      </c>
      <c r="AH12" s="120" t="s">
        <v>1550</v>
      </c>
      <c r="AS12" s="122" t="str">
        <f>IF(OR(AND('Ship Info'!$F$7,'Ship Info'!$C$5&gt;=100),$B$4&gt;=100),AZ12,AW12)</f>
        <v>F Quad Turret</v>
      </c>
      <c r="AT12" t="str">
        <f>IF(OR(AND('Ship Info'!$F$7,'Ship Info'!$C$5&gt;=100),$B$4&gt;=100),AZ12,AX12)</f>
        <v>F Quad Turret</v>
      </c>
      <c r="AU12" t="str">
        <f>IF(OR(AND('Ship Info'!$F$7,'Ship Info'!$C$5&gt;=100),$B$4&gt;=100),AZ12,AY12)</f>
        <v>F Quad Turret</v>
      </c>
      <c r="AV12" s="46" t="str">
        <f>IF(OR(AND('Ship Info'!$F$7,'Ship Info'!$C$5&gt;=100),$B$4&gt;=100),AZ12,AW12)</f>
        <v>F Quad Turret</v>
      </c>
      <c r="AW12" s="78" t="s">
        <v>362</v>
      </c>
      <c r="AX12" s="78" t="s">
        <v>362</v>
      </c>
      <c r="AY12" s="78" t="s">
        <v>362</v>
      </c>
      <c r="AZ12" s="133" t="s">
        <v>331</v>
      </c>
      <c r="BB12" t="s">
        <v>331</v>
      </c>
      <c r="BC12">
        <v>12</v>
      </c>
      <c r="BD12">
        <v>2</v>
      </c>
      <c r="BE12">
        <v>1</v>
      </c>
      <c r="BF12">
        <v>2000000</v>
      </c>
      <c r="BG12">
        <v>1</v>
      </c>
      <c r="BH12">
        <v>1</v>
      </c>
      <c r="BI12">
        <v>1</v>
      </c>
      <c r="BJ12">
        <v>4</v>
      </c>
      <c r="BK12" s="2">
        <v>3</v>
      </c>
      <c r="BL12">
        <v>1</v>
      </c>
      <c r="BM12" t="s">
        <v>600</v>
      </c>
      <c r="BN12">
        <v>2</v>
      </c>
    </row>
    <row r="13" spans="1:72" ht="15" thickBot="1" x14ac:dyDescent="0.35">
      <c r="A13" s="195" t="str">
        <f t="shared" si="0"/>
        <v>HP02</v>
      </c>
      <c r="B13" s="214" t="s">
        <v>362</v>
      </c>
      <c r="C13" s="214" t="s">
        <v>1020</v>
      </c>
      <c r="D13" s="331">
        <v>0</v>
      </c>
      <c r="E13" s="215" t="s">
        <v>382</v>
      </c>
      <c r="F13" s="215" t="s">
        <v>382</v>
      </c>
      <c r="G13" s="215" t="s">
        <v>382</v>
      </c>
      <c r="H13" s="69">
        <f t="shared" si="1"/>
        <v>0</v>
      </c>
      <c r="I13" s="203" t="s">
        <v>92</v>
      </c>
      <c r="J13" s="203" t="s">
        <v>92</v>
      </c>
      <c r="K13" s="153">
        <f t="shared" ref="K13:K31" si="2">SUM(T13:U13)</f>
        <v>0</v>
      </c>
      <c r="L13" s="163">
        <f t="shared" ref="L13:L31" si="3">AI29+IF(I13="Yes",AI29*0.5,0)+IF(J13="Yes",200000*AJ29*0.1,0)</f>
        <v>0</v>
      </c>
      <c r="M13" s="153"/>
      <c r="N13" s="518">
        <f t="shared" ref="N13:N31" si="4">AJ29*IF(J13="No",1,1.1)</f>
        <v>0</v>
      </c>
      <c r="O13" s="169"/>
      <c r="P13" s="169"/>
      <c r="Q13" s="169">
        <f t="shared" ref="Q13:Q31" si="5">AK29</f>
        <v>0</v>
      </c>
      <c r="R13" s="153"/>
      <c r="S13" s="167" t="str">
        <f>VLOOKUP(E13,Table5[],6)&amp;IF(F13=$Z$52,"",", "&amp;VLOOKUP(F13,Table5[],6))&amp;IF(G13=$Z$52,"",", "&amp;VLOOKUP(G13,Table5[],6))</f>
        <v/>
      </c>
      <c r="T13" s="78">
        <f>IF(F5="No",VLOOKUP(C13,Table3[],2),MAX(W50:W53))</f>
        <v>0</v>
      </c>
      <c r="U13" s="46">
        <f>VLOOKUP(E13,Table5[],2)+VLOOKUP(F13,Table5[],2)+VLOOKUP(G13,Table5[],2)</f>
        <v>0</v>
      </c>
      <c r="W13" s="123" t="s">
        <v>1135</v>
      </c>
      <c r="X13" s="123">
        <v>0</v>
      </c>
      <c r="Y13" s="148" t="s">
        <v>340</v>
      </c>
      <c r="Z13" s="4">
        <f>VLOOKUP(B12,Table1[],5)</f>
        <v>0</v>
      </c>
      <c r="AA13">
        <f>VLOOKUP(B12,Table1[],4)</f>
        <v>0</v>
      </c>
      <c r="AB13">
        <f>VLOOKUP(B12,Table1[],9)</f>
        <v>0</v>
      </c>
      <c r="AC13">
        <f>VLOOKUP(B12,Table1[],3)</f>
        <v>0</v>
      </c>
      <c r="AF13" s="78" t="s">
        <v>1120</v>
      </c>
      <c r="AG13" s="46">
        <f>VLOOKUP(B12,Table2[],7)+VLOOKUP(B13,Table2[],7)+VLOOKUP(B14,Table2[],7)</f>
        <v>0</v>
      </c>
      <c r="AH13" s="122">
        <f>2*AG13</f>
        <v>0</v>
      </c>
      <c r="AS13" s="122" t="str">
        <f>IF(OR(AND('Ship Info'!$F$7,'Ship Info'!$C$5&gt;=100),$B$4&gt;=100),AZ13,AW13)</f>
        <v>G Single Pop-Up</v>
      </c>
      <c r="AT13" t="str">
        <f>IF(OR(AND('Ship Info'!$F$7,'Ship Info'!$C$5&gt;=100),$B$4&gt;=100),AZ13,AX13)</f>
        <v>G Single Pop-Up</v>
      </c>
      <c r="AU13" t="str">
        <f>IF(OR(AND('Ship Info'!$F$7,'Ship Info'!$C$5&gt;=100),$B$4&gt;=100),AZ13,AY13)</f>
        <v>G Single Pop-Up</v>
      </c>
      <c r="AV13" s="46" t="str">
        <f>IF(OR(AND('Ship Info'!$F$7,'Ship Info'!$C$5&gt;=100),$B$4&gt;=100),AZ13,AW13)</f>
        <v>G Single Pop-Up</v>
      </c>
      <c r="AW13" s="78" t="s">
        <v>362</v>
      </c>
      <c r="AX13" s="78" t="s">
        <v>362</v>
      </c>
      <c r="AY13" s="78" t="s">
        <v>362</v>
      </c>
      <c r="AZ13" s="132" t="s">
        <v>301</v>
      </c>
      <c r="BB13" t="s">
        <v>301</v>
      </c>
      <c r="BC13">
        <v>10</v>
      </c>
      <c r="BD13">
        <v>1</v>
      </c>
      <c r="BE13">
        <v>2</v>
      </c>
      <c r="BF13">
        <f>IF(BP3,BF9,1200000)</f>
        <v>1200000</v>
      </c>
      <c r="BG13">
        <v>1</v>
      </c>
      <c r="BH13">
        <v>1</v>
      </c>
      <c r="BI13">
        <v>1</v>
      </c>
      <c r="BJ13">
        <v>1</v>
      </c>
      <c r="BK13" s="2">
        <v>0</v>
      </c>
      <c r="BL13">
        <v>1</v>
      </c>
      <c r="BM13" t="s">
        <v>601</v>
      </c>
      <c r="BN13">
        <v>2</v>
      </c>
    </row>
    <row r="14" spans="1:72" ht="15" thickBot="1" x14ac:dyDescent="0.35">
      <c r="A14" s="194" t="str">
        <f t="shared" si="0"/>
        <v>HP03</v>
      </c>
      <c r="B14" s="212" t="s">
        <v>362</v>
      </c>
      <c r="C14" s="212" t="s">
        <v>1020</v>
      </c>
      <c r="D14" s="330">
        <v>0</v>
      </c>
      <c r="E14" s="213" t="s">
        <v>382</v>
      </c>
      <c r="F14" s="213" t="s">
        <v>382</v>
      </c>
      <c r="G14" s="213" t="s">
        <v>382</v>
      </c>
      <c r="H14" s="69">
        <f t="shared" si="1"/>
        <v>0</v>
      </c>
      <c r="I14" s="197" t="s">
        <v>92</v>
      </c>
      <c r="J14" s="197" t="s">
        <v>92</v>
      </c>
      <c r="K14" s="67">
        <f t="shared" si="2"/>
        <v>0</v>
      </c>
      <c r="L14" s="163">
        <f t="shared" si="3"/>
        <v>0</v>
      </c>
      <c r="N14" s="336">
        <f t="shared" si="4"/>
        <v>0</v>
      </c>
      <c r="O14" s="163"/>
      <c r="P14" s="163"/>
      <c r="Q14" s="163">
        <f t="shared" si="5"/>
        <v>0</v>
      </c>
      <c r="S14" s="165" t="str">
        <f>VLOOKUP(E14,Table5[],6)&amp;IF(F14=$Z$52,"",", "&amp;VLOOKUP(F14,Table5[],6))&amp;IF(G14=$Z$52,"",", "&amp;VLOOKUP(G14,Table5[],6))</f>
        <v/>
      </c>
      <c r="T14" s="78">
        <f>IF(G5="No",VLOOKUP(C14,Table3[],2),MAX(X50:X53))</f>
        <v>0</v>
      </c>
      <c r="U14" s="46">
        <f>VLOOKUP(E14,Table5[],2)+VLOOKUP(F14,Table5[],2)+VLOOKUP(G14,Table5[],2)</f>
        <v>0</v>
      </c>
      <c r="W14" s="124" t="s">
        <v>330</v>
      </c>
      <c r="X14" s="124">
        <v>1</v>
      </c>
      <c r="Y14" s="7" t="s">
        <v>341</v>
      </c>
      <c r="Z14" s="4">
        <f>VLOOKUP(B13,Table1[],5)</f>
        <v>0</v>
      </c>
      <c r="AA14">
        <f>VLOOKUP(B13,Table1[],4)</f>
        <v>0</v>
      </c>
      <c r="AB14">
        <f>VLOOKUP(B13,Table1[],9)</f>
        <v>0</v>
      </c>
      <c r="AC14">
        <f>VLOOKUP(B13,Table1[],3)</f>
        <v>0</v>
      </c>
      <c r="AF14" s="78" t="s">
        <v>1121</v>
      </c>
      <c r="AG14" s="46">
        <f>VLOOKUP(B12,Table1[],7)*D12+VLOOKUP(B13,Table1[],7)*D13+VLOOKUP(B14,Table1[],7)*D14+VLOOKUP(B15,Table1[],7)*D15+VLOOKUP(B16,Table1[],7)*D16+VLOOKUP(B17,Table1[],7)*D17+VLOOKUP(B18,Table1[],7)*D18+VLOOKUP(B19,Table1[],7)*D19+VLOOKUP(B20,Table1[],7)*D20+VLOOKUP(B21,Table1[],7)*D21+VLOOKUP(B22,Table1[],7)*D22+VLOOKUP(B23,Table1[],7)*D23+VLOOKUP(B24,Table1[],7)*D24+VLOOKUP(B25,Table1[],7)*D25+VLOOKUP(B26,Table1[],7)*D26+VLOOKUP(B27,Table1[],7)*D27+VLOOKUP(B28,Table1[],7)*D28+VLOOKUP(B29,Table1[],7)*D29+VLOOKUP(B30,Table1[],7)*D30+VLOOKUP(B31,Table1[],7)*D31</f>
        <v>0</v>
      </c>
      <c r="AH14" s="122">
        <f>VLOOKUP(B12,Table1[],13)*D12+VLOOKUP(B13,Table1[],13)*D13+VLOOKUP(B14,Table1[],13)*D14+VLOOKUP(B15,Table1[],13)*D15+VLOOKUP(B16,Table1[],13)*D16+VLOOKUP(B17,Table1[],13)*D17+VLOOKUP(B18,Table1[],13)*D18+VLOOKUP(B19,Table1[],13)*D19+VLOOKUP(B20,Table1[],13)*D20+VLOOKUP(B21,Table1[],13)*D21+VLOOKUP(B22,Table1[],13)*D22+VLOOKUP(B23,Table1[],13)*D23+VLOOKUP(B24,Table1[],13)*D24+VLOOKUP(B25,Table1[],13)*D25+VLOOKUP(B26,Table1[],13)*D26+VLOOKUP(B27,Table1[],13)*D27+VLOOKUP(B28,Table1[],13)*D28+VLOOKUP(B29,Table1[],13)*D29+VLOOKUP(B30,Table1[],13)*D30+VLOOKUP(B31,Table1[],13)*D31</f>
        <v>0</v>
      </c>
      <c r="AI14">
        <f>D12*(IF($B$4&lt;100,Z9,Z13)+IF(E5="No",Z19,Z23))</f>
        <v>0</v>
      </c>
      <c r="AS14" s="122" t="str">
        <f>IF(OR(AND('Ship Info'!$F$7,'Ship Info'!$C$5&gt;=100),$B$4&gt;=100),AZ14,AW14)</f>
        <v>H Double Pop-Up</v>
      </c>
      <c r="AT14" t="str">
        <f>IF(OR(AND('Ship Info'!$F$7,'Ship Info'!$C$5&gt;=100),$B$4&gt;=100),AZ14,AX14)</f>
        <v>H Double Pop-Up</v>
      </c>
      <c r="AU14" t="str">
        <f>IF(OR(AND('Ship Info'!$F$7,'Ship Info'!$C$5&gt;=100),$B$4&gt;=100),AZ14,AY14)</f>
        <v>H Double Pop-Up</v>
      </c>
      <c r="AV14" s="46" t="str">
        <f>IF(OR(AND('Ship Info'!$F$7,'Ship Info'!$C$5&gt;=100),$B$4&gt;=100),AZ14,AW14)</f>
        <v>H Double Pop-Up</v>
      </c>
      <c r="AW14" s="78" t="s">
        <v>362</v>
      </c>
      <c r="AX14" s="78" t="s">
        <v>362</v>
      </c>
      <c r="AY14" s="78" t="s">
        <v>362</v>
      </c>
      <c r="AZ14" s="133" t="s">
        <v>302</v>
      </c>
      <c r="BB14" t="s">
        <v>302</v>
      </c>
      <c r="BC14">
        <v>10</v>
      </c>
      <c r="BD14">
        <v>1</v>
      </c>
      <c r="BE14">
        <v>2</v>
      </c>
      <c r="BF14">
        <f>IF(BP3,BF10,1500000)</f>
        <v>1500000</v>
      </c>
      <c r="BG14">
        <v>1</v>
      </c>
      <c r="BH14">
        <v>1</v>
      </c>
      <c r="BI14">
        <v>1</v>
      </c>
      <c r="BJ14">
        <v>2</v>
      </c>
      <c r="BK14" s="2">
        <v>1</v>
      </c>
      <c r="BL14">
        <v>1</v>
      </c>
      <c r="BM14" t="s">
        <v>602</v>
      </c>
      <c r="BN14">
        <v>2</v>
      </c>
    </row>
    <row r="15" spans="1:72" ht="15" thickBot="1" x14ac:dyDescent="0.35">
      <c r="A15" s="166" t="str">
        <f t="shared" si="0"/>
        <v>HP04</v>
      </c>
      <c r="B15" s="204" t="s">
        <v>362</v>
      </c>
      <c r="C15" s="204" t="s">
        <v>1020</v>
      </c>
      <c r="D15" s="332">
        <v>0</v>
      </c>
      <c r="E15" s="216" t="s">
        <v>382</v>
      </c>
      <c r="F15" s="216" t="s">
        <v>382</v>
      </c>
      <c r="G15" s="216" t="s">
        <v>382</v>
      </c>
      <c r="H15" s="69">
        <f t="shared" si="1"/>
        <v>0</v>
      </c>
      <c r="I15" s="203" t="s">
        <v>92</v>
      </c>
      <c r="J15" s="203" t="s">
        <v>92</v>
      </c>
      <c r="K15" s="153">
        <f t="shared" si="2"/>
        <v>0</v>
      </c>
      <c r="L15" s="163">
        <f t="shared" si="3"/>
        <v>0</v>
      </c>
      <c r="M15" s="153"/>
      <c r="N15" s="518">
        <f t="shared" si="4"/>
        <v>0</v>
      </c>
      <c r="O15" s="169"/>
      <c r="P15" s="169"/>
      <c r="Q15" s="169">
        <f t="shared" si="5"/>
        <v>0</v>
      </c>
      <c r="R15" s="153"/>
      <c r="S15" s="167" t="str">
        <f>VLOOKUP(E15,Table5[],6)&amp;IF(F15=$Z$52,"",", "&amp;VLOOKUP(F15,Table5[],6))&amp;IF(G15=$Z$52,"",", "&amp;VLOOKUP(G15,Table5[],6))</f>
        <v/>
      </c>
      <c r="T15" s="78">
        <f>INDEX(Table3[],MATCH(C15,Table3[Weapon],0),2)</f>
        <v>0</v>
      </c>
      <c r="U15" s="46">
        <f>VLOOKUP(E15,Table5[],2)+VLOOKUP(F15,Table5[],2)+VLOOKUP(G15,Table5[],2)</f>
        <v>0</v>
      </c>
      <c r="W15" s="123" t="s">
        <v>331</v>
      </c>
      <c r="X15" s="123">
        <v>1</v>
      </c>
      <c r="Y15" s="7" t="s">
        <v>342</v>
      </c>
      <c r="Z15" s="4">
        <f>VLOOKUP(B14,Table1[],5)</f>
        <v>0</v>
      </c>
      <c r="AA15">
        <f>VLOOKUP(B14,Table1[],4)</f>
        <v>0</v>
      </c>
      <c r="AB15">
        <f>VLOOKUP(B14,Table1[],9)</f>
        <v>0</v>
      </c>
      <c r="AC15">
        <f>VLOOKUP(B14,Table1[],3)</f>
        <v>0</v>
      </c>
      <c r="AF15" s="86" t="s">
        <v>1122</v>
      </c>
      <c r="AG15" s="79">
        <f>IF(AND('Ship Info'!F7,'Ship Info'!C5&gt;=100),AG14,IF(B4&lt;100,AG13,AG14))</f>
        <v>0</v>
      </c>
      <c r="AH15" s="121">
        <f>IF(AND('Ship Info'!F7,'Ship Info'!C5&gt;=100),AH14,IF(B4&lt;100,AH13,AH14))</f>
        <v>0</v>
      </c>
      <c r="AS15" s="122" t="str">
        <f>IF(OR(AND('Ship Info'!$F$7,'Ship Info'!$C$5&gt;=100),$B$4&gt;=100),AZ15,AW15)</f>
        <v>I Triple Pop-Up</v>
      </c>
      <c r="AT15" t="str">
        <f>IF(OR(AND('Ship Info'!$F$7,'Ship Info'!$C$5&gt;=100),$B$4&gt;=100),AZ15,AX15)</f>
        <v>I Triple Pop-Up</v>
      </c>
      <c r="AU15" t="str">
        <f>IF(OR(AND('Ship Info'!$F$7,'Ship Info'!$C$5&gt;=100),$B$4&gt;=100),AZ15,AY15)</f>
        <v>I Triple Pop-Up</v>
      </c>
      <c r="AV15" s="46" t="str">
        <f>IF(OR(AND('Ship Info'!$F$7,'Ship Info'!$C$5&gt;=100),$B$4&gt;=100),AZ15,AW15)</f>
        <v>I Triple Pop-Up</v>
      </c>
      <c r="AW15" s="78" t="s">
        <v>362</v>
      </c>
      <c r="AX15" s="78" t="s">
        <v>362</v>
      </c>
      <c r="AY15" s="78" t="s">
        <v>362</v>
      </c>
      <c r="AZ15" s="132" t="s">
        <v>303</v>
      </c>
      <c r="BB15" t="s">
        <v>303</v>
      </c>
      <c r="BC15">
        <v>10</v>
      </c>
      <c r="BD15">
        <v>1</v>
      </c>
      <c r="BE15">
        <v>2</v>
      </c>
      <c r="BF15">
        <f>IF(BP3,BF11,2000000)</f>
        <v>2000000</v>
      </c>
      <c r="BG15">
        <v>1</v>
      </c>
      <c r="BH15">
        <v>1</v>
      </c>
      <c r="BI15">
        <v>1</v>
      </c>
      <c r="BJ15">
        <v>3</v>
      </c>
      <c r="BK15" s="2">
        <v>2</v>
      </c>
      <c r="BL15">
        <v>1</v>
      </c>
      <c r="BM15" t="s">
        <v>603</v>
      </c>
      <c r="BN15">
        <v>2</v>
      </c>
    </row>
    <row r="16" spans="1:72" ht="15" thickBot="1" x14ac:dyDescent="0.35">
      <c r="A16" s="70" t="str">
        <f t="shared" si="0"/>
        <v>HP05</v>
      </c>
      <c r="B16" s="196" t="s">
        <v>362</v>
      </c>
      <c r="C16" s="196" t="s">
        <v>1020</v>
      </c>
      <c r="D16" s="232">
        <v>0</v>
      </c>
      <c r="E16" s="217" t="s">
        <v>382</v>
      </c>
      <c r="F16" s="217" t="s">
        <v>382</v>
      </c>
      <c r="G16" s="217" t="s">
        <v>382</v>
      </c>
      <c r="H16" s="69">
        <f t="shared" si="1"/>
        <v>0</v>
      </c>
      <c r="I16" s="197" t="s">
        <v>92</v>
      </c>
      <c r="J16" s="197" t="s">
        <v>92</v>
      </c>
      <c r="K16" s="67">
        <f t="shared" si="2"/>
        <v>0</v>
      </c>
      <c r="L16" s="163">
        <f t="shared" si="3"/>
        <v>0</v>
      </c>
      <c r="N16" s="336">
        <f t="shared" si="4"/>
        <v>0</v>
      </c>
      <c r="O16" s="163"/>
      <c r="P16" s="163"/>
      <c r="Q16" s="163">
        <f t="shared" si="5"/>
        <v>0</v>
      </c>
      <c r="S16" s="165" t="str">
        <f>VLOOKUP(E16,Table5[],6)&amp;IF(F16=$Z$52,"",", "&amp;VLOOKUP(F16,Table5[],6))&amp;IF(G16=$Z$52,"",", "&amp;VLOOKUP(G16,Table5[],6))</f>
        <v/>
      </c>
      <c r="T16" s="78">
        <f>INDEX(Table3[],MATCH(C16,Table3[Weapon],0),2)</f>
        <v>0</v>
      </c>
      <c r="U16" s="46">
        <f>VLOOKUP(E16,Table5[],2)+VLOOKUP(F16,Table5[],2)+VLOOKUP(G16,Table5[],2)</f>
        <v>0</v>
      </c>
      <c r="W16" s="124" t="s">
        <v>301</v>
      </c>
      <c r="X16" s="124">
        <v>1</v>
      </c>
      <c r="Y16" s="124"/>
      <c r="AC16" t="s">
        <v>116</v>
      </c>
      <c r="AD16" t="s">
        <v>1</v>
      </c>
      <c r="AS16" s="122" t="str">
        <f>IF(OR(AND('Ship Info'!$F$7,'Ship Info'!$C$5&gt;=100),$B$4&gt;=100),AZ16,AW16)</f>
        <v>J Quad Pop-Up</v>
      </c>
      <c r="AT16" t="str">
        <f>IF(OR(AND('Ship Info'!$F$7,'Ship Info'!$C$5&gt;=100),$B$4&gt;=100),AZ16,AX16)</f>
        <v>J Quad Pop-Up</v>
      </c>
      <c r="AU16" t="str">
        <f>IF(OR(AND('Ship Info'!$F$7,'Ship Info'!$C$5&gt;=100),$B$4&gt;=100),AZ16,AY16)</f>
        <v>J Quad Pop-Up</v>
      </c>
      <c r="AV16" s="46" t="str">
        <f>IF(OR(AND('Ship Info'!$F$7,'Ship Info'!$C$5&gt;=100),$B$4&gt;=100),AZ16,AW16)</f>
        <v>J Quad Pop-Up</v>
      </c>
      <c r="AW16" s="78" t="s">
        <v>362</v>
      </c>
      <c r="AX16" s="78" t="s">
        <v>362</v>
      </c>
      <c r="AY16" s="78" t="s">
        <v>362</v>
      </c>
      <c r="AZ16" s="133" t="s">
        <v>304</v>
      </c>
      <c r="BB16" t="s">
        <v>304</v>
      </c>
      <c r="BC16">
        <v>12</v>
      </c>
      <c r="BD16">
        <v>2</v>
      </c>
      <c r="BE16">
        <v>2</v>
      </c>
      <c r="BF16">
        <f>IF(BP3,BF12,3000000)</f>
        <v>3000000</v>
      </c>
      <c r="BG16">
        <v>1</v>
      </c>
      <c r="BH16">
        <v>1</v>
      </c>
      <c r="BI16">
        <v>1</v>
      </c>
      <c r="BJ16">
        <v>4</v>
      </c>
      <c r="BK16" s="2">
        <v>3</v>
      </c>
      <c r="BL16">
        <v>1</v>
      </c>
      <c r="BM16" t="s">
        <v>604</v>
      </c>
      <c r="BN16">
        <v>2</v>
      </c>
    </row>
    <row r="17" spans="1:72" ht="15" thickBot="1" x14ac:dyDescent="0.35">
      <c r="A17" s="166" t="str">
        <f t="shared" si="0"/>
        <v>HP06</v>
      </c>
      <c r="B17" s="204" t="s">
        <v>362</v>
      </c>
      <c r="C17" s="204" t="s">
        <v>1020</v>
      </c>
      <c r="D17" s="332">
        <v>0</v>
      </c>
      <c r="E17" s="216" t="s">
        <v>382</v>
      </c>
      <c r="F17" s="216" t="s">
        <v>382</v>
      </c>
      <c r="G17" s="216" t="s">
        <v>382</v>
      </c>
      <c r="H17" s="69">
        <f t="shared" si="1"/>
        <v>0</v>
      </c>
      <c r="I17" s="203" t="s">
        <v>92</v>
      </c>
      <c r="J17" s="203" t="s">
        <v>92</v>
      </c>
      <c r="K17" s="153">
        <f t="shared" si="2"/>
        <v>0</v>
      </c>
      <c r="L17" s="163">
        <f t="shared" si="3"/>
        <v>0</v>
      </c>
      <c r="M17" s="153"/>
      <c r="N17" s="518">
        <f t="shared" si="4"/>
        <v>0</v>
      </c>
      <c r="O17" s="169"/>
      <c r="P17" s="169"/>
      <c r="Q17" s="169">
        <f t="shared" si="5"/>
        <v>0</v>
      </c>
      <c r="R17" s="153"/>
      <c r="S17" s="167" t="str">
        <f>VLOOKUP(E17,Table5[],6)&amp;IF(F17=$Z$52,"",", "&amp;VLOOKUP(F17,Table5[],6))&amp;IF(G17=$Z$52,"",", "&amp;VLOOKUP(G17,Table5[],6))</f>
        <v/>
      </c>
      <c r="T17" s="78">
        <f>INDEX(Table3[],MATCH(C17,Table3[Weapon],0),2)</f>
        <v>0</v>
      </c>
      <c r="U17" s="46">
        <f>VLOOKUP(E17,Table5[],2)+VLOOKUP(F17,Table5[],2)+VLOOKUP(G17,Table5[],2)</f>
        <v>0</v>
      </c>
      <c r="W17" s="123" t="s">
        <v>302</v>
      </c>
      <c r="X17" s="123">
        <v>1</v>
      </c>
      <c r="Y17" s="124"/>
      <c r="AC17" s="44">
        <v>0</v>
      </c>
      <c r="AD17" s="47">
        <v>0</v>
      </c>
      <c r="AS17" s="121"/>
      <c r="AT17" s="28"/>
      <c r="AU17" s="28"/>
      <c r="AV17" s="46" t="str">
        <f>IF(OR(AND('Ship Info'!$F$7,'Ship Info'!$C$5&gt;=100),$B$4&gt;=100),AZ17,AW17)</f>
        <v>K Barbette</v>
      </c>
      <c r="AW17" s="78" t="s">
        <v>362</v>
      </c>
      <c r="AX17" s="78" t="s">
        <v>362</v>
      </c>
      <c r="AY17" s="78" t="s">
        <v>362</v>
      </c>
      <c r="AZ17" s="132" t="s">
        <v>305</v>
      </c>
      <c r="BB17" t="s">
        <v>305</v>
      </c>
      <c r="BC17">
        <v>0</v>
      </c>
      <c r="BD17">
        <v>0</v>
      </c>
      <c r="BE17">
        <v>5</v>
      </c>
      <c r="BF17">
        <v>0</v>
      </c>
      <c r="BG17">
        <v>1</v>
      </c>
      <c r="BH17">
        <v>1</v>
      </c>
      <c r="BI17">
        <v>2</v>
      </c>
      <c r="BJ17">
        <v>1</v>
      </c>
      <c r="BK17" s="2" t="str">
        <f>""</f>
        <v/>
      </c>
      <c r="BL17">
        <v>1</v>
      </c>
      <c r="BM17" t="s">
        <v>297</v>
      </c>
      <c r="BN17">
        <v>2</v>
      </c>
    </row>
    <row r="18" spans="1:72" ht="15" thickBot="1" x14ac:dyDescent="0.35">
      <c r="A18" s="70" t="str">
        <f t="shared" si="0"/>
        <v>HP07</v>
      </c>
      <c r="B18" s="196" t="s">
        <v>362</v>
      </c>
      <c r="C18" s="196" t="s">
        <v>1020</v>
      </c>
      <c r="D18" s="232">
        <v>0</v>
      </c>
      <c r="E18" s="217" t="s">
        <v>382</v>
      </c>
      <c r="F18" s="217" t="s">
        <v>382</v>
      </c>
      <c r="G18" s="217" t="s">
        <v>382</v>
      </c>
      <c r="H18" s="69">
        <f t="shared" si="1"/>
        <v>0</v>
      </c>
      <c r="I18" s="197" t="s">
        <v>92</v>
      </c>
      <c r="J18" s="197" t="s">
        <v>92</v>
      </c>
      <c r="K18" s="67">
        <f t="shared" si="2"/>
        <v>0</v>
      </c>
      <c r="L18" s="163">
        <f t="shared" si="3"/>
        <v>0</v>
      </c>
      <c r="N18" s="336">
        <f t="shared" si="4"/>
        <v>0</v>
      </c>
      <c r="O18" s="163"/>
      <c r="P18" s="163"/>
      <c r="Q18" s="163">
        <f t="shared" si="5"/>
        <v>0</v>
      </c>
      <c r="S18" s="165" t="str">
        <f>VLOOKUP(E18,Table5[],6)&amp;IF(F18=$Z$52,"",", "&amp;VLOOKUP(F18,Table5[],6))&amp;IF(G18=$Z$52,"",", "&amp;VLOOKUP(G18,Table5[],6))</f>
        <v/>
      </c>
      <c r="T18" s="78">
        <f>INDEX(Table3[],MATCH(C18,Table3[Weapon],0),2)</f>
        <v>0</v>
      </c>
      <c r="U18" s="46">
        <f>VLOOKUP(E18,Table5[],2)+VLOOKUP(F18,Table5[],2)+VLOOKUP(G18,Table5[],2)</f>
        <v>0</v>
      </c>
      <c r="W18" s="124" t="s">
        <v>303</v>
      </c>
      <c r="X18" s="124">
        <v>1</v>
      </c>
      <c r="Y18" s="124"/>
      <c r="Z18" t="s">
        <v>1066</v>
      </c>
      <c r="AA18" t="s">
        <v>1100</v>
      </c>
      <c r="AC18" s="78">
        <v>1</v>
      </c>
      <c r="AD18" s="46">
        <v>0.1</v>
      </c>
      <c r="AV18" s="46" t="str">
        <f>IF(OR(AND('Ship Info'!$F$7,'Ship Info'!$C$5&gt;=100),$B$4&gt;=100),AZ18,AW18)</f>
        <v>L Point Defense Btty</v>
      </c>
      <c r="AW18" s="78" t="s">
        <v>362</v>
      </c>
      <c r="AX18" s="78" t="s">
        <v>362</v>
      </c>
      <c r="AY18" s="78" t="s">
        <v>362</v>
      </c>
      <c r="AZ18" s="133" t="s">
        <v>306</v>
      </c>
      <c r="BB18" t="s">
        <v>306</v>
      </c>
      <c r="BC18">
        <v>0</v>
      </c>
      <c r="BD18">
        <v>0</v>
      </c>
      <c r="BE18">
        <v>20</v>
      </c>
      <c r="BF18">
        <v>0</v>
      </c>
      <c r="BG18">
        <v>1</v>
      </c>
      <c r="BH18">
        <v>1</v>
      </c>
      <c r="BI18">
        <v>3</v>
      </c>
      <c r="BJ18">
        <v>1</v>
      </c>
      <c r="BK18" s="2" t="str">
        <f>""</f>
        <v/>
      </c>
      <c r="BL18">
        <v>1</v>
      </c>
      <c r="BM18" t="s">
        <v>605</v>
      </c>
      <c r="BN18">
        <v>1</v>
      </c>
    </row>
    <row r="19" spans="1:72" ht="15" thickBot="1" x14ac:dyDescent="0.35">
      <c r="A19" s="166" t="str">
        <f t="shared" si="0"/>
        <v>HP08</v>
      </c>
      <c r="B19" s="204" t="s">
        <v>362</v>
      </c>
      <c r="C19" s="204" t="s">
        <v>1020</v>
      </c>
      <c r="D19" s="332">
        <v>0</v>
      </c>
      <c r="E19" s="216" t="s">
        <v>382</v>
      </c>
      <c r="F19" s="216" t="s">
        <v>382</v>
      </c>
      <c r="G19" s="216" t="s">
        <v>382</v>
      </c>
      <c r="H19" s="69">
        <f t="shared" si="1"/>
        <v>0</v>
      </c>
      <c r="I19" s="203" t="s">
        <v>92</v>
      </c>
      <c r="J19" s="203" t="s">
        <v>92</v>
      </c>
      <c r="K19" s="153">
        <f t="shared" si="2"/>
        <v>0</v>
      </c>
      <c r="L19" s="163">
        <f t="shared" si="3"/>
        <v>0</v>
      </c>
      <c r="M19" s="153"/>
      <c r="N19" s="518">
        <f t="shared" si="4"/>
        <v>0</v>
      </c>
      <c r="O19" s="169"/>
      <c r="P19" s="169"/>
      <c r="Q19" s="169">
        <f t="shared" si="5"/>
        <v>0</v>
      </c>
      <c r="R19" s="153"/>
      <c r="S19" s="167" t="str">
        <f>VLOOKUP(E19,Table5[],6)&amp;IF(F19=$Z$52,"",", "&amp;VLOOKUP(F19,Table5[],6))&amp;IF(G19=$Z$52,"",", "&amp;VLOOKUP(G19,Table5[],6))</f>
        <v/>
      </c>
      <c r="T19" s="78">
        <f>INDEX(Table3[],MATCH(C19,Table3[Weapon],0),2)</f>
        <v>0</v>
      </c>
      <c r="U19" s="46">
        <f>VLOOKUP(E19,Table5[],2)+VLOOKUP(F19,Table5[],2)+VLOOKUP(G19,Table5[],2)</f>
        <v>0</v>
      </c>
      <c r="W19" s="123" t="s">
        <v>304</v>
      </c>
      <c r="X19" s="123">
        <v>1</v>
      </c>
      <c r="Y19" s="148" t="s">
        <v>340</v>
      </c>
      <c r="Z19" s="4">
        <f>VLOOKUP(C12,Table3[],7)*AA19</f>
        <v>0</v>
      </c>
      <c r="AA19">
        <f>IF(B12=Z7,1,IF(B4&lt;100,AB9,AB13))</f>
        <v>0</v>
      </c>
      <c r="AC19" s="78">
        <v>2</v>
      </c>
      <c r="AD19" s="46">
        <v>0.25</v>
      </c>
      <c r="AV19" s="46" t="str">
        <f>IF(OR(AND('Ship Info'!$F$7,'Ship Info'!$C$5&gt;=100),$B$4&gt;=100),AZ19,AW19)</f>
        <v>M Small Bay</v>
      </c>
      <c r="AW19" s="78" t="s">
        <v>362</v>
      </c>
      <c r="AX19" s="78" t="s">
        <v>362</v>
      </c>
      <c r="AY19" s="78" t="s">
        <v>362</v>
      </c>
      <c r="AZ19" s="132" t="s">
        <v>307</v>
      </c>
      <c r="BB19" t="s">
        <v>307</v>
      </c>
      <c r="BC19">
        <v>0</v>
      </c>
      <c r="BD19">
        <v>0</v>
      </c>
      <c r="BE19">
        <v>50</v>
      </c>
      <c r="BF19">
        <v>0</v>
      </c>
      <c r="BG19">
        <v>1</v>
      </c>
      <c r="BH19">
        <v>1</v>
      </c>
      <c r="BI19">
        <v>4</v>
      </c>
      <c r="BJ19">
        <v>1</v>
      </c>
      <c r="BK19" s="2" t="str">
        <f>""</f>
        <v/>
      </c>
      <c r="BL19">
        <v>1</v>
      </c>
      <c r="BM19" t="s">
        <v>333</v>
      </c>
      <c r="BN19">
        <v>1</v>
      </c>
    </row>
    <row r="20" spans="1:72" ht="15" thickBot="1" x14ac:dyDescent="0.35">
      <c r="A20" s="70" t="str">
        <f t="shared" si="0"/>
        <v>HP09</v>
      </c>
      <c r="B20" s="196" t="s">
        <v>362</v>
      </c>
      <c r="C20" s="196" t="s">
        <v>1020</v>
      </c>
      <c r="D20" s="232">
        <v>0</v>
      </c>
      <c r="E20" s="217" t="s">
        <v>382</v>
      </c>
      <c r="F20" s="217" t="s">
        <v>382</v>
      </c>
      <c r="G20" s="217" t="s">
        <v>382</v>
      </c>
      <c r="H20" s="69">
        <f t="shared" si="1"/>
        <v>0</v>
      </c>
      <c r="I20" s="197" t="s">
        <v>92</v>
      </c>
      <c r="J20" s="197" t="s">
        <v>92</v>
      </c>
      <c r="K20" s="67">
        <f t="shared" si="2"/>
        <v>0</v>
      </c>
      <c r="L20" s="163">
        <f t="shared" si="3"/>
        <v>0</v>
      </c>
      <c r="N20" s="336">
        <f t="shared" si="4"/>
        <v>0</v>
      </c>
      <c r="O20" s="163"/>
      <c r="P20" s="163"/>
      <c r="Q20" s="163">
        <f t="shared" si="5"/>
        <v>0</v>
      </c>
      <c r="S20" s="165" t="str">
        <f>VLOOKUP(E20,Table5[],6)&amp;IF(F20=$Z$52,"",", "&amp;VLOOKUP(F20,Table5[],6))&amp;IF(G20=$Z$52,"",", "&amp;VLOOKUP(G20,Table5[],6))</f>
        <v/>
      </c>
      <c r="T20" s="78">
        <f>INDEX(Table3[],MATCH(C20,Table3[Weapon],0),2)</f>
        <v>0</v>
      </c>
      <c r="U20" s="46">
        <f>VLOOKUP(E20,Table5[],2)+VLOOKUP(F20,Table5[],2)+VLOOKUP(G20,Table5[],2)</f>
        <v>0</v>
      </c>
      <c r="W20" s="124" t="s">
        <v>305</v>
      </c>
      <c r="X20" s="124">
        <v>1</v>
      </c>
      <c r="Y20" s="7" t="s">
        <v>341</v>
      </c>
      <c r="Z20" s="4">
        <f>VLOOKUP(C13,Table3[],7)*AA20</f>
        <v>0</v>
      </c>
      <c r="AA20">
        <f>IF(B13=Z7,1,IF(B4&lt;100,AB10,AB14))</f>
        <v>0</v>
      </c>
      <c r="AC20" s="86">
        <v>3</v>
      </c>
      <c r="AD20" s="79">
        <v>0.5</v>
      </c>
      <c r="AV20" s="46" t="str">
        <f>IF(OR(AND('Ship Info'!$F$7,'Ship Info'!$C$5&gt;=100),$B$4&gt;=100),AZ20,AW20)</f>
        <v>N Medium Bay</v>
      </c>
      <c r="AW20" s="78" t="s">
        <v>362</v>
      </c>
      <c r="AX20" s="78" t="s">
        <v>362</v>
      </c>
      <c r="AY20" s="78" t="s">
        <v>362</v>
      </c>
      <c r="AZ20" s="133" t="s">
        <v>308</v>
      </c>
      <c r="BB20" t="s">
        <v>308</v>
      </c>
      <c r="BC20">
        <v>0</v>
      </c>
      <c r="BD20">
        <v>0</v>
      </c>
      <c r="BE20">
        <v>100</v>
      </c>
      <c r="BF20">
        <v>0</v>
      </c>
      <c r="BG20">
        <v>1</v>
      </c>
      <c r="BH20">
        <v>2</v>
      </c>
      <c r="BI20">
        <v>5</v>
      </c>
      <c r="BJ20">
        <v>1</v>
      </c>
      <c r="BK20" s="2" t="str">
        <f>""</f>
        <v/>
      </c>
      <c r="BL20">
        <v>1</v>
      </c>
      <c r="BM20" t="s">
        <v>336</v>
      </c>
      <c r="BN20">
        <v>2</v>
      </c>
    </row>
    <row r="21" spans="1:72" ht="15" thickBot="1" x14ac:dyDescent="0.35">
      <c r="A21" s="166" t="str">
        <f t="shared" si="0"/>
        <v>HP10</v>
      </c>
      <c r="B21" s="204" t="s">
        <v>362</v>
      </c>
      <c r="C21" s="204" t="s">
        <v>1020</v>
      </c>
      <c r="D21" s="332">
        <v>0</v>
      </c>
      <c r="E21" s="216" t="s">
        <v>382</v>
      </c>
      <c r="F21" s="216" t="s">
        <v>382</v>
      </c>
      <c r="G21" s="216" t="s">
        <v>382</v>
      </c>
      <c r="H21" s="69">
        <f t="shared" si="1"/>
        <v>0</v>
      </c>
      <c r="I21" s="203" t="s">
        <v>92</v>
      </c>
      <c r="J21" s="203" t="s">
        <v>92</v>
      </c>
      <c r="K21" s="153">
        <f t="shared" si="2"/>
        <v>0</v>
      </c>
      <c r="L21" s="163">
        <f t="shared" si="3"/>
        <v>0</v>
      </c>
      <c r="M21" s="153"/>
      <c r="N21" s="518">
        <f t="shared" si="4"/>
        <v>0</v>
      </c>
      <c r="O21" s="169"/>
      <c r="P21" s="169"/>
      <c r="Q21" s="169">
        <f t="shared" si="5"/>
        <v>0</v>
      </c>
      <c r="R21" s="153"/>
      <c r="S21" s="167" t="str">
        <f>VLOOKUP(E21,Table5[],6)&amp;IF(F21=$Z$52,"",", "&amp;VLOOKUP(F21,Table5[],6))&amp;IF(G21=$Z$52,"",", "&amp;VLOOKUP(G21,Table5[],6))</f>
        <v/>
      </c>
      <c r="T21" s="78">
        <f>INDEX(Table3[],MATCH(C21,Table3[Weapon],0),2)</f>
        <v>0</v>
      </c>
      <c r="U21" s="46">
        <f>VLOOKUP(E21,Table5[],2)+VLOOKUP(F21,Table5[],2)+VLOOKUP(G21,Table5[],2)</f>
        <v>0</v>
      </c>
      <c r="W21" s="123" t="s">
        <v>306</v>
      </c>
      <c r="X21" s="123">
        <v>1</v>
      </c>
      <c r="Y21" s="7" t="s">
        <v>342</v>
      </c>
      <c r="Z21" s="4">
        <f>VLOOKUP(C14,Table3[],7)*AA21</f>
        <v>0</v>
      </c>
      <c r="AA21">
        <f>IF(B14=Z7,1,IF(B4&lt;100,AB11,AB15))</f>
        <v>0</v>
      </c>
      <c r="AV21" s="46" t="str">
        <f>IF(OR(AND('Ship Info'!$F$7,'Ship Info'!$C$5&gt;=100),$B$4&gt;=100),AZ21,AW21)</f>
        <v>O Large Bay</v>
      </c>
      <c r="AW21" s="78" t="s">
        <v>362</v>
      </c>
      <c r="AX21" s="78" t="s">
        <v>362</v>
      </c>
      <c r="AY21" s="78" t="s">
        <v>362</v>
      </c>
      <c r="AZ21" s="132" t="s">
        <v>309</v>
      </c>
      <c r="BB21" t="s">
        <v>309</v>
      </c>
      <c r="BC21">
        <v>0</v>
      </c>
      <c r="BD21">
        <v>0</v>
      </c>
      <c r="BE21">
        <v>500</v>
      </c>
      <c r="BF21">
        <v>0</v>
      </c>
      <c r="BG21">
        <v>5</v>
      </c>
      <c r="BH21">
        <v>4</v>
      </c>
      <c r="BI21">
        <v>6</v>
      </c>
      <c r="BJ21">
        <v>1</v>
      </c>
      <c r="BK21" s="2" t="str">
        <f>""</f>
        <v/>
      </c>
      <c r="BL21">
        <v>1</v>
      </c>
      <c r="BM21" t="s">
        <v>339</v>
      </c>
      <c r="BN21">
        <v>4</v>
      </c>
    </row>
    <row r="22" spans="1:72" ht="15" thickBot="1" x14ac:dyDescent="0.35">
      <c r="A22" s="70" t="str">
        <f t="shared" si="0"/>
        <v>HP11</v>
      </c>
      <c r="B22" s="196" t="s">
        <v>362</v>
      </c>
      <c r="C22" s="196" t="s">
        <v>1020</v>
      </c>
      <c r="D22" s="232">
        <v>0</v>
      </c>
      <c r="E22" s="217" t="s">
        <v>382</v>
      </c>
      <c r="F22" s="217" t="s">
        <v>382</v>
      </c>
      <c r="G22" s="217" t="s">
        <v>382</v>
      </c>
      <c r="H22" s="69">
        <f t="shared" si="1"/>
        <v>0</v>
      </c>
      <c r="I22" s="197" t="s">
        <v>92</v>
      </c>
      <c r="J22" s="197" t="s">
        <v>92</v>
      </c>
      <c r="K22" s="67">
        <f t="shared" si="2"/>
        <v>0</v>
      </c>
      <c r="L22" s="163">
        <f t="shared" si="3"/>
        <v>0</v>
      </c>
      <c r="N22" s="336">
        <f t="shared" si="4"/>
        <v>0</v>
      </c>
      <c r="O22" s="163"/>
      <c r="P22" s="163"/>
      <c r="Q22" s="163">
        <f t="shared" si="5"/>
        <v>0</v>
      </c>
      <c r="S22" s="165" t="str">
        <f>VLOOKUP(E22,Table5[],6)&amp;IF(F22=$Z$52,"",", "&amp;VLOOKUP(F22,Table5[],6))&amp;IF(G22=$Z$52,"",", "&amp;VLOOKUP(G22,Table5[],6))</f>
        <v/>
      </c>
      <c r="T22" s="78">
        <f>INDEX(Table3[],MATCH(C22,Table3[Weapon],0),2)</f>
        <v>0</v>
      </c>
      <c r="U22" s="46">
        <f>VLOOKUP(E22,Table5[],2)+VLOOKUP(F22,Table5[],2)+VLOOKUP(G22,Table5[],2)</f>
        <v>0</v>
      </c>
      <c r="W22" s="125" t="s">
        <v>307</v>
      </c>
      <c r="X22" s="125">
        <v>1</v>
      </c>
      <c r="Y22" s="146"/>
      <c r="Z22" s="149" t="s">
        <v>1063</v>
      </c>
      <c r="AV22" s="46" t="s">
        <v>1477</v>
      </c>
      <c r="AW22" s="78" t="s">
        <v>362</v>
      </c>
      <c r="AZ22" t="s">
        <v>1477</v>
      </c>
      <c r="BB22" t="s">
        <v>1477</v>
      </c>
      <c r="BC22">
        <v>12</v>
      </c>
      <c r="BD22">
        <v>0</v>
      </c>
      <c r="BE22">
        <v>4</v>
      </c>
      <c r="BF22">
        <v>0</v>
      </c>
      <c r="BG22">
        <v>4</v>
      </c>
      <c r="BH22">
        <v>1</v>
      </c>
      <c r="BI22">
        <v>7</v>
      </c>
      <c r="BJ22">
        <v>1</v>
      </c>
      <c r="BK22" s="2"/>
      <c r="BL22">
        <v>1</v>
      </c>
      <c r="BM22" t="s">
        <v>1478</v>
      </c>
      <c r="BN22">
        <v>2</v>
      </c>
    </row>
    <row r="23" spans="1:72" ht="15" thickBot="1" x14ac:dyDescent="0.35">
      <c r="A23" s="166" t="str">
        <f t="shared" si="0"/>
        <v>HP12</v>
      </c>
      <c r="B23" s="204" t="s">
        <v>362</v>
      </c>
      <c r="C23" s="204" t="s">
        <v>1020</v>
      </c>
      <c r="D23" s="332">
        <v>0</v>
      </c>
      <c r="E23" s="216" t="s">
        <v>382</v>
      </c>
      <c r="F23" s="216" t="s">
        <v>382</v>
      </c>
      <c r="G23" s="216" t="s">
        <v>382</v>
      </c>
      <c r="H23" s="69">
        <f t="shared" si="1"/>
        <v>0</v>
      </c>
      <c r="I23" s="203" t="s">
        <v>92</v>
      </c>
      <c r="J23" s="203" t="s">
        <v>92</v>
      </c>
      <c r="K23" s="153">
        <f t="shared" si="2"/>
        <v>0</v>
      </c>
      <c r="L23" s="163">
        <f t="shared" si="3"/>
        <v>0</v>
      </c>
      <c r="M23" s="153"/>
      <c r="N23" s="518">
        <f t="shared" si="4"/>
        <v>0</v>
      </c>
      <c r="O23" s="169"/>
      <c r="P23" s="169"/>
      <c r="Q23" s="169">
        <f t="shared" si="5"/>
        <v>0</v>
      </c>
      <c r="R23" s="153"/>
      <c r="S23" s="167" t="str">
        <f>VLOOKUP(E23,Table5[],6)&amp;IF(F23=$Z$52,"",", "&amp;VLOOKUP(F23,Table5[],6))&amp;IF(G23=$Z$52,"",", "&amp;VLOOKUP(G23,Table5[],6))</f>
        <v/>
      </c>
      <c r="T23" s="78">
        <f>INDEX(Table3[],MATCH(C23,Table3[Weapon],0),2)</f>
        <v>0</v>
      </c>
      <c r="U23" s="46">
        <f>VLOOKUP(E23,Table5[],2)+VLOOKUP(F23,Table5[],2)+VLOOKUP(G23,Table5[],2)</f>
        <v>0</v>
      </c>
      <c r="W23" s="220" t="s">
        <v>308</v>
      </c>
      <c r="X23" s="220">
        <v>1</v>
      </c>
      <c r="Y23" s="148" t="s">
        <v>340</v>
      </c>
      <c r="Z23" s="4">
        <f>VLOOKUP(E6,Table3[],7)+IF(U6&gt;1,VLOOKUP(E7,Table3[],7),0)+IF(U6&gt;2,VLOOKUP(E8,Table3[],7),0)+IF(U6&gt;3,VLOOKUP(E9,Table3[],7),0)</f>
        <v>0</v>
      </c>
      <c r="AI23">
        <f>D13*(IF(E6="No",Z20,Z24))</f>
        <v>0</v>
      </c>
      <c r="AV23" s="46" t="str">
        <f>IF(OR(AND('Ship Info'!$F$7,'Ship Info'!$C$5&gt;=100),$B$4&gt;=100),AZ23,AW23)</f>
        <v/>
      </c>
      <c r="AW23" s="78" t="s">
        <v>362</v>
      </c>
      <c r="AZ23" t="str">
        <f>IF(G40=0,"",Table1[[#This Row],[Hardpoints]])</f>
        <v/>
      </c>
      <c r="BB23" t="str">
        <f>"X "&amp;G40</f>
        <v xml:space="preserve">X </v>
      </c>
      <c r="BC23">
        <f>H40</f>
        <v>0</v>
      </c>
      <c r="BD23" s="260">
        <f>K40</f>
        <v>0</v>
      </c>
      <c r="BE23" s="260">
        <f>I40</f>
        <v>0</v>
      </c>
      <c r="BF23" s="4">
        <f>L40</f>
        <v>0</v>
      </c>
      <c r="BG23" s="260">
        <f>J40</f>
        <v>0</v>
      </c>
      <c r="BH23">
        <f>M40</f>
        <v>1</v>
      </c>
      <c r="BI23">
        <v>8</v>
      </c>
      <c r="BJ23">
        <f>N40</f>
        <v>0</v>
      </c>
      <c r="BK23" s="2">
        <f>IF(O41=0,"",O40)</f>
        <v>0</v>
      </c>
      <c r="BL23">
        <v>1</v>
      </c>
      <c r="BM23" t="str">
        <f>IF(G40=0,"","X "&amp;G40)</f>
        <v/>
      </c>
      <c r="BN23">
        <f>Table1[[#This Row],[crew]]</f>
        <v>1</v>
      </c>
    </row>
    <row r="24" spans="1:72" ht="15" thickBot="1" x14ac:dyDescent="0.35">
      <c r="A24" s="70" t="str">
        <f t="shared" si="0"/>
        <v>HP13</v>
      </c>
      <c r="B24" s="196" t="s">
        <v>362</v>
      </c>
      <c r="C24" s="196" t="s">
        <v>1020</v>
      </c>
      <c r="D24" s="232">
        <v>0</v>
      </c>
      <c r="E24" s="217" t="s">
        <v>382</v>
      </c>
      <c r="F24" s="217" t="s">
        <v>382</v>
      </c>
      <c r="G24" s="217" t="s">
        <v>382</v>
      </c>
      <c r="H24" s="69">
        <f t="shared" si="1"/>
        <v>0</v>
      </c>
      <c r="I24" s="197" t="s">
        <v>92</v>
      </c>
      <c r="J24" s="197" t="s">
        <v>92</v>
      </c>
      <c r="K24" s="67">
        <f t="shared" si="2"/>
        <v>0</v>
      </c>
      <c r="L24" s="163">
        <f t="shared" si="3"/>
        <v>0</v>
      </c>
      <c r="N24" s="336">
        <f t="shared" si="4"/>
        <v>0</v>
      </c>
      <c r="O24" s="163"/>
      <c r="P24" s="163"/>
      <c r="Q24" s="163">
        <f t="shared" si="5"/>
        <v>0</v>
      </c>
      <c r="S24" s="165" t="str">
        <f>VLOOKUP(E24,Table5[],6)&amp;IF(F24=$Z$52,"",", "&amp;VLOOKUP(F24,Table5[],6))&amp;IF(G24=$Z$52,"",", "&amp;VLOOKUP(G24,Table5[],6))</f>
        <v/>
      </c>
      <c r="T24" s="78">
        <f>INDEX(Table3[],MATCH(C24,Table3[Weapon],0),2)</f>
        <v>0</v>
      </c>
      <c r="U24" s="46">
        <f>VLOOKUP(E24,Table5[],2)+VLOOKUP(F24,Table5[],2)+VLOOKUP(G24,Table5[],2)</f>
        <v>0</v>
      </c>
      <c r="W24" s="125" t="s">
        <v>309</v>
      </c>
      <c r="X24" s="125">
        <v>1</v>
      </c>
      <c r="Y24" s="7" t="s">
        <v>341</v>
      </c>
      <c r="Z24" s="4">
        <f>VLOOKUP(F6,Table3[],7)+IF(U7&gt;1,VLOOKUP(F7,Table3[],7),0)+IF(U7&gt;2,VLOOKUP(F8,Table3[],7),0)+IF(U7&gt;3,VLOOKUP(F9,Table3[],7),0)</f>
        <v>0</v>
      </c>
      <c r="AF24">
        <f>VLOOKUP(B15,Table1[],5)</f>
        <v>0</v>
      </c>
      <c r="AG24">
        <f>D12*(IF($B$4&lt;100,Z9,Z13)+IF(E5="No",Z19,Z23))</f>
        <v>0</v>
      </c>
      <c r="AH24">
        <f>D13*(IF($B$4&lt;100,Z10,Z14)+IF(F5="No",Z20,Z24))</f>
        <v>0</v>
      </c>
      <c r="AI24" s="348">
        <f>INDEX(Table5[[Weapon Modifications]:[Cost]],MATCH(E12,Table5[Weapon Modifications],0),3)+INDEX(Table5[[Weapon Modifications]:[Cost]],MATCH(F12,Table5[Weapon Modifications],0),3)+INDEX(Table5[[Weapon Modifications]:[Cost]],MATCH(G12,Table5[Weapon Modifications],0),3)</f>
        <v>0</v>
      </c>
      <c r="AV24" s="46">
        <f>IF(OR(AND('Ship Info'!$F$7,'Ship Info'!$C$5&gt;=100),$B$4&gt;=100),AZ24,AW24)</f>
        <v>0</v>
      </c>
      <c r="AW24" s="78" t="s">
        <v>362</v>
      </c>
    </row>
    <row r="25" spans="1:72" ht="15" thickBot="1" x14ac:dyDescent="0.35">
      <c r="A25" s="166" t="str">
        <f t="shared" si="0"/>
        <v>HP14</v>
      </c>
      <c r="B25" s="204" t="s">
        <v>362</v>
      </c>
      <c r="C25" s="204" t="s">
        <v>1020</v>
      </c>
      <c r="D25" s="332">
        <v>0</v>
      </c>
      <c r="E25" s="216" t="s">
        <v>382</v>
      </c>
      <c r="F25" s="216" t="s">
        <v>382</v>
      </c>
      <c r="G25" s="216" t="s">
        <v>382</v>
      </c>
      <c r="H25" s="69">
        <f t="shared" si="1"/>
        <v>0</v>
      </c>
      <c r="I25" s="203" t="s">
        <v>92</v>
      </c>
      <c r="J25" s="203" t="s">
        <v>92</v>
      </c>
      <c r="K25" s="153">
        <f t="shared" si="2"/>
        <v>0</v>
      </c>
      <c r="L25" s="163">
        <f t="shared" si="3"/>
        <v>0</v>
      </c>
      <c r="M25" s="153"/>
      <c r="N25" s="518">
        <f t="shared" si="4"/>
        <v>0</v>
      </c>
      <c r="O25" s="169"/>
      <c r="P25" s="169"/>
      <c r="Q25" s="169">
        <f t="shared" si="5"/>
        <v>0</v>
      </c>
      <c r="R25" s="153"/>
      <c r="S25" s="167" t="str">
        <f>VLOOKUP(E25,Table5[],6)&amp;IF(F25=$Z$52,"",", "&amp;VLOOKUP(F25,Table5[],6))&amp;IF(G25=$Z$52,"",", "&amp;VLOOKUP(G25,Table5[],6))</f>
        <v/>
      </c>
      <c r="T25" s="78">
        <f>INDEX(Table3[],MATCH(C25,Table3[Weapon],0),2)</f>
        <v>0</v>
      </c>
      <c r="U25" s="46">
        <f>VLOOKUP(E25,Table5[],2)+VLOOKUP(F25,Table5[],2)+VLOOKUP(G25,Table5[],2)</f>
        <v>0</v>
      </c>
      <c r="W25" s="125" t="s">
        <v>1477</v>
      </c>
      <c r="X25" s="125">
        <v>1</v>
      </c>
      <c r="Y25" s="7" t="s">
        <v>342</v>
      </c>
      <c r="Z25" s="4">
        <f>VLOOKUP(G6,Table3[],7)+IF(U8&gt;1,VLOOKUP(G7,Table3[],7),0)+IF(U8&gt;2,VLOOKUP(G8,Table3[],7),0)+IF(U8&gt;3,VLOOKUP(G9,Table3[],7),0)</f>
        <v>0</v>
      </c>
    </row>
    <row r="26" spans="1:72" ht="15" thickBot="1" x14ac:dyDescent="0.35">
      <c r="A26" s="70" t="str">
        <f t="shared" si="0"/>
        <v>HP15</v>
      </c>
      <c r="B26" s="196" t="s">
        <v>362</v>
      </c>
      <c r="C26" s="196" t="s">
        <v>1020</v>
      </c>
      <c r="D26" s="232">
        <v>0</v>
      </c>
      <c r="E26" s="217" t="s">
        <v>382</v>
      </c>
      <c r="F26" s="217" t="s">
        <v>382</v>
      </c>
      <c r="G26" s="217" t="s">
        <v>382</v>
      </c>
      <c r="H26" s="69">
        <f t="shared" si="1"/>
        <v>0</v>
      </c>
      <c r="I26" s="197" t="s">
        <v>92</v>
      </c>
      <c r="J26" s="197" t="s">
        <v>92</v>
      </c>
      <c r="K26" s="67">
        <f t="shared" si="2"/>
        <v>0</v>
      </c>
      <c r="L26" s="163">
        <f t="shared" si="3"/>
        <v>0</v>
      </c>
      <c r="N26" s="336">
        <f t="shared" si="4"/>
        <v>0</v>
      </c>
      <c r="O26" s="163"/>
      <c r="P26" s="163"/>
      <c r="Q26" s="163">
        <f t="shared" si="5"/>
        <v>0</v>
      </c>
      <c r="S26" s="165" t="str">
        <f>VLOOKUP(E26,Table5[],6)&amp;IF(F26=$Z$52,"",", "&amp;VLOOKUP(F26,Table5[],6))&amp;IF(G26=$Z$52,"",", "&amp;VLOOKUP(G26,Table5[],6))</f>
        <v/>
      </c>
      <c r="T26" s="78">
        <f>INDEX(Table3[],MATCH(C26,Table3[Weapon],0),2)</f>
        <v>0</v>
      </c>
      <c r="U26" s="46">
        <f>VLOOKUP(E26,Table5[],2)+VLOOKUP(F26,Table5[],2)+VLOOKUP(G26,Table5[],2)</f>
        <v>0</v>
      </c>
      <c r="W26" s="125" t="s">
        <v>1134</v>
      </c>
      <c r="X26" s="125">
        <v>1</v>
      </c>
      <c r="AA26" s="125"/>
      <c r="AB26" s="125"/>
      <c r="AC26" s="125"/>
      <c r="AD26" s="125"/>
      <c r="AE26" s="125"/>
      <c r="AF26" s="125"/>
      <c r="AG26" s="125"/>
      <c r="AH26" s="125"/>
      <c r="AI26" s="126"/>
      <c r="AJ26" s="125"/>
      <c r="AK26" s="127"/>
    </row>
    <row r="27" spans="1:72" ht="15" thickBot="1" x14ac:dyDescent="0.35">
      <c r="A27" s="166" t="str">
        <f t="shared" si="0"/>
        <v>HP16</v>
      </c>
      <c r="B27" s="204" t="s">
        <v>362</v>
      </c>
      <c r="C27" s="204" t="s">
        <v>1020</v>
      </c>
      <c r="D27" s="332">
        <v>0</v>
      </c>
      <c r="E27" s="216" t="s">
        <v>382</v>
      </c>
      <c r="F27" s="216" t="s">
        <v>382</v>
      </c>
      <c r="G27" s="216" t="s">
        <v>382</v>
      </c>
      <c r="H27" s="69">
        <f t="shared" si="1"/>
        <v>0</v>
      </c>
      <c r="I27" s="203" t="s">
        <v>92</v>
      </c>
      <c r="J27" s="203" t="s">
        <v>92</v>
      </c>
      <c r="K27" s="153">
        <f t="shared" si="2"/>
        <v>0</v>
      </c>
      <c r="L27" s="163">
        <f t="shared" si="3"/>
        <v>0</v>
      </c>
      <c r="M27" s="153"/>
      <c r="N27" s="518">
        <f t="shared" si="4"/>
        <v>0</v>
      </c>
      <c r="O27" s="169"/>
      <c r="P27" s="169"/>
      <c r="Q27" s="169">
        <f t="shared" si="5"/>
        <v>0</v>
      </c>
      <c r="R27" s="153"/>
      <c r="S27" s="167" t="str">
        <f>VLOOKUP(E27,Table5[],6)&amp;IF(F27=$Z$52,"",", "&amp;VLOOKUP(F27,Table5[],6))&amp;IF(G27=$Z$52,"",", "&amp;VLOOKUP(G27,Table5[],6))</f>
        <v/>
      </c>
      <c r="T27" s="78">
        <f>INDEX(Table3[],MATCH(C27,Table3[Weapon],0),2)</f>
        <v>0</v>
      </c>
      <c r="U27" s="46">
        <f>VLOOKUP(E27,Table5[],2)+VLOOKUP(F27,Table5[],2)+VLOOKUP(G27,Table5[],2)</f>
        <v>0</v>
      </c>
      <c r="V27" s="45" t="s">
        <v>977</v>
      </c>
      <c r="W27" s="45"/>
      <c r="X27" s="47" t="s">
        <v>981</v>
      </c>
      <c r="Y27" s="98" t="s">
        <v>981</v>
      </c>
      <c r="Z27" s="99" t="s">
        <v>260</v>
      </c>
      <c r="AA27" s="99" t="s">
        <v>982</v>
      </c>
      <c r="AB27" s="99" t="s">
        <v>983</v>
      </c>
      <c r="AC27" s="99" t="s">
        <v>984</v>
      </c>
      <c r="AD27" s="99" t="s">
        <v>985</v>
      </c>
      <c r="AE27" s="99" t="s">
        <v>986</v>
      </c>
      <c r="AF27" s="99" t="s">
        <v>987</v>
      </c>
      <c r="AG27" s="99" t="s">
        <v>988</v>
      </c>
      <c r="AH27" s="99" t="s">
        <v>989</v>
      </c>
      <c r="AI27" s="99" t="s">
        <v>1</v>
      </c>
      <c r="AJ27" s="99" t="s">
        <v>110</v>
      </c>
      <c r="AK27" s="99" t="s">
        <v>54</v>
      </c>
      <c r="AL27" s="99" t="s">
        <v>164</v>
      </c>
      <c r="AM27" s="99" t="s">
        <v>1006</v>
      </c>
      <c r="AN27" s="99" t="s">
        <v>1007</v>
      </c>
      <c r="AO27" s="99" t="s">
        <v>777</v>
      </c>
      <c r="AP27" s="99" t="s">
        <v>1041</v>
      </c>
      <c r="AQ27" s="100" t="s">
        <v>1075</v>
      </c>
      <c r="AR27" s="1" t="s">
        <v>1098</v>
      </c>
      <c r="AS27" s="1" t="s">
        <v>1861</v>
      </c>
      <c r="AT27" s="134"/>
      <c r="AU27" s="129"/>
      <c r="AV27" s="129"/>
      <c r="AW27" s="129"/>
      <c r="AX27" s="129"/>
      <c r="AY27" s="129"/>
      <c r="AZ27" s="87"/>
      <c r="BA27" s="2"/>
      <c r="BB27" s="2" t="s">
        <v>313</v>
      </c>
      <c r="BC27" s="2" t="s">
        <v>26</v>
      </c>
      <c r="BD27" s="2" t="s">
        <v>314</v>
      </c>
      <c r="BE27" s="2" t="s">
        <v>1018</v>
      </c>
      <c r="BF27" s="2" t="s">
        <v>310</v>
      </c>
      <c r="BG27" s="2" t="s">
        <v>315</v>
      </c>
      <c r="BH27" s="2" t="s">
        <v>1</v>
      </c>
      <c r="BI27" s="2" t="s">
        <v>164</v>
      </c>
      <c r="BJ27" s="2" t="s">
        <v>1008</v>
      </c>
      <c r="BK27" s="2" t="s">
        <v>676</v>
      </c>
      <c r="BL27" s="2" t="s">
        <v>360</v>
      </c>
      <c r="BM27" s="2" t="s">
        <v>1946</v>
      </c>
      <c r="BN27" s="2" t="s">
        <v>1947</v>
      </c>
      <c r="BO27" s="2" t="s">
        <v>1948</v>
      </c>
      <c r="BP27" s="2" t="s">
        <v>1949</v>
      </c>
      <c r="BQ27" s="2" t="s">
        <v>1950</v>
      </c>
      <c r="BR27" s="2" t="s">
        <v>1951</v>
      </c>
      <c r="BS27" s="2" t="s">
        <v>1952</v>
      </c>
      <c r="BT27" s="2" t="s">
        <v>2065</v>
      </c>
    </row>
    <row r="28" spans="1:72" ht="15" thickBot="1" x14ac:dyDescent="0.35">
      <c r="A28" s="70" t="str">
        <f t="shared" si="0"/>
        <v>HP17</v>
      </c>
      <c r="B28" s="196" t="s">
        <v>362</v>
      </c>
      <c r="C28" s="196" t="s">
        <v>1020</v>
      </c>
      <c r="D28" s="232">
        <v>0</v>
      </c>
      <c r="E28" s="217" t="s">
        <v>382</v>
      </c>
      <c r="F28" s="217" t="s">
        <v>382</v>
      </c>
      <c r="G28" s="217" t="s">
        <v>382</v>
      </c>
      <c r="H28" s="69">
        <f t="shared" si="1"/>
        <v>0</v>
      </c>
      <c r="I28" s="197" t="s">
        <v>92</v>
      </c>
      <c r="J28" s="197" t="s">
        <v>92</v>
      </c>
      <c r="K28" s="67">
        <f t="shared" si="2"/>
        <v>0</v>
      </c>
      <c r="L28" s="163">
        <f t="shared" si="3"/>
        <v>0</v>
      </c>
      <c r="N28" s="336">
        <f t="shared" si="4"/>
        <v>0</v>
      </c>
      <c r="O28" s="163"/>
      <c r="P28" s="163"/>
      <c r="Q28" s="163">
        <f t="shared" si="5"/>
        <v>0</v>
      </c>
      <c r="S28" s="165" t="str">
        <f>VLOOKUP(E28,Table5[],6)&amp;IF(F28=$Z$52,"",", "&amp;VLOOKUP(F28,Table5[],6))&amp;IF(G28=$Z$52,"",", "&amp;VLOOKUP(G28,Table5[],6))</f>
        <v/>
      </c>
      <c r="T28" s="78">
        <f>INDEX(Table3[],MATCH(C28,Table3[Weapon],0),2)</f>
        <v>0</v>
      </c>
      <c r="U28" s="46">
        <f>VLOOKUP(E28,Table5[],2)+VLOOKUP(F28,Table5[],2)+VLOOKUP(G28,Table5[],2)</f>
        <v>0</v>
      </c>
      <c r="V28" t="str">
        <f>IF('Ship Info'!$F$7,IF('Ship Info'!$C$5&lt;100,'8a-Weapons'!W28,'8a-Weapons'!X28), IF(Tonnage&lt;100,W28,X28))</f>
        <v>HP01</v>
      </c>
      <c r="W28" t="s">
        <v>968</v>
      </c>
      <c r="X28" s="46" t="s">
        <v>340</v>
      </c>
      <c r="Y28" s="92" t="str">
        <f t="shared" ref="Y28:Y47" si="6">V28</f>
        <v>HP01</v>
      </c>
      <c r="Z28" s="2" t="str">
        <f>IF(AND('Ship Info'!F7,'Ship Info'!C5&gt;=100),VLOOKUP(B12,Table1[],12),IF(B4&lt;100,VLOOKUP(B12,Table2[],12),VLOOKUP(B12,Table1[],12)))</f>
        <v/>
      </c>
      <c r="AA28" s="2" t="str">
        <f>IF(OR(Z28=0,Z28=""),"",D12)</f>
        <v/>
      </c>
      <c r="AB28" s="16" t="str">
        <f>IF(E5="No",C12,E6)</f>
        <v/>
      </c>
      <c r="AC28" s="2" t="str">
        <f>IF($E$5="No","",IF(OR(AB28="",E7=""),E7,", "&amp;E7))</f>
        <v/>
      </c>
      <c r="AD28" s="2" t="str">
        <f>IF($E$5="No","",IF(OR(AND(AB28="",AC28=""),E8=""),E8,", "&amp;E8))</f>
        <v/>
      </c>
      <c r="AE28" s="2" t="str">
        <f>IF($E$5="No","",IF(OR(AND(AB28="",AC28="",AD28=""),E9=""),E9,", "&amp;E9))</f>
        <v/>
      </c>
      <c r="AF28" s="16" t="str">
        <f>IF(E12="A Standard","",INDEX(Table5[[Weapon Modifications]:[Mod Name]],MATCH(E12,Table5[Weapon Modifications],0),10)&amp;IF(AND(E12=G12,E12=F12)," x3",IF(OR(E12=F12,E12=G12)," x2","")))</f>
        <v/>
      </c>
      <c r="AG28" s="16" t="str">
        <f>IF(F12="A Standard","",IF(E12=F12,"",IF(AF28="","",", ")&amp;INDEX(Table5[[Weapon Modifications]:[Mod Name]],MATCH(F12,Table5[Weapon Modifications],0),10)&amp;IF(F12=G12," x2","")))</f>
        <v/>
      </c>
      <c r="AH28" s="16" t="str">
        <f>IF(G12="A Standard","",IF(OR(G12=E12,G12=F12),"", IF(AND(AF28="",AG28=""),"",", ")&amp;INDEX(Table5[[Weapon Modifications]:[Mod Name]],MATCH(G12,Table5[Weapon Modifications],0),10)))</f>
        <v/>
      </c>
      <c r="AI28" s="10">
        <f>D12*IF($B$4&lt;100,Z9,Z13)+D12*(IF(E5="No",Z19,Z23))*(1+IF(SUM(INDEX(Table5[[Weapon Modifications]:[Cost]],MATCH(E12,Table5[Weapon Modifications],0),5),INDEX(Table5[[Weapon Modifications]:[Cost]],MATCH(F12,Table5[Weapon Modifications],0),5),INDEX(Table5[[Weapon Modifications]:[Cost]],MATCH(G12,Table5[Weapon Modifications],0),5))=0,VLOOKUP(H12,$AC$17:$AD$20,2),INDEX(Table5[[Weapon Modifications]:[Cost]],MATCH(E12,Table5[Weapon Modifications],0),5)+INDEX(Table5[[Weapon Modifications]:[Cost]],MATCH(F12,Table5[Weapon Modifications],0),5)+INDEX(Table5[[Weapon Modifications]:[Cost]],MATCH(G12,Table5[Weapon Modifications],0),5)))</f>
        <v>0</v>
      </c>
      <c r="AJ28" s="2">
        <f>D12*IF(AND('Ship Info'!F7,'Ship Info'!C5&gt;=100),AA13,IF($B$4&lt;100,AA9,AA13))*(1+INDEX(Table5[[Weapon Modifications]:[Cost]],MATCH(E12,Table5[Weapon Modifications],0),4)+INDEX(Table5[[Weapon Modifications]:[Cost]],MATCH(F12,Table5[Weapon Modifications],0),4)+INDEX(Table5[[Weapon Modifications]:[Cost]],MATCH(G12,Table5[Weapon Modifications],0),4))</f>
        <v>0</v>
      </c>
      <c r="AK28" s="2">
        <f>D12*IF(AND('Ship Info'!F7,'Ship Info'!C5&gt;=100),AC13,IF(B4&lt;100,AC9,AC13))+IF(AND('Ship Info'!F7,'Ship Info'!C5&gt;=100),1,IF(B4&lt;100,0.75,1))*D12*IF(E5="Yes",1,IF(AND('Ship Info'!F7,'Ship Info'!C5&gt;=100),AB13,IF(B4&lt;100,AB9,AB13)))*(VLOOKUP(AB28,Table3[],5)/IF(B12=Z7,3,1)+VLOOKUP(AC28,Table3[],5)+VLOOKUP(AD28,Table3[],5)+VLOOKUP(AE28,Table3[],5))*(1+INDEX(Table5[[Weapon Modifications]:[Cost]],MATCH(E12,Table5[Weapon Modifications],0),3)+INDEX(Table5[[Weapon Modifications]:[Cost]],MATCH(F12,Table5[Weapon Modifications],0),3)+INDEX(Table5[[Weapon Modifications]:[Cost]],MATCH(G12,Table5[Weapon Modifications],0),3))</f>
        <v>0</v>
      </c>
      <c r="AL28" t="str">
        <f>IF($E$5="No",VLOOKUP(AB28,Table3[],8),"See Rulebook")</f>
        <v/>
      </c>
      <c r="AM28">
        <f>IF(AND('Ship Info'!$F$7,'Ship Info'!$C$5&gt;=100),1,IF($B$4&gt;=100,1,0))</f>
        <v>1</v>
      </c>
      <c r="AN28">
        <f>IF(B12=$Z$2,$AM$28,VLOOKUP(B12,Table4[],2))</f>
        <v>1</v>
      </c>
      <c r="AO28">
        <f>IF(AM28=AN28,0,1)</f>
        <v>0</v>
      </c>
      <c r="AP28">
        <f>VLOOKUP(B12,Table1[],6)*D12</f>
        <v>0</v>
      </c>
      <c r="AQ28" s="46" t="str">
        <f>IF(AA28="","",IF(E$5="Yes","See Notes",IF(B$4&lt;100,INDEX($U$64:$V$72,MATCH(VLOOKUP(AB28,Table3[],4)+AS28,$U$64:$U$72,0),2),INDEX($U$64:$V$72,MATCH(VLOOKUP(AB28,Table3[],3)+AS28,$U$64:$U$72,0),2))))</f>
        <v/>
      </c>
      <c r="AR28" t="str">
        <f>IF(E5="Yes","See Notes",VLOOKUP(C12,Table3[],6)&amp;IF(VLOOKUP(AB28,Table3[],10)=0,IF(VLOOKUP(B12,Table1[],10)=0,"","+"&amp;LEFT(VLOOKUP(C12,Table3[],6),1)*VLOOKUP(B12,Table1[],10)),""))</f>
        <v/>
      </c>
      <c r="AS28">
        <f>IF(AND(Tonnage&lt;100,VLOOKUP(AB28,Table3[],4)=2),0,IF(OR(AF28=$AI$66,AG28=$AI$66,AH28=$AI$66),1,0))</f>
        <v>0</v>
      </c>
      <c r="AT28" s="92"/>
      <c r="AU28" s="2"/>
      <c r="AV28" s="2"/>
      <c r="AW28" s="2"/>
      <c r="AX28" s="2"/>
      <c r="AY28" s="2"/>
      <c r="AZ28" s="88"/>
      <c r="BA28" s="2"/>
      <c r="BB28" s="2" t="str">
        <f>""</f>
        <v/>
      </c>
      <c r="BC28" s="2">
        <v>0</v>
      </c>
      <c r="BD28" s="2" t="str">
        <f>""</f>
        <v/>
      </c>
      <c r="BE28" s="2" t="str">
        <f>""</f>
        <v/>
      </c>
      <c r="BF28" s="2">
        <v>0</v>
      </c>
      <c r="BG28" s="2"/>
      <c r="BH28" s="10">
        <v>0</v>
      </c>
      <c r="BI28" s="2" t="str">
        <f>""</f>
        <v/>
      </c>
      <c r="BJ28" s="2"/>
      <c r="BK28" s="2">
        <v>1</v>
      </c>
      <c r="BL28" s="2">
        <v>0</v>
      </c>
      <c r="BM28" s="2">
        <v>0</v>
      </c>
      <c r="BN28" s="2">
        <v>0</v>
      </c>
      <c r="BO28" s="2">
        <v>0</v>
      </c>
      <c r="BP28" s="2">
        <v>0</v>
      </c>
      <c r="BQ28" s="2">
        <v>0</v>
      </c>
      <c r="BR28" s="2">
        <v>0</v>
      </c>
      <c r="BS28" s="2">
        <v>0</v>
      </c>
      <c r="BT28" s="2">
        <v>0</v>
      </c>
    </row>
    <row r="29" spans="1:72" ht="15" thickBot="1" x14ac:dyDescent="0.35">
      <c r="A29" s="166" t="str">
        <f t="shared" si="0"/>
        <v>HP18</v>
      </c>
      <c r="B29" s="204" t="s">
        <v>362</v>
      </c>
      <c r="C29" s="204" t="s">
        <v>1020</v>
      </c>
      <c r="D29" s="332">
        <v>0</v>
      </c>
      <c r="E29" s="216" t="s">
        <v>382</v>
      </c>
      <c r="F29" s="216" t="s">
        <v>382</v>
      </c>
      <c r="G29" s="216" t="s">
        <v>382</v>
      </c>
      <c r="H29" s="69">
        <f t="shared" si="1"/>
        <v>0</v>
      </c>
      <c r="I29" s="203" t="s">
        <v>92</v>
      </c>
      <c r="J29" s="203" t="s">
        <v>92</v>
      </c>
      <c r="K29" s="153">
        <f t="shared" si="2"/>
        <v>0</v>
      </c>
      <c r="L29" s="163">
        <f t="shared" si="3"/>
        <v>0</v>
      </c>
      <c r="M29" s="153"/>
      <c r="N29" s="518">
        <f t="shared" si="4"/>
        <v>0</v>
      </c>
      <c r="O29" s="169"/>
      <c r="P29" s="169"/>
      <c r="Q29" s="169">
        <f t="shared" si="5"/>
        <v>0</v>
      </c>
      <c r="R29" s="153"/>
      <c r="S29" s="167" t="str">
        <f>VLOOKUP(E29,Table5[],6)&amp;IF(F29=$Z$52,"",", "&amp;VLOOKUP(F29,Table5[],6))&amp;IF(G29=$Z$52,"",", "&amp;VLOOKUP(G29,Table5[],6))</f>
        <v/>
      </c>
      <c r="T29" s="78">
        <f>INDEX(Table3[],MATCH(C29,Table3[Weapon],0),2)</f>
        <v>0</v>
      </c>
      <c r="U29" s="46">
        <f>VLOOKUP(E29,Table5[],2)+VLOOKUP(F29,Table5[],2)+VLOOKUP(G29,Table5[],2)</f>
        <v>0</v>
      </c>
      <c r="V29" t="str">
        <f>IF('Ship Info'!$F$7,IF('Ship Info'!$C$5&lt;100,'8a-Weapons'!W29,'8a-Weapons'!X29), IF(Tonnage&lt;100,W29,X29))</f>
        <v>HP02</v>
      </c>
      <c r="W29" t="s">
        <v>969</v>
      </c>
      <c r="X29" s="46" t="s">
        <v>341</v>
      </c>
      <c r="Y29" s="92" t="str">
        <f t="shared" si="6"/>
        <v>HP02</v>
      </c>
      <c r="Z29" s="2" t="str">
        <f>IF(AND('Ship Info'!F7,'Ship Info'!C5&gt;=100),VLOOKUP(B13,Table1[],12),IF(B4&lt;100,VLOOKUP(B13,Table2[],12),VLOOKUP(B13,Table1[],12)))</f>
        <v/>
      </c>
      <c r="AA29" s="2" t="str">
        <f t="shared" ref="AA29:AA47" si="7">IF(OR(Z29=0,Z29=""),"",D13)</f>
        <v/>
      </c>
      <c r="AB29" s="16" t="str">
        <f>IF(F5="No",C13,F6)</f>
        <v/>
      </c>
      <c r="AC29" s="2" t="str">
        <f>IF($E$5="No","",IF(OR(AB29="",F7=""),F7,", "&amp;F7))</f>
        <v/>
      </c>
      <c r="AD29" s="2" t="str">
        <f>IF($E$5="No","",IF(OR(AND(AB29="",AC29=""),F8=""),F8,", "&amp;F8))</f>
        <v/>
      </c>
      <c r="AE29" s="2" t="str">
        <f>IF($E$5="No","",IF(OR(AND(AB29="",AC29="",AD29=""),F9=""),F9,", "&amp;F9))</f>
        <v/>
      </c>
      <c r="AF29" s="16" t="str">
        <f>IF(E13="A Standard","",INDEX(Table5[[Weapon Modifications]:[Mod Name]],MATCH(E13,Table5[Weapon Modifications],0),10)&amp;IF(AND(E13=G13,E13=F13)," x3",IF(OR(E13=F13,E13=G13)," x2","")))</f>
        <v/>
      </c>
      <c r="AG29" s="16" t="str">
        <f>IF(F13="A Standard","",IF(E13=F13,"",IF(AF29="","",", ")&amp;INDEX(Table5[[Weapon Modifications]:[Mod Name]],MATCH(F13,Table5[Weapon Modifications],0),10)&amp;IF(F13=G13," x2","")))</f>
        <v/>
      </c>
      <c r="AH29" s="16" t="str">
        <f>IF(G13="A Standard","",IF(OR(G13=E13,G13=F13),"", IF(AND(AF29="",AG29=""),"",", ")&amp;INDEX(Table5[[Weapon Modifications]:[Mod Name]],MATCH(G13,Table5[Weapon Modifications],0),10)))</f>
        <v/>
      </c>
      <c r="AI29" s="10">
        <f>D13*IF($B$4&lt;100,Z10,Z14)+D13*(IF(F5="No",Z20,Z24))*(1+IF(SUM(INDEX(Table5[[Weapon Modifications]:[Cost]],MATCH(E13,Table5[Weapon Modifications],0),5),INDEX(Table5[[Weapon Modifications]:[Cost]],MATCH(F13,Table5[Weapon Modifications],0),5),INDEX(Table5[[Weapon Modifications]:[Cost]],MATCH(G13,Table5[Weapon Modifications],0),5))=0,VLOOKUP(H13,$AC$17:$AD$20,2),INDEX(Table5[[Weapon Modifications]:[Cost]],MATCH(E13,Table5[Weapon Modifications],0),5)+INDEX(Table5[[Weapon Modifications]:[Cost]],MATCH(F13,Table5[Weapon Modifications],0),5)+INDEX(Table5[[Weapon Modifications]:[Cost]],MATCH(G13,Table5[Weapon Modifications],0),5)))</f>
        <v>0</v>
      </c>
      <c r="AJ29" s="2">
        <f>D13*IF(AND('Ship Info'!F7,'Ship Info'!C5&gt;=100),AA14,IF($B$4&lt;100,AA10,AA14))*(1+INDEX(Table5[[Weapon Modifications]:[Cost]],MATCH(E13,Table5[Weapon Modifications],0),4)+INDEX(Table5[[Weapon Modifications]:[Cost]],MATCH(F13,Table5[Weapon Modifications],0),4)+INDEX(Table5[[Weapon Modifications]:[Cost]],MATCH(G13,Table5[Weapon Modifications],0),4))</f>
        <v>0</v>
      </c>
      <c r="AK29" s="2">
        <f>D13*IF(AND('Ship Info'!F7,'Ship Info'!C5&gt;=100),AC14,IF(B4&lt;100,AC10,AC14))+IF(AND('Ship Info'!F7,'Ship Info'!C5&gt;=100),1,IF(B4&lt;100,0.75,1))*D13*IF(F5="Yes",1,IF(AND('Ship Info'!F7,'Ship Info'!C5&gt;=100),AB14,IF(B4&lt;100,AB10,AB14)))*(VLOOKUP(AB29,Table3[],5)/IF(B13=Z8,3,1)+VLOOKUP(AC29,Table3[],5)+VLOOKUP(AD29,Table3[],5)+VLOOKUP(AE29,Table3[],5))*(1+INDEX(Table5[[Weapon Modifications]:[Cost]],MATCH(E13,Table5[Weapon Modifications],0),3)+INDEX(Table5[[Weapon Modifications]:[Cost]],MATCH(F13,Table5[Weapon Modifications],0),3)+INDEX(Table5[[Weapon Modifications]:[Cost]],MATCH(G13,Table5[Weapon Modifications],0),3))</f>
        <v>0</v>
      </c>
      <c r="AL29" t="str">
        <f>IF($E$5="No",VLOOKUP(AB29,Table3[],8),"See Rulebook")</f>
        <v/>
      </c>
      <c r="AM29">
        <f>IF(AND('Ship Info'!$F$7,'Ship Info'!$C$5&gt;=100),1,IF($B$4&gt;=100,1,0))</f>
        <v>1</v>
      </c>
      <c r="AN29">
        <f>IF(B13=$Z$2,$AM$28,VLOOKUP(B13,Table4[],2))</f>
        <v>1</v>
      </c>
      <c r="AO29">
        <f t="shared" ref="AO29:AO47" si="8">IF(AM29=AN29,0,1)</f>
        <v>0</v>
      </c>
      <c r="AP29">
        <f>VLOOKUP(B13,Table1[],6)*D13</f>
        <v>0</v>
      </c>
      <c r="AQ29" s="46" t="str">
        <f>IF(AA29="","",IF(E$6="Yes","See Notes",IF(B$4&lt;100,INDEX($U$64:$V$72,MATCH(VLOOKUP(AB29,Table3[],4)+AS29,$U$64:$U$72,0),2),INDEX($U$64:$V$72,MATCH(VLOOKUP(AB29,Table3[],3)+AS29,$U$64:$U$72,0),2))))</f>
        <v/>
      </c>
      <c r="AR29" t="str">
        <f>IF(F5="Yes","See Notes",VLOOKUP(C13,Table3[],6)&amp;IF(VLOOKUP(AB29,Table3[],10)=0,IF(VLOOKUP(B13,Table1[],10)=0,"","+"&amp;LEFT(VLOOKUP(C13,Table3[],6),1)*VLOOKUP(B13,Table1[],10)),""))</f>
        <v/>
      </c>
      <c r="AS29">
        <f>IF(AND(Tonnage&lt;100,VLOOKUP(AB29,Table3[],4)=2),0,IF(OR(AF29=$AI$66,AG29=$AI$66,AH29=$AI$66),1,0))</f>
        <v>0</v>
      </c>
      <c r="AT29" s="92"/>
      <c r="AU29" s="2"/>
      <c r="AV29" s="2"/>
      <c r="AW29" s="2"/>
      <c r="AX29" s="2"/>
      <c r="AY29" s="2"/>
      <c r="AZ29" s="88"/>
      <c r="BA29" s="2"/>
      <c r="BB29" s="2" t="s">
        <v>1936</v>
      </c>
      <c r="BC29" s="2">
        <v>17</v>
      </c>
      <c r="BD29" s="2">
        <v>4</v>
      </c>
      <c r="BE29" s="2"/>
      <c r="BF29" s="2">
        <v>200</v>
      </c>
      <c r="BG29" s="2" t="s">
        <v>1941</v>
      </c>
      <c r="BH29" s="10">
        <v>70000000</v>
      </c>
      <c r="BI29" s="2" t="s">
        <v>325</v>
      </c>
      <c r="BJ29" s="2"/>
      <c r="BK29" s="2">
        <v>1</v>
      </c>
      <c r="BL29" s="2">
        <v>6</v>
      </c>
      <c r="BM29" s="2">
        <f t="shared" ref="BM29:BM45" si="9">IF($BL29=1,BM28+1,BM28)</f>
        <v>0</v>
      </c>
      <c r="BN29" s="2">
        <f t="shared" ref="BN29:BN45" si="10">IF($BL29=2,BN28+1,BN28)</f>
        <v>0</v>
      </c>
      <c r="BO29" s="2">
        <f t="shared" ref="BO29:BO45" si="11">IF($BL29=3,BO28+1,BO28)</f>
        <v>0</v>
      </c>
      <c r="BP29" s="2">
        <f t="shared" ref="BP29:BP45" si="12">IF($BL29=4,BP28+1,BP28)</f>
        <v>0</v>
      </c>
      <c r="BQ29" s="2">
        <f t="shared" ref="BQ29:BQ45" si="13">IF($BL29=5,BQ28+1,BQ28)</f>
        <v>0</v>
      </c>
      <c r="BR29" s="2">
        <f t="shared" ref="BR29:BR45" si="14">IF($BL29=6,BR28+1,BR28)</f>
        <v>1</v>
      </c>
      <c r="BS29" s="2">
        <f t="shared" ref="BS29:BS45" si="15">IF($BL29=7,BS28+1,BS28)</f>
        <v>0</v>
      </c>
      <c r="BT29" s="2">
        <v>0</v>
      </c>
    </row>
    <row r="30" spans="1:72" ht="15" thickBot="1" x14ac:dyDescent="0.35">
      <c r="A30" s="70" t="str">
        <f t="shared" si="0"/>
        <v>HP19</v>
      </c>
      <c r="B30" s="196" t="s">
        <v>362</v>
      </c>
      <c r="C30" s="196" t="s">
        <v>1020</v>
      </c>
      <c r="D30" s="232">
        <v>0</v>
      </c>
      <c r="E30" s="217" t="s">
        <v>382</v>
      </c>
      <c r="F30" s="217" t="s">
        <v>382</v>
      </c>
      <c r="G30" s="217" t="s">
        <v>382</v>
      </c>
      <c r="H30" s="69">
        <f t="shared" si="1"/>
        <v>0</v>
      </c>
      <c r="I30" s="197" t="s">
        <v>92</v>
      </c>
      <c r="J30" s="197" t="s">
        <v>92</v>
      </c>
      <c r="K30" s="67">
        <f t="shared" si="2"/>
        <v>0</v>
      </c>
      <c r="L30" s="163">
        <f t="shared" si="3"/>
        <v>0</v>
      </c>
      <c r="N30" s="336">
        <f t="shared" si="4"/>
        <v>0</v>
      </c>
      <c r="O30" s="163"/>
      <c r="P30" s="163"/>
      <c r="Q30" s="163">
        <f t="shared" si="5"/>
        <v>0</v>
      </c>
      <c r="S30" s="165" t="str">
        <f>VLOOKUP(E30,Table5[],6)&amp;IF(F30=$Z$52,"",", "&amp;VLOOKUP(F30,Table5[],6))&amp;IF(G30=$Z$52,"",", "&amp;VLOOKUP(G30,Table5[],6))</f>
        <v/>
      </c>
      <c r="T30" s="78">
        <f>INDEX(Table3[],MATCH(C30,Table3[Weapon],0),2)</f>
        <v>0</v>
      </c>
      <c r="U30" s="46">
        <f>VLOOKUP(E30,Table5[],2)+VLOOKUP(F30,Table5[],2)+VLOOKUP(G30,Table5[],2)</f>
        <v>0</v>
      </c>
      <c r="V30" t="str">
        <f>IF('Ship Info'!$F$7,IF('Ship Info'!$C$5&lt;100,'8a-Weapons'!W30,'8a-Weapons'!X30), IF(Tonnage&lt;100,W30,X30))</f>
        <v>HP03</v>
      </c>
      <c r="W30" t="s">
        <v>970</v>
      </c>
      <c r="X30" s="46" t="s">
        <v>342</v>
      </c>
      <c r="Y30" s="92" t="str">
        <f t="shared" si="6"/>
        <v>HP03</v>
      </c>
      <c r="Z30" s="2" t="str">
        <f>IF(AND('Ship Info'!F7,'Ship Info'!C5&gt;=100),VLOOKUP(B14,Table1[],12),IF(B4&lt;100,VLOOKUP(B14,Table2[],12),VLOOKUP(B14,Table1[],12)))</f>
        <v/>
      </c>
      <c r="AA30" s="2" t="str">
        <f t="shared" si="7"/>
        <v/>
      </c>
      <c r="AB30" s="16" t="str">
        <f>IF(G5="No",C14,G6)</f>
        <v/>
      </c>
      <c r="AC30" s="2" t="str">
        <f>IF($E$5="No","",IF(OR(AB30="",G7=""),G7,", "&amp;G7))</f>
        <v/>
      </c>
      <c r="AD30" s="2" t="str">
        <f>IF($E$5="No","",IF(OR(AND(AB30="",AC30=""),G8=""),G8,", "&amp;G8))</f>
        <v/>
      </c>
      <c r="AE30" s="2" t="str">
        <f>IF($E$5="No","",IF(OR(AND(AB30="",AC30="",AD30=""),G9=""),G9,", "&amp;G9))</f>
        <v/>
      </c>
      <c r="AF30" s="16" t="str">
        <f>IF(E14="A Standard","",INDEX(Table5[[Weapon Modifications]:[Mod Name]],MATCH(E14,Table5[Weapon Modifications],0),10)&amp;IF(AND(E14=G14,E14=F14)," x3",IF(OR(E14=F14,E14=G14)," x2","")))</f>
        <v/>
      </c>
      <c r="AG30" s="16" t="str">
        <f>IF(F14="A Standard","",IF(E14=F14,"",IF(AF30="","",", ")&amp;INDEX(Table5[[Weapon Modifications]:[Mod Name]],MATCH(F14,Table5[Weapon Modifications],0),10)&amp;IF(F14=G14," x2","")))</f>
        <v/>
      </c>
      <c r="AH30" s="16" t="str">
        <f>IF(G14="A Standard","",IF(OR(G14=E14,G14=F14),"", IF(AND(AF30="",AG30=""),"",", ")&amp;INDEX(Table5[[Weapon Modifications]:[Mod Name]],MATCH(G14,Table5[Weapon Modifications],0),10)))</f>
        <v/>
      </c>
      <c r="AI30" s="10">
        <f>D14*IF($B$4&lt;100,Z11,Z15)+D14*(IF(G5="No",Z21,Z25))*(1+IF(SUM(INDEX(Table5[[Weapon Modifications]:[Cost]],MATCH(E14,Table5[Weapon Modifications],0),5),INDEX(Table5[[Weapon Modifications]:[Cost]],MATCH(F14,Table5[Weapon Modifications],0),5),INDEX(Table5[[Weapon Modifications]:[Cost]],MATCH(G14,Table5[Weapon Modifications],0),5))=0,VLOOKUP(H14,$AC$17:$AD$20,2),INDEX(Table5[[Weapon Modifications]:[Cost]],MATCH(E14,Table5[Weapon Modifications],0),5)+INDEX(Table5[[Weapon Modifications]:[Cost]],MATCH(F14,Table5[Weapon Modifications],0),5)+INDEX(Table5[[Weapon Modifications]:[Cost]],MATCH(G14,Table5[Weapon Modifications],0),5)))</f>
        <v>0</v>
      </c>
      <c r="AJ30" s="2">
        <f>D14*IF(AND('Ship Info'!F7,'Ship Info'!C5&gt;=100),AA15,IF($B$4&lt;100,AA11,AA15))*(1+INDEX(Table5[[Weapon Modifications]:[Cost]],MATCH(E14,Table5[Weapon Modifications],0),4)+INDEX(Table5[[Weapon Modifications]:[Cost]],MATCH(F14,Table5[Weapon Modifications],0),4)+INDEX(Table5[[Weapon Modifications]:[Cost]],MATCH(G14,Table5[Weapon Modifications],0),4))</f>
        <v>0</v>
      </c>
      <c r="AK30" s="2">
        <f>D14*IF(AND('Ship Info'!F7,'Ship Info'!C5&gt;=100),AC15,IF(B4&lt;100,AC11,AC15))+IF(AND('Ship Info'!F7,'Ship Info'!C5&gt;=100),1,IF(B4&lt;100,0.75,1))*D14*IF(G5="Yes",1,IF(AND('Ship Info'!F7,'Ship Info'!C5&gt;=100),AB15,IF(B4&lt;100,AB11,AB15)))*(VLOOKUP(AB30,Table3[],5)/IF(B14=Z9,3,1)+VLOOKUP(AC30,Table3[],5)+VLOOKUP(AD30,Table3[],5)+VLOOKUP(AE30,Table3[],5))*(1+INDEX(Table5[[Weapon Modifications]:[Cost]],MATCH(E14,Table5[Weapon Modifications],0),3)+INDEX(Table5[[Weapon Modifications]:[Cost]],MATCH(F14,Table5[Weapon Modifications],0),3)+INDEX(Table5[[Weapon Modifications]:[Cost]],MATCH(G14,Table5[Weapon Modifications],0),3))</f>
        <v>0</v>
      </c>
      <c r="AL30" t="str">
        <f>IF($E$5="No",VLOOKUP(AB30,Table3[],8),"See Rulebook")</f>
        <v/>
      </c>
      <c r="AM30">
        <f>IF(AND('Ship Info'!$F$7,'Ship Info'!$C$5&gt;=100),1,IF($B$4&gt;=100,1,0))</f>
        <v>1</v>
      </c>
      <c r="AN30">
        <f>IF(B14=$Z$2,$AM$28,VLOOKUP(B14,Table4[],2))</f>
        <v>1</v>
      </c>
      <c r="AO30">
        <f t="shared" si="8"/>
        <v>0</v>
      </c>
      <c r="AP30">
        <f>VLOOKUP(B14,Table1[],6)*D14</f>
        <v>0</v>
      </c>
      <c r="AQ30" s="46" t="str">
        <f>IF(AA30="","",IF(E$7="Yes","See Notes",IF(B$4&lt;100,INDEX($U$64:$V$72,MATCH(VLOOKUP(AB30,Table3[],4)+AS30,$U$64:$U$72,0),2),INDEX($U$64:$V$72,MATCH(VLOOKUP(AB30,Table3[],3)+AS30,$U$64:$U$72,0),2))))</f>
        <v/>
      </c>
      <c r="AR30" t="str">
        <f>IF(G5="Yes","See Notes",VLOOKUP(C14,Table3[],6)&amp;IF(VLOOKUP(AB30,Table3[],10)=0,IF(VLOOKUP(B14,Table1[],10)=0,"","+"&amp;LEFT(VLOOKUP(C14,Table3[],6),1)*VLOOKUP(B14,Table1[],10)),""))</f>
        <v/>
      </c>
      <c r="AS30">
        <f>IF(AND(Tonnage&lt;100,VLOOKUP(AB30,Table3[],4)=2),0,IF(OR(AF30=$AI$66,AG30=$AI$66,AH30=$AI$66),1,0))</f>
        <v>0</v>
      </c>
      <c r="AT30" s="92"/>
      <c r="AU30" s="2"/>
      <c r="AV30" s="2"/>
      <c r="AW30" s="2"/>
      <c r="AX30" s="2"/>
      <c r="AY30" s="2"/>
      <c r="AZ30" s="88"/>
      <c r="BA30" s="2"/>
      <c r="BB30" s="2" t="s">
        <v>1937</v>
      </c>
      <c r="BC30" s="2">
        <v>17</v>
      </c>
      <c r="BD30" s="2">
        <v>4</v>
      </c>
      <c r="BE30" s="2"/>
      <c r="BF30" s="2">
        <v>160</v>
      </c>
      <c r="BG30" s="2" t="s">
        <v>1940</v>
      </c>
      <c r="BH30" s="10">
        <v>55000000</v>
      </c>
      <c r="BI30" s="2" t="s">
        <v>325</v>
      </c>
      <c r="BJ30" s="2"/>
      <c r="BK30" s="2">
        <v>1</v>
      </c>
      <c r="BL30" s="2">
        <v>5</v>
      </c>
      <c r="BM30" s="2">
        <f t="shared" si="9"/>
        <v>0</v>
      </c>
      <c r="BN30" s="2">
        <f t="shared" si="10"/>
        <v>0</v>
      </c>
      <c r="BO30" s="2">
        <f t="shared" si="11"/>
        <v>0</v>
      </c>
      <c r="BP30" s="2">
        <f t="shared" si="12"/>
        <v>0</v>
      </c>
      <c r="BQ30" s="2">
        <f t="shared" si="13"/>
        <v>1</v>
      </c>
      <c r="BR30" s="2">
        <f t="shared" si="14"/>
        <v>1</v>
      </c>
      <c r="BS30" s="2">
        <f t="shared" si="15"/>
        <v>0</v>
      </c>
      <c r="BT30" s="2">
        <v>0</v>
      </c>
    </row>
    <row r="31" spans="1:72" ht="15" thickBot="1" x14ac:dyDescent="0.35">
      <c r="A31" s="166" t="str">
        <f t="shared" si="0"/>
        <v>HP20</v>
      </c>
      <c r="B31" s="204" t="s">
        <v>362</v>
      </c>
      <c r="C31" s="204" t="s">
        <v>1020</v>
      </c>
      <c r="D31" s="332">
        <v>0</v>
      </c>
      <c r="E31" s="216" t="s">
        <v>382</v>
      </c>
      <c r="F31" s="216" t="s">
        <v>382</v>
      </c>
      <c r="G31" s="216" t="s">
        <v>382</v>
      </c>
      <c r="H31" s="69">
        <f t="shared" si="1"/>
        <v>0</v>
      </c>
      <c r="I31" s="203" t="s">
        <v>92</v>
      </c>
      <c r="J31" s="203" t="s">
        <v>92</v>
      </c>
      <c r="K31" s="153">
        <f t="shared" si="2"/>
        <v>0</v>
      </c>
      <c r="L31" s="163">
        <f t="shared" si="3"/>
        <v>0</v>
      </c>
      <c r="M31" s="153"/>
      <c r="N31" s="518">
        <f t="shared" si="4"/>
        <v>0</v>
      </c>
      <c r="O31" s="169"/>
      <c r="P31" s="169"/>
      <c r="Q31" s="169">
        <f t="shared" si="5"/>
        <v>0</v>
      </c>
      <c r="R31" s="153"/>
      <c r="S31" s="167" t="str">
        <f>VLOOKUP(E31,Table5[],6)&amp;IF(F31=$Z$52,"",", "&amp;VLOOKUP(F31,Table5[],6))&amp;IF(G31=$Z$52,"",", "&amp;VLOOKUP(G31,Table5[],6))</f>
        <v/>
      </c>
      <c r="T31" s="78">
        <f>INDEX(Table3[],MATCH(C31,Table3[Weapon],0),2)</f>
        <v>0</v>
      </c>
      <c r="U31" s="79">
        <f>VLOOKUP(E31,Table5[],2)+VLOOKUP(F31,Table5[],2)+VLOOKUP(G31,Table5[],2)</f>
        <v>0</v>
      </c>
      <c r="V31" t="str">
        <f>IF('Ship Info'!$F$7,IF('Ship Info'!$C$5&lt;100,'8a-Weapons'!W31,'8a-Weapons'!X31), IF(Tonnage&lt;100,W31,X31))</f>
        <v>HP04</v>
      </c>
      <c r="W31" t="s">
        <v>60</v>
      </c>
      <c r="X31" s="46" t="s">
        <v>343</v>
      </c>
      <c r="Y31" s="92" t="str">
        <f t="shared" si="6"/>
        <v>HP04</v>
      </c>
      <c r="Z31" s="2" t="str">
        <f>VLOOKUP(B15,Table1[],12)</f>
        <v/>
      </c>
      <c r="AA31" s="2" t="str">
        <f t="shared" si="7"/>
        <v/>
      </c>
      <c r="AB31" s="16" t="str">
        <f>C15</f>
        <v/>
      </c>
      <c r="AC31" s="2"/>
      <c r="AD31" s="2"/>
      <c r="AE31" s="2"/>
      <c r="AF31" s="16" t="str">
        <f>IF(E15="A Standard","",INDEX(Table5[[Weapon Modifications]:[Mod Name]],MATCH(E15,Table5[Weapon Modifications],0),10)&amp;IF(AND(E15=G15,E15=F15)," x3",IF(OR(E15=F15,E15=G15)," x2","")))</f>
        <v/>
      </c>
      <c r="AG31" s="16" t="str">
        <f>IF(F15="A Standard","",IF(E15=F15,"",IF(AF31="","",", ")&amp;INDEX(Table5[[Weapon Modifications]:[Mod Name]],MATCH(F15,Table5[Weapon Modifications],0),10)&amp;IF(F15=G15," x2","")))</f>
        <v/>
      </c>
      <c r="AH31" s="16" t="str">
        <f>IF(G15="A Standard","",IF(OR(G15=E15,G15=F15),"", IF(AND(AF31="",AG31=""),"",", ")&amp;INDEX(Table5[[Weapon Modifications]:[Mod Name]],MATCH(G15,Table5[Weapon Modifications],0),10)))</f>
        <v/>
      </c>
      <c r="AI31" s="10">
        <f>D15*VLOOKUP(B15,Table1[],5)+D15*(VLOOKUP(C15,Table3[],7)*VLOOKUP(B15,Table1[],9))*(1+IF(SUM(INDEX(Table5[[Weapon Modifications]:[Cost]],MATCH(E15,Table5[Weapon Modifications],0),5),INDEX(Table5[[Weapon Modifications]:[Cost]],MATCH(F15,Table5[Weapon Modifications],0),5),INDEX(Table5[[Weapon Modifications]:[Cost]],MATCH(G15,Table5[Weapon Modifications],0),5))=0,VLOOKUP(H15,$AC$17:$AD$20,2),INDEX(Table5[[Weapon Modifications]:[Cost]],MATCH(E15,Table5[Weapon Modifications],0),5)+INDEX(Table5[[Weapon Modifications]:[Cost]],MATCH(F15,Table5[Weapon Modifications],0),5)+INDEX(Table5[[Weapon Modifications]:[Cost]],MATCH(G15,Table5[Weapon Modifications],0),5)))</f>
        <v>0</v>
      </c>
      <c r="AJ31" s="2">
        <f>D15*VLOOKUP(B15,Table1[],4)*(1+INDEX(Table5[[Weapon Modifications]:[Cost]],MATCH(E15,Table5[Weapon Modifications],0),4)+INDEX(Table5[[Weapon Modifications]:[Cost]],MATCH(F15,Table5[Weapon Modifications],0),4)+INDEX(Table5[[Weapon Modifications]:[Cost]],MATCH(G15,Table5[Weapon Modifications],0),4))</f>
        <v>0</v>
      </c>
      <c r="AK31" s="2">
        <f>D15*VLOOKUP(B15,Table1[],3)+D15*VLOOKUP(B15,Table1[],9)*VLOOKUP(AB31,Table3[],5)*(1+INDEX(Table5[[Weapon Modifications]:[Cost]],MATCH(E15,Table5[Weapon Modifications],0),3)+INDEX(Table5[[Weapon Modifications]:[Cost]],MATCH(F15,Table5[Weapon Modifications],0),3)+INDEX(Table5[[Weapon Modifications]:[Cost]],MATCH(G15,Table5[Weapon Modifications],0),3))</f>
        <v>0</v>
      </c>
      <c r="AL31" t="str">
        <f>VLOOKUP(AB31,Table3[],8)</f>
        <v/>
      </c>
      <c r="AM31">
        <f>IF(AND('Ship Info'!$F$7,'Ship Info'!$C$5&gt;=100),1,IF($B$4&gt;=100,1,0))</f>
        <v>1</v>
      </c>
      <c r="AN31">
        <f>IF(B15=$Z$2,$AM$28,VLOOKUP(B15,Table4[],2))</f>
        <v>1</v>
      </c>
      <c r="AO31">
        <f t="shared" si="8"/>
        <v>0</v>
      </c>
      <c r="AP31">
        <f>VLOOKUP(B15,Table1[],6)*D15</f>
        <v>0</v>
      </c>
      <c r="AQ31" s="46" t="str">
        <f>IF(AA31="","",IF(B$4&lt;100,INDEX($U$64:$V$72,MATCH(VLOOKUP(AB31,Table3[],4)+AS31,$U$64:$U$72,0),2),INDEX($U$64:$V$72,MATCH(VLOOKUP(AB31,Table3[],3)+AS31,$U$64:$U$72,0),2)))</f>
        <v/>
      </c>
      <c r="AR31" t="str">
        <f>IF(D9="Yes","See Notes",INDEX(Table3[],MATCH(C15,Table3[Weapon],0),6)&amp;IF(VLOOKUP(AB31,Table3[],10)=0,IF(VLOOKUP(B15,Table1[],10)=0,"","+"&amp;LEFT(VLOOKUP(C15,Table3[],6),1)*VLOOKUP(B15,Table1[],10)),""))</f>
        <v/>
      </c>
      <c r="AS31">
        <f t="shared" ref="AS31:AS47" si="16">IF(OR(AF31=$AI$66,AG31=$AI$66,AH31=$AI$66),1,0)</f>
        <v>0</v>
      </c>
      <c r="AT31" s="92"/>
      <c r="AU31" s="2"/>
      <c r="AV31" s="2"/>
      <c r="AW31" s="2"/>
      <c r="AX31" s="2"/>
      <c r="AY31" s="2"/>
      <c r="AZ31" s="88"/>
      <c r="BA31" s="2"/>
      <c r="BB31" s="2" t="s">
        <v>1938</v>
      </c>
      <c r="BC31" s="2">
        <v>17</v>
      </c>
      <c r="BD31" s="2">
        <v>4</v>
      </c>
      <c r="BE31" s="2"/>
      <c r="BF31" s="2">
        <v>120</v>
      </c>
      <c r="BG31" s="2" t="s">
        <v>1939</v>
      </c>
      <c r="BH31" s="10">
        <v>40000000</v>
      </c>
      <c r="BI31" s="2" t="s">
        <v>325</v>
      </c>
      <c r="BJ31" s="2"/>
      <c r="BK31" s="2">
        <v>1</v>
      </c>
      <c r="BL31" s="2">
        <v>4</v>
      </c>
      <c r="BM31" s="2">
        <f t="shared" si="9"/>
        <v>0</v>
      </c>
      <c r="BN31" s="2">
        <f t="shared" si="10"/>
        <v>0</v>
      </c>
      <c r="BO31" s="2">
        <f t="shared" si="11"/>
        <v>0</v>
      </c>
      <c r="BP31" s="2">
        <f t="shared" si="12"/>
        <v>1</v>
      </c>
      <c r="BQ31" s="2">
        <f t="shared" si="13"/>
        <v>1</v>
      </c>
      <c r="BR31" s="2">
        <f t="shared" si="14"/>
        <v>1</v>
      </c>
      <c r="BS31" s="2">
        <f t="shared" si="15"/>
        <v>0</v>
      </c>
      <c r="BT31" s="2">
        <v>0</v>
      </c>
    </row>
    <row r="32" spans="1:72" ht="15.75" customHeight="1" thickBot="1" x14ac:dyDescent="0.35">
      <c r="A32" s="847" t="s">
        <v>2312</v>
      </c>
      <c r="B32" s="847"/>
      <c r="C32" s="223" t="s">
        <v>1136</v>
      </c>
      <c r="D32" s="333">
        <v>0</v>
      </c>
      <c r="I32" s="72"/>
      <c r="J32" s="227"/>
      <c r="L32" s="163">
        <f>5000*D32</f>
        <v>0</v>
      </c>
      <c r="N32" s="163">
        <f>D32*0.25</f>
        <v>0</v>
      </c>
      <c r="O32" s="163"/>
      <c r="P32" s="163"/>
      <c r="Q32" s="163"/>
      <c r="V32" t="str">
        <f>IF('Ship Info'!$F$7,IF('Ship Info'!$C$5&lt;100,'8a-Weapons'!W32,'8a-Weapons'!X32), IF(Tonnage&lt;100,W32,X32))</f>
        <v>HP05</v>
      </c>
      <c r="W32" t="s">
        <v>60</v>
      </c>
      <c r="X32" s="46" t="s">
        <v>344</v>
      </c>
      <c r="Y32" s="92" t="str">
        <f t="shared" si="6"/>
        <v>HP05</v>
      </c>
      <c r="Z32" s="2" t="str">
        <f>VLOOKUP(B16,Table1[],12)</f>
        <v/>
      </c>
      <c r="AA32" s="2" t="str">
        <f t="shared" si="7"/>
        <v/>
      </c>
      <c r="AB32" s="16" t="str">
        <f t="shared" ref="AB32:AB47" si="17">C16</f>
        <v/>
      </c>
      <c r="AC32" s="2"/>
      <c r="AD32" s="2"/>
      <c r="AE32" s="2"/>
      <c r="AF32" s="16" t="str">
        <f>IF(E16="A Standard","",INDEX(Table5[[Weapon Modifications]:[Mod Name]],MATCH(E16,Table5[Weapon Modifications],0),10)&amp;IF(AND(E16=G16,E16=F16)," x3",IF(OR(E16=F16,E16=G16)," x2","")))</f>
        <v/>
      </c>
      <c r="AG32" s="16" t="str">
        <f>IF(F16="A Standard","",IF(E16=F16,"",IF(AF32="","",", ")&amp;INDEX(Table5[[Weapon Modifications]:[Mod Name]],MATCH(F16,Table5[Weapon Modifications],0),10)&amp;IF(F16=G16," x2","")))</f>
        <v/>
      </c>
      <c r="AH32" s="16" t="str">
        <f>IF(G16="A Standard","",IF(OR(G16=E16,G16=F16),"", IF(AND(AF32="",AG32=""),"",", ")&amp;INDEX(Table5[[Weapon Modifications]:[Mod Name]],MATCH(G16,Table5[Weapon Modifications],0),10)))</f>
        <v/>
      </c>
      <c r="AI32" s="10">
        <f>D16*VLOOKUP(B16,Table1[],5)+D16*(VLOOKUP(C16,Table3[],7)*VLOOKUP(B16,Table1[],9))*(1+IF(SUM(INDEX(Table5[[Weapon Modifications]:[Cost]],MATCH(E16,Table5[Weapon Modifications],0),5),INDEX(Table5[[Weapon Modifications]:[Cost]],MATCH(F16,Table5[Weapon Modifications],0),5),INDEX(Table5[[Weapon Modifications]:[Cost]],MATCH(G16,Table5[Weapon Modifications],0),5))=0,VLOOKUP(H16,$AC$17:$AD$20,2),INDEX(Table5[[Weapon Modifications]:[Cost]],MATCH(E16,Table5[Weapon Modifications],0),5)+INDEX(Table5[[Weapon Modifications]:[Cost]],MATCH(F16,Table5[Weapon Modifications],0),5)+INDEX(Table5[[Weapon Modifications]:[Cost]],MATCH(G16,Table5[Weapon Modifications],0),5)))</f>
        <v>0</v>
      </c>
      <c r="AJ32" s="2">
        <f>D16*VLOOKUP(B16,Table1[],4)*(1+INDEX(Table5[[Weapon Modifications]:[Cost]],MATCH(E16,Table5[Weapon Modifications],0),4)+INDEX(Table5[[Weapon Modifications]:[Cost]],MATCH(F16,Table5[Weapon Modifications],0),4)+INDEX(Table5[[Weapon Modifications]:[Cost]],MATCH(G16,Table5[Weapon Modifications],0),4))</f>
        <v>0</v>
      </c>
      <c r="AK32" s="2">
        <f>D16*VLOOKUP(B16,Table1[],3)+D16*VLOOKUP(B16,Table1[],9)*VLOOKUP(AB32,Table3[],5)*(1+INDEX(Table5[[Weapon Modifications]:[Cost]],MATCH(E16,Table5[Weapon Modifications],0),3)+INDEX(Table5[[Weapon Modifications]:[Cost]],MATCH(F16,Table5[Weapon Modifications],0),3)+INDEX(Table5[[Weapon Modifications]:[Cost]],MATCH(G16,Table5[Weapon Modifications],0),3))</f>
        <v>0</v>
      </c>
      <c r="AL32" t="str">
        <f>VLOOKUP(AB32,Table3[],8)</f>
        <v/>
      </c>
      <c r="AM32">
        <f>IF(AND('Ship Info'!$F$7,'Ship Info'!$C$5&gt;=100),1,IF($B$4&gt;=100,1,0))</f>
        <v>1</v>
      </c>
      <c r="AN32">
        <f>IF(B16=$Z$2,$AM$28,VLOOKUP(B16,Table4[],2))</f>
        <v>1</v>
      </c>
      <c r="AO32">
        <f t="shared" si="8"/>
        <v>0</v>
      </c>
      <c r="AP32">
        <f>VLOOKUP(B16,Table1[],6)*D16</f>
        <v>0</v>
      </c>
      <c r="AQ32" s="46" t="str">
        <f>IF(AA32="","",IF(B$4&lt;100,INDEX($U$64:$V$72,MATCH(VLOOKUP(AB32,Table3[],4)+AS32,$U$64:$U$72,0),2),INDEX($U$64:$V$72,MATCH(VLOOKUP(AB32,Table3[],3)+AS32,$U$64:$U$72,0),2)))</f>
        <v/>
      </c>
      <c r="AR32" t="str">
        <f>IF(D10="Yes","See Notes",INDEX(Table3[],MATCH(C16,Table3[Weapon],0),6)&amp;IF(VLOOKUP(AB32,Table3[],10)=0,IF(VLOOKUP(B16,Table1[],10)=0,"","+"&amp;LEFT(VLOOKUP(C16,Table3[],6),1)*VLOOKUP(B16,Table1[],10)),""))</f>
        <v/>
      </c>
      <c r="AS32">
        <f t="shared" si="16"/>
        <v>0</v>
      </c>
      <c r="AT32" s="92"/>
      <c r="AU32" s="2"/>
      <c r="AV32" s="2"/>
      <c r="AW32" s="2"/>
      <c r="AX32" s="2"/>
      <c r="AY32" s="2"/>
      <c r="AZ32" s="88"/>
      <c r="BA32" s="2"/>
      <c r="BB32" s="2" t="s">
        <v>592</v>
      </c>
      <c r="BC32" s="2">
        <v>10</v>
      </c>
      <c r="BD32" s="2">
        <v>4</v>
      </c>
      <c r="BE32" s="2">
        <v>1</v>
      </c>
      <c r="BF32" s="2">
        <v>4</v>
      </c>
      <c r="BG32" s="2" t="s">
        <v>317</v>
      </c>
      <c r="BH32" s="10">
        <v>500000</v>
      </c>
      <c r="BI32" s="2" t="str">
        <f>""</f>
        <v/>
      </c>
      <c r="BJ32" s="2"/>
      <c r="BK32" s="2"/>
      <c r="BL32" s="2">
        <v>1</v>
      </c>
      <c r="BM32" s="2">
        <f t="shared" si="9"/>
        <v>1</v>
      </c>
      <c r="BN32" s="2">
        <f t="shared" si="10"/>
        <v>0</v>
      </c>
      <c r="BO32" s="2">
        <f t="shared" si="11"/>
        <v>0</v>
      </c>
      <c r="BP32" s="2">
        <f t="shared" si="12"/>
        <v>1</v>
      </c>
      <c r="BQ32" s="2">
        <f t="shared" si="13"/>
        <v>1</v>
      </c>
      <c r="BR32" s="2">
        <f t="shared" si="14"/>
        <v>1</v>
      </c>
      <c r="BS32" s="2">
        <f t="shared" si="15"/>
        <v>0</v>
      </c>
      <c r="BT32" s="2">
        <v>0</v>
      </c>
    </row>
    <row r="33" spans="1:72" ht="15" thickBot="1" x14ac:dyDescent="0.35">
      <c r="A33" s="847"/>
      <c r="B33" s="847"/>
      <c r="C33" s="221" t="s">
        <v>2035</v>
      </c>
      <c r="D33" s="332">
        <v>0</v>
      </c>
      <c r="E33" s="153"/>
      <c r="F33" s="153"/>
      <c r="G33" s="506" t="s">
        <v>2036</v>
      </c>
      <c r="H33" s="168"/>
      <c r="I33" s="228" t="s">
        <v>60</v>
      </c>
      <c r="J33" s="203" t="s">
        <v>92</v>
      </c>
      <c r="K33" s="153"/>
      <c r="L33" s="169">
        <f>D33*50000</f>
        <v>0</v>
      </c>
      <c r="M33" s="153"/>
      <c r="N33" s="169">
        <f>D33*0.25</f>
        <v>0</v>
      </c>
      <c r="O33" s="169"/>
      <c r="P33" s="169"/>
      <c r="Q33" s="169"/>
      <c r="R33" s="153"/>
      <c r="S33" s="153"/>
      <c r="V33" t="str">
        <f>IF('Ship Info'!$F$7,IF('Ship Info'!$C$5&lt;100,'8a-Weapons'!W33,'8a-Weapons'!X33), IF(Tonnage&lt;100,W33,X33))</f>
        <v>HP06</v>
      </c>
      <c r="W33" t="s">
        <v>60</v>
      </c>
      <c r="X33" s="46" t="s">
        <v>345</v>
      </c>
      <c r="Y33" s="92" t="str">
        <f t="shared" si="6"/>
        <v>HP06</v>
      </c>
      <c r="Z33" s="2" t="str">
        <f>VLOOKUP(B17,Table1[],12)</f>
        <v/>
      </c>
      <c r="AA33" s="2" t="str">
        <f t="shared" si="7"/>
        <v/>
      </c>
      <c r="AB33" s="16" t="str">
        <f t="shared" si="17"/>
        <v/>
      </c>
      <c r="AC33" s="2"/>
      <c r="AD33" s="2"/>
      <c r="AE33" s="2"/>
      <c r="AF33" s="16" t="str">
        <f>IF(E17="A Standard","",INDEX(Table5[[Weapon Modifications]:[Mod Name]],MATCH(E17,Table5[Weapon Modifications],0),10)&amp;IF(AND(E17=G17,E17=F17)," x3",IF(OR(E17=F17,E17=G17)," x2","")))</f>
        <v/>
      </c>
      <c r="AG33" s="16" t="str">
        <f>IF(F17="A Standard","",IF(E17=F17,"",IF(AF33="","",", ")&amp;INDEX(Table5[[Weapon Modifications]:[Mod Name]],MATCH(F17,Table5[Weapon Modifications],0),10)&amp;IF(F17=G17," x2","")))</f>
        <v/>
      </c>
      <c r="AH33" s="16" t="str">
        <f>IF(G17="A Standard","",IF(OR(G17=E17,G17=F17),"", IF(AND(AF33="",AG33=""),"",", ")&amp;INDEX(Table5[[Weapon Modifications]:[Mod Name]],MATCH(G17,Table5[Weapon Modifications],0),10)))</f>
        <v/>
      </c>
      <c r="AI33" s="10">
        <f>D17*VLOOKUP(B17,Table1[],5)+D17*(VLOOKUP(C17,Table3[],7)*VLOOKUP(B17,Table1[],9))*(1+IF(SUM(INDEX(Table5[[Weapon Modifications]:[Cost]],MATCH(E17,Table5[Weapon Modifications],0),5),INDEX(Table5[[Weapon Modifications]:[Cost]],MATCH(F17,Table5[Weapon Modifications],0),5),INDEX(Table5[[Weapon Modifications]:[Cost]],MATCH(G17,Table5[Weapon Modifications],0),5))=0,VLOOKUP(H17,$AC$17:$AD$20,2),INDEX(Table5[[Weapon Modifications]:[Cost]],MATCH(E17,Table5[Weapon Modifications],0),5)+INDEX(Table5[[Weapon Modifications]:[Cost]],MATCH(F17,Table5[Weapon Modifications],0),5)+INDEX(Table5[[Weapon Modifications]:[Cost]],MATCH(G17,Table5[Weapon Modifications],0),5)))</f>
        <v>0</v>
      </c>
      <c r="AJ33" s="2">
        <f>D17*VLOOKUP(B17,Table1[],4)*(1+INDEX(Table5[[Weapon Modifications]:[Cost]],MATCH(E17,Table5[Weapon Modifications],0),4)+INDEX(Table5[[Weapon Modifications]:[Cost]],MATCH(F17,Table5[Weapon Modifications],0),4)+INDEX(Table5[[Weapon Modifications]:[Cost]],MATCH(G17,Table5[Weapon Modifications],0),4))</f>
        <v>0</v>
      </c>
      <c r="AK33" s="2">
        <f>D17*VLOOKUP(B17,Table1[],3)+D17*VLOOKUP(B17,Table1[],9)*VLOOKUP(AB33,Table3[],5)*(1+INDEX(Table5[[Weapon Modifications]:[Cost]],MATCH(E17,Table5[Weapon Modifications],0),3)+INDEX(Table5[[Weapon Modifications]:[Cost]],MATCH(F17,Table5[Weapon Modifications],0),3)+INDEX(Table5[[Weapon Modifications]:[Cost]],MATCH(G17,Table5[Weapon Modifications],0),3))</f>
        <v>0</v>
      </c>
      <c r="AL33" t="str">
        <f>VLOOKUP(AB33,Table3[],8)</f>
        <v/>
      </c>
      <c r="AM33">
        <f>IF(AND('Ship Info'!$F$7,'Ship Info'!$C$5&gt;=100),1,IF($B$4&gt;=100,1,0))</f>
        <v>1</v>
      </c>
      <c r="AN33">
        <f>IF(B17=$Z$2,$AM$28,VLOOKUP(B17,Table4[],2))</f>
        <v>1</v>
      </c>
      <c r="AO33">
        <f t="shared" si="8"/>
        <v>0</v>
      </c>
      <c r="AP33">
        <f>VLOOKUP(B17,Table1[],6)*D17</f>
        <v>0</v>
      </c>
      <c r="AQ33" s="46" t="str">
        <f>IF(AA33="","",IF(B$4&lt;100,INDEX($U$64:$V$72,MATCH(VLOOKUP(AB33,Table3[],4)+AS33,$U$64:$U$72,0),2),INDEX($U$64:$V$72,MATCH(VLOOKUP(AB33,Table3[],3)+AS33,$U$64:$U$72,0),2)))</f>
        <v/>
      </c>
      <c r="AR33" t="str">
        <f>IF(D11="Yes","See Notes",INDEX(Table3[],MATCH(C17,Table3[Weapon],0),6)&amp;IF(VLOOKUP(AB33,Table3[],10)=0,IF(VLOOKUP(B17,Table1[],10)=0,"","+"&amp;LEFT(VLOOKUP(C17,Table3[],6),1)*VLOOKUP(B17,Table1[],10)),""))</f>
        <v/>
      </c>
      <c r="AS33">
        <f t="shared" si="16"/>
        <v>0</v>
      </c>
      <c r="AT33" s="92"/>
      <c r="AU33" s="2"/>
      <c r="AV33" s="2"/>
      <c r="AW33" s="2"/>
      <c r="AX33" s="2"/>
      <c r="AY33" s="2"/>
      <c r="AZ33" s="88"/>
      <c r="BA33" s="2"/>
      <c r="BB33" s="2" t="s">
        <v>1266</v>
      </c>
      <c r="BC33" s="2">
        <v>10</v>
      </c>
      <c r="BD33" s="2">
        <v>4</v>
      </c>
      <c r="BE33" s="2">
        <v>1</v>
      </c>
      <c r="BF33" s="2">
        <v>8</v>
      </c>
      <c r="BG33" s="2" t="s">
        <v>1233</v>
      </c>
      <c r="BH33" s="10">
        <v>1000000</v>
      </c>
      <c r="BI33" s="2"/>
      <c r="BJ33" s="2"/>
      <c r="BK33" s="2">
        <v>1</v>
      </c>
      <c r="BL33" s="2">
        <v>2</v>
      </c>
      <c r="BM33" s="2">
        <f t="shared" si="9"/>
        <v>1</v>
      </c>
      <c r="BN33" s="2">
        <f t="shared" si="10"/>
        <v>1</v>
      </c>
      <c r="BO33" s="2">
        <f t="shared" si="11"/>
        <v>0</v>
      </c>
      <c r="BP33" s="2">
        <f t="shared" si="12"/>
        <v>1</v>
      </c>
      <c r="BQ33" s="2">
        <f t="shared" si="13"/>
        <v>1</v>
      </c>
      <c r="BR33" s="2">
        <f t="shared" si="14"/>
        <v>1</v>
      </c>
      <c r="BS33" s="2">
        <f t="shared" si="15"/>
        <v>0</v>
      </c>
      <c r="BT33" s="2">
        <v>0</v>
      </c>
    </row>
    <row r="34" spans="1:72" ht="15" thickBot="1" x14ac:dyDescent="0.35">
      <c r="A34" s="313"/>
      <c r="B34" s="313"/>
      <c r="C34" s="156" t="s">
        <v>2034</v>
      </c>
      <c r="D34" s="333">
        <v>0</v>
      </c>
      <c r="E34" s="156" t="s">
        <v>2037</v>
      </c>
      <c r="F34" s="222">
        <v>0</v>
      </c>
      <c r="G34" s="69">
        <f>ROUNDUP(F34*4,0)</f>
        <v>0</v>
      </c>
      <c r="I34" s="72" t="s">
        <v>60</v>
      </c>
      <c r="J34" s="197" t="s">
        <v>92</v>
      </c>
      <c r="L34" s="169">
        <f>G34*50000</f>
        <v>0</v>
      </c>
      <c r="N34" s="163">
        <f>D34</f>
        <v>0</v>
      </c>
      <c r="O34" s="163"/>
      <c r="P34" s="163"/>
      <c r="Q34" s="163"/>
      <c r="V34" t="str">
        <f>IF('Ship Info'!$F$7,IF('Ship Info'!$C$5&lt;100,'8a-Weapons'!W34,'8a-Weapons'!X34), IF(Tonnage&lt;100,W34,X34))</f>
        <v>HP07</v>
      </c>
      <c r="W34" t="s">
        <v>60</v>
      </c>
      <c r="X34" s="46" t="s">
        <v>346</v>
      </c>
      <c r="Y34" s="92" t="str">
        <f t="shared" si="6"/>
        <v>HP07</v>
      </c>
      <c r="Z34" s="2" t="str">
        <f>VLOOKUP(B18,Table1[],12)</f>
        <v/>
      </c>
      <c r="AA34" s="2" t="str">
        <f t="shared" si="7"/>
        <v/>
      </c>
      <c r="AB34" s="16" t="str">
        <f t="shared" si="17"/>
        <v/>
      </c>
      <c r="AC34" s="2"/>
      <c r="AD34" s="2"/>
      <c r="AE34" s="2"/>
      <c r="AF34" s="16" t="str">
        <f>IF(E18="A Standard","",INDEX(Table5[[Weapon Modifications]:[Mod Name]],MATCH(E18,Table5[Weapon Modifications],0),10)&amp;IF(AND(E18=G18,E18=F18)," x3",IF(OR(E18=F18,E18=G18)," x2","")))</f>
        <v/>
      </c>
      <c r="AG34" s="16" t="str">
        <f>IF(F18="A Standard","",IF(E18=F18,"",IF(AF34="","",", ")&amp;INDEX(Table5[[Weapon Modifications]:[Mod Name]],MATCH(F18,Table5[Weapon Modifications],0),10)&amp;IF(F18=G18," x2","")))</f>
        <v/>
      </c>
      <c r="AH34" s="16" t="str">
        <f>IF(G18="A Standard","",IF(OR(G18=E18,G18=F18),"", IF(AND(AF34="",AG34=""),"",", ")&amp;INDEX(Table5[[Weapon Modifications]:[Mod Name]],MATCH(G18,Table5[Weapon Modifications],0),10)))</f>
        <v/>
      </c>
      <c r="AI34" s="10">
        <f>D18*VLOOKUP(B18,Table1[],5)+D18*(VLOOKUP(C18,Table3[],7)*VLOOKUP(B18,Table1[],9))*(1+IF(SUM(INDEX(Table5[[Weapon Modifications]:[Cost]],MATCH(E18,Table5[Weapon Modifications],0),5),INDEX(Table5[[Weapon Modifications]:[Cost]],MATCH(F18,Table5[Weapon Modifications],0),5),INDEX(Table5[[Weapon Modifications]:[Cost]],MATCH(G18,Table5[Weapon Modifications],0),5))=0,VLOOKUP(H18,$AC$17:$AD$20,2),INDEX(Table5[[Weapon Modifications]:[Cost]],MATCH(E18,Table5[Weapon Modifications],0),5)+INDEX(Table5[[Weapon Modifications]:[Cost]],MATCH(F18,Table5[Weapon Modifications],0),5)+INDEX(Table5[[Weapon Modifications]:[Cost]],MATCH(G18,Table5[Weapon Modifications],0),5)))</f>
        <v>0</v>
      </c>
      <c r="AJ34" s="2">
        <f>D18*VLOOKUP(B18,Table1[],4)*(1+INDEX(Table5[[Weapon Modifications]:[Cost]],MATCH(E18,Table5[Weapon Modifications],0),4)+INDEX(Table5[[Weapon Modifications]:[Cost]],MATCH(F18,Table5[Weapon Modifications],0),4)+INDEX(Table5[[Weapon Modifications]:[Cost]],MATCH(G18,Table5[Weapon Modifications],0),4))</f>
        <v>0</v>
      </c>
      <c r="AK34" s="2">
        <f>D18*VLOOKUP(B18,Table1[],3)+D18*VLOOKUP(B18,Table1[],9)*VLOOKUP(AB34,Table3[],5)*(1+INDEX(Table5[[Weapon Modifications]:[Cost]],MATCH(E18,Table5[Weapon Modifications],0),3)+INDEX(Table5[[Weapon Modifications]:[Cost]],MATCH(F18,Table5[Weapon Modifications],0),3)+INDEX(Table5[[Weapon Modifications]:[Cost]],MATCH(G18,Table5[Weapon Modifications],0),3))</f>
        <v>0</v>
      </c>
      <c r="AL34" t="str">
        <f>VLOOKUP(AB34,Table3[],8)</f>
        <v/>
      </c>
      <c r="AM34">
        <f>IF(AND('Ship Info'!$F$7,'Ship Info'!$C$5&gt;=100),1,IF($B$4&gt;=100,1,0))</f>
        <v>1</v>
      </c>
      <c r="AN34">
        <f>IF(B18=$Z$2,$AM$28,VLOOKUP(B18,Table4[],2))</f>
        <v>1</v>
      </c>
      <c r="AO34">
        <f t="shared" si="8"/>
        <v>0</v>
      </c>
      <c r="AP34">
        <f>VLOOKUP(B18,Table1[],6)*D18</f>
        <v>0</v>
      </c>
      <c r="AQ34" s="46" t="str">
        <f>IF(AA34="","",IF(B$4&lt;100,INDEX($U$64:$V$72,MATCH(VLOOKUP(AB34,Table3[],4)+AS34,$U$64:$U$72,0),2),INDEX($U$64:$V$72,MATCH(VLOOKUP(AB34,Table3[],3)+AS34,$U$64:$U$72,0),2)))</f>
        <v/>
      </c>
      <c r="AR34" t="str">
        <f>IF(D12="Yes","See Notes",INDEX(Table3[],MATCH(C18,Table3[Weapon],0),6)&amp;IF(VLOOKUP(AB34,Table3[],10)=0,IF(VLOOKUP(B18,Table1[],10)=0,"","+"&amp;LEFT(VLOOKUP(C18,Table3[],6),1)*VLOOKUP(B18,Table1[],10)),""))</f>
        <v/>
      </c>
      <c r="AS34">
        <f t="shared" si="16"/>
        <v>0</v>
      </c>
      <c r="AT34" s="92"/>
      <c r="AU34" s="2"/>
      <c r="AV34" s="2"/>
      <c r="AW34" s="2"/>
      <c r="AX34" s="2"/>
      <c r="AY34" s="2"/>
      <c r="AZ34" s="88"/>
      <c r="BA34" s="2"/>
      <c r="BB34" s="2" t="s">
        <v>1569</v>
      </c>
      <c r="BC34" s="2">
        <v>10</v>
      </c>
      <c r="BD34" s="2">
        <v>4</v>
      </c>
      <c r="BE34" s="2"/>
      <c r="BF34" s="2">
        <v>100</v>
      </c>
      <c r="BG34" s="2" t="s">
        <v>1577</v>
      </c>
      <c r="BH34" s="10">
        <v>15000000</v>
      </c>
      <c r="BI34" s="2"/>
      <c r="BJ34" s="2"/>
      <c r="BK34" s="2">
        <v>1</v>
      </c>
      <c r="BL34" s="2">
        <v>6</v>
      </c>
      <c r="BM34" s="2">
        <f t="shared" si="9"/>
        <v>1</v>
      </c>
      <c r="BN34" s="2">
        <f t="shared" si="10"/>
        <v>1</v>
      </c>
      <c r="BO34" s="2">
        <f t="shared" si="11"/>
        <v>0</v>
      </c>
      <c r="BP34" s="2">
        <f t="shared" si="12"/>
        <v>1</v>
      </c>
      <c r="BQ34" s="2">
        <f t="shared" si="13"/>
        <v>1</v>
      </c>
      <c r="BR34" s="2">
        <f t="shared" si="14"/>
        <v>2</v>
      </c>
      <c r="BS34" s="2">
        <f t="shared" si="15"/>
        <v>0</v>
      </c>
      <c r="BT34" s="2">
        <v>0</v>
      </c>
    </row>
    <row r="35" spans="1:72" ht="15" thickBot="1" x14ac:dyDescent="0.35">
      <c r="B35" s="166" t="s">
        <v>613</v>
      </c>
      <c r="C35" s="153"/>
      <c r="D35" s="153"/>
      <c r="E35" s="153"/>
      <c r="F35" s="168"/>
      <c r="G35" s="153"/>
      <c r="H35" s="168"/>
      <c r="I35" s="168"/>
      <c r="J35" s="168"/>
      <c r="K35" s="153"/>
      <c r="L35" s="169"/>
      <c r="M35" s="153"/>
      <c r="N35" s="169"/>
      <c r="O35" s="169"/>
      <c r="P35" s="169"/>
      <c r="Q35" s="169"/>
      <c r="R35" s="153"/>
      <c r="S35" s="153"/>
      <c r="V35" t="str">
        <f>IF('Ship Info'!$F$7,IF('Ship Info'!$C$5&lt;100,'8a-Weapons'!W35,'8a-Weapons'!X35), IF(Tonnage&lt;100,W35,X35))</f>
        <v>HP08</v>
      </c>
      <c r="W35" t="s">
        <v>60</v>
      </c>
      <c r="X35" s="46" t="s">
        <v>347</v>
      </c>
      <c r="Y35" s="92" t="str">
        <f t="shared" si="6"/>
        <v>HP08</v>
      </c>
      <c r="Z35" s="2" t="str">
        <f>VLOOKUP(B19,Table1[],12)</f>
        <v/>
      </c>
      <c r="AA35" s="2" t="str">
        <f t="shared" si="7"/>
        <v/>
      </c>
      <c r="AB35" s="16" t="str">
        <f t="shared" si="17"/>
        <v/>
      </c>
      <c r="AC35" s="2"/>
      <c r="AD35" s="2"/>
      <c r="AE35" s="2"/>
      <c r="AF35" s="16" t="str">
        <f>IF(E19="A Standard","",INDEX(Table5[[Weapon Modifications]:[Mod Name]],MATCH(E19,Table5[Weapon Modifications],0),10)&amp;IF(AND(E19=G19,E19=F19)," x3",IF(OR(E19=F19,E19=G19)," x2","")))</f>
        <v/>
      </c>
      <c r="AG35" s="16" t="str">
        <f>IF(F19="A Standard","",IF(E19=F19,"",IF(AF35="","",", ")&amp;INDEX(Table5[[Weapon Modifications]:[Mod Name]],MATCH(F19,Table5[Weapon Modifications],0),10)&amp;IF(F19=G19," x2","")))</f>
        <v/>
      </c>
      <c r="AH35" s="16" t="str">
        <f>IF(G19="A Standard","",IF(OR(G19=E19,G19=F19),"", IF(AND(AF35="",AG35=""),"",", ")&amp;INDEX(Table5[[Weapon Modifications]:[Mod Name]],MATCH(G19,Table5[Weapon Modifications],0),10)))</f>
        <v/>
      </c>
      <c r="AI35" s="10">
        <f>D19*VLOOKUP(B19,Table1[],5)+D19*(VLOOKUP(C19,Table3[],7)*VLOOKUP(B19,Table1[],9))*(1+IF(SUM(INDEX(Table5[[Weapon Modifications]:[Cost]],MATCH(E19,Table5[Weapon Modifications],0),5),INDEX(Table5[[Weapon Modifications]:[Cost]],MATCH(F19,Table5[Weapon Modifications],0),5),INDEX(Table5[[Weapon Modifications]:[Cost]],MATCH(G19,Table5[Weapon Modifications],0),5))=0,VLOOKUP(H19,$AC$17:$AD$20,2),INDEX(Table5[[Weapon Modifications]:[Cost]],MATCH(E19,Table5[Weapon Modifications],0),5)+INDEX(Table5[[Weapon Modifications]:[Cost]],MATCH(F19,Table5[Weapon Modifications],0),5)+INDEX(Table5[[Weapon Modifications]:[Cost]],MATCH(G19,Table5[Weapon Modifications],0),5)))</f>
        <v>0</v>
      </c>
      <c r="AJ35" s="2">
        <f>D19*VLOOKUP(B19,Table1[],4)*(1+INDEX(Table5[[Weapon Modifications]:[Cost]],MATCH(E19,Table5[Weapon Modifications],0),4)+INDEX(Table5[[Weapon Modifications]:[Cost]],MATCH(F19,Table5[Weapon Modifications],0),4)+INDEX(Table5[[Weapon Modifications]:[Cost]],MATCH(G19,Table5[Weapon Modifications],0),4))</f>
        <v>0</v>
      </c>
      <c r="AK35" s="2">
        <f>D19*VLOOKUP(B19,Table1[],3)+D19*VLOOKUP(B19,Table1[],9)*VLOOKUP(AB35,Table3[],5)*(1+INDEX(Table5[[Weapon Modifications]:[Cost]],MATCH(E19,Table5[Weapon Modifications],0),3)+INDEX(Table5[[Weapon Modifications]:[Cost]],MATCH(F19,Table5[Weapon Modifications],0),3)+INDEX(Table5[[Weapon Modifications]:[Cost]],MATCH(G19,Table5[Weapon Modifications],0),3))</f>
        <v>0</v>
      </c>
      <c r="AL35" t="str">
        <f>VLOOKUP(AB35,Table3[],8)</f>
        <v/>
      </c>
      <c r="AM35">
        <f>IF(AND('Ship Info'!$F$7,'Ship Info'!$C$5&gt;=100),1,IF($B$4&gt;=100,1,0))</f>
        <v>1</v>
      </c>
      <c r="AN35">
        <f>IF(B19=$Z$2,$AM$28,VLOOKUP(B19,Table4[],2))</f>
        <v>1</v>
      </c>
      <c r="AO35">
        <f t="shared" si="8"/>
        <v>0</v>
      </c>
      <c r="AP35">
        <f>VLOOKUP(B19,Table1[],6)*D19</f>
        <v>0</v>
      </c>
      <c r="AQ35" s="46" t="str">
        <f>IF(AA35="","",IF(B$4&lt;100,INDEX($U$64:$V$72,MATCH(VLOOKUP(AB35,Table3[],4)+AS35,$U$64:$U$72,0),2),INDEX($U$64:$V$72,MATCH(VLOOKUP(AB35,Table3[],3)+AS35,$U$64:$U$72,0),2)))</f>
        <v/>
      </c>
      <c r="AR35" t="str">
        <f>IF(D13="Yes","See Notes",INDEX(Table3[],MATCH(C19,Table3[Weapon],0),6)&amp;IF(VLOOKUP(AB35,Table3[],10)=0,IF(VLOOKUP(B19,Table1[],10)=0,"","+"&amp;LEFT(VLOOKUP(C19,Table3[],6),1)*VLOOKUP(B19,Table1[],10)),""))</f>
        <v/>
      </c>
      <c r="AS35">
        <f t="shared" si="16"/>
        <v>0</v>
      </c>
      <c r="AT35" s="92"/>
      <c r="AU35" s="2"/>
      <c r="AV35" s="2"/>
      <c r="AW35" s="2"/>
      <c r="AX35" s="2"/>
      <c r="AY35" s="2"/>
      <c r="AZ35" s="88"/>
      <c r="BA35" s="2"/>
      <c r="BB35" s="2" t="s">
        <v>1570</v>
      </c>
      <c r="BC35" s="2">
        <v>10</v>
      </c>
      <c r="BD35" s="2">
        <v>4</v>
      </c>
      <c r="BE35" s="2"/>
      <c r="BF35" s="2">
        <v>23</v>
      </c>
      <c r="BG35" s="2" t="s">
        <v>1578</v>
      </c>
      <c r="BH35" s="10">
        <v>5000000</v>
      </c>
      <c r="BI35" s="2"/>
      <c r="BJ35" s="2"/>
      <c r="BK35" s="2">
        <v>1</v>
      </c>
      <c r="BL35" s="2">
        <v>5</v>
      </c>
      <c r="BM35" s="2">
        <f t="shared" si="9"/>
        <v>1</v>
      </c>
      <c r="BN35" s="2">
        <f t="shared" si="10"/>
        <v>1</v>
      </c>
      <c r="BO35" s="2">
        <f t="shared" si="11"/>
        <v>0</v>
      </c>
      <c r="BP35" s="2">
        <f t="shared" si="12"/>
        <v>1</v>
      </c>
      <c r="BQ35" s="2">
        <f t="shared" si="13"/>
        <v>2</v>
      </c>
      <c r="BR35" s="2">
        <f t="shared" si="14"/>
        <v>2</v>
      </c>
      <c r="BS35" s="2">
        <f t="shared" si="15"/>
        <v>0</v>
      </c>
      <c r="BT35" s="2">
        <v>0</v>
      </c>
    </row>
    <row r="36" spans="1:72" ht="15" thickBot="1" x14ac:dyDescent="0.35">
      <c r="B36" s="204" t="s">
        <v>362</v>
      </c>
      <c r="C36" s="153"/>
      <c r="D36" s="332">
        <v>0</v>
      </c>
      <c r="E36" s="216" t="s">
        <v>382</v>
      </c>
      <c r="F36" s="216" t="s">
        <v>382</v>
      </c>
      <c r="G36" s="216" t="s">
        <v>382</v>
      </c>
      <c r="H36" s="168">
        <f>VLOOKUP(E36,Table6[],7)+VLOOKUP(F36,Table6[],7)+VLOOKUP(G36,Table6[],7)+T136</f>
        <v>0</v>
      </c>
      <c r="I36" s="203" t="s">
        <v>92</v>
      </c>
      <c r="J36" s="203" t="s">
        <v>92</v>
      </c>
      <c r="K36" s="153">
        <f>T133</f>
        <v>0</v>
      </c>
      <c r="L36" s="169">
        <f>IF(I36="No",Z156,1.5*Z156)+(IF(J36="No",0,Z154*0.1)*200000)</f>
        <v>0</v>
      </c>
      <c r="M36" s="153"/>
      <c r="N36" s="169">
        <f>MAX(0,IF(J36="No",Z154,1.1*Z154))</f>
        <v>0</v>
      </c>
      <c r="O36" s="169"/>
      <c r="P36" s="169"/>
      <c r="Q36" s="169">
        <f>AA154</f>
        <v>0</v>
      </c>
      <c r="R36" s="153"/>
      <c r="S36" s="848" t="str">
        <f>Z161&amp;Z162&amp;Z163</f>
        <v/>
      </c>
      <c r="V36" t="str">
        <f>IF('Ship Info'!$F$7,IF('Ship Info'!$C$5&lt;100,'8a-Weapons'!W36,'8a-Weapons'!X36), IF(Tonnage&lt;100,W36,X36))</f>
        <v>HP09</v>
      </c>
      <c r="W36" t="s">
        <v>60</v>
      </c>
      <c r="X36" s="46" t="s">
        <v>348</v>
      </c>
      <c r="Y36" s="92" t="str">
        <f t="shared" si="6"/>
        <v>HP09</v>
      </c>
      <c r="Z36" s="2" t="str">
        <f>VLOOKUP(B20,Table1[],12)</f>
        <v/>
      </c>
      <c r="AA36" s="2" t="str">
        <f t="shared" si="7"/>
        <v/>
      </c>
      <c r="AB36" s="16" t="str">
        <f t="shared" si="17"/>
        <v/>
      </c>
      <c r="AC36" s="2"/>
      <c r="AD36" s="2"/>
      <c r="AE36" s="2"/>
      <c r="AF36" s="16" t="str">
        <f>IF(E20="A Standard","",INDEX(Table5[[Weapon Modifications]:[Mod Name]],MATCH(E20,Table5[Weapon Modifications],0),10)&amp;IF(AND(E20=G20,E20=F20)," x3",IF(OR(E20=F20,E20=G20)," x2","")))</f>
        <v/>
      </c>
      <c r="AG36" s="16" t="str">
        <f>IF(F20="A Standard","",IF(E20=F20,"",IF(AF36="","",", ")&amp;INDEX(Table5[[Weapon Modifications]:[Mod Name]],MATCH(F20,Table5[Weapon Modifications],0),10)&amp;IF(F20=G20," x2","")))</f>
        <v/>
      </c>
      <c r="AH36" s="16" t="str">
        <f>IF(G20="A Standard","",IF(OR(G20=E20,G20=F20),"", IF(AND(AF36="",AG36=""),"",", ")&amp;INDEX(Table5[[Weapon Modifications]:[Mod Name]],MATCH(G20,Table5[Weapon Modifications],0),10)))</f>
        <v/>
      </c>
      <c r="AI36" s="10">
        <f>D20*VLOOKUP(B20,Table1[],5)+D20*(VLOOKUP(C20,Table3[],7)*VLOOKUP(B20,Table1[],9))*(1+IF(SUM(INDEX(Table5[[Weapon Modifications]:[Cost]],MATCH(E20,Table5[Weapon Modifications],0),5),INDEX(Table5[[Weapon Modifications]:[Cost]],MATCH(F20,Table5[Weapon Modifications],0),5),INDEX(Table5[[Weapon Modifications]:[Cost]],MATCH(G20,Table5[Weapon Modifications],0),5))=0,VLOOKUP(H20,$AC$17:$AD$20,2),INDEX(Table5[[Weapon Modifications]:[Cost]],MATCH(E20,Table5[Weapon Modifications],0),5)+INDEX(Table5[[Weapon Modifications]:[Cost]],MATCH(F20,Table5[Weapon Modifications],0),5)+INDEX(Table5[[Weapon Modifications]:[Cost]],MATCH(G20,Table5[Weapon Modifications],0),5)))</f>
        <v>0</v>
      </c>
      <c r="AJ36" s="2">
        <f>D20*VLOOKUP(B20,Table1[],4)*(1+INDEX(Table5[[Weapon Modifications]:[Cost]],MATCH(E20,Table5[Weapon Modifications],0),4)+INDEX(Table5[[Weapon Modifications]:[Cost]],MATCH(F20,Table5[Weapon Modifications],0),4)+INDEX(Table5[[Weapon Modifications]:[Cost]],MATCH(G20,Table5[Weapon Modifications],0),4))</f>
        <v>0</v>
      </c>
      <c r="AK36" s="2">
        <f>D20*VLOOKUP(B20,Table1[],3)+D20*VLOOKUP(B20,Table1[],9)*VLOOKUP(AB36,Table3[],5)*(1+INDEX(Table5[[Weapon Modifications]:[Cost]],MATCH(E20,Table5[Weapon Modifications],0),3)+INDEX(Table5[[Weapon Modifications]:[Cost]],MATCH(F20,Table5[Weapon Modifications],0),3)+INDEX(Table5[[Weapon Modifications]:[Cost]],MATCH(G20,Table5[Weapon Modifications],0),3))</f>
        <v>0</v>
      </c>
      <c r="AL36" t="str">
        <f>VLOOKUP(AB36,Table3[],8)</f>
        <v/>
      </c>
      <c r="AM36">
        <f>IF(AND('Ship Info'!$F$7,'Ship Info'!$C$5&gt;=100),1,IF($B$4&gt;=100,1,0))</f>
        <v>1</v>
      </c>
      <c r="AN36">
        <f>IF(B20=$Z$2,$AM$28,VLOOKUP(B20,Table4[],2))</f>
        <v>1</v>
      </c>
      <c r="AO36">
        <f t="shared" si="8"/>
        <v>0</v>
      </c>
      <c r="AP36">
        <f>VLOOKUP(B20,Table1[],6)*D20</f>
        <v>0</v>
      </c>
      <c r="AQ36" s="46" t="str">
        <f>IF(AA36="","",IF(B$4&lt;100,INDEX($U$64:$V$72,MATCH(VLOOKUP(AB36,Table3[],4)+AS36,$U$64:$U$72,0),2),INDEX($U$64:$V$72,MATCH(VLOOKUP(AB36,Table3[],3)+AS36,$U$64:$U$72,0),2)))</f>
        <v/>
      </c>
      <c r="AR36" t="str">
        <f>IF(D14="Yes","See Notes",INDEX(Table3[],MATCH(C20,Table3[Weapon],0),6)&amp;IF(VLOOKUP(AB36,Table3[],10)=0,IF(VLOOKUP(B20,Table1[],10)=0,"","+"&amp;LEFT(VLOOKUP(C20,Table3[],6),1)*VLOOKUP(B20,Table1[],10)),""))</f>
        <v/>
      </c>
      <c r="AS36">
        <f>IF(OR(AF36=$AI$66,AG36=$AI$66,AH36=$AI$66),1,0)</f>
        <v>0</v>
      </c>
      <c r="AT36" s="92"/>
      <c r="AU36" s="2"/>
      <c r="AV36" s="2"/>
      <c r="AW36" s="2"/>
      <c r="AX36" s="2"/>
      <c r="AY36" s="2"/>
      <c r="AZ36" s="88"/>
      <c r="BA36" s="2"/>
      <c r="BB36" s="2" t="s">
        <v>1571</v>
      </c>
      <c r="BC36" s="2">
        <v>10</v>
      </c>
      <c r="BD36" s="2">
        <v>4</v>
      </c>
      <c r="BE36" s="2"/>
      <c r="BF36" s="2">
        <v>15</v>
      </c>
      <c r="BG36" s="2" t="s">
        <v>1579</v>
      </c>
      <c r="BH36" s="10">
        <v>1500000</v>
      </c>
      <c r="BI36" s="2"/>
      <c r="BJ36" s="2"/>
      <c r="BK36" s="2">
        <v>1</v>
      </c>
      <c r="BL36" s="2">
        <v>4</v>
      </c>
      <c r="BM36" s="2">
        <f t="shared" si="9"/>
        <v>1</v>
      </c>
      <c r="BN36" s="2">
        <f t="shared" si="10"/>
        <v>1</v>
      </c>
      <c r="BO36" s="2">
        <f t="shared" si="11"/>
        <v>0</v>
      </c>
      <c r="BP36" s="2">
        <f t="shared" si="12"/>
        <v>2</v>
      </c>
      <c r="BQ36" s="2">
        <f t="shared" si="13"/>
        <v>2</v>
      </c>
      <c r="BR36" s="2">
        <f t="shared" si="14"/>
        <v>2</v>
      </c>
      <c r="BS36" s="2">
        <f t="shared" si="15"/>
        <v>0</v>
      </c>
      <c r="BT36" s="2">
        <v>0</v>
      </c>
    </row>
    <row r="37" spans="1:72" ht="15" thickBot="1" x14ac:dyDescent="0.35">
      <c r="B37" s="153"/>
      <c r="C37" s="221" t="s">
        <v>384</v>
      </c>
      <c r="D37" s="334">
        <f>IF(B36=Z122,ROUNDUP(0.1*Tonnage/100,0)+D36,IF(D36=0,0,ROUNDUP(Z154/100,0)))</f>
        <v>0</v>
      </c>
      <c r="E37" s="844" t="s">
        <v>1146</v>
      </c>
      <c r="F37" s="844"/>
      <c r="G37" s="153"/>
      <c r="H37" s="168"/>
      <c r="I37" s="168"/>
      <c r="J37" s="168"/>
      <c r="K37" s="153"/>
      <c r="L37" s="153"/>
      <c r="M37" s="153"/>
      <c r="N37" s="153"/>
      <c r="O37" s="153"/>
      <c r="P37" s="153"/>
      <c r="Q37" s="153"/>
      <c r="R37" s="153"/>
      <c r="S37" s="848"/>
      <c r="V37" t="str">
        <f>IF('Ship Info'!$F$7,IF('Ship Info'!$C$5&lt;100,'8a-Weapons'!W37,'8a-Weapons'!X37), IF(Tonnage&lt;100,W37,X37))</f>
        <v>HP10</v>
      </c>
      <c r="W37" t="s">
        <v>60</v>
      </c>
      <c r="X37" s="46" t="s">
        <v>349</v>
      </c>
      <c r="Y37" s="92" t="str">
        <f t="shared" si="6"/>
        <v>HP10</v>
      </c>
      <c r="Z37" s="2" t="str">
        <f>VLOOKUP(B21,Table1[],12)</f>
        <v/>
      </c>
      <c r="AA37" s="2" t="str">
        <f t="shared" si="7"/>
        <v/>
      </c>
      <c r="AB37" s="16" t="str">
        <f t="shared" si="17"/>
        <v/>
      </c>
      <c r="AC37" s="2"/>
      <c r="AD37" s="2"/>
      <c r="AE37" s="2"/>
      <c r="AF37" s="16" t="str">
        <f>IF(E21="A Standard","",INDEX(Table5[[Weapon Modifications]:[Mod Name]],MATCH(E21,Table5[Weapon Modifications],0),10)&amp;IF(AND(E21=G21,E21=F21)," x3",IF(OR(E21=F21,E21=G21)," x2","")))</f>
        <v/>
      </c>
      <c r="AG37" s="16" t="str">
        <f>IF(F21="A Standard","",IF(E21=F21,"",IF(AF37="","",", ")&amp;INDEX(Table5[[Weapon Modifications]:[Mod Name]],MATCH(F21,Table5[Weapon Modifications],0),10)&amp;IF(F21=G21," x2","")))</f>
        <v/>
      </c>
      <c r="AH37" s="16" t="str">
        <f>IF(G21="A Standard","",IF(OR(G21=E21,G21=F21),"", IF(AND(AF37="",AG37=""),"",", ")&amp;INDEX(Table5[[Weapon Modifications]:[Mod Name]],MATCH(G21,Table5[Weapon Modifications],0),10)))</f>
        <v/>
      </c>
      <c r="AI37" s="10">
        <f>D21*VLOOKUP(B21,Table1[],5)+D21*(VLOOKUP(C21,Table3[],7)*VLOOKUP(B21,Table1[],9))*(1+IF(SUM(INDEX(Table5[[Weapon Modifications]:[Cost]],MATCH(E21,Table5[Weapon Modifications],0),5),INDEX(Table5[[Weapon Modifications]:[Cost]],MATCH(F21,Table5[Weapon Modifications],0),5),INDEX(Table5[[Weapon Modifications]:[Cost]],MATCH(G21,Table5[Weapon Modifications],0),5))=0,VLOOKUP(H21,$AC$17:$AD$20,2),INDEX(Table5[[Weapon Modifications]:[Cost]],MATCH(E21,Table5[Weapon Modifications],0),5)+INDEX(Table5[[Weapon Modifications]:[Cost]],MATCH(F21,Table5[Weapon Modifications],0),5)+INDEX(Table5[[Weapon Modifications]:[Cost]],MATCH(G21,Table5[Weapon Modifications],0),5)))</f>
        <v>0</v>
      </c>
      <c r="AJ37" s="2">
        <f>D21*VLOOKUP(B21,Table1[],4)*(1+INDEX(Table5[[Weapon Modifications]:[Cost]],MATCH(E21,Table5[Weapon Modifications],0),4)+INDEX(Table5[[Weapon Modifications]:[Cost]],MATCH(F21,Table5[Weapon Modifications],0),4)+INDEX(Table5[[Weapon Modifications]:[Cost]],MATCH(G21,Table5[Weapon Modifications],0),4))</f>
        <v>0</v>
      </c>
      <c r="AK37" s="2">
        <f>D21*VLOOKUP(B21,Table1[],3)+D21*VLOOKUP(B21,Table1[],9)*VLOOKUP(AB37,Table3[],5)*(1+INDEX(Table5[[Weapon Modifications]:[Cost]],MATCH(E21,Table5[Weapon Modifications],0),3)+INDEX(Table5[[Weapon Modifications]:[Cost]],MATCH(F21,Table5[Weapon Modifications],0),3)+INDEX(Table5[[Weapon Modifications]:[Cost]],MATCH(G21,Table5[Weapon Modifications],0),3))</f>
        <v>0</v>
      </c>
      <c r="AL37" t="str">
        <f>VLOOKUP(AB37,Table3[],8)</f>
        <v/>
      </c>
      <c r="AM37">
        <f>IF(AND('Ship Info'!$F$7,'Ship Info'!$C$5&gt;=100),1,IF($B$4&gt;=100,1,0))</f>
        <v>1</v>
      </c>
      <c r="AN37">
        <f>IF(B21=$Z$2,$AM$28,VLOOKUP(B21,Table4[],2))</f>
        <v>1</v>
      </c>
      <c r="AO37">
        <f t="shared" si="8"/>
        <v>0</v>
      </c>
      <c r="AP37">
        <f>VLOOKUP(B21,Table1[],6)*D21</f>
        <v>0</v>
      </c>
      <c r="AQ37" s="46" t="str">
        <f>IF(AA37="","",IF(B$4&lt;100,INDEX($U$64:$V$72,MATCH(VLOOKUP(AB37,Table3[],4)+AS37,$U$64:$U$72,0),2),INDEX($U$64:$V$72,MATCH(VLOOKUP(AB37,Table3[],3)+AS37,$U$64:$U$72,0),2)))</f>
        <v/>
      </c>
      <c r="AR37" t="str">
        <f>IF(D15="Yes","See Notes",INDEX(Table3[],MATCH(C21,Table3[Weapon],0),6)&amp;IF(VLOOKUP(AB37,Table3[],10)=0,IF(VLOOKUP(B21,Table1[],10)=0,"","+"&amp;LEFT(VLOOKUP(C21,Table3[],6),1)*VLOOKUP(B21,Table1[],10)),""))</f>
        <v/>
      </c>
      <c r="AS37">
        <f t="shared" si="16"/>
        <v>0</v>
      </c>
      <c r="AT37" s="92"/>
      <c r="AU37" s="2"/>
      <c r="AV37" s="2"/>
      <c r="AW37" s="2"/>
      <c r="AX37" s="2"/>
      <c r="AY37" s="2"/>
      <c r="AZ37" s="88"/>
      <c r="BA37" s="2"/>
      <c r="BB37" s="2" t="s">
        <v>1575</v>
      </c>
      <c r="BC37" s="2">
        <v>10</v>
      </c>
      <c r="BD37" s="2">
        <v>4</v>
      </c>
      <c r="BE37" s="2">
        <v>1</v>
      </c>
      <c r="BF37" s="2">
        <v>4</v>
      </c>
      <c r="BG37" s="2" t="s">
        <v>317</v>
      </c>
      <c r="BH37" s="10">
        <v>750000</v>
      </c>
      <c r="BI37" s="2" t="s">
        <v>1576</v>
      </c>
      <c r="BJ37" s="2"/>
      <c r="BK37" s="2"/>
      <c r="BL37" s="2">
        <v>1</v>
      </c>
      <c r="BM37" s="2">
        <f t="shared" si="9"/>
        <v>2</v>
      </c>
      <c r="BN37" s="2">
        <f t="shared" si="10"/>
        <v>1</v>
      </c>
      <c r="BO37" s="2">
        <f t="shared" si="11"/>
        <v>0</v>
      </c>
      <c r="BP37" s="2">
        <f t="shared" si="12"/>
        <v>2</v>
      </c>
      <c r="BQ37" s="2">
        <f t="shared" si="13"/>
        <v>2</v>
      </c>
      <c r="BR37" s="2">
        <f t="shared" si="14"/>
        <v>2</v>
      </c>
      <c r="BS37" s="2">
        <f t="shared" si="15"/>
        <v>0</v>
      </c>
      <c r="BT37" s="2">
        <v>0</v>
      </c>
    </row>
    <row r="38" spans="1:72" ht="15" thickBot="1" x14ac:dyDescent="0.35">
      <c r="B38" s="849" t="s">
        <v>2741</v>
      </c>
      <c r="C38" s="850"/>
      <c r="F38" s="171" t="s">
        <v>2172</v>
      </c>
      <c r="G38" s="158"/>
      <c r="H38" s="172"/>
      <c r="I38" s="172"/>
      <c r="J38" s="158" t="s">
        <v>1043</v>
      </c>
      <c r="K38" s="172"/>
      <c r="L38" s="172"/>
      <c r="M38" s="172"/>
      <c r="N38" s="172"/>
      <c r="O38" s="172"/>
      <c r="P38" s="173"/>
      <c r="Q38" s="69"/>
      <c r="R38" s="69"/>
      <c r="V38" t="str">
        <f>IF('Ship Info'!$F$7,IF('Ship Info'!$C$5&lt;100,'8a-Weapons'!W38,'8a-Weapons'!X38), IF(Tonnage&lt;100,W38,X38))</f>
        <v>HP11</v>
      </c>
      <c r="W38" t="s">
        <v>60</v>
      </c>
      <c r="X38" s="46" t="s">
        <v>350</v>
      </c>
      <c r="Y38" s="92" t="str">
        <f t="shared" si="6"/>
        <v>HP11</v>
      </c>
      <c r="Z38" s="2" t="str">
        <f>VLOOKUP(B22,Table1[],12)</f>
        <v/>
      </c>
      <c r="AA38" s="2" t="str">
        <f t="shared" si="7"/>
        <v/>
      </c>
      <c r="AB38" s="16" t="str">
        <f t="shared" si="17"/>
        <v/>
      </c>
      <c r="AC38" s="2"/>
      <c r="AD38" s="2"/>
      <c r="AE38" s="2"/>
      <c r="AF38" s="16" t="str">
        <f>IF(E22="A Standard","",INDEX(Table5[[Weapon Modifications]:[Mod Name]],MATCH(E22,Table5[Weapon Modifications],0),10)&amp;IF(AND(E22=G22,E22=F22)," x3",IF(OR(E22=F22,E22=G22)," x2","")))</f>
        <v/>
      </c>
      <c r="AG38" s="16" t="str">
        <f>IF(F22="A Standard","",IF(E22=F22,"",IF(AF38="","",", ")&amp;INDEX(Table5[[Weapon Modifications]:[Mod Name]],MATCH(F22,Table5[Weapon Modifications],0),10)&amp;IF(F22=G22," x2","")))</f>
        <v/>
      </c>
      <c r="AH38" s="16" t="str">
        <f>IF(G22="A Standard","",IF(OR(G22=E22,G22=F22),"", IF(AND(AF38="",AG38=""),"",", ")&amp;INDEX(Table5[[Weapon Modifications]:[Mod Name]],MATCH(G22,Table5[Weapon Modifications],0),10)))</f>
        <v/>
      </c>
      <c r="AI38" s="10">
        <f>D22*VLOOKUP(B22,Table1[],5)+D22*(VLOOKUP(C22,Table3[],7)*VLOOKUP(B22,Table1[],9))*(1+IF(SUM(INDEX(Table5[[Weapon Modifications]:[Cost]],MATCH(E22,Table5[Weapon Modifications],0),5),INDEX(Table5[[Weapon Modifications]:[Cost]],MATCH(F22,Table5[Weapon Modifications],0),5),INDEX(Table5[[Weapon Modifications]:[Cost]],MATCH(G22,Table5[Weapon Modifications],0),5))=0,VLOOKUP(H22,$AC$17:$AD$20,2),INDEX(Table5[[Weapon Modifications]:[Cost]],MATCH(E22,Table5[Weapon Modifications],0),5)+INDEX(Table5[[Weapon Modifications]:[Cost]],MATCH(F22,Table5[Weapon Modifications],0),5)+INDEX(Table5[[Weapon Modifications]:[Cost]],MATCH(G22,Table5[Weapon Modifications],0),5)))</f>
        <v>0</v>
      </c>
      <c r="AJ38" s="2">
        <f>D22*VLOOKUP(B22,Table1[],4)*(1+INDEX(Table5[[Weapon Modifications]:[Cost]],MATCH(E22,Table5[Weapon Modifications],0),4)+INDEX(Table5[[Weapon Modifications]:[Cost]],MATCH(F22,Table5[Weapon Modifications],0),4)+INDEX(Table5[[Weapon Modifications]:[Cost]],MATCH(G22,Table5[Weapon Modifications],0),4))</f>
        <v>0</v>
      </c>
      <c r="AK38" s="2">
        <f>D22*VLOOKUP(B22,Table1[],3)+D22*VLOOKUP(B22,Table1[],9)*VLOOKUP(AB38,Table3[],5)*(1+INDEX(Table5[[Weapon Modifications]:[Cost]],MATCH(E22,Table5[Weapon Modifications],0),3)+INDEX(Table5[[Weapon Modifications]:[Cost]],MATCH(F22,Table5[Weapon Modifications],0),3)+INDEX(Table5[[Weapon Modifications]:[Cost]],MATCH(G22,Table5[Weapon Modifications],0),3))</f>
        <v>0</v>
      </c>
      <c r="AL38" t="str">
        <f>VLOOKUP(AB38,Table3[],8)</f>
        <v/>
      </c>
      <c r="AM38">
        <f>IF(AND('Ship Info'!$F$7,'Ship Info'!$C$5&gt;=100),1,IF($B$4&gt;=100,1,0))</f>
        <v>1</v>
      </c>
      <c r="AN38">
        <f>IF(B22=$Z$2,$AM$28,VLOOKUP(B22,Table4[],2))</f>
        <v>1</v>
      </c>
      <c r="AO38">
        <f t="shared" si="8"/>
        <v>0</v>
      </c>
      <c r="AP38">
        <f>VLOOKUP(B22,Table1[],6)*D22</f>
        <v>0</v>
      </c>
      <c r="AQ38" s="46" t="str">
        <f>IF(AA38="","",IF(B$4&lt;100,INDEX($U$64:$V$72,MATCH(VLOOKUP(AB38,Table3[],4)+AS38,$U$64:$U$72,0),2),INDEX($U$64:$V$72,MATCH(VLOOKUP(AB38,Table3[],3)+AS38,$U$64:$U$72,0),2)))</f>
        <v/>
      </c>
      <c r="AR38" t="str">
        <f>IF(D16="Yes","See Notes",INDEX(Table3[],MATCH(C22,Table3[Weapon],0),6)&amp;IF(VLOOKUP(AB38,Table3[],10)=0,IF(VLOOKUP(B22,Table1[],10)=0,"","+"&amp;LEFT(VLOOKUP(C22,Table3[],6),1)*VLOOKUP(B22,Table1[],10)),""))</f>
        <v/>
      </c>
      <c r="AS38">
        <f t="shared" si="16"/>
        <v>0</v>
      </c>
      <c r="AT38" s="92"/>
      <c r="AU38" s="2"/>
      <c r="AV38" s="2"/>
      <c r="AW38" s="2"/>
      <c r="AX38" s="2"/>
      <c r="AY38" s="2"/>
      <c r="AZ38" s="88"/>
      <c r="BA38" s="2"/>
      <c r="BB38" s="2" t="s">
        <v>1482</v>
      </c>
      <c r="BC38" s="2">
        <v>12</v>
      </c>
      <c r="BD38" s="2">
        <v>4</v>
      </c>
      <c r="BE38" s="2"/>
      <c r="BF38" s="2">
        <v>45</v>
      </c>
      <c r="BG38" s="2" t="s">
        <v>1487</v>
      </c>
      <c r="BH38" s="10">
        <v>12000000</v>
      </c>
      <c r="BI38" s="2" t="s">
        <v>1486</v>
      </c>
      <c r="BJ38" s="2"/>
      <c r="BK38" s="2"/>
      <c r="BL38" s="2">
        <v>7</v>
      </c>
      <c r="BM38" s="2">
        <f t="shared" si="9"/>
        <v>2</v>
      </c>
      <c r="BN38" s="2">
        <f t="shared" si="10"/>
        <v>1</v>
      </c>
      <c r="BO38" s="2">
        <f t="shared" si="11"/>
        <v>0</v>
      </c>
      <c r="BP38" s="2">
        <f t="shared" si="12"/>
        <v>2</v>
      </c>
      <c r="BQ38" s="2">
        <f t="shared" si="13"/>
        <v>2</v>
      </c>
      <c r="BR38" s="2">
        <f t="shared" si="14"/>
        <v>2</v>
      </c>
      <c r="BS38" s="2">
        <f t="shared" si="15"/>
        <v>1</v>
      </c>
      <c r="BT38" s="2">
        <v>0</v>
      </c>
    </row>
    <row r="39" spans="1:72" ht="15" thickBot="1" x14ac:dyDescent="0.35">
      <c r="F39" s="174"/>
      <c r="G39" s="175" t="s">
        <v>2173</v>
      </c>
      <c r="H39" s="175" t="s">
        <v>26</v>
      </c>
      <c r="I39" s="175" t="s">
        <v>110</v>
      </c>
      <c r="J39" s="175" t="s">
        <v>1040</v>
      </c>
      <c r="K39" s="175" t="s">
        <v>310</v>
      </c>
      <c r="L39" s="175" t="s">
        <v>1044</v>
      </c>
      <c r="M39" s="175" t="s">
        <v>312</v>
      </c>
      <c r="N39" s="175" t="s">
        <v>375</v>
      </c>
      <c r="O39" s="175" t="s">
        <v>685</v>
      </c>
      <c r="P39" s="176"/>
      <c r="Q39" s="68"/>
      <c r="R39" s="843"/>
      <c r="S39" s="843"/>
      <c r="V39" t="str">
        <f>IF('Ship Info'!$F$7,IF('Ship Info'!$C$5&lt;100,'8a-Weapons'!W39,'8a-Weapons'!X39), IF(Tonnage&lt;100,W39,X39))</f>
        <v>HP12</v>
      </c>
      <c r="W39" t="s">
        <v>60</v>
      </c>
      <c r="X39" s="46" t="s">
        <v>351</v>
      </c>
      <c r="Y39" s="92" t="str">
        <f t="shared" si="6"/>
        <v>HP12</v>
      </c>
      <c r="Z39" s="2" t="str">
        <f>VLOOKUP(B23,Table1[],12)</f>
        <v/>
      </c>
      <c r="AA39" s="2" t="str">
        <f t="shared" si="7"/>
        <v/>
      </c>
      <c r="AB39" s="16" t="str">
        <f t="shared" si="17"/>
        <v/>
      </c>
      <c r="AC39" s="2"/>
      <c r="AD39" s="2"/>
      <c r="AE39" s="2"/>
      <c r="AF39" s="16" t="str">
        <f>IF(E23="A Standard","",INDEX(Table5[[Weapon Modifications]:[Mod Name]],MATCH(E23,Table5[Weapon Modifications],0),10)&amp;IF(AND(E23=G23,E23=F23)," x3",IF(OR(E23=F23,E23=G23)," x2","")))</f>
        <v/>
      </c>
      <c r="AG39" s="16" t="str">
        <f>IF(F23="A Standard","",IF(E23=F23,"",IF(AF39="","",", ")&amp;INDEX(Table5[[Weapon Modifications]:[Mod Name]],MATCH(F23,Table5[Weapon Modifications],0),10)&amp;IF(F23=G23," x2","")))</f>
        <v/>
      </c>
      <c r="AH39" s="16" t="str">
        <f>IF(G23="A Standard","",IF(OR(G23=E23,G23=F23),"", IF(AND(AF39="",AG39=""),"",", ")&amp;INDEX(Table5[[Weapon Modifications]:[Mod Name]],MATCH(G23,Table5[Weapon Modifications],0),10)))</f>
        <v/>
      </c>
      <c r="AI39" s="10">
        <f>D23*VLOOKUP(B23,Table1[],5)+D23*(VLOOKUP(C23,Table3[],7)*VLOOKUP(B23,Table1[],9))*(1+IF(SUM(INDEX(Table5[[Weapon Modifications]:[Cost]],MATCH(E23,Table5[Weapon Modifications],0),5),INDEX(Table5[[Weapon Modifications]:[Cost]],MATCH(F23,Table5[Weapon Modifications],0),5),INDEX(Table5[[Weapon Modifications]:[Cost]],MATCH(G23,Table5[Weapon Modifications],0),5))=0,VLOOKUP(H23,$AC$17:$AD$20,2),INDEX(Table5[[Weapon Modifications]:[Cost]],MATCH(E23,Table5[Weapon Modifications],0),5)+INDEX(Table5[[Weapon Modifications]:[Cost]],MATCH(F23,Table5[Weapon Modifications],0),5)+INDEX(Table5[[Weapon Modifications]:[Cost]],MATCH(G23,Table5[Weapon Modifications],0),5)))</f>
        <v>0</v>
      </c>
      <c r="AJ39" s="2">
        <f>D23*VLOOKUP(B23,Table1[],4)*(1+INDEX(Table5[[Weapon Modifications]:[Cost]],MATCH(E23,Table5[Weapon Modifications],0),4)+INDEX(Table5[[Weapon Modifications]:[Cost]],MATCH(F23,Table5[Weapon Modifications],0),4)+INDEX(Table5[[Weapon Modifications]:[Cost]],MATCH(G23,Table5[Weapon Modifications],0),4))</f>
        <v>0</v>
      </c>
      <c r="AK39" s="2">
        <f>D23*VLOOKUP(B23,Table1[],3)+D23*VLOOKUP(B23,Table1[],9)*VLOOKUP(AB39,Table3[],5)*(1+INDEX(Table5[[Weapon Modifications]:[Cost]],MATCH(E23,Table5[Weapon Modifications],0),3)+INDEX(Table5[[Weapon Modifications]:[Cost]],MATCH(F23,Table5[Weapon Modifications],0),3)+INDEX(Table5[[Weapon Modifications]:[Cost]],MATCH(G23,Table5[Weapon Modifications],0),3))</f>
        <v>0</v>
      </c>
      <c r="AL39" t="str">
        <f>VLOOKUP(AB39,Table3[],8)</f>
        <v/>
      </c>
      <c r="AM39">
        <f>IF(AND('Ship Info'!$F$7,'Ship Info'!$C$5&gt;=100),1,IF($B$4&gt;=100,1,0))</f>
        <v>1</v>
      </c>
      <c r="AN39">
        <f>IF(B23=$Z$2,$AM$28,VLOOKUP(B23,Table4[],2))</f>
        <v>1</v>
      </c>
      <c r="AO39">
        <f t="shared" si="8"/>
        <v>0</v>
      </c>
      <c r="AP39">
        <f>VLOOKUP(B23,Table1[],6)*D23</f>
        <v>0</v>
      </c>
      <c r="AQ39" s="46" t="str">
        <f>IF(AA39="","",IF(B$4&lt;100,INDEX($U$64:$V$72,MATCH(VLOOKUP(AB39,Table3[],4)+AS39,$U$64:$U$72,0),2),INDEX($U$64:$V$72,MATCH(VLOOKUP(AB39,Table3[],3)+AS39,$U$64:$U$72,0),2)))</f>
        <v/>
      </c>
      <c r="AR39" t="str">
        <f>IF(D17="Yes","See Notes",INDEX(Table3[],MATCH(C23,Table3[Weapon],0),6)&amp;IF(VLOOKUP(AB39,Table3[],10)=0,IF(VLOOKUP(B23,Table1[],10)=0,"","+"&amp;LEFT(VLOOKUP(C23,Table3[],6),1)*VLOOKUP(B23,Table1[],10)),""))</f>
        <v/>
      </c>
      <c r="AS39">
        <f t="shared" si="16"/>
        <v>0</v>
      </c>
      <c r="AT39" s="92"/>
      <c r="AU39" s="2"/>
      <c r="AV39" s="2"/>
      <c r="AW39" s="2"/>
      <c r="AX39" s="2"/>
      <c r="AY39" s="2"/>
      <c r="AZ39" s="88"/>
      <c r="BA39" s="2"/>
      <c r="BB39" s="2" t="s">
        <v>1481</v>
      </c>
      <c r="BC39" s="2">
        <v>10</v>
      </c>
      <c r="BD39" s="2">
        <v>4</v>
      </c>
      <c r="BE39" s="2"/>
      <c r="BF39" s="2">
        <v>35</v>
      </c>
      <c r="BG39" s="2" t="s">
        <v>1488</v>
      </c>
      <c r="BH39" s="10">
        <v>10000000</v>
      </c>
      <c r="BI39" s="2" t="s">
        <v>1485</v>
      </c>
      <c r="BJ39" s="2"/>
      <c r="BK39" s="2"/>
      <c r="BL39" s="2">
        <v>7</v>
      </c>
      <c r="BM39" s="2">
        <f t="shared" si="9"/>
        <v>2</v>
      </c>
      <c r="BN39" s="2">
        <f t="shared" si="10"/>
        <v>1</v>
      </c>
      <c r="BO39" s="2">
        <f t="shared" si="11"/>
        <v>0</v>
      </c>
      <c r="BP39" s="2">
        <f t="shared" si="12"/>
        <v>2</v>
      </c>
      <c r="BQ39" s="2">
        <f t="shared" si="13"/>
        <v>2</v>
      </c>
      <c r="BR39" s="2">
        <f t="shared" si="14"/>
        <v>2</v>
      </c>
      <c r="BS39" s="2">
        <f t="shared" si="15"/>
        <v>2</v>
      </c>
      <c r="BT39" s="2">
        <v>0</v>
      </c>
    </row>
    <row r="40" spans="1:72" ht="15" thickBot="1" x14ac:dyDescent="0.35">
      <c r="C40" s="156" t="s">
        <v>2744</v>
      </c>
      <c r="D40" s="196" t="s">
        <v>93</v>
      </c>
      <c r="F40" s="177" t="s">
        <v>1046</v>
      </c>
      <c r="G40" s="196"/>
      <c r="H40" s="218">
        <v>0</v>
      </c>
      <c r="I40" s="232">
        <v>0</v>
      </c>
      <c r="J40" s="232">
        <v>0</v>
      </c>
      <c r="K40" s="232">
        <v>0</v>
      </c>
      <c r="L40" s="219">
        <v>0</v>
      </c>
      <c r="M40" s="197">
        <v>1</v>
      </c>
      <c r="N40" s="197">
        <v>0</v>
      </c>
      <c r="O40" s="197">
        <v>0</v>
      </c>
      <c r="Q40" s="69"/>
      <c r="R40" s="841"/>
      <c r="S40" s="841"/>
      <c r="V40" t="str">
        <f>IF('Ship Info'!$F$7,IF('Ship Info'!$C$5&lt;100,'8a-Weapons'!W40,'8a-Weapons'!X40), IF(Tonnage&lt;100,W40,X40))</f>
        <v>HP13</v>
      </c>
      <c r="W40" t="s">
        <v>60</v>
      </c>
      <c r="X40" s="46" t="s">
        <v>352</v>
      </c>
      <c r="Y40" s="92" t="str">
        <f t="shared" si="6"/>
        <v>HP13</v>
      </c>
      <c r="Z40" s="2" t="str">
        <f>VLOOKUP(B24,Table1[],12)</f>
        <v/>
      </c>
      <c r="AA40" s="2" t="str">
        <f t="shared" si="7"/>
        <v/>
      </c>
      <c r="AB40" s="16" t="str">
        <f t="shared" si="17"/>
        <v/>
      </c>
      <c r="AC40" s="2"/>
      <c r="AD40" s="2"/>
      <c r="AE40" s="2"/>
      <c r="AF40" s="16" t="str">
        <f>IF(E24="A Standard","",INDEX(Table5[[Weapon Modifications]:[Mod Name]],MATCH(E24,Table5[Weapon Modifications],0),10)&amp;IF(AND(E24=G24,E24=F24)," x3",IF(OR(E24=F24,E24=G24)," x2","")))</f>
        <v/>
      </c>
      <c r="AG40" s="16" t="str">
        <f>IF(F24="A Standard","",IF(E24=F24,"",IF(AF40="","",", ")&amp;INDEX(Table5[[Weapon Modifications]:[Mod Name]],MATCH(F24,Table5[Weapon Modifications],0),10)&amp;IF(F24=G24," x2","")))</f>
        <v/>
      </c>
      <c r="AH40" s="16" t="str">
        <f>IF(G24="A Standard","",IF(OR(G24=E24,G24=F24),"", IF(AND(AF40="",AG40=""),"",", ")&amp;INDEX(Table5[[Weapon Modifications]:[Mod Name]],MATCH(G24,Table5[Weapon Modifications],0),10)))</f>
        <v/>
      </c>
      <c r="AI40" s="10">
        <f>D24*VLOOKUP(B24,Table1[],5)+D24*(VLOOKUP(C24,Table3[],7)*VLOOKUP(B24,Table1[],9))*(1+IF(SUM(INDEX(Table5[[Weapon Modifications]:[Cost]],MATCH(E24,Table5[Weapon Modifications],0),5),INDEX(Table5[[Weapon Modifications]:[Cost]],MATCH(F24,Table5[Weapon Modifications],0),5),INDEX(Table5[[Weapon Modifications]:[Cost]],MATCH(G24,Table5[Weapon Modifications],0),5))=0,VLOOKUP(H24,$AC$17:$AD$20,2),INDEX(Table5[[Weapon Modifications]:[Cost]],MATCH(E24,Table5[Weapon Modifications],0),5)+INDEX(Table5[[Weapon Modifications]:[Cost]],MATCH(F24,Table5[Weapon Modifications],0),5)+INDEX(Table5[[Weapon Modifications]:[Cost]],MATCH(G24,Table5[Weapon Modifications],0),5)))</f>
        <v>0</v>
      </c>
      <c r="AJ40" s="2">
        <f>D24*VLOOKUP(B24,Table1[],4)*(1+INDEX(Table5[[Weapon Modifications]:[Cost]],MATCH(E24,Table5[Weapon Modifications],0),4)+INDEX(Table5[[Weapon Modifications]:[Cost]],MATCH(F24,Table5[Weapon Modifications],0),4)+INDEX(Table5[[Weapon Modifications]:[Cost]],MATCH(G24,Table5[Weapon Modifications],0),4))</f>
        <v>0</v>
      </c>
      <c r="AK40" s="2">
        <f>D24*VLOOKUP(B24,Table1[],3)+D24*VLOOKUP(B24,Table1[],9)*VLOOKUP(AB40,Table3[],5)*(1+INDEX(Table5[[Weapon Modifications]:[Cost]],MATCH(E24,Table5[Weapon Modifications],0),3)+INDEX(Table5[[Weapon Modifications]:[Cost]],MATCH(F24,Table5[Weapon Modifications],0),3)+INDEX(Table5[[Weapon Modifications]:[Cost]],MATCH(G24,Table5[Weapon Modifications],0),3))</f>
        <v>0</v>
      </c>
      <c r="AL40" t="str">
        <f>VLOOKUP(AB40,Table3[],8)</f>
        <v/>
      </c>
      <c r="AM40">
        <f>IF(AND('Ship Info'!$F$7,'Ship Info'!$C$5&gt;=100),1,IF($B$4&gt;=100,1,0))</f>
        <v>1</v>
      </c>
      <c r="AN40">
        <f>IF(B24=$Z$2,$AM$28,VLOOKUP(B24,Table4[],2))</f>
        <v>1</v>
      </c>
      <c r="AO40">
        <f t="shared" si="8"/>
        <v>0</v>
      </c>
      <c r="AP40">
        <f>VLOOKUP(B24,Table1[],6)*D24</f>
        <v>0</v>
      </c>
      <c r="AQ40" s="46" t="str">
        <f>IF(AA40="","",IF(B$4&lt;100,INDEX($U$64:$V$72,MATCH(VLOOKUP(AB40,Table3[],4)+AS40,$U$64:$U$72,0),2),INDEX($U$64:$V$72,MATCH(VLOOKUP(AB40,Table3[],3)+AS40,$U$64:$U$72,0),2)))</f>
        <v/>
      </c>
      <c r="AR40" t="str">
        <f>IF(D18="Yes","See Notes",INDEX(Table3[],MATCH(C24,Table3[Weapon],0),6)&amp;IF(VLOOKUP(AB40,Table3[],10)=0,IF(VLOOKUP(B24,Table1[],10)=0,"","+"&amp;LEFT(VLOOKUP(C24,Table3[],6),1)*VLOOKUP(B24,Table1[],10)),""))</f>
        <v/>
      </c>
      <c r="AS40">
        <f t="shared" si="16"/>
        <v>0</v>
      </c>
      <c r="AT40" s="92"/>
      <c r="AU40" s="2"/>
      <c r="AV40" s="2"/>
      <c r="AW40" s="2"/>
      <c r="AX40" s="2"/>
      <c r="AY40" s="2"/>
      <c r="AZ40" s="88"/>
      <c r="BA40" s="2"/>
      <c r="BB40" s="2" t="s">
        <v>626</v>
      </c>
      <c r="BC40" s="2">
        <v>12</v>
      </c>
      <c r="BD40" s="2">
        <v>4</v>
      </c>
      <c r="BE40" s="2">
        <v>1</v>
      </c>
      <c r="BF40" s="2">
        <v>20</v>
      </c>
      <c r="BG40" s="2" t="s">
        <v>1238</v>
      </c>
      <c r="BH40" s="10">
        <v>4000000</v>
      </c>
      <c r="BI40" s="2" t="s">
        <v>1247</v>
      </c>
      <c r="BJ40" s="2"/>
      <c r="BK40" s="2">
        <v>1</v>
      </c>
      <c r="BL40" s="2">
        <v>2</v>
      </c>
      <c r="BM40" s="2">
        <f t="shared" si="9"/>
        <v>2</v>
      </c>
      <c r="BN40" s="2">
        <f t="shared" si="10"/>
        <v>2</v>
      </c>
      <c r="BO40" s="2">
        <f t="shared" si="11"/>
        <v>0</v>
      </c>
      <c r="BP40" s="2">
        <f t="shared" si="12"/>
        <v>2</v>
      </c>
      <c r="BQ40" s="2">
        <f t="shared" si="13"/>
        <v>2</v>
      </c>
      <c r="BR40" s="2">
        <f t="shared" si="14"/>
        <v>2</v>
      </c>
      <c r="BS40" s="2">
        <f t="shared" si="15"/>
        <v>2</v>
      </c>
      <c r="BT40" s="2">
        <v>0</v>
      </c>
    </row>
    <row r="41" spans="1:72" x14ac:dyDescent="0.3">
      <c r="F41" s="178" t="s">
        <v>1045</v>
      </c>
      <c r="G41" s="179" t="s">
        <v>598</v>
      </c>
      <c r="H41" s="180">
        <v>8</v>
      </c>
      <c r="I41" s="338">
        <v>1</v>
      </c>
      <c r="J41" s="338">
        <v>1</v>
      </c>
      <c r="K41" s="338">
        <v>1</v>
      </c>
      <c r="L41" s="181">
        <v>500000</v>
      </c>
      <c r="M41" s="180">
        <v>1</v>
      </c>
      <c r="N41" s="180">
        <v>2</v>
      </c>
      <c r="O41" s="180" t="str">
        <f>"+1"</f>
        <v>+1</v>
      </c>
      <c r="P41" s="176"/>
      <c r="R41" s="841"/>
      <c r="S41" s="841"/>
      <c r="V41" t="str">
        <f>IF('Ship Info'!$F$7,IF('Ship Info'!$C$5&lt;100,'8a-Weapons'!W41,'8a-Weapons'!X41), IF(Tonnage&lt;100,W41,X41))</f>
        <v>HP14</v>
      </c>
      <c r="W41" t="s">
        <v>60</v>
      </c>
      <c r="X41" s="46" t="s">
        <v>353</v>
      </c>
      <c r="Y41" s="92" t="str">
        <f t="shared" si="6"/>
        <v>HP14</v>
      </c>
      <c r="Z41" s="2" t="str">
        <f>VLOOKUP(B25,Table1[],12)</f>
        <v/>
      </c>
      <c r="AA41" s="2" t="str">
        <f t="shared" si="7"/>
        <v/>
      </c>
      <c r="AB41" s="16" t="str">
        <f t="shared" si="17"/>
        <v/>
      </c>
      <c r="AC41" s="2"/>
      <c r="AD41" s="2"/>
      <c r="AE41" s="2"/>
      <c r="AF41" s="16" t="str">
        <f>IF(E25="A Standard","",INDEX(Table5[[Weapon Modifications]:[Mod Name]],MATCH(E25,Table5[Weapon Modifications],0),10)&amp;IF(AND(E25=G25,E25=F25)," x3",IF(OR(E25=F25,E25=G25)," x2","")))</f>
        <v/>
      </c>
      <c r="AG41" s="16" t="str">
        <f>IF(F25="A Standard","",IF(E25=F25,"",IF(AF41="","",", ")&amp;INDEX(Table5[[Weapon Modifications]:[Mod Name]],MATCH(F25,Table5[Weapon Modifications],0),10)&amp;IF(F25=G25," x2","")))</f>
        <v/>
      </c>
      <c r="AH41" s="16" t="str">
        <f>IF(G25="A Standard","",IF(OR(G25=E25,G25=F25),"", IF(AND(AF41="",AG41=""),"",", ")&amp;INDEX(Table5[[Weapon Modifications]:[Mod Name]],MATCH(G25,Table5[Weapon Modifications],0),10)))</f>
        <v/>
      </c>
      <c r="AI41" s="10">
        <f>D25*VLOOKUP(B25,Table1[],5)+D25*(VLOOKUP(C25,Table3[],7)*VLOOKUP(B25,Table1[],9))*(1+IF(SUM(INDEX(Table5[[Weapon Modifications]:[Cost]],MATCH(E25,Table5[Weapon Modifications],0),5),INDEX(Table5[[Weapon Modifications]:[Cost]],MATCH(F25,Table5[Weapon Modifications],0),5),INDEX(Table5[[Weapon Modifications]:[Cost]],MATCH(G25,Table5[Weapon Modifications],0),5))=0,VLOOKUP(H25,$AC$17:$AD$20,2),INDEX(Table5[[Weapon Modifications]:[Cost]],MATCH(E25,Table5[Weapon Modifications],0),5)+INDEX(Table5[[Weapon Modifications]:[Cost]],MATCH(F25,Table5[Weapon Modifications],0),5)+INDEX(Table5[[Weapon Modifications]:[Cost]],MATCH(G25,Table5[Weapon Modifications],0),5)))</f>
        <v>0</v>
      </c>
      <c r="AJ41" s="2">
        <f>D25*VLOOKUP(B25,Table1[],4)*(1+INDEX(Table5[[Weapon Modifications]:[Cost]],MATCH(E25,Table5[Weapon Modifications],0),4)+INDEX(Table5[[Weapon Modifications]:[Cost]],MATCH(F25,Table5[Weapon Modifications],0),4)+INDEX(Table5[[Weapon Modifications]:[Cost]],MATCH(G25,Table5[Weapon Modifications],0),4))</f>
        <v>0</v>
      </c>
      <c r="AK41" s="2">
        <f>D25*VLOOKUP(B25,Table1[],3)+D25*VLOOKUP(B25,Table1[],9)*VLOOKUP(AB41,Table3[],5)*(1+INDEX(Table5[[Weapon Modifications]:[Cost]],MATCH(E25,Table5[Weapon Modifications],0),3)+INDEX(Table5[[Weapon Modifications]:[Cost]],MATCH(F25,Table5[Weapon Modifications],0),3)+INDEX(Table5[[Weapon Modifications]:[Cost]],MATCH(G25,Table5[Weapon Modifications],0),3))</f>
        <v>0</v>
      </c>
      <c r="AL41" t="str">
        <f>VLOOKUP(AB41,Table3[],8)</f>
        <v/>
      </c>
      <c r="AM41">
        <f>IF(AND('Ship Info'!$F$7,'Ship Info'!$C$5&gt;=100),1,IF($B$4&gt;=100,1,0))</f>
        <v>1</v>
      </c>
      <c r="AN41">
        <f>IF(B25=$Z$2,$AM$28,VLOOKUP(B25,Table4[],2))</f>
        <v>1</v>
      </c>
      <c r="AO41">
        <f t="shared" si="8"/>
        <v>0</v>
      </c>
      <c r="AP41">
        <f>VLOOKUP(B25,Table1[],6)*D25</f>
        <v>0</v>
      </c>
      <c r="AQ41" s="46" t="str">
        <f>IF(AA41="","",IF(B$4&lt;100,INDEX($U$64:$V$72,MATCH(VLOOKUP(AB41,Table3[],4)+AS41,$U$64:$U$72,0),2),INDEX($U$64:$V$72,MATCH(VLOOKUP(AB41,Table3[],3)+AS41,$U$64:$U$72,0),2)))</f>
        <v/>
      </c>
      <c r="AR41" t="str">
        <f>IF(D19="Yes","See Notes",INDEX(Table3[],MATCH(C25,Table3[Weapon],0),6)&amp;IF(VLOOKUP(AB41,Table3[],10)=0,IF(VLOOKUP(B25,Table1[],10)=0,"","+"&amp;LEFT(VLOOKUP(C25,Table3[],6),1)*VLOOKUP(B25,Table1[],10)),""))</f>
        <v/>
      </c>
      <c r="AS41">
        <f t="shared" si="16"/>
        <v>0</v>
      </c>
      <c r="AT41" s="92"/>
      <c r="AU41" s="2"/>
      <c r="AV41" s="2"/>
      <c r="AW41" s="2"/>
      <c r="AX41" s="2"/>
      <c r="AY41" s="2"/>
      <c r="AZ41" s="88"/>
      <c r="BA41" s="2"/>
      <c r="BB41" s="2" t="s">
        <v>1497</v>
      </c>
      <c r="BC41" s="2">
        <v>14</v>
      </c>
      <c r="BD41" s="2">
        <v>4</v>
      </c>
      <c r="BE41" s="2">
        <v>1</v>
      </c>
      <c r="BF41" s="2">
        <v>12</v>
      </c>
      <c r="BG41" s="2" t="s">
        <v>319</v>
      </c>
      <c r="BH41" s="10">
        <v>2000000</v>
      </c>
      <c r="BI41" s="2" t="s">
        <v>325</v>
      </c>
      <c r="BJ41" s="2"/>
      <c r="BK41" s="2"/>
      <c r="BL41" s="2">
        <v>1</v>
      </c>
      <c r="BM41" s="2">
        <f t="shared" si="9"/>
        <v>3</v>
      </c>
      <c r="BN41" s="2">
        <f t="shared" si="10"/>
        <v>2</v>
      </c>
      <c r="BO41" s="2">
        <f t="shared" si="11"/>
        <v>0</v>
      </c>
      <c r="BP41" s="2">
        <f t="shared" si="12"/>
        <v>2</v>
      </c>
      <c r="BQ41" s="2">
        <f t="shared" si="13"/>
        <v>2</v>
      </c>
      <c r="BR41" s="2">
        <f t="shared" si="14"/>
        <v>2</v>
      </c>
      <c r="BS41" s="2">
        <f t="shared" si="15"/>
        <v>2</v>
      </c>
      <c r="BT41" s="2">
        <v>0</v>
      </c>
    </row>
    <row r="42" spans="1:72" x14ac:dyDescent="0.3">
      <c r="V42" t="str">
        <f>IF('Ship Info'!$F$7,IF('Ship Info'!$C$5&lt;100,'8a-Weapons'!W42,'8a-Weapons'!X42), IF(Tonnage&lt;100,W42,X42))</f>
        <v>HP15</v>
      </c>
      <c r="W42" t="s">
        <v>60</v>
      </c>
      <c r="X42" s="46" t="s">
        <v>354</v>
      </c>
      <c r="Y42" s="92" t="str">
        <f t="shared" si="6"/>
        <v>HP15</v>
      </c>
      <c r="Z42" s="2" t="str">
        <f>VLOOKUP(B26,Table1[],12)</f>
        <v/>
      </c>
      <c r="AA42" s="2" t="str">
        <f t="shared" si="7"/>
        <v/>
      </c>
      <c r="AB42" s="16" t="str">
        <f t="shared" si="17"/>
        <v/>
      </c>
      <c r="AC42" s="2"/>
      <c r="AD42" s="2"/>
      <c r="AE42" s="2"/>
      <c r="AF42" s="16" t="str">
        <f>IF(E26="A Standard","",INDEX(Table5[[Weapon Modifications]:[Mod Name]],MATCH(E26,Table5[Weapon Modifications],0),10)&amp;IF(AND(E26=G26,E26=F26)," x3",IF(OR(E26=F26,E26=G26)," x2","")))</f>
        <v/>
      </c>
      <c r="AG42" s="16" t="str">
        <f>IF(F26="A Standard","",IF(E26=F26,"",IF(AF42="","",", ")&amp;INDEX(Table5[[Weapon Modifications]:[Mod Name]],MATCH(F26,Table5[Weapon Modifications],0),10)&amp;IF(F26=G26," x2","")))</f>
        <v/>
      </c>
      <c r="AH42" s="16" t="str">
        <f>IF(G26="A Standard","",IF(OR(G26=E26,G26=F26),"", IF(AND(AF42="",AG42=""),"",", ")&amp;INDEX(Table5[[Weapon Modifications]:[Mod Name]],MATCH(G26,Table5[Weapon Modifications],0),10)))</f>
        <v/>
      </c>
      <c r="AI42" s="10">
        <f>D26*VLOOKUP(B26,Table1[],5)+D26*(VLOOKUP(C26,Table3[],7)*VLOOKUP(B26,Table1[],9))*(1+IF(SUM(INDEX(Table5[[Weapon Modifications]:[Cost]],MATCH(E26,Table5[Weapon Modifications],0),5),INDEX(Table5[[Weapon Modifications]:[Cost]],MATCH(F26,Table5[Weapon Modifications],0),5),INDEX(Table5[[Weapon Modifications]:[Cost]],MATCH(G26,Table5[Weapon Modifications],0),5))=0,VLOOKUP(H26,$AC$17:$AD$20,2),INDEX(Table5[[Weapon Modifications]:[Cost]],MATCH(E26,Table5[Weapon Modifications],0),5)+INDEX(Table5[[Weapon Modifications]:[Cost]],MATCH(F26,Table5[Weapon Modifications],0),5)+INDEX(Table5[[Weapon Modifications]:[Cost]],MATCH(G26,Table5[Weapon Modifications],0),5)))</f>
        <v>0</v>
      </c>
      <c r="AJ42" s="2">
        <f>D26*VLOOKUP(B26,Table1[],4)*(1+INDEX(Table5[[Weapon Modifications]:[Cost]],MATCH(E26,Table5[Weapon Modifications],0),4)+INDEX(Table5[[Weapon Modifications]:[Cost]],MATCH(F26,Table5[Weapon Modifications],0),4)+INDEX(Table5[[Weapon Modifications]:[Cost]],MATCH(G26,Table5[Weapon Modifications],0),4))</f>
        <v>0</v>
      </c>
      <c r="AK42" s="2">
        <f>D26*VLOOKUP(B26,Table1[],3)+D26*VLOOKUP(B26,Table1[],9)*VLOOKUP(AB42,Table3[],5)*(1+INDEX(Table5[[Weapon Modifications]:[Cost]],MATCH(E26,Table5[Weapon Modifications],0),3)+INDEX(Table5[[Weapon Modifications]:[Cost]],MATCH(F26,Table5[Weapon Modifications],0),3)+INDEX(Table5[[Weapon Modifications]:[Cost]],MATCH(G26,Table5[Weapon Modifications],0),3))</f>
        <v>0</v>
      </c>
      <c r="AL42" t="str">
        <f>VLOOKUP(AB42,Table3[],8)</f>
        <v/>
      </c>
      <c r="AM42">
        <f>IF(AND('Ship Info'!$F$7,'Ship Info'!$C$5&gt;=100),1,IF($B$4&gt;=100,1,0))</f>
        <v>1</v>
      </c>
      <c r="AN42">
        <f>IF(B26=$Z$2,$AM$28,VLOOKUP(B26,Table4[],2))</f>
        <v>1</v>
      </c>
      <c r="AO42">
        <f t="shared" si="8"/>
        <v>0</v>
      </c>
      <c r="AP42">
        <f>VLOOKUP(B26,Table1[],6)*D26</f>
        <v>0</v>
      </c>
      <c r="AQ42" s="46" t="str">
        <f>IF(AA42="","",IF(B$4&lt;100,INDEX($U$64:$V$72,MATCH(VLOOKUP(AB42,Table3[],4)+AS42,$U$64:$U$72,0),2),INDEX($U$64:$V$72,MATCH(VLOOKUP(AB42,Table3[],3)+AS42,$U$64:$U$72,0),2)))</f>
        <v/>
      </c>
      <c r="AR42" t="str">
        <f>IF(D20="Yes","See Notes",INDEX(Table3[],MATCH(C26,Table3[Weapon],0),6)&amp;IF(VLOOKUP(AB42,Table3[],10)=0,IF(VLOOKUP(B26,Table1[],10)=0,"","+"&amp;LEFT(VLOOKUP(C26,Table3[],6),1)*VLOOKUP(B26,Table1[],10)),""))</f>
        <v/>
      </c>
      <c r="AS42">
        <f t="shared" si="16"/>
        <v>0</v>
      </c>
      <c r="AT42" s="92"/>
      <c r="AU42" s="2"/>
      <c r="AV42" s="2"/>
      <c r="AW42" s="2"/>
      <c r="AX42" s="2"/>
      <c r="AY42" s="2"/>
      <c r="AZ42" s="88"/>
      <c r="BA42" s="2"/>
      <c r="BB42" s="131" t="s">
        <v>1490</v>
      </c>
      <c r="BC42" s="2">
        <v>12</v>
      </c>
      <c r="BD42" s="2">
        <v>5</v>
      </c>
      <c r="BE42" s="2"/>
      <c r="BF42" s="2">
        <v>100</v>
      </c>
      <c r="BG42" s="2" t="s">
        <v>1241</v>
      </c>
      <c r="BH42" s="10">
        <v>25000000</v>
      </c>
      <c r="BI42" s="2" t="str">
        <f>""</f>
        <v/>
      </c>
      <c r="BJ42" s="2"/>
      <c r="BK42" s="2">
        <v>1</v>
      </c>
      <c r="BL42" s="2">
        <v>6</v>
      </c>
      <c r="BM42" s="2">
        <f t="shared" si="9"/>
        <v>3</v>
      </c>
      <c r="BN42" s="2">
        <f t="shared" si="10"/>
        <v>2</v>
      </c>
      <c r="BO42" s="2">
        <f t="shared" si="11"/>
        <v>0</v>
      </c>
      <c r="BP42" s="2">
        <f t="shared" si="12"/>
        <v>2</v>
      </c>
      <c r="BQ42" s="2">
        <f t="shared" si="13"/>
        <v>2</v>
      </c>
      <c r="BR42" s="2">
        <f t="shared" si="14"/>
        <v>3</v>
      </c>
      <c r="BS42" s="2">
        <f t="shared" si="15"/>
        <v>2</v>
      </c>
      <c r="BT42" s="2">
        <v>0</v>
      </c>
    </row>
    <row r="43" spans="1:72" x14ac:dyDescent="0.3">
      <c r="V43" t="str">
        <f>IF('Ship Info'!$F$7,IF('Ship Info'!$C$5&lt;100,'8a-Weapons'!W43,'8a-Weapons'!X43), IF(Tonnage&lt;100,W43,X43))</f>
        <v>HP16</v>
      </c>
      <c r="W43" t="s">
        <v>60</v>
      </c>
      <c r="X43" s="46" t="s">
        <v>355</v>
      </c>
      <c r="Y43" s="92" t="str">
        <f t="shared" si="6"/>
        <v>HP16</v>
      </c>
      <c r="Z43" s="2" t="str">
        <f>VLOOKUP(B27,Table1[],12)</f>
        <v/>
      </c>
      <c r="AA43" s="2" t="str">
        <f>IF(OR(Z43=0,Z43=""),"",D27)</f>
        <v/>
      </c>
      <c r="AB43" s="16" t="str">
        <f t="shared" si="17"/>
        <v/>
      </c>
      <c r="AC43" s="2"/>
      <c r="AD43" s="2"/>
      <c r="AE43" s="2"/>
      <c r="AF43" s="16" t="str">
        <f>IF(E27="A Standard","",INDEX(Table5[[Weapon Modifications]:[Mod Name]],MATCH(E27,Table5[Weapon Modifications],0),10)&amp;IF(AND(E27=G27,E27=F27)," x3",IF(OR(E27=F27,E27=G27)," x2","")))</f>
        <v/>
      </c>
      <c r="AG43" s="16" t="str">
        <f>IF(F27="A Standard","",IF(E27=F27,"",IF(AF43="","",", ")&amp;INDEX(Table5[[Weapon Modifications]:[Mod Name]],MATCH(F27,Table5[Weapon Modifications],0),10)&amp;IF(F27=G27," x2","")))</f>
        <v/>
      </c>
      <c r="AH43" s="16" t="str">
        <f>IF(G27="A Standard","",IF(OR(G27=E27,G27=F27),"", IF(AND(AF43="",AG43=""),"",", ")&amp;INDEX(Table5[[Weapon Modifications]:[Mod Name]],MATCH(G27,Table5[Weapon Modifications],0),10)))</f>
        <v/>
      </c>
      <c r="AI43" s="10">
        <f>D27*VLOOKUP(B27,Table1[],5)+D27*(VLOOKUP(C27,Table3[],7)*VLOOKUP(B27,Table1[],9))*(1+IF(SUM(INDEX(Table5[[Weapon Modifications]:[Cost]],MATCH(E27,Table5[Weapon Modifications],0),5),INDEX(Table5[[Weapon Modifications]:[Cost]],MATCH(F27,Table5[Weapon Modifications],0),5),INDEX(Table5[[Weapon Modifications]:[Cost]],MATCH(G27,Table5[Weapon Modifications],0),5))=0,VLOOKUP(H27,$AC$17:$AD$20,2),INDEX(Table5[[Weapon Modifications]:[Cost]],MATCH(E27,Table5[Weapon Modifications],0),5)+INDEX(Table5[[Weapon Modifications]:[Cost]],MATCH(F27,Table5[Weapon Modifications],0),5)+INDEX(Table5[[Weapon Modifications]:[Cost]],MATCH(G27,Table5[Weapon Modifications],0),5)))</f>
        <v>0</v>
      </c>
      <c r="AJ43" s="2">
        <f>D27*VLOOKUP(B27,Table1[],4)*(1+INDEX(Table5[[Weapon Modifications]:[Cost]],MATCH(E27,Table5[Weapon Modifications],0),4)+INDEX(Table5[[Weapon Modifications]:[Cost]],MATCH(F27,Table5[Weapon Modifications],0),4)+INDEX(Table5[[Weapon Modifications]:[Cost]],MATCH(G27,Table5[Weapon Modifications],0),4))</f>
        <v>0</v>
      </c>
      <c r="AK43" s="2">
        <f>D27*VLOOKUP(B27,Table1[],3)+D27*VLOOKUP(B27,Table1[],9)*VLOOKUP(AB43,Table3[],5)*(1+INDEX(Table5[[Weapon Modifications]:[Cost]],MATCH(E27,Table5[Weapon Modifications],0),3)+INDEX(Table5[[Weapon Modifications]:[Cost]],MATCH(F27,Table5[Weapon Modifications],0),3)+INDEX(Table5[[Weapon Modifications]:[Cost]],MATCH(G27,Table5[Weapon Modifications],0),3))</f>
        <v>0</v>
      </c>
      <c r="AL43" t="str">
        <f>VLOOKUP(AB43,Table3[],8)</f>
        <v/>
      </c>
      <c r="AM43">
        <f>IF(AND('Ship Info'!$F$7,'Ship Info'!$C$5&gt;=100),1,IF($B$4&gt;=100,1,0))</f>
        <v>1</v>
      </c>
      <c r="AN43">
        <f>IF(B27=$Z$2,$AM$28,VLOOKUP(B27,Table4[],2))</f>
        <v>1</v>
      </c>
      <c r="AO43">
        <f t="shared" si="8"/>
        <v>0</v>
      </c>
      <c r="AP43">
        <f>VLOOKUP(B27,Table1[],6)*D27</f>
        <v>0</v>
      </c>
      <c r="AQ43" s="46" t="str">
        <f>IF(AA43="","",IF(B$4&lt;100,INDEX($U$64:$V$72,MATCH(VLOOKUP(AB43,Table3[],4)+AS43,$U$64:$U$72,0),2),INDEX($U$64:$V$72,MATCH(VLOOKUP(AB43,Table3[],3)+AS43,$U$64:$U$72,0),2)))</f>
        <v/>
      </c>
      <c r="AR43" t="str">
        <f>IF(D21="Yes","See Notes",INDEX(Table3[],MATCH(C27,Table3[Weapon],0),6)&amp;IF(VLOOKUP(AB43,Table3[],10)=0,IF(VLOOKUP(B27,Table1[],10)=0,"","+"&amp;LEFT(VLOOKUP(C27,Table3[],6),1)*VLOOKUP(B27,Table1[],10)),""))</f>
        <v/>
      </c>
      <c r="AS43">
        <f t="shared" si="16"/>
        <v>0</v>
      </c>
      <c r="AT43" s="92"/>
      <c r="AU43" s="2"/>
      <c r="AV43" s="2"/>
      <c r="AW43" s="2"/>
      <c r="AX43" s="2"/>
      <c r="AY43" s="2"/>
      <c r="AZ43" s="88"/>
      <c r="BA43" s="2"/>
      <c r="BB43" s="2" t="s">
        <v>1498</v>
      </c>
      <c r="BC43" s="2">
        <v>12</v>
      </c>
      <c r="BD43" s="2">
        <v>4</v>
      </c>
      <c r="BE43" s="2"/>
      <c r="BF43" s="2">
        <v>80</v>
      </c>
      <c r="BG43" s="2" t="s">
        <v>1240</v>
      </c>
      <c r="BH43" s="10">
        <v>14000000</v>
      </c>
      <c r="BI43" s="2" t="str">
        <f>""</f>
        <v/>
      </c>
      <c r="BJ43" s="2"/>
      <c r="BK43" s="2">
        <v>1</v>
      </c>
      <c r="BL43" s="2">
        <v>5</v>
      </c>
      <c r="BM43" s="2">
        <f t="shared" si="9"/>
        <v>3</v>
      </c>
      <c r="BN43" s="2">
        <f t="shared" si="10"/>
        <v>2</v>
      </c>
      <c r="BO43" s="2">
        <f t="shared" si="11"/>
        <v>0</v>
      </c>
      <c r="BP43" s="2">
        <f t="shared" si="12"/>
        <v>2</v>
      </c>
      <c r="BQ43" s="2">
        <f t="shared" si="13"/>
        <v>3</v>
      </c>
      <c r="BR43" s="2">
        <f t="shared" si="14"/>
        <v>3</v>
      </c>
      <c r="BS43" s="2">
        <f t="shared" si="15"/>
        <v>2</v>
      </c>
      <c r="BT43" s="2">
        <v>0</v>
      </c>
    </row>
    <row r="44" spans="1:72" x14ac:dyDescent="0.3">
      <c r="F44" s="171" t="s">
        <v>1049</v>
      </c>
      <c r="G44" s="182" t="s">
        <v>1048</v>
      </c>
      <c r="H44" s="172"/>
      <c r="I44" s="172"/>
      <c r="J44" s="172"/>
      <c r="K44" s="183"/>
      <c r="L44" s="183"/>
      <c r="M44" s="183"/>
      <c r="N44" s="183"/>
      <c r="O44" s="183"/>
      <c r="P44" s="183"/>
      <c r="Q44" s="159"/>
      <c r="V44" t="str">
        <f>IF('Ship Info'!$F$7,IF('Ship Info'!$C$5&lt;100,'8a-Weapons'!W44,'8a-Weapons'!X44), IF(Tonnage&lt;100,W44,X44))</f>
        <v>HP17</v>
      </c>
      <c r="W44" t="s">
        <v>60</v>
      </c>
      <c r="X44" s="46" t="s">
        <v>356</v>
      </c>
      <c r="Y44" s="92" t="str">
        <f t="shared" si="6"/>
        <v>HP17</v>
      </c>
      <c r="Z44" s="2" t="str">
        <f>VLOOKUP(B28,Table1[],12)</f>
        <v/>
      </c>
      <c r="AA44" s="2" t="str">
        <f t="shared" si="7"/>
        <v/>
      </c>
      <c r="AB44" s="16" t="str">
        <f t="shared" si="17"/>
        <v/>
      </c>
      <c r="AC44" s="2"/>
      <c r="AD44" s="2"/>
      <c r="AE44" s="2"/>
      <c r="AF44" s="16" t="str">
        <f>IF(E28="A Standard","",INDEX(Table5[[Weapon Modifications]:[Mod Name]],MATCH(E28,Table5[Weapon Modifications],0),10)&amp;IF(AND(E28=G28,E28=F28)," x3",IF(OR(E28=F28,E28=G28)," x2","")))</f>
        <v/>
      </c>
      <c r="AG44" s="16" t="str">
        <f>IF(F28="A Standard","",IF(E28=F28,"",IF(AF44="","",", ")&amp;INDEX(Table5[[Weapon Modifications]:[Mod Name]],MATCH(F28,Table5[Weapon Modifications],0),10)&amp;IF(F28=G28," x2","")))</f>
        <v/>
      </c>
      <c r="AH44" s="16" t="str">
        <f>IF(G28="A Standard","",IF(OR(G28=E28,G28=F28),"", IF(AND(AF44="",AG44=""),"",", ")&amp;INDEX(Table5[[Weapon Modifications]:[Mod Name]],MATCH(G28,Table5[Weapon Modifications],0),10)))</f>
        <v/>
      </c>
      <c r="AI44" s="10">
        <f>D28*VLOOKUP(B28,Table1[],5)+D28*(VLOOKUP(C28,Table3[],7)*VLOOKUP(B28,Table1[],9))*(1+IF(SUM(INDEX(Table5[[Weapon Modifications]:[Cost]],MATCH(E28,Table5[Weapon Modifications],0),5),INDEX(Table5[[Weapon Modifications]:[Cost]],MATCH(F28,Table5[Weapon Modifications],0),5),INDEX(Table5[[Weapon Modifications]:[Cost]],MATCH(G28,Table5[Weapon Modifications],0),5))=0,VLOOKUP(H28,$AC$17:$AD$20,2),INDEX(Table5[[Weapon Modifications]:[Cost]],MATCH(E28,Table5[Weapon Modifications],0),5)+INDEX(Table5[[Weapon Modifications]:[Cost]],MATCH(F28,Table5[Weapon Modifications],0),5)+INDEX(Table5[[Weapon Modifications]:[Cost]],MATCH(G28,Table5[Weapon Modifications],0),5)))</f>
        <v>0</v>
      </c>
      <c r="AJ44" s="2">
        <f>D28*VLOOKUP(B28,Table1[],4)*(1+INDEX(Table5[[Weapon Modifications]:[Cost]],MATCH(E28,Table5[Weapon Modifications],0),4)+INDEX(Table5[[Weapon Modifications]:[Cost]],MATCH(F28,Table5[Weapon Modifications],0),4)+INDEX(Table5[[Weapon Modifications]:[Cost]],MATCH(G28,Table5[Weapon Modifications],0),4))</f>
        <v>0</v>
      </c>
      <c r="AK44" s="2">
        <f>D28*VLOOKUP(B28,Table1[],3)+D28*VLOOKUP(B28,Table1[],9)*VLOOKUP(AB44,Table3[],5)*(1+INDEX(Table5[[Weapon Modifications]:[Cost]],MATCH(E28,Table5[Weapon Modifications],0),3)+INDEX(Table5[[Weapon Modifications]:[Cost]],MATCH(F28,Table5[Weapon Modifications],0),3)+INDEX(Table5[[Weapon Modifications]:[Cost]],MATCH(G28,Table5[Weapon Modifications],0),3))</f>
        <v>0</v>
      </c>
      <c r="AL44" t="str">
        <f>VLOOKUP(AB44,Table3[],8)</f>
        <v/>
      </c>
      <c r="AM44">
        <f>IF(AND('Ship Info'!$F$7,'Ship Info'!$C$5&gt;=100),1,IF($B$4&gt;=100,1,0))</f>
        <v>1</v>
      </c>
      <c r="AN44">
        <f>IF(B28=$Z$2,$AM$28,VLOOKUP(B28,Table4[],2))</f>
        <v>1</v>
      </c>
      <c r="AO44">
        <f t="shared" si="8"/>
        <v>0</v>
      </c>
      <c r="AP44">
        <f>VLOOKUP(B28,Table1[],6)*D28</f>
        <v>0</v>
      </c>
      <c r="AQ44" s="46" t="str">
        <f>IF(AA44="","",IF(B$4&lt;100,INDEX($U$64:$V$72,MATCH(VLOOKUP(AB44,Table3[],4)+AS44,$U$64:$U$72,0),2),INDEX($U$64:$V$72,MATCH(VLOOKUP(AB44,Table3[],3)+AS44,$U$64:$U$72,0),2)))</f>
        <v/>
      </c>
      <c r="AR44" t="str">
        <f>IF(D22="Yes","See Notes",INDEX(Table3[],MATCH(C28,Table3[Weapon],0),6)&amp;IF(VLOOKUP(AB44,Table3[],10)=0,IF(VLOOKUP(B28,Table1[],10)=0,"","+"&amp;LEFT(VLOOKUP(C28,Table3[],6),1)*VLOOKUP(B28,Table1[],10)),""))</f>
        <v/>
      </c>
      <c r="AS44">
        <f t="shared" si="16"/>
        <v>0</v>
      </c>
      <c r="AT44" s="92"/>
      <c r="AU44" s="2"/>
      <c r="AV44" s="2"/>
      <c r="AW44" s="2"/>
      <c r="AX44" s="2"/>
      <c r="AY44" s="2"/>
      <c r="AZ44" s="88"/>
      <c r="BA44" s="2"/>
      <c r="BB44" s="2" t="s">
        <v>1499</v>
      </c>
      <c r="BC44" s="2">
        <v>12</v>
      </c>
      <c r="BD44" s="2">
        <v>4</v>
      </c>
      <c r="BE44" s="2"/>
      <c r="BF44" s="2">
        <v>50</v>
      </c>
      <c r="BG44" s="2" t="s">
        <v>1239</v>
      </c>
      <c r="BH44" s="10">
        <v>8000000</v>
      </c>
      <c r="BI44" s="2" t="str">
        <f>""</f>
        <v/>
      </c>
      <c r="BJ44" s="2"/>
      <c r="BK44" s="2">
        <v>1</v>
      </c>
      <c r="BL44" s="2">
        <v>4</v>
      </c>
      <c r="BM44" s="2">
        <f t="shared" si="9"/>
        <v>3</v>
      </c>
      <c r="BN44" s="2">
        <f t="shared" si="10"/>
        <v>2</v>
      </c>
      <c r="BO44" s="2">
        <f t="shared" si="11"/>
        <v>0</v>
      </c>
      <c r="BP44" s="2">
        <f t="shared" si="12"/>
        <v>3</v>
      </c>
      <c r="BQ44" s="2">
        <f t="shared" si="13"/>
        <v>3</v>
      </c>
      <c r="BR44" s="2">
        <f t="shared" si="14"/>
        <v>3</v>
      </c>
      <c r="BS44" s="2">
        <f t="shared" si="15"/>
        <v>2</v>
      </c>
      <c r="BT44" s="2">
        <v>0</v>
      </c>
    </row>
    <row r="45" spans="1:72" ht="15" thickBot="1" x14ac:dyDescent="0.35">
      <c r="F45" s="209" t="s">
        <v>313</v>
      </c>
      <c r="G45" s="184" t="s">
        <v>314</v>
      </c>
      <c r="H45" s="175" t="s">
        <v>26</v>
      </c>
      <c r="I45" s="184" t="s">
        <v>54</v>
      </c>
      <c r="J45" s="184" t="s">
        <v>1047</v>
      </c>
      <c r="K45" s="185"/>
      <c r="L45" s="184" t="s">
        <v>1</v>
      </c>
      <c r="M45" s="826" t="s">
        <v>164</v>
      </c>
      <c r="N45" s="826"/>
      <c r="O45" s="826"/>
      <c r="P45" s="826" t="s">
        <v>360</v>
      </c>
      <c r="Q45" s="827"/>
      <c r="V45" t="str">
        <f>IF('Ship Info'!$F$7,IF('Ship Info'!$C$5&lt;100,'8a-Weapons'!W45,'8a-Weapons'!X45), IF(Tonnage&lt;100,W45,X45))</f>
        <v>HP18</v>
      </c>
      <c r="W45" t="s">
        <v>60</v>
      </c>
      <c r="X45" s="46" t="s">
        <v>357</v>
      </c>
      <c r="Y45" s="92" t="str">
        <f t="shared" si="6"/>
        <v>HP18</v>
      </c>
      <c r="Z45" s="2" t="str">
        <f>VLOOKUP(B29,Table1[],12)</f>
        <v/>
      </c>
      <c r="AA45" s="2" t="str">
        <f t="shared" si="7"/>
        <v/>
      </c>
      <c r="AB45" s="16" t="str">
        <f t="shared" si="17"/>
        <v/>
      </c>
      <c r="AC45" s="2"/>
      <c r="AD45" s="2"/>
      <c r="AE45" s="2"/>
      <c r="AF45" s="16" t="str">
        <f>IF(E29="A Standard","",INDEX(Table5[[Weapon Modifications]:[Mod Name]],MATCH(E29,Table5[Weapon Modifications],0),10)&amp;IF(AND(E29=G29,E29=F29)," x3",IF(OR(E29=F29,E29=G29)," x2","")))</f>
        <v/>
      </c>
      <c r="AG45" s="16" t="str">
        <f>IF(F29="A Standard","",IF(E29=F29,"",IF(AF45="","",", ")&amp;INDEX(Table5[[Weapon Modifications]:[Mod Name]],MATCH(F29,Table5[Weapon Modifications],0),10)&amp;IF(F29=G29," x2","")))</f>
        <v/>
      </c>
      <c r="AH45" s="16" t="str">
        <f>IF(G29="A Standard","",IF(OR(G29=E29,G29=F29),"", IF(AND(AF45="",AG45=""),"",", ")&amp;INDEX(Table5[[Weapon Modifications]:[Mod Name]],MATCH(G29,Table5[Weapon Modifications],0),10)))</f>
        <v/>
      </c>
      <c r="AI45" s="10">
        <f>D29*VLOOKUP(B29,Table1[],5)+D29*(VLOOKUP(C29,Table3[],7)*VLOOKUP(B29,Table1[],9))*(1+IF(SUM(INDEX(Table5[[Weapon Modifications]:[Cost]],MATCH(E29,Table5[Weapon Modifications],0),5),INDEX(Table5[[Weapon Modifications]:[Cost]],MATCH(F29,Table5[Weapon Modifications],0),5),INDEX(Table5[[Weapon Modifications]:[Cost]],MATCH(G29,Table5[Weapon Modifications],0),5))=0,VLOOKUP(H29,$AC$17:$AD$20,2),INDEX(Table5[[Weapon Modifications]:[Cost]],MATCH(E29,Table5[Weapon Modifications],0),5)+INDEX(Table5[[Weapon Modifications]:[Cost]],MATCH(F29,Table5[Weapon Modifications],0),5)+INDEX(Table5[[Weapon Modifications]:[Cost]],MATCH(G29,Table5[Weapon Modifications],0),5)))</f>
        <v>0</v>
      </c>
      <c r="AJ45" s="2">
        <f>D29*VLOOKUP(B29,Table1[],4)*(1+INDEX(Table5[[Weapon Modifications]:[Cost]],MATCH(E29,Table5[Weapon Modifications],0),4)+INDEX(Table5[[Weapon Modifications]:[Cost]],MATCH(F29,Table5[Weapon Modifications],0),4)+INDEX(Table5[[Weapon Modifications]:[Cost]],MATCH(G29,Table5[Weapon Modifications],0),4))</f>
        <v>0</v>
      </c>
      <c r="AK45" s="2">
        <f>D29*VLOOKUP(B29,Table1[],3)+D29*VLOOKUP(B29,Table1[],9)*VLOOKUP(AB45,Table3[],5)*(1+INDEX(Table5[[Weapon Modifications]:[Cost]],MATCH(E29,Table5[Weapon Modifications],0),3)+INDEX(Table5[[Weapon Modifications]:[Cost]],MATCH(F29,Table5[Weapon Modifications],0),3)+INDEX(Table5[[Weapon Modifications]:[Cost]],MATCH(G29,Table5[Weapon Modifications],0),3))</f>
        <v>0</v>
      </c>
      <c r="AL45" t="str">
        <f>VLOOKUP(AB45,Table3[],8)</f>
        <v/>
      </c>
      <c r="AM45">
        <f>IF(AND('Ship Info'!$F$7,'Ship Info'!$C$5&gt;=100),1,IF($B$4&gt;=100,1,0))</f>
        <v>1</v>
      </c>
      <c r="AN45">
        <f>IF(B29=$Z$2,$AM$28,VLOOKUP(B29,Table4[],2))</f>
        <v>1</v>
      </c>
      <c r="AO45">
        <f t="shared" si="8"/>
        <v>0</v>
      </c>
      <c r="AP45">
        <f>VLOOKUP(B29,Table1[],6)*D29</f>
        <v>0</v>
      </c>
      <c r="AQ45" s="46" t="str">
        <f>IF(AA45="","",IF(B$4&lt;100,INDEX($U$64:$V$72,MATCH(VLOOKUP(AB45,Table3[],4)+AS45,$U$64:$U$72,0),2),INDEX($U$64:$V$72,MATCH(VLOOKUP(AB45,Table3[],3)+AS45,$U$64:$U$72,0),2)))</f>
        <v/>
      </c>
      <c r="AR45" t="str">
        <f>IF(D23="Yes","See Notes",INDEX(Table3[],MATCH(C29,Table3[Weapon],0),6)&amp;IF(VLOOKUP(AB45,Table3[],10)=0,IF(VLOOKUP(B29,Table1[],10)=0,"","+"&amp;LEFT(VLOOKUP(C29,Table3[],6),1)*VLOOKUP(B29,Table1[],10)),""))</f>
        <v/>
      </c>
      <c r="AS45">
        <f t="shared" si="16"/>
        <v>0</v>
      </c>
      <c r="AT45" s="92"/>
      <c r="AU45" s="2"/>
      <c r="AV45" s="2"/>
      <c r="AW45" s="2"/>
      <c r="AX45" s="2"/>
      <c r="AY45" s="2"/>
      <c r="AZ45" s="88"/>
      <c r="BA45" s="2"/>
      <c r="BB45" s="2" t="s">
        <v>1484</v>
      </c>
      <c r="BC45" s="2">
        <v>8</v>
      </c>
      <c r="BD45" s="2">
        <v>6</v>
      </c>
      <c r="BE45" s="2"/>
      <c r="BF45" s="2">
        <v>10</v>
      </c>
      <c r="BG45" s="2" t="s">
        <v>319</v>
      </c>
      <c r="BH45" s="10">
        <v>4000000</v>
      </c>
      <c r="BI45" s="2"/>
      <c r="BJ45" s="2"/>
      <c r="BK45" s="2">
        <v>1</v>
      </c>
      <c r="BL45" s="2">
        <v>4</v>
      </c>
      <c r="BM45" s="2">
        <f t="shared" si="9"/>
        <v>3</v>
      </c>
      <c r="BN45" s="2">
        <f t="shared" si="10"/>
        <v>2</v>
      </c>
      <c r="BO45" s="2">
        <f t="shared" si="11"/>
        <v>0</v>
      </c>
      <c r="BP45" s="2">
        <f t="shared" si="12"/>
        <v>4</v>
      </c>
      <c r="BQ45" s="2">
        <f t="shared" si="13"/>
        <v>3</v>
      </c>
      <c r="BR45" s="2">
        <f t="shared" si="14"/>
        <v>3</v>
      </c>
      <c r="BS45" s="2">
        <f t="shared" si="15"/>
        <v>2</v>
      </c>
      <c r="BT45" s="2">
        <v>0</v>
      </c>
    </row>
    <row r="46" spans="1:72" ht="15" thickBot="1" x14ac:dyDescent="0.35">
      <c r="F46" s="196"/>
      <c r="G46" s="197" t="s">
        <v>1020</v>
      </c>
      <c r="H46" s="197">
        <v>0</v>
      </c>
      <c r="I46" s="232">
        <v>0</v>
      </c>
      <c r="J46" s="816"/>
      <c r="K46" s="816"/>
      <c r="L46" s="219">
        <v>0</v>
      </c>
      <c r="M46" s="782"/>
      <c r="N46" s="782"/>
      <c r="O46" s="782"/>
      <c r="P46" s="782" t="s">
        <v>1020</v>
      </c>
      <c r="Q46" s="782"/>
      <c r="V46" t="str">
        <f>IF('Ship Info'!$F$7,IF('Ship Info'!$C$5&lt;100,'8a-Weapons'!W46,'8a-Weapons'!X46), IF(Tonnage&lt;100,W46,X46))</f>
        <v>HP19</v>
      </c>
      <c r="W46" t="s">
        <v>60</v>
      </c>
      <c r="X46" s="46" t="s">
        <v>358</v>
      </c>
      <c r="Y46" s="92" t="str">
        <f t="shared" si="6"/>
        <v>HP19</v>
      </c>
      <c r="Z46" s="2" t="str">
        <f>VLOOKUP(B30,Table1[],12)</f>
        <v/>
      </c>
      <c r="AA46" s="2" t="str">
        <f t="shared" si="7"/>
        <v/>
      </c>
      <c r="AB46" s="16" t="str">
        <f t="shared" si="17"/>
        <v/>
      </c>
      <c r="AC46" s="2"/>
      <c r="AD46" s="2"/>
      <c r="AE46" s="2"/>
      <c r="AF46" s="16" t="str">
        <f>IF(E30="A Standard","",INDEX(Table5[[Weapon Modifications]:[Mod Name]],MATCH(E30,Table5[Weapon Modifications],0),10)&amp;IF(AND(E30=G30,E30=F30)," x3",IF(OR(E30=F30,E30=G30)," x2","")))</f>
        <v/>
      </c>
      <c r="AG46" s="16" t="str">
        <f>IF(F30="A Standard","",IF(E30=F30,"",IF(AF46="","",", ")&amp;INDEX(Table5[[Weapon Modifications]:[Mod Name]],MATCH(F30,Table5[Weapon Modifications],0),10)&amp;IF(F30=G30," x2","")))</f>
        <v/>
      </c>
      <c r="AH46" s="16" t="str">
        <f>IF(G30="A Standard","",IF(OR(G30=E30,G30=F30),"", IF(AND(AF46="",AG46=""),"",", ")&amp;INDEX(Table5[[Weapon Modifications]:[Mod Name]],MATCH(G30,Table5[Weapon Modifications],0),10)))</f>
        <v/>
      </c>
      <c r="AI46" s="10">
        <f>D30*VLOOKUP(B30,Table1[],5)+D30*(VLOOKUP(C30,Table3[],7)*VLOOKUP(B30,Table1[],9))*(1+IF(SUM(INDEX(Table5[[Weapon Modifications]:[Cost]],MATCH(E30,Table5[Weapon Modifications],0),5),INDEX(Table5[[Weapon Modifications]:[Cost]],MATCH(F30,Table5[Weapon Modifications],0),5),INDEX(Table5[[Weapon Modifications]:[Cost]],MATCH(G30,Table5[Weapon Modifications],0),5))=0,VLOOKUP(H30,$AC$17:$AD$20,2),INDEX(Table5[[Weapon Modifications]:[Cost]],MATCH(E30,Table5[Weapon Modifications],0),5)+INDEX(Table5[[Weapon Modifications]:[Cost]],MATCH(F30,Table5[Weapon Modifications],0),5)+INDEX(Table5[[Weapon Modifications]:[Cost]],MATCH(G30,Table5[Weapon Modifications],0),5)))</f>
        <v>0</v>
      </c>
      <c r="AJ46" s="2">
        <f>D30*VLOOKUP(B30,Table1[],4)*(1+INDEX(Table5[[Weapon Modifications]:[Cost]],MATCH(E30,Table5[Weapon Modifications],0),4)+INDEX(Table5[[Weapon Modifications]:[Cost]],MATCH(F30,Table5[Weapon Modifications],0),4)+INDEX(Table5[[Weapon Modifications]:[Cost]],MATCH(G30,Table5[Weapon Modifications],0),4))</f>
        <v>0</v>
      </c>
      <c r="AK46" s="2">
        <f>D30*VLOOKUP(B30,Table1[],3)+D30*VLOOKUP(B30,Table1[],9)*VLOOKUP(AB46,Table3[],5)*(1+INDEX(Table5[[Weapon Modifications]:[Cost]],MATCH(E30,Table5[Weapon Modifications],0),3)+INDEX(Table5[[Weapon Modifications]:[Cost]],MATCH(F30,Table5[Weapon Modifications],0),3)+INDEX(Table5[[Weapon Modifications]:[Cost]],MATCH(G30,Table5[Weapon Modifications],0),3))</f>
        <v>0</v>
      </c>
      <c r="AL46" t="str">
        <f>VLOOKUP(AB46,Table3[],8)</f>
        <v/>
      </c>
      <c r="AM46">
        <f>IF(AND('Ship Info'!$F$7,'Ship Info'!$C$5&gt;=100),1,IF($B$4&gt;=100,1,0))</f>
        <v>1</v>
      </c>
      <c r="AN46">
        <f>IF(B30=$Z$2,$AM$28,VLOOKUP(B30,Table4[],2))</f>
        <v>1</v>
      </c>
      <c r="AO46">
        <f t="shared" si="8"/>
        <v>0</v>
      </c>
      <c r="AP46">
        <f>VLOOKUP(B30,Table1[],6)*D30</f>
        <v>0</v>
      </c>
      <c r="AQ46" s="46" t="str">
        <f>IF(AA46="","",IF(B$4&lt;100,INDEX($U$64:$V$72,MATCH(VLOOKUP(AB46,Table3[],4)+AS46,$U$64:$U$72,0),2),INDEX($U$64:$V$72,MATCH(VLOOKUP(AB46,Table3[],3)+AS46,$U$64:$U$72,0),2)))</f>
        <v/>
      </c>
      <c r="AR46" t="str">
        <f>IF(D24="Yes","See Notes",INDEX(Table3[],MATCH(C30,Table3[Weapon],0),6)&amp;IF(VLOOKUP(AB46,Table3[],10)=0,IF(VLOOKUP(B30,Table1[],10)=0,"","+"&amp;LEFT(VLOOKUP(C30,Table3[],6),1)*VLOOKUP(B30,Table1[],10)),""))</f>
        <v/>
      </c>
      <c r="AS46">
        <f t="shared" si="16"/>
        <v>0</v>
      </c>
      <c r="AT46" t="s">
        <v>60</v>
      </c>
      <c r="AU46" s="2"/>
      <c r="AW46" s="2"/>
      <c r="AY46" s="2"/>
      <c r="BA46" s="2"/>
      <c r="BB46" s="2" t="s">
        <v>1500</v>
      </c>
      <c r="BC46" s="2">
        <v>13</v>
      </c>
      <c r="BD46" s="2">
        <v>3</v>
      </c>
      <c r="BE46" s="2">
        <v>1</v>
      </c>
      <c r="BF46" s="2">
        <v>10</v>
      </c>
      <c r="BG46" s="2" t="s">
        <v>320</v>
      </c>
      <c r="BH46" s="10">
        <v>4000000</v>
      </c>
      <c r="BI46" s="2" t="str">
        <f>""</f>
        <v/>
      </c>
      <c r="BJ46" s="2"/>
      <c r="BK46" s="2">
        <v>1</v>
      </c>
      <c r="BL46" s="2">
        <v>2</v>
      </c>
      <c r="BM46" s="2">
        <f t="shared" ref="BM46:BM109" si="18">IF($BL46=1,BM45+1,BM45)</f>
        <v>3</v>
      </c>
      <c r="BN46" s="2">
        <f t="shared" ref="BN46:BN109" si="19">IF($BL46=2,BN45+1,BN45)</f>
        <v>3</v>
      </c>
      <c r="BO46" s="2">
        <f t="shared" ref="BO46:BO109" si="20">IF($BL46=3,BO45+1,BO45)</f>
        <v>0</v>
      </c>
      <c r="BP46" s="2">
        <f t="shared" ref="BP46:BP109" si="21">IF($BL46=4,BP45+1,BP45)</f>
        <v>4</v>
      </c>
      <c r="BQ46" s="2">
        <f t="shared" ref="BQ46:BQ109" si="22">IF($BL46=5,BQ45+1,BQ45)</f>
        <v>3</v>
      </c>
      <c r="BR46" s="2">
        <f t="shared" ref="BR46:BR109" si="23">IF($BL46=6,BR45+1,BR45)</f>
        <v>3</v>
      </c>
      <c r="BS46" s="2">
        <f t="shared" ref="BS46:BS109" si="24">IF($BL46=7,BS45+1,BS45)</f>
        <v>2</v>
      </c>
      <c r="BT46" s="2">
        <v>0</v>
      </c>
    </row>
    <row r="47" spans="1:72" x14ac:dyDescent="0.3">
      <c r="F47" s="179" t="s">
        <v>1053</v>
      </c>
      <c r="G47" s="180" t="s">
        <v>316</v>
      </c>
      <c r="H47" s="180">
        <v>12</v>
      </c>
      <c r="I47" s="338">
        <v>10</v>
      </c>
      <c r="J47" s="831" t="s">
        <v>1103</v>
      </c>
      <c r="K47" s="832"/>
      <c r="L47" s="181">
        <v>6000000</v>
      </c>
      <c r="M47" s="830" t="s">
        <v>327</v>
      </c>
      <c r="N47" s="830"/>
      <c r="O47" s="830"/>
      <c r="P47" s="828" t="s">
        <v>1055</v>
      </c>
      <c r="Q47" s="829"/>
      <c r="V47" t="str">
        <f>IF('Ship Info'!$F$7,IF('Ship Info'!$C$5&lt;100,'8a-Weapons'!W47,'8a-Weapons'!X47), IF(Tonnage&lt;100,W47,X47))</f>
        <v>HP20</v>
      </c>
      <c r="W47" s="28" t="s">
        <v>60</v>
      </c>
      <c r="X47" s="79" t="s">
        <v>359</v>
      </c>
      <c r="Y47" s="140" t="str">
        <f t="shared" si="6"/>
        <v>HP20</v>
      </c>
      <c r="Z47" s="130" t="str">
        <f>VLOOKUP(B31,Table1[],12)</f>
        <v/>
      </c>
      <c r="AA47" s="130" t="str">
        <f t="shared" si="7"/>
        <v/>
      </c>
      <c r="AB47" s="145" t="str">
        <f t="shared" si="17"/>
        <v/>
      </c>
      <c r="AC47" s="130"/>
      <c r="AD47" s="130"/>
      <c r="AE47" s="130"/>
      <c r="AF47" s="16" t="str">
        <f>IF(E31="A Standard","",INDEX(Table5[[Weapon Modifications]:[Mod Name]],MATCH(E31,Table5[Weapon Modifications],0),10)&amp;IF(AND(E31=G31,E31=F31)," x3",IF(OR(E31=F31,E31=G31)," x2","")))</f>
        <v/>
      </c>
      <c r="AG47" s="16" t="str">
        <f>IF(F31="A Standard","",IF(E31=F31,"",IF(AF47="","",", ")&amp;INDEX(Table5[[Weapon Modifications]:[Mod Name]],MATCH(F31,Table5[Weapon Modifications],0),10)&amp;IF(F31=G31," x2","")))</f>
        <v/>
      </c>
      <c r="AH47" s="16" t="str">
        <f>IF(G31="A Standard","",IF(OR(G31=E31,G31=F31),"", IF(AND(AF47="",AG47=""),"",", ")&amp;INDEX(Table5[[Weapon Modifications]:[Mod Name]],MATCH(G31,Table5[Weapon Modifications],0),10)))</f>
        <v/>
      </c>
      <c r="AI47" s="10">
        <f>D31*VLOOKUP(B31,Table1[],5)+D31*(VLOOKUP(C31,Table3[],7)*VLOOKUP(B31,Table1[],9))*(1+IF(SUM(INDEX(Table5[[Weapon Modifications]:[Cost]],MATCH(E31,Table5[Weapon Modifications],0),5),INDEX(Table5[[Weapon Modifications]:[Cost]],MATCH(F31,Table5[Weapon Modifications],0),5),INDEX(Table5[[Weapon Modifications]:[Cost]],MATCH(G31,Table5[Weapon Modifications],0),5))=0,VLOOKUP(H31,$AC$17:$AD$20,2),INDEX(Table5[[Weapon Modifications]:[Cost]],MATCH(E31,Table5[Weapon Modifications],0),5)+INDEX(Table5[[Weapon Modifications]:[Cost]],MATCH(F31,Table5[Weapon Modifications],0),5)+INDEX(Table5[[Weapon Modifications]:[Cost]],MATCH(G31,Table5[Weapon Modifications],0),5)))</f>
        <v>0</v>
      </c>
      <c r="AJ47" s="2">
        <f>D31*VLOOKUP(B31,Table1[],4)*(1+INDEX(Table5[[Weapon Modifications]:[Cost]],MATCH(E31,Table5[Weapon Modifications],0),4)+INDEX(Table5[[Weapon Modifications]:[Cost]],MATCH(F31,Table5[Weapon Modifications],0),4)+INDEX(Table5[[Weapon Modifications]:[Cost]],MATCH(G31,Table5[Weapon Modifications],0),4))</f>
        <v>0</v>
      </c>
      <c r="AK47" s="2">
        <f>D31*VLOOKUP(B31,Table1[],3)+D31*VLOOKUP(B31,Table1[],9)*VLOOKUP(AB47,Table3[],5)*(1+INDEX(Table5[[Weapon Modifications]:[Cost]],MATCH(E31,Table5[Weapon Modifications],0),3)+INDEX(Table5[[Weapon Modifications]:[Cost]],MATCH(F31,Table5[Weapon Modifications],0),3)+INDEX(Table5[[Weapon Modifications]:[Cost]],MATCH(G31,Table5[Weapon Modifications],0),3))</f>
        <v>0</v>
      </c>
      <c r="AL47" s="28" t="str">
        <f>VLOOKUP(AB47,Table3[],8)</f>
        <v/>
      </c>
      <c r="AM47">
        <f>IF(AND('Ship Info'!$F$7,'Ship Info'!$C$5&gt;=100),1,IF($B$4&gt;=100,1,0))</f>
        <v>1</v>
      </c>
      <c r="AN47" s="28">
        <f>IF(B31=$Z$2,$AM$28,VLOOKUP(B31,Table4[],2))</f>
        <v>1</v>
      </c>
      <c r="AO47" s="28">
        <f t="shared" si="8"/>
        <v>0</v>
      </c>
      <c r="AP47" s="28">
        <f>VLOOKUP(B31,Table1[],6)*D31</f>
        <v>0</v>
      </c>
      <c r="AQ47" s="46" t="str">
        <f>IF(AA47="","",IF(B$4&lt;100,INDEX($U$64:$V$72,MATCH(VLOOKUP(AB47,Table3[],4)+AS47,$U$64:$U$72,0),2),INDEX($U$64:$V$72,MATCH(VLOOKUP(AB47,Table3[],3)+AS47,$U$64:$U$72,0),2)))</f>
        <v/>
      </c>
      <c r="AR47" t="str">
        <f>IF(D25="Yes","See Notes",INDEX(Table3[],MATCH(C31,Table3[Weapon],0),6)&amp;IF(VLOOKUP(AB47,Table3[],10)=0,IF(VLOOKUP(B31,Table1[],10)=0,"","+"&amp;LEFT(VLOOKUP(C31,Table3[],6),1)*VLOOKUP(B31,Table1[],10)),""))</f>
        <v/>
      </c>
      <c r="AS47">
        <f t="shared" si="16"/>
        <v>0</v>
      </c>
      <c r="AT47" s="2" t="str">
        <f>""</f>
        <v/>
      </c>
      <c r="AU47" s="2"/>
      <c r="AV47" s="2"/>
      <c r="AW47" s="2"/>
      <c r="AX47" s="2"/>
      <c r="AY47" s="2"/>
      <c r="AZ47" s="2"/>
      <c r="BA47" s="2"/>
      <c r="BB47" s="2" t="s">
        <v>1944</v>
      </c>
      <c r="BC47" s="2">
        <v>16</v>
      </c>
      <c r="BD47" s="2">
        <v>4</v>
      </c>
      <c r="BE47" s="2"/>
      <c r="BF47" s="2">
        <v>100</v>
      </c>
      <c r="BG47" s="2" t="s">
        <v>1488</v>
      </c>
      <c r="BH47" s="10">
        <v>110000000</v>
      </c>
      <c r="BI47" s="2" t="s">
        <v>1945</v>
      </c>
      <c r="BJ47" s="2"/>
      <c r="BK47" s="2">
        <v>1</v>
      </c>
      <c r="BL47" s="2">
        <v>6</v>
      </c>
      <c r="BM47" s="2">
        <f t="shared" si="18"/>
        <v>3</v>
      </c>
      <c r="BN47" s="2">
        <f t="shared" si="19"/>
        <v>3</v>
      </c>
      <c r="BO47" s="2">
        <f t="shared" si="20"/>
        <v>0</v>
      </c>
      <c r="BP47" s="2">
        <f t="shared" si="21"/>
        <v>4</v>
      </c>
      <c r="BQ47" s="2">
        <f t="shared" si="22"/>
        <v>3</v>
      </c>
      <c r="BR47" s="2">
        <f t="shared" si="23"/>
        <v>4</v>
      </c>
      <c r="BS47" s="2">
        <f t="shared" si="24"/>
        <v>2</v>
      </c>
      <c r="BT47" s="2">
        <v>0</v>
      </c>
    </row>
    <row r="48" spans="1:72" x14ac:dyDescent="0.3">
      <c r="F48" s="171" t="s">
        <v>1049</v>
      </c>
      <c r="G48" s="182" t="s">
        <v>1052</v>
      </c>
      <c r="H48" s="172"/>
      <c r="I48" s="172"/>
      <c r="J48" s="172"/>
      <c r="K48" s="183"/>
      <c r="L48" s="183"/>
      <c r="M48" s="183"/>
      <c r="N48" s="183"/>
      <c r="O48" s="183"/>
      <c r="P48" s="183"/>
      <c r="Q48" s="159"/>
      <c r="AT48" s="2" t="str">
        <f>""</f>
        <v/>
      </c>
      <c r="AU48" s="2"/>
      <c r="AV48" s="2"/>
      <c r="AW48" s="2"/>
      <c r="BA48" s="2"/>
      <c r="BB48" s="2" t="s">
        <v>1943</v>
      </c>
      <c r="BC48" s="2">
        <v>17</v>
      </c>
      <c r="BD48" s="2">
        <v>4</v>
      </c>
      <c r="BE48" s="2"/>
      <c r="BF48" s="2">
        <v>80</v>
      </c>
      <c r="BG48" s="2" t="s">
        <v>1488</v>
      </c>
      <c r="BH48" s="10">
        <v>120000000</v>
      </c>
      <c r="BI48" s="2" t="s">
        <v>1945</v>
      </c>
      <c r="BJ48" s="2"/>
      <c r="BK48" s="2">
        <v>1</v>
      </c>
      <c r="BL48" s="2">
        <v>5</v>
      </c>
      <c r="BM48" s="2">
        <f t="shared" si="18"/>
        <v>3</v>
      </c>
      <c r="BN48" s="2">
        <f t="shared" si="19"/>
        <v>3</v>
      </c>
      <c r="BO48" s="2">
        <f t="shared" si="20"/>
        <v>0</v>
      </c>
      <c r="BP48" s="2">
        <f t="shared" si="21"/>
        <v>4</v>
      </c>
      <c r="BQ48" s="2">
        <f t="shared" si="22"/>
        <v>4</v>
      </c>
      <c r="BR48" s="2">
        <f t="shared" si="23"/>
        <v>4</v>
      </c>
      <c r="BS48" s="2">
        <f t="shared" si="24"/>
        <v>2</v>
      </c>
      <c r="BT48" s="2">
        <v>0</v>
      </c>
    </row>
    <row r="49" spans="6:72" ht="15" thickBot="1" x14ac:dyDescent="0.35">
      <c r="F49" s="209" t="s">
        <v>313</v>
      </c>
      <c r="G49" s="184" t="s">
        <v>314</v>
      </c>
      <c r="H49" s="175" t="s">
        <v>26</v>
      </c>
      <c r="I49" s="184" t="s">
        <v>54</v>
      </c>
      <c r="J49" s="184" t="s">
        <v>1047</v>
      </c>
      <c r="K49" s="185"/>
      <c r="L49" s="184" t="s">
        <v>1</v>
      </c>
      <c r="M49" s="826" t="s">
        <v>164</v>
      </c>
      <c r="N49" s="826"/>
      <c r="O49" s="826"/>
      <c r="P49" s="826" t="s">
        <v>360</v>
      </c>
      <c r="Q49" s="827"/>
      <c r="V49" s="44">
        <v>1</v>
      </c>
      <c r="W49" s="45">
        <v>2</v>
      </c>
      <c r="X49" s="47">
        <v>3</v>
      </c>
      <c r="AT49" s="2" t="str">
        <f>""</f>
        <v/>
      </c>
      <c r="AU49" s="2"/>
      <c r="AV49" s="2"/>
      <c r="AW49" s="2"/>
      <c r="AX49" s="2"/>
      <c r="AY49" s="2"/>
      <c r="AZ49" s="131"/>
      <c r="BA49" s="2"/>
      <c r="BB49" s="2" t="s">
        <v>1942</v>
      </c>
      <c r="BC49" s="2">
        <v>18</v>
      </c>
      <c r="BD49" s="2">
        <v>4</v>
      </c>
      <c r="BE49" s="2"/>
      <c r="BF49" s="2">
        <v>60</v>
      </c>
      <c r="BG49" s="2" t="s">
        <v>1488</v>
      </c>
      <c r="BH49" s="10">
        <v>125000000</v>
      </c>
      <c r="BI49" s="2" t="s">
        <v>1945</v>
      </c>
      <c r="BJ49" s="2"/>
      <c r="BK49" s="2">
        <v>1</v>
      </c>
      <c r="BL49" s="2">
        <v>4</v>
      </c>
      <c r="BM49" s="2">
        <f t="shared" si="18"/>
        <v>3</v>
      </c>
      <c r="BN49" s="2">
        <f t="shared" si="19"/>
        <v>3</v>
      </c>
      <c r="BO49" s="2">
        <f t="shared" si="20"/>
        <v>0</v>
      </c>
      <c r="BP49" s="2">
        <f t="shared" si="21"/>
        <v>5</v>
      </c>
      <c r="BQ49" s="2">
        <f t="shared" si="22"/>
        <v>4</v>
      </c>
      <c r="BR49" s="2">
        <f t="shared" si="23"/>
        <v>4</v>
      </c>
      <c r="BS49" s="2">
        <f t="shared" si="24"/>
        <v>2</v>
      </c>
      <c r="BT49" s="2">
        <v>0</v>
      </c>
    </row>
    <row r="50" spans="6:72" ht="15" thickBot="1" x14ac:dyDescent="0.35">
      <c r="F50" s="196"/>
      <c r="G50" s="197" t="s">
        <v>1020</v>
      </c>
      <c r="H50" s="197">
        <v>0</v>
      </c>
      <c r="I50" s="232">
        <v>0</v>
      </c>
      <c r="J50" s="816"/>
      <c r="K50" s="816"/>
      <c r="L50" s="219">
        <v>0</v>
      </c>
      <c r="M50" s="782"/>
      <c r="N50" s="782"/>
      <c r="O50" s="782"/>
      <c r="P50" s="782" t="s">
        <v>1020</v>
      </c>
      <c r="Q50" s="782"/>
      <c r="V50" s="78">
        <f>VLOOKUP(E6,Table3[],2)</f>
        <v>0</v>
      </c>
      <c r="W50">
        <f>VLOOKUP(F6,Table3[],2)</f>
        <v>0</v>
      </c>
      <c r="X50" s="46">
        <f>VLOOKUP(G6,Table3[],2)</f>
        <v>0</v>
      </c>
      <c r="Z50" s="21" t="s">
        <v>364</v>
      </c>
      <c r="AA50" t="s">
        <v>26</v>
      </c>
      <c r="AB50" t="s">
        <v>310</v>
      </c>
      <c r="AC50" t="s">
        <v>110</v>
      </c>
      <c r="AD50" t="s">
        <v>1</v>
      </c>
      <c r="AE50" t="s">
        <v>164</v>
      </c>
      <c r="AF50" t="s">
        <v>1008</v>
      </c>
      <c r="AG50" t="s">
        <v>1009</v>
      </c>
      <c r="AH50" t="s">
        <v>817</v>
      </c>
      <c r="AI50" t="s">
        <v>1029</v>
      </c>
      <c r="AJ50" t="s">
        <v>1032</v>
      </c>
      <c r="AK50" t="s">
        <v>1033</v>
      </c>
      <c r="AL50" t="s">
        <v>1034</v>
      </c>
      <c r="AM50" t="s">
        <v>1035</v>
      </c>
      <c r="AN50" t="s">
        <v>1036</v>
      </c>
      <c r="AS50" s="2" t="s">
        <v>2062</v>
      </c>
      <c r="AT50" s="2" t="s">
        <v>872</v>
      </c>
      <c r="AU50" s="2" t="s">
        <v>2063</v>
      </c>
      <c r="AV50" s="2" t="s">
        <v>676</v>
      </c>
      <c r="AW50" s="2"/>
      <c r="AX50" s="2"/>
      <c r="AY50" s="2"/>
      <c r="AZ50" s="2"/>
      <c r="BA50" s="2"/>
      <c r="BB50" s="2" t="s">
        <v>628</v>
      </c>
      <c r="BC50" s="2">
        <v>12</v>
      </c>
      <c r="BD50" s="2">
        <v>4</v>
      </c>
      <c r="BE50" s="2">
        <v>1</v>
      </c>
      <c r="BF50" s="2">
        <v>10</v>
      </c>
      <c r="BG50" s="2" t="s">
        <v>1278</v>
      </c>
      <c r="BH50" s="10">
        <v>6000000</v>
      </c>
      <c r="BI50" s="2" t="s">
        <v>327</v>
      </c>
      <c r="BJ50" s="2"/>
      <c r="BK50" s="2">
        <v>1</v>
      </c>
      <c r="BL50" s="2">
        <v>2</v>
      </c>
      <c r="BM50" s="2">
        <f t="shared" si="18"/>
        <v>3</v>
      </c>
      <c r="BN50" s="2">
        <f t="shared" si="19"/>
        <v>4</v>
      </c>
      <c r="BO50" s="2">
        <f t="shared" si="20"/>
        <v>0</v>
      </c>
      <c r="BP50" s="2">
        <f t="shared" si="21"/>
        <v>5</v>
      </c>
      <c r="BQ50" s="2">
        <f t="shared" si="22"/>
        <v>4</v>
      </c>
      <c r="BR50" s="2">
        <f t="shared" si="23"/>
        <v>4</v>
      </c>
      <c r="BS50" s="2">
        <f t="shared" si="24"/>
        <v>2</v>
      </c>
      <c r="BT50" s="2">
        <v>0</v>
      </c>
    </row>
    <row r="51" spans="6:72" x14ac:dyDescent="0.3">
      <c r="F51" s="209" t="s">
        <v>1049</v>
      </c>
      <c r="G51" s="210" t="s">
        <v>815</v>
      </c>
      <c r="H51" s="211"/>
      <c r="I51" s="211"/>
      <c r="J51" s="211"/>
      <c r="K51" s="185"/>
      <c r="L51" s="185"/>
      <c r="M51" s="185"/>
      <c r="N51" s="185"/>
      <c r="O51" s="185"/>
      <c r="P51" s="185"/>
      <c r="Q51" s="186"/>
      <c r="V51" s="78">
        <f>VLOOKUP(E7,Table3[],2)</f>
        <v>0</v>
      </c>
      <c r="W51">
        <f>VLOOKUP(F7,Table3[],2)</f>
        <v>0</v>
      </c>
      <c r="X51" s="46">
        <f>VLOOKUP(G7,Table3[],2)</f>
        <v>0</v>
      </c>
      <c r="Z51" t="str">
        <f>""</f>
        <v/>
      </c>
      <c r="AA51">
        <v>0</v>
      </c>
      <c r="AB51">
        <v>0</v>
      </c>
      <c r="AC51">
        <v>0</v>
      </c>
      <c r="AD51">
        <v>0</v>
      </c>
      <c r="AE51" t="str">
        <f>""</f>
        <v/>
      </c>
      <c r="AH51" s="2">
        <v>0</v>
      </c>
      <c r="AI51" t="s">
        <v>19</v>
      </c>
      <c r="AR51" t="s">
        <v>2067</v>
      </c>
      <c r="AS51" s="508" t="str">
        <f>""</f>
        <v/>
      </c>
      <c r="AT51" s="508" t="str">
        <f>""</f>
        <v/>
      </c>
      <c r="AU51" s="508" t="str">
        <f>""</f>
        <v/>
      </c>
      <c r="AV51" s="508" t="str">
        <f>""</f>
        <v/>
      </c>
      <c r="AW51" s="2"/>
      <c r="AX51" s="2"/>
      <c r="AY51" s="2"/>
      <c r="AZ51" s="2"/>
      <c r="BA51" s="2"/>
      <c r="BB51" s="2" t="s">
        <v>1243</v>
      </c>
      <c r="BC51" s="2">
        <v>12</v>
      </c>
      <c r="BD51" s="2">
        <v>5</v>
      </c>
      <c r="BE51" s="2"/>
      <c r="BF51" s="2">
        <v>40</v>
      </c>
      <c r="BG51" s="2" t="s">
        <v>1244</v>
      </c>
      <c r="BH51" s="10">
        <v>40000000</v>
      </c>
      <c r="BI51" s="2" t="s">
        <v>327</v>
      </c>
      <c r="BJ51" s="2"/>
      <c r="BK51" s="2">
        <v>1</v>
      </c>
      <c r="BL51" s="2">
        <v>6</v>
      </c>
      <c r="BM51" s="2">
        <f t="shared" si="18"/>
        <v>3</v>
      </c>
      <c r="BN51" s="2">
        <f t="shared" si="19"/>
        <v>4</v>
      </c>
      <c r="BO51" s="2">
        <f t="shared" si="20"/>
        <v>0</v>
      </c>
      <c r="BP51" s="2">
        <f t="shared" si="21"/>
        <v>5</v>
      </c>
      <c r="BQ51" s="2">
        <f t="shared" si="22"/>
        <v>4</v>
      </c>
      <c r="BR51" s="2">
        <f t="shared" si="23"/>
        <v>5</v>
      </c>
      <c r="BS51" s="2">
        <f t="shared" si="24"/>
        <v>2</v>
      </c>
      <c r="BT51" s="2">
        <v>0</v>
      </c>
    </row>
    <row r="52" spans="6:72" ht="15" thickBot="1" x14ac:dyDescent="0.35">
      <c r="F52" s="209" t="s">
        <v>313</v>
      </c>
      <c r="G52" s="184" t="s">
        <v>314</v>
      </c>
      <c r="H52" s="175" t="s">
        <v>26</v>
      </c>
      <c r="I52" s="184" t="s">
        <v>54</v>
      </c>
      <c r="J52" s="184" t="s">
        <v>1047</v>
      </c>
      <c r="K52" s="185"/>
      <c r="L52" s="184" t="s">
        <v>1</v>
      </c>
      <c r="M52" s="826" t="s">
        <v>164</v>
      </c>
      <c r="N52" s="826"/>
      <c r="O52" s="826"/>
      <c r="P52" s="826" t="s">
        <v>360</v>
      </c>
      <c r="Q52" s="827"/>
      <c r="V52" s="78">
        <f>VLOOKUP(E8,Table3[],2)</f>
        <v>0</v>
      </c>
      <c r="W52">
        <f>VLOOKUP(F8,Table3[],2)</f>
        <v>0</v>
      </c>
      <c r="X52" s="46">
        <f>VLOOKUP(G8,Table3[],2)</f>
        <v>0</v>
      </c>
      <c r="Z52" s="16" t="s">
        <v>382</v>
      </c>
      <c r="AA52">
        <v>0</v>
      </c>
      <c r="AB52">
        <v>0</v>
      </c>
      <c r="AC52">
        <v>0</v>
      </c>
      <c r="AD52">
        <v>0</v>
      </c>
      <c r="AE52" t="str">
        <f>""</f>
        <v/>
      </c>
      <c r="AH52" s="2">
        <v>0</v>
      </c>
      <c r="AI52" s="16" t="s">
        <v>19</v>
      </c>
      <c r="AR52" t="s">
        <v>2068</v>
      </c>
      <c r="AS52" s="509" t="s">
        <v>382</v>
      </c>
      <c r="AT52" s="509" t="s">
        <v>382</v>
      </c>
      <c r="AU52" s="509" t="s">
        <v>382</v>
      </c>
      <c r="AV52" s="509" t="s">
        <v>382</v>
      </c>
      <c r="AW52" s="2"/>
      <c r="AX52" s="2"/>
      <c r="AY52" s="2"/>
      <c r="AZ52" s="2"/>
      <c r="BA52" s="2"/>
      <c r="BB52" s="2" t="s">
        <v>1501</v>
      </c>
      <c r="BC52" s="2">
        <v>12</v>
      </c>
      <c r="BD52" s="2">
        <v>4</v>
      </c>
      <c r="BE52" s="2"/>
      <c r="BF52" s="2">
        <v>30</v>
      </c>
      <c r="BG52" s="2" t="s">
        <v>1237</v>
      </c>
      <c r="BH52" s="10">
        <v>25000000</v>
      </c>
      <c r="BI52" s="2" t="s">
        <v>327</v>
      </c>
      <c r="BJ52" s="2"/>
      <c r="BK52" s="2">
        <v>1</v>
      </c>
      <c r="BL52" s="2">
        <v>5</v>
      </c>
      <c r="BM52" s="2">
        <f t="shared" si="18"/>
        <v>3</v>
      </c>
      <c r="BN52" s="2">
        <f t="shared" si="19"/>
        <v>4</v>
      </c>
      <c r="BO52" s="2">
        <f t="shared" si="20"/>
        <v>0</v>
      </c>
      <c r="BP52" s="2">
        <f t="shared" si="21"/>
        <v>5</v>
      </c>
      <c r="BQ52" s="2">
        <f t="shared" si="22"/>
        <v>5</v>
      </c>
      <c r="BR52" s="2">
        <f t="shared" si="23"/>
        <v>5</v>
      </c>
      <c r="BS52" s="2">
        <f t="shared" si="24"/>
        <v>2</v>
      </c>
      <c r="BT52" s="2">
        <v>0</v>
      </c>
    </row>
    <row r="53" spans="6:72" ht="15" thickBot="1" x14ac:dyDescent="0.35">
      <c r="F53" s="196"/>
      <c r="G53" s="197" t="s">
        <v>1020</v>
      </c>
      <c r="H53" s="197">
        <v>0</v>
      </c>
      <c r="I53" s="232">
        <v>0</v>
      </c>
      <c r="J53" s="816"/>
      <c r="K53" s="816"/>
      <c r="L53" s="219">
        <v>0</v>
      </c>
      <c r="M53" s="782"/>
      <c r="N53" s="782"/>
      <c r="O53" s="782"/>
      <c r="P53" s="782" t="s">
        <v>1020</v>
      </c>
      <c r="Q53" s="782"/>
      <c r="V53" s="86">
        <f>VLOOKUP(E9,Table3[],2)</f>
        <v>0</v>
      </c>
      <c r="W53" s="28">
        <f>VLOOKUP(F9,Table3[],2)</f>
        <v>0</v>
      </c>
      <c r="X53" s="79">
        <f>VLOOKUP(G9,Table3[],2)</f>
        <v>0</v>
      </c>
      <c r="Z53" s="141" t="s">
        <v>2044</v>
      </c>
      <c r="AA53">
        <v>0</v>
      </c>
      <c r="AB53">
        <v>0</v>
      </c>
      <c r="AC53">
        <v>0.2</v>
      </c>
      <c r="AD53">
        <v>-0.25</v>
      </c>
      <c r="AE53" t="s">
        <v>367</v>
      </c>
      <c r="AH53" s="2">
        <v>3</v>
      </c>
      <c r="AI53" s="141" t="s">
        <v>2045</v>
      </c>
      <c r="AR53" t="s">
        <v>2069</v>
      </c>
      <c r="AS53" s="510" t="s">
        <v>2044</v>
      </c>
      <c r="AT53" s="510" t="s">
        <v>2044</v>
      </c>
      <c r="AU53" s="510" t="s">
        <v>2044</v>
      </c>
      <c r="AV53" s="510" t="s">
        <v>2044</v>
      </c>
      <c r="AW53" s="2"/>
      <c r="AX53" s="2"/>
      <c r="AY53" s="2"/>
      <c r="AZ53" s="2"/>
      <c r="BA53" s="2"/>
      <c r="BB53" s="2" t="s">
        <v>1502</v>
      </c>
      <c r="BC53" s="2">
        <v>12</v>
      </c>
      <c r="BD53" s="2">
        <v>4</v>
      </c>
      <c r="BE53" s="2"/>
      <c r="BF53" s="2">
        <v>20</v>
      </c>
      <c r="BG53" s="2" t="s">
        <v>1101</v>
      </c>
      <c r="BH53" s="10">
        <v>15000000</v>
      </c>
      <c r="BI53" s="2" t="s">
        <v>327</v>
      </c>
      <c r="BJ53" s="2"/>
      <c r="BK53" s="2">
        <v>1</v>
      </c>
      <c r="BL53" s="2">
        <v>4</v>
      </c>
      <c r="BM53" s="2">
        <f t="shared" si="18"/>
        <v>3</v>
      </c>
      <c r="BN53" s="2">
        <f t="shared" si="19"/>
        <v>4</v>
      </c>
      <c r="BO53" s="2">
        <f t="shared" si="20"/>
        <v>0</v>
      </c>
      <c r="BP53" s="2">
        <f t="shared" si="21"/>
        <v>6</v>
      </c>
      <c r="BQ53" s="2">
        <f t="shared" si="22"/>
        <v>5</v>
      </c>
      <c r="BR53" s="2">
        <f t="shared" si="23"/>
        <v>5</v>
      </c>
      <c r="BS53" s="2">
        <f t="shared" si="24"/>
        <v>2</v>
      </c>
      <c r="BT53" s="2">
        <v>0</v>
      </c>
    </row>
    <row r="54" spans="6:72" x14ac:dyDescent="0.3">
      <c r="Z54" s="16" t="s">
        <v>1012</v>
      </c>
      <c r="AA54">
        <v>0</v>
      </c>
      <c r="AB54">
        <v>0</v>
      </c>
      <c r="AC54">
        <v>0</v>
      </c>
      <c r="AD54">
        <v>-0.25</v>
      </c>
      <c r="AE54" t="s">
        <v>370</v>
      </c>
      <c r="AH54" s="2">
        <v>3</v>
      </c>
      <c r="AI54" s="16" t="s">
        <v>620</v>
      </c>
      <c r="AL54" t="s">
        <v>964</v>
      </c>
      <c r="AR54" t="s">
        <v>2070</v>
      </c>
      <c r="AS54" s="509" t="s">
        <v>1012</v>
      </c>
      <c r="AT54" s="509" t="s">
        <v>1012</v>
      </c>
      <c r="AU54" s="509" t="s">
        <v>1012</v>
      </c>
      <c r="AV54" s="509" t="s">
        <v>1012</v>
      </c>
      <c r="AW54" s="2"/>
      <c r="AX54" s="2"/>
      <c r="AY54" s="2"/>
      <c r="AZ54" s="2"/>
      <c r="BA54" s="2"/>
      <c r="BB54" s="2" t="s">
        <v>593</v>
      </c>
      <c r="BC54" s="2">
        <v>8</v>
      </c>
      <c r="BD54" s="2">
        <v>1</v>
      </c>
      <c r="BE54" s="2">
        <v>1</v>
      </c>
      <c r="BF54" s="2">
        <v>4</v>
      </c>
      <c r="BG54" s="2" t="s">
        <v>323</v>
      </c>
      <c r="BH54" s="10">
        <v>150000</v>
      </c>
      <c r="BI54" s="2" t="s">
        <v>1226</v>
      </c>
      <c r="BJ54" s="2"/>
      <c r="BK54" s="2"/>
      <c r="BL54" s="2">
        <v>1</v>
      </c>
      <c r="BM54" s="2">
        <f t="shared" si="18"/>
        <v>4</v>
      </c>
      <c r="BN54" s="2">
        <f t="shared" si="19"/>
        <v>4</v>
      </c>
      <c r="BO54" s="2">
        <f t="shared" si="20"/>
        <v>0</v>
      </c>
      <c r="BP54" s="2">
        <f t="shared" si="21"/>
        <v>6</v>
      </c>
      <c r="BQ54" s="2">
        <f t="shared" si="22"/>
        <v>5</v>
      </c>
      <c r="BR54" s="2">
        <f t="shared" si="23"/>
        <v>5</v>
      </c>
      <c r="BS54" s="2">
        <f t="shared" si="24"/>
        <v>2</v>
      </c>
      <c r="BT54" s="2">
        <v>0</v>
      </c>
    </row>
    <row r="55" spans="6:72" x14ac:dyDescent="0.3">
      <c r="G55" s="154" t="s">
        <v>875</v>
      </c>
      <c r="V55" s="44" t="s">
        <v>739</v>
      </c>
      <c r="W55" s="47">
        <f>SUM(W56:W62)</f>
        <v>0</v>
      </c>
      <c r="Z55" s="16" t="s">
        <v>2042</v>
      </c>
      <c r="AA55">
        <v>0</v>
      </c>
      <c r="AB55">
        <v>0.3</v>
      </c>
      <c r="AC55">
        <v>0</v>
      </c>
      <c r="AD55">
        <v>-0.25</v>
      </c>
      <c r="AE55" t="s">
        <v>369</v>
      </c>
      <c r="AH55" s="2">
        <v>3</v>
      </c>
      <c r="AI55" s="16" t="s">
        <v>2043</v>
      </c>
      <c r="AR55" t="s">
        <v>2071</v>
      </c>
      <c r="AS55" s="509" t="s">
        <v>2306</v>
      </c>
      <c r="AT55" s="511" t="s">
        <v>2042</v>
      </c>
      <c r="AU55" s="509" t="s">
        <v>2306</v>
      </c>
      <c r="AV55" s="511" t="s">
        <v>2042</v>
      </c>
      <c r="AW55" s="2"/>
      <c r="AX55" s="2"/>
      <c r="AY55" s="130"/>
      <c r="AZ55" s="2"/>
      <c r="BA55" s="2"/>
      <c r="BB55" s="2" t="s">
        <v>1491</v>
      </c>
      <c r="BC55" s="2">
        <v>8</v>
      </c>
      <c r="BD55" s="2">
        <v>4</v>
      </c>
      <c r="BE55" s="2"/>
      <c r="BF55" s="2">
        <v>35</v>
      </c>
      <c r="BG55" s="2" t="s">
        <v>1249</v>
      </c>
      <c r="BH55" s="10">
        <v>80000000</v>
      </c>
      <c r="BI55" s="2" t="s">
        <v>1250</v>
      </c>
      <c r="BJ55" s="2"/>
      <c r="BK55" s="2">
        <v>1</v>
      </c>
      <c r="BL55" s="2">
        <v>6</v>
      </c>
      <c r="BM55" s="2">
        <f t="shared" si="18"/>
        <v>4</v>
      </c>
      <c r="BN55" s="2">
        <f t="shared" si="19"/>
        <v>4</v>
      </c>
      <c r="BO55" s="2">
        <f t="shared" si="20"/>
        <v>0</v>
      </c>
      <c r="BP55" s="2">
        <f t="shared" si="21"/>
        <v>6</v>
      </c>
      <c r="BQ55" s="2">
        <f t="shared" si="22"/>
        <v>5</v>
      </c>
      <c r="BR55" s="2">
        <f t="shared" si="23"/>
        <v>6</v>
      </c>
      <c r="BS55" s="2">
        <f t="shared" si="24"/>
        <v>2</v>
      </c>
      <c r="BT55" s="2">
        <v>0</v>
      </c>
    </row>
    <row r="56" spans="6:72" x14ac:dyDescent="0.3">
      <c r="V56" s="78" t="s">
        <v>777</v>
      </c>
      <c r="W56" s="46">
        <f>COUNTIF(AO28:AO47,"&gt;0")</f>
        <v>0</v>
      </c>
      <c r="Z56" s="16" t="s">
        <v>2306</v>
      </c>
      <c r="AA56">
        <v>1</v>
      </c>
      <c r="AB56">
        <v>0</v>
      </c>
      <c r="AC56">
        <v>0</v>
      </c>
      <c r="AD56">
        <v>-0.1</v>
      </c>
      <c r="AE56" t="s">
        <v>698</v>
      </c>
      <c r="AH56" s="2">
        <v>3</v>
      </c>
      <c r="AI56" s="16" t="s">
        <v>2309</v>
      </c>
      <c r="AR56" t="s">
        <v>2072</v>
      </c>
      <c r="AS56" s="511" t="s">
        <v>2307</v>
      </c>
      <c r="AT56" s="509" t="s">
        <v>2306</v>
      </c>
      <c r="AU56" s="511" t="s">
        <v>2307</v>
      </c>
      <c r="AV56" s="509" t="s">
        <v>2306</v>
      </c>
      <c r="AW56" s="2"/>
      <c r="AX56" s="2"/>
      <c r="AY56" s="2"/>
      <c r="BA56" s="2"/>
      <c r="BB56" s="2" t="s">
        <v>1503</v>
      </c>
      <c r="BC56" s="2">
        <v>8</v>
      </c>
      <c r="BD56" s="2">
        <v>3</v>
      </c>
      <c r="BE56" s="2"/>
      <c r="BF56" s="2">
        <v>25</v>
      </c>
      <c r="BG56" s="2" t="s">
        <v>1251</v>
      </c>
      <c r="BH56" s="10">
        <v>60000000</v>
      </c>
      <c r="BI56" s="2" t="s">
        <v>1250</v>
      </c>
      <c r="BJ56" s="2"/>
      <c r="BK56" s="2">
        <v>1</v>
      </c>
      <c r="BL56" s="2">
        <v>5</v>
      </c>
      <c r="BM56" s="2">
        <f t="shared" si="18"/>
        <v>4</v>
      </c>
      <c r="BN56" s="2">
        <f t="shared" si="19"/>
        <v>4</v>
      </c>
      <c r="BO56" s="2">
        <f t="shared" si="20"/>
        <v>0</v>
      </c>
      <c r="BP56" s="2">
        <f t="shared" si="21"/>
        <v>6</v>
      </c>
      <c r="BQ56" s="2">
        <f t="shared" si="22"/>
        <v>6</v>
      </c>
      <c r="BR56" s="2">
        <f t="shared" si="23"/>
        <v>6</v>
      </c>
      <c r="BS56" s="2">
        <f t="shared" si="24"/>
        <v>2</v>
      </c>
      <c r="BT56" s="2">
        <v>0</v>
      </c>
    </row>
    <row r="57" spans="6:72" x14ac:dyDescent="0.3">
      <c r="V57" s="78" t="s">
        <v>1038</v>
      </c>
      <c r="W57" s="46">
        <f>COUNTIF(H12:H31,"&gt;3")</f>
        <v>0</v>
      </c>
      <c r="Z57" s="16" t="s">
        <v>2307</v>
      </c>
      <c r="AA57">
        <v>2</v>
      </c>
      <c r="AB57">
        <v>0</v>
      </c>
      <c r="AC57">
        <v>0</v>
      </c>
      <c r="AD57">
        <v>-0.2</v>
      </c>
      <c r="AE57" t="s">
        <v>699</v>
      </c>
      <c r="AH57" s="2">
        <v>3</v>
      </c>
      <c r="AI57" s="16" t="s">
        <v>2310</v>
      </c>
      <c r="AR57" t="s">
        <v>2073</v>
      </c>
      <c r="AS57" s="509" t="s">
        <v>2308</v>
      </c>
      <c r="AT57" s="511" t="s">
        <v>2307</v>
      </c>
      <c r="AU57" s="509" t="s">
        <v>2308</v>
      </c>
      <c r="AV57" s="511" t="s">
        <v>2307</v>
      </c>
      <c r="AW57" s="2"/>
      <c r="BA57" s="2"/>
      <c r="BB57" s="2" t="s">
        <v>1242</v>
      </c>
      <c r="BC57" s="2">
        <v>8</v>
      </c>
      <c r="BD57" s="2">
        <v>3</v>
      </c>
      <c r="BE57" s="2"/>
      <c r="BF57" s="2">
        <v>15</v>
      </c>
      <c r="BG57" s="2" t="s">
        <v>1232</v>
      </c>
      <c r="BH57" s="10">
        <v>40000000</v>
      </c>
      <c r="BI57" s="2" t="s">
        <v>1250</v>
      </c>
      <c r="BJ57" s="2"/>
      <c r="BK57" s="2">
        <v>1</v>
      </c>
      <c r="BL57" s="2">
        <v>4</v>
      </c>
      <c r="BM57" s="2">
        <f t="shared" si="18"/>
        <v>4</v>
      </c>
      <c r="BN57" s="2">
        <f t="shared" si="19"/>
        <v>4</v>
      </c>
      <c r="BO57" s="2">
        <f t="shared" si="20"/>
        <v>0</v>
      </c>
      <c r="BP57" s="2">
        <f t="shared" si="21"/>
        <v>7</v>
      </c>
      <c r="BQ57" s="2">
        <f t="shared" si="22"/>
        <v>6</v>
      </c>
      <c r="BR57" s="2">
        <f t="shared" si="23"/>
        <v>6</v>
      </c>
      <c r="BS57" s="2">
        <f t="shared" si="24"/>
        <v>2</v>
      </c>
      <c r="BT57" s="2">
        <v>0</v>
      </c>
    </row>
    <row r="58" spans="6:72" x14ac:dyDescent="0.3">
      <c r="V58" s="78" t="s">
        <v>1042</v>
      </c>
      <c r="W58" s="46">
        <f>IF(J8&gt;J6,1,0)</f>
        <v>0</v>
      </c>
      <c r="Z58" s="16" t="s">
        <v>2308</v>
      </c>
      <c r="AA58">
        <v>3</v>
      </c>
      <c r="AB58">
        <v>0</v>
      </c>
      <c r="AC58">
        <v>0</v>
      </c>
      <c r="AD58">
        <v>-0.3</v>
      </c>
      <c r="AE58" t="s">
        <v>700</v>
      </c>
      <c r="AH58" s="2">
        <v>3</v>
      </c>
      <c r="AI58" s="16" t="s">
        <v>2311</v>
      </c>
      <c r="AR58" t="s">
        <v>2074</v>
      </c>
      <c r="AS58" s="511" t="s">
        <v>2046</v>
      </c>
      <c r="AT58" s="509" t="s">
        <v>2308</v>
      </c>
      <c r="AU58" s="511" t="s">
        <v>2046</v>
      </c>
      <c r="AV58" s="509" t="s">
        <v>2308</v>
      </c>
      <c r="AW58" s="2"/>
      <c r="AX58" s="2"/>
      <c r="AY58" s="2"/>
      <c r="AZ58" s="2"/>
      <c r="BA58" s="2"/>
      <c r="BB58" s="2" t="s">
        <v>1492</v>
      </c>
      <c r="BC58" s="2">
        <v>13</v>
      </c>
      <c r="BD58" s="2">
        <v>5</v>
      </c>
      <c r="BE58" s="2"/>
      <c r="BF58" s="2">
        <v>150</v>
      </c>
      <c r="BG58" s="2" t="s">
        <v>1249</v>
      </c>
      <c r="BH58" s="10">
        <v>250000000</v>
      </c>
      <c r="BI58" s="2" t="s">
        <v>334</v>
      </c>
      <c r="BJ58" s="2"/>
      <c r="BK58" s="2">
        <v>1</v>
      </c>
      <c r="BL58" s="2">
        <v>6</v>
      </c>
      <c r="BM58" s="2">
        <f t="shared" si="18"/>
        <v>4</v>
      </c>
      <c r="BN58" s="2">
        <f t="shared" si="19"/>
        <v>4</v>
      </c>
      <c r="BO58" s="2">
        <f t="shared" si="20"/>
        <v>0</v>
      </c>
      <c r="BP58" s="2">
        <f t="shared" si="21"/>
        <v>7</v>
      </c>
      <c r="BQ58" s="2">
        <f t="shared" si="22"/>
        <v>6</v>
      </c>
      <c r="BR58" s="2">
        <f t="shared" si="23"/>
        <v>7</v>
      </c>
      <c r="BS58" s="2">
        <f t="shared" si="24"/>
        <v>2</v>
      </c>
      <c r="BT58" s="2">
        <v>0</v>
      </c>
    </row>
    <row r="59" spans="6:72" x14ac:dyDescent="0.3">
      <c r="V59" s="78" t="s">
        <v>779</v>
      </c>
      <c r="W59" s="46">
        <f>IF(MAX(K12:K36)&gt;K2,1,0)</f>
        <v>0</v>
      </c>
      <c r="Z59" s="16" t="s">
        <v>2046</v>
      </c>
      <c r="AA59">
        <v>1</v>
      </c>
      <c r="AB59">
        <v>0</v>
      </c>
      <c r="AC59">
        <v>0</v>
      </c>
      <c r="AD59">
        <v>0</v>
      </c>
      <c r="AE59" t="s">
        <v>402</v>
      </c>
      <c r="AH59" s="2">
        <v>1</v>
      </c>
      <c r="AI59" s="16" t="s">
        <v>2047</v>
      </c>
      <c r="AL59" t="s">
        <v>703</v>
      </c>
      <c r="AR59" t="s">
        <v>2075</v>
      </c>
      <c r="AS59" s="509" t="s">
        <v>1013</v>
      </c>
      <c r="AT59" s="511" t="s">
        <v>2046</v>
      </c>
      <c r="AU59" s="509" t="s">
        <v>1013</v>
      </c>
      <c r="AV59" s="511" t="s">
        <v>2046</v>
      </c>
      <c r="AW59" s="2"/>
      <c r="AX59" s="2"/>
      <c r="AY59" s="2"/>
      <c r="AZ59" s="2"/>
      <c r="BA59" s="2"/>
      <c r="BB59" s="2" t="s">
        <v>1504</v>
      </c>
      <c r="BC59" s="2">
        <v>12</v>
      </c>
      <c r="BD59" s="2">
        <v>5</v>
      </c>
      <c r="BE59" s="2"/>
      <c r="BF59" s="2">
        <v>30</v>
      </c>
      <c r="BG59" s="2" t="s">
        <v>1253</v>
      </c>
      <c r="BH59" s="10">
        <v>60000000</v>
      </c>
      <c r="BI59" s="2" t="s">
        <v>334</v>
      </c>
      <c r="BJ59" s="2"/>
      <c r="BK59" s="2">
        <v>1</v>
      </c>
      <c r="BL59" s="2">
        <v>5</v>
      </c>
      <c r="BM59" s="2">
        <f t="shared" si="18"/>
        <v>4</v>
      </c>
      <c r="BN59" s="2">
        <f t="shared" si="19"/>
        <v>4</v>
      </c>
      <c r="BO59" s="2">
        <f t="shared" si="20"/>
        <v>0</v>
      </c>
      <c r="BP59" s="2">
        <f t="shared" si="21"/>
        <v>7</v>
      </c>
      <c r="BQ59" s="2">
        <f t="shared" si="22"/>
        <v>7</v>
      </c>
      <c r="BR59" s="2">
        <f t="shared" si="23"/>
        <v>7</v>
      </c>
      <c r="BS59" s="2">
        <f t="shared" si="24"/>
        <v>2</v>
      </c>
      <c r="BT59" s="2">
        <v>0</v>
      </c>
    </row>
    <row r="60" spans="6:72" x14ac:dyDescent="0.3">
      <c r="V60" s="78" t="s">
        <v>1126</v>
      </c>
      <c r="W60" s="46">
        <f>IF(N36&gt;VLOOKUP(B36,Z113:AG121,8),1,0)</f>
        <v>0</v>
      </c>
      <c r="Z60" s="16" t="s">
        <v>1013</v>
      </c>
      <c r="AA60">
        <v>1</v>
      </c>
      <c r="AB60">
        <v>-0.25</v>
      </c>
      <c r="AC60">
        <v>0</v>
      </c>
      <c r="AD60">
        <v>0</v>
      </c>
      <c r="AE60" t="s">
        <v>368</v>
      </c>
      <c r="AH60" s="2">
        <v>1</v>
      </c>
      <c r="AI60" s="16" t="s">
        <v>621</v>
      </c>
      <c r="AR60" t="s">
        <v>2076</v>
      </c>
      <c r="AS60" s="511" t="s">
        <v>1076</v>
      </c>
      <c r="AT60" s="509" t="s">
        <v>1013</v>
      </c>
      <c r="AU60" s="509" t="s">
        <v>1077</v>
      </c>
      <c r="AV60" s="509" t="s">
        <v>1013</v>
      </c>
      <c r="AX60" s="2"/>
      <c r="AY60" s="2"/>
      <c r="AZ60" s="2"/>
      <c r="BA60" s="2"/>
      <c r="BB60" s="2" t="s">
        <v>1505</v>
      </c>
      <c r="BC60" s="2">
        <v>11</v>
      </c>
      <c r="BD60" s="2">
        <v>5</v>
      </c>
      <c r="BE60" s="2"/>
      <c r="BF60" s="2">
        <v>20</v>
      </c>
      <c r="BG60" s="2" t="s">
        <v>1252</v>
      </c>
      <c r="BH60" s="10">
        <v>50000000</v>
      </c>
      <c r="BI60" s="2" t="s">
        <v>334</v>
      </c>
      <c r="BJ60" s="2"/>
      <c r="BK60" s="2">
        <v>1</v>
      </c>
      <c r="BL60" s="2">
        <v>4</v>
      </c>
      <c r="BM60" s="2">
        <f t="shared" si="18"/>
        <v>4</v>
      </c>
      <c r="BN60" s="2">
        <f t="shared" si="19"/>
        <v>4</v>
      </c>
      <c r="BO60" s="2">
        <f t="shared" si="20"/>
        <v>0</v>
      </c>
      <c r="BP60" s="2">
        <f t="shared" si="21"/>
        <v>8</v>
      </c>
      <c r="BQ60" s="2">
        <f t="shared" si="22"/>
        <v>7</v>
      </c>
      <c r="BR60" s="2">
        <f t="shared" si="23"/>
        <v>7</v>
      </c>
      <c r="BS60" s="2">
        <f t="shared" si="24"/>
        <v>2</v>
      </c>
      <c r="BT60" s="2">
        <v>0</v>
      </c>
    </row>
    <row r="61" spans="6:72" x14ac:dyDescent="0.3">
      <c r="V61" s="78" t="s">
        <v>1137</v>
      </c>
      <c r="W61" s="46">
        <f>SUM(BA113:BA132)</f>
        <v>0</v>
      </c>
      <c r="Z61" s="16" t="s">
        <v>1076</v>
      </c>
      <c r="AA61">
        <v>1</v>
      </c>
      <c r="AB61">
        <v>0</v>
      </c>
      <c r="AC61">
        <v>0</v>
      </c>
      <c r="AD61">
        <v>0</v>
      </c>
      <c r="AE61" t="s">
        <v>365</v>
      </c>
      <c r="AH61" s="2">
        <v>1</v>
      </c>
      <c r="AI61" s="16" t="s">
        <v>1079</v>
      </c>
      <c r="AL61" t="s">
        <v>704</v>
      </c>
      <c r="AR61" t="s">
        <v>2077</v>
      </c>
      <c r="AS61" s="509" t="s">
        <v>1077</v>
      </c>
      <c r="AT61" s="511" t="s">
        <v>1076</v>
      </c>
      <c r="AU61" s="509" t="s">
        <v>1014</v>
      </c>
      <c r="AV61" s="509" t="s">
        <v>1077</v>
      </c>
      <c r="AX61" s="2"/>
      <c r="AY61" s="2"/>
      <c r="AZ61" s="2"/>
      <c r="BA61" s="2"/>
      <c r="BB61" s="2" t="s">
        <v>1506</v>
      </c>
      <c r="BC61" s="2">
        <v>7</v>
      </c>
      <c r="BD61" s="2">
        <v>8</v>
      </c>
      <c r="BE61" s="2">
        <v>8</v>
      </c>
      <c r="BF61" s="2">
        <v>0</v>
      </c>
      <c r="BG61" s="2" t="s">
        <v>319</v>
      </c>
      <c r="BH61" s="10">
        <v>4000000</v>
      </c>
      <c r="BI61" s="2" t="s">
        <v>321</v>
      </c>
      <c r="BJ61" s="2"/>
      <c r="BK61" s="2">
        <v>1</v>
      </c>
      <c r="BL61" s="2">
        <v>2</v>
      </c>
      <c r="BM61" s="2">
        <f t="shared" si="18"/>
        <v>4</v>
      </c>
      <c r="BN61" s="2">
        <f t="shared" si="19"/>
        <v>5</v>
      </c>
      <c r="BO61" s="2">
        <f t="shared" si="20"/>
        <v>0</v>
      </c>
      <c r="BP61" s="2">
        <f t="shared" si="21"/>
        <v>8</v>
      </c>
      <c r="BQ61" s="2">
        <f t="shared" si="22"/>
        <v>7</v>
      </c>
      <c r="BR61" s="2">
        <f t="shared" si="23"/>
        <v>7</v>
      </c>
      <c r="BS61" s="2">
        <f t="shared" si="24"/>
        <v>2</v>
      </c>
      <c r="BT61" s="2">
        <v>1</v>
      </c>
    </row>
    <row r="62" spans="6:72" ht="15" customHeight="1" x14ac:dyDescent="0.3">
      <c r="V62" s="86" t="s">
        <v>2411</v>
      </c>
      <c r="W62" s="79">
        <f>IF(SUM(AD9:AD11)&gt;1,1,0)</f>
        <v>0</v>
      </c>
      <c r="Z62" s="16" t="s">
        <v>1077</v>
      </c>
      <c r="AA62">
        <v>1</v>
      </c>
      <c r="AB62">
        <v>0</v>
      </c>
      <c r="AC62">
        <v>0</v>
      </c>
      <c r="AD62">
        <v>0</v>
      </c>
      <c r="AE62" t="s">
        <v>366</v>
      </c>
      <c r="AH62" s="2">
        <v>1</v>
      </c>
      <c r="AI62" s="16" t="s">
        <v>1080</v>
      </c>
      <c r="AL62" t="s">
        <v>705</v>
      </c>
      <c r="AR62" t="s">
        <v>2078</v>
      </c>
      <c r="AS62" s="509" t="s">
        <v>1014</v>
      </c>
      <c r="AT62" s="509" t="s">
        <v>1077</v>
      </c>
      <c r="AU62" s="509" t="s">
        <v>1016</v>
      </c>
      <c r="AV62" s="511" t="s">
        <v>2048</v>
      </c>
      <c r="BA62" s="2"/>
      <c r="BB62" s="2" t="s">
        <v>1269</v>
      </c>
      <c r="BC62" s="2">
        <v>7</v>
      </c>
      <c r="BD62" s="2">
        <v>8</v>
      </c>
      <c r="BE62" s="2"/>
      <c r="BF62" s="2">
        <v>50</v>
      </c>
      <c r="BG62" s="2" t="s">
        <v>319</v>
      </c>
      <c r="BH62" s="10">
        <v>25000000</v>
      </c>
      <c r="BI62" s="2" t="s">
        <v>321</v>
      </c>
      <c r="BJ62" s="2"/>
      <c r="BK62" s="2">
        <v>1</v>
      </c>
      <c r="BL62" s="2">
        <v>6</v>
      </c>
      <c r="BM62" s="2">
        <f t="shared" si="18"/>
        <v>4</v>
      </c>
      <c r="BN62" s="2">
        <f t="shared" si="19"/>
        <v>5</v>
      </c>
      <c r="BO62" s="2">
        <f t="shared" si="20"/>
        <v>0</v>
      </c>
      <c r="BP62" s="2">
        <f t="shared" si="21"/>
        <v>8</v>
      </c>
      <c r="BQ62" s="2">
        <f t="shared" si="22"/>
        <v>7</v>
      </c>
      <c r="BR62" s="2">
        <f t="shared" si="23"/>
        <v>8</v>
      </c>
      <c r="BS62" s="2">
        <f t="shared" si="24"/>
        <v>2</v>
      </c>
      <c r="BT62" s="2">
        <v>1</v>
      </c>
    </row>
    <row r="63" spans="6:72" x14ac:dyDescent="0.3">
      <c r="U63" t="str">
        <f>""</f>
        <v/>
      </c>
      <c r="V63" s="122" t="str">
        <f>""</f>
        <v/>
      </c>
      <c r="Z63" s="16" t="s">
        <v>2048</v>
      </c>
      <c r="AA63">
        <v>1</v>
      </c>
      <c r="AB63">
        <v>0</v>
      </c>
      <c r="AC63">
        <v>-0.1</v>
      </c>
      <c r="AD63">
        <v>0</v>
      </c>
      <c r="AE63" t="s">
        <v>371</v>
      </c>
      <c r="AH63" s="2">
        <v>1</v>
      </c>
      <c r="AI63" s="16" t="s">
        <v>2049</v>
      </c>
      <c r="AR63" t="s">
        <v>2079</v>
      </c>
      <c r="AS63" s="508" t="s">
        <v>1015</v>
      </c>
      <c r="AT63" s="511" t="s">
        <v>2048</v>
      </c>
      <c r="AU63" s="512" t="s">
        <v>2050</v>
      </c>
      <c r="AV63" s="509" t="s">
        <v>1014</v>
      </c>
      <c r="AW63" s="2"/>
      <c r="AX63" s="2"/>
      <c r="AY63" s="2"/>
      <c r="AZ63" s="88"/>
      <c r="BA63" s="2"/>
      <c r="BB63" s="2" t="s">
        <v>1507</v>
      </c>
      <c r="BC63" s="2">
        <v>7</v>
      </c>
      <c r="BD63" s="2">
        <v>8</v>
      </c>
      <c r="BE63" s="2"/>
      <c r="BF63" s="2">
        <v>10</v>
      </c>
      <c r="BG63" s="2" t="s">
        <v>319</v>
      </c>
      <c r="BH63" s="10">
        <v>20000000</v>
      </c>
      <c r="BI63" s="2" t="s">
        <v>321</v>
      </c>
      <c r="BJ63" s="2"/>
      <c r="BK63" s="2">
        <v>1</v>
      </c>
      <c r="BL63" s="2">
        <v>5</v>
      </c>
      <c r="BM63" s="2">
        <f t="shared" si="18"/>
        <v>4</v>
      </c>
      <c r="BN63" s="2">
        <f t="shared" si="19"/>
        <v>5</v>
      </c>
      <c r="BO63" s="2">
        <f t="shared" si="20"/>
        <v>0</v>
      </c>
      <c r="BP63" s="2">
        <f t="shared" si="21"/>
        <v>8</v>
      </c>
      <c r="BQ63" s="2">
        <f t="shared" si="22"/>
        <v>8</v>
      </c>
      <c r="BR63" s="2">
        <f t="shared" si="23"/>
        <v>8</v>
      </c>
      <c r="BS63" s="2">
        <f t="shared" si="24"/>
        <v>2</v>
      </c>
      <c r="BT63" s="2">
        <v>1</v>
      </c>
    </row>
    <row r="64" spans="6:72" x14ac:dyDescent="0.3">
      <c r="U64">
        <v>1</v>
      </c>
      <c r="V64" s="122" t="s">
        <v>318</v>
      </c>
      <c r="Z64" s="16" t="s">
        <v>1014</v>
      </c>
      <c r="AA64">
        <v>2</v>
      </c>
      <c r="AB64">
        <v>0</v>
      </c>
      <c r="AC64">
        <v>0</v>
      </c>
      <c r="AD64">
        <v>0</v>
      </c>
      <c r="AE64" t="s">
        <v>701</v>
      </c>
      <c r="AH64" s="2">
        <v>2</v>
      </c>
      <c r="AI64" s="16" t="s">
        <v>622</v>
      </c>
      <c r="AL64" t="s">
        <v>706</v>
      </c>
      <c r="AR64" t="s">
        <v>2080</v>
      </c>
      <c r="AS64" s="509" t="s">
        <v>1016</v>
      </c>
      <c r="AT64" s="509" t="s">
        <v>1014</v>
      </c>
      <c r="AU64" s="508" t="s">
        <v>952</v>
      </c>
      <c r="AV64" s="509" t="s">
        <v>1016</v>
      </c>
      <c r="AW64" s="2"/>
      <c r="AX64" s="2"/>
      <c r="AY64" s="2"/>
      <c r="AZ64" s="88"/>
      <c r="BA64" s="2"/>
      <c r="BB64" s="2" t="s">
        <v>1508</v>
      </c>
      <c r="BC64" s="2">
        <v>7</v>
      </c>
      <c r="BD64" s="2">
        <v>8</v>
      </c>
      <c r="BE64" s="2"/>
      <c r="BF64" s="2">
        <v>5</v>
      </c>
      <c r="BG64" s="2" t="s">
        <v>319</v>
      </c>
      <c r="BH64" s="10">
        <v>12000000</v>
      </c>
      <c r="BI64" s="2" t="s">
        <v>321</v>
      </c>
      <c r="BJ64" s="2"/>
      <c r="BK64" s="2">
        <v>1</v>
      </c>
      <c r="BL64" s="2">
        <v>4</v>
      </c>
      <c r="BM64" s="2">
        <f t="shared" si="18"/>
        <v>4</v>
      </c>
      <c r="BN64" s="2">
        <f t="shared" si="19"/>
        <v>5</v>
      </c>
      <c r="BO64" s="2">
        <f t="shared" si="20"/>
        <v>0</v>
      </c>
      <c r="BP64" s="2">
        <f t="shared" si="21"/>
        <v>9</v>
      </c>
      <c r="BQ64" s="2">
        <f t="shared" si="22"/>
        <v>8</v>
      </c>
      <c r="BR64" s="2">
        <f t="shared" si="23"/>
        <v>8</v>
      </c>
      <c r="BS64" s="2">
        <f t="shared" si="24"/>
        <v>2</v>
      </c>
      <c r="BT64" s="2">
        <v>1</v>
      </c>
    </row>
    <row r="65" spans="21:72" x14ac:dyDescent="0.3">
      <c r="U65">
        <v>2</v>
      </c>
      <c r="V65" s="122" t="s">
        <v>610</v>
      </c>
      <c r="Z65" t="s">
        <v>1015</v>
      </c>
      <c r="AA65">
        <v>2</v>
      </c>
      <c r="AB65">
        <v>0</v>
      </c>
      <c r="AC65">
        <v>0</v>
      </c>
      <c r="AD65">
        <v>0</v>
      </c>
      <c r="AE65" t="s">
        <v>702</v>
      </c>
      <c r="AH65" s="2">
        <v>2</v>
      </c>
      <c r="AI65" t="s">
        <v>623</v>
      </c>
      <c r="AL65" t="s">
        <v>702</v>
      </c>
      <c r="AR65" t="s">
        <v>2081</v>
      </c>
      <c r="AS65" s="511" t="s">
        <v>1017</v>
      </c>
      <c r="AT65" s="508" t="s">
        <v>1015</v>
      </c>
      <c r="AU65" s="508" t="s">
        <v>2051</v>
      </c>
      <c r="AV65" s="512" t="s">
        <v>2050</v>
      </c>
      <c r="AW65" s="2"/>
      <c r="AX65" s="2"/>
      <c r="AY65" s="2"/>
      <c r="AZ65" s="88"/>
      <c r="BA65" s="2"/>
      <c r="BB65" s="2" t="s">
        <v>594</v>
      </c>
      <c r="BC65" s="2">
        <v>7</v>
      </c>
      <c r="BD65" s="2">
        <v>8</v>
      </c>
      <c r="BE65" s="2">
        <v>8</v>
      </c>
      <c r="BF65" s="2">
        <v>0</v>
      </c>
      <c r="BG65" s="2" t="s">
        <v>319</v>
      </c>
      <c r="BH65" s="10">
        <v>750000</v>
      </c>
      <c r="BI65" s="2" t="s">
        <v>321</v>
      </c>
      <c r="BJ65" s="2"/>
      <c r="BK65" s="2">
        <v>1</v>
      </c>
      <c r="BL65" s="2">
        <v>1</v>
      </c>
      <c r="BM65" s="2">
        <f t="shared" si="18"/>
        <v>5</v>
      </c>
      <c r="BN65" s="2">
        <f t="shared" si="19"/>
        <v>5</v>
      </c>
      <c r="BO65" s="2">
        <f t="shared" si="20"/>
        <v>0</v>
      </c>
      <c r="BP65" s="2">
        <f t="shared" si="21"/>
        <v>9</v>
      </c>
      <c r="BQ65" s="2">
        <f t="shared" si="22"/>
        <v>8</v>
      </c>
      <c r="BR65" s="2">
        <f t="shared" si="23"/>
        <v>8</v>
      </c>
      <c r="BS65" s="2">
        <f t="shared" si="24"/>
        <v>2</v>
      </c>
      <c r="BT65" s="2">
        <v>1</v>
      </c>
    </row>
    <row r="66" spans="21:72" x14ac:dyDescent="0.3">
      <c r="U66">
        <v>3</v>
      </c>
      <c r="V66" s="122" t="s">
        <v>1050</v>
      </c>
      <c r="Z66" s="16" t="s">
        <v>1016</v>
      </c>
      <c r="AA66">
        <v>2</v>
      </c>
      <c r="AB66">
        <v>0</v>
      </c>
      <c r="AC66">
        <v>0</v>
      </c>
      <c r="AD66">
        <v>0</v>
      </c>
      <c r="AE66" t="s">
        <v>372</v>
      </c>
      <c r="AH66" s="2">
        <v>2</v>
      </c>
      <c r="AI66" s="16" t="s">
        <v>624</v>
      </c>
      <c r="AL66" t="s">
        <v>1862</v>
      </c>
      <c r="AR66" t="s">
        <v>2082</v>
      </c>
      <c r="AS66" s="512" t="s">
        <v>2050</v>
      </c>
      <c r="AT66" s="509" t="s">
        <v>1016</v>
      </c>
      <c r="AU66" s="508" t="s">
        <v>2055</v>
      </c>
      <c r="AV66" s="508" t="s">
        <v>952</v>
      </c>
      <c r="AW66" s="2"/>
      <c r="AX66" s="2"/>
      <c r="AY66" s="2"/>
      <c r="AZ66" s="88"/>
      <c r="BA66" s="2"/>
      <c r="BB66" s="2" t="s">
        <v>1493</v>
      </c>
      <c r="BC66" s="2">
        <v>16</v>
      </c>
      <c r="BD66" s="2">
        <v>5</v>
      </c>
      <c r="BE66" s="2"/>
      <c r="BF66" s="2">
        <v>180</v>
      </c>
      <c r="BG66" s="2" t="s">
        <v>1102</v>
      </c>
      <c r="BH66" s="10">
        <v>100000000</v>
      </c>
      <c r="BI66" s="2" t="str">
        <f>""</f>
        <v/>
      </c>
      <c r="BJ66" s="2"/>
      <c r="BK66" s="2">
        <v>1</v>
      </c>
      <c r="BL66" s="2">
        <v>6</v>
      </c>
      <c r="BM66" s="2">
        <f t="shared" si="18"/>
        <v>5</v>
      </c>
      <c r="BN66" s="2">
        <f t="shared" si="19"/>
        <v>5</v>
      </c>
      <c r="BO66" s="2">
        <f t="shared" si="20"/>
        <v>0</v>
      </c>
      <c r="BP66" s="2">
        <f t="shared" si="21"/>
        <v>9</v>
      </c>
      <c r="BQ66" s="2">
        <f t="shared" si="22"/>
        <v>8</v>
      </c>
      <c r="BR66" s="2">
        <f t="shared" si="23"/>
        <v>9</v>
      </c>
      <c r="BS66" s="2">
        <f t="shared" si="24"/>
        <v>2</v>
      </c>
      <c r="BT66" s="2">
        <v>0</v>
      </c>
    </row>
    <row r="67" spans="21:72" x14ac:dyDescent="0.3">
      <c r="U67">
        <v>4</v>
      </c>
      <c r="V67" s="122" t="s">
        <v>316</v>
      </c>
      <c r="Z67" s="16" t="s">
        <v>1017</v>
      </c>
      <c r="AA67">
        <v>2</v>
      </c>
      <c r="AB67">
        <v>0</v>
      </c>
      <c r="AC67">
        <v>0</v>
      </c>
      <c r="AD67">
        <v>0</v>
      </c>
      <c r="AE67" t="s">
        <v>374</v>
      </c>
      <c r="AH67" s="2">
        <v>2</v>
      </c>
      <c r="AI67" s="16" t="s">
        <v>625</v>
      </c>
      <c r="AL67" t="s">
        <v>708</v>
      </c>
      <c r="AR67" t="s">
        <v>2083</v>
      </c>
      <c r="AS67" s="508" t="s">
        <v>952</v>
      </c>
      <c r="AT67" s="511" t="s">
        <v>1017</v>
      </c>
      <c r="AU67" s="512" t="s">
        <v>954</v>
      </c>
      <c r="AV67" s="512" t="s">
        <v>2093</v>
      </c>
      <c r="AW67" s="2"/>
      <c r="AX67" s="2"/>
      <c r="AY67" s="2"/>
      <c r="AZ67" s="88"/>
      <c r="BA67" s="2"/>
      <c r="BB67" s="130" t="s">
        <v>1509</v>
      </c>
      <c r="BC67" s="2">
        <v>16</v>
      </c>
      <c r="BD67" s="2">
        <v>5</v>
      </c>
      <c r="BE67" s="2"/>
      <c r="BF67" s="2">
        <v>60</v>
      </c>
      <c r="BG67" s="2" t="s">
        <v>1102</v>
      </c>
      <c r="BH67" s="10">
        <v>35000000</v>
      </c>
      <c r="BI67" s="2" t="str">
        <f>""</f>
        <v/>
      </c>
      <c r="BJ67" s="2"/>
      <c r="BK67" s="2">
        <v>1</v>
      </c>
      <c r="BL67" s="2">
        <v>5</v>
      </c>
      <c r="BM67" s="2">
        <f t="shared" si="18"/>
        <v>5</v>
      </c>
      <c r="BN67" s="2">
        <f t="shared" si="19"/>
        <v>5</v>
      </c>
      <c r="BO67" s="2">
        <f t="shared" si="20"/>
        <v>0</v>
      </c>
      <c r="BP67" s="2">
        <f t="shared" si="21"/>
        <v>9</v>
      </c>
      <c r="BQ67" s="2">
        <f t="shared" si="22"/>
        <v>9</v>
      </c>
      <c r="BR67" s="2">
        <f t="shared" si="23"/>
        <v>9</v>
      </c>
      <c r="BS67" s="2">
        <f t="shared" si="24"/>
        <v>2</v>
      </c>
      <c r="BT67" s="2">
        <v>0</v>
      </c>
    </row>
    <row r="68" spans="21:72" x14ac:dyDescent="0.3">
      <c r="U68">
        <v>5</v>
      </c>
      <c r="V68" s="122" t="s">
        <v>322</v>
      </c>
      <c r="Z68" t="s">
        <v>2050</v>
      </c>
      <c r="AA68">
        <v>-1</v>
      </c>
      <c r="AB68">
        <v>0</v>
      </c>
      <c r="AC68">
        <v>0.2</v>
      </c>
      <c r="AD68">
        <v>5</v>
      </c>
      <c r="AE68" t="s">
        <v>367</v>
      </c>
      <c r="AH68" s="2">
        <v>3</v>
      </c>
      <c r="AI68" t="s">
        <v>2052</v>
      </c>
      <c r="AR68" t="s">
        <v>2084</v>
      </c>
      <c r="AS68" s="508" t="s">
        <v>2051</v>
      </c>
      <c r="AT68" s="512" t="s">
        <v>2050</v>
      </c>
      <c r="AU68" s="508" t="str">
        <f>""</f>
        <v/>
      </c>
      <c r="AV68" s="508" t="s">
        <v>2051</v>
      </c>
      <c r="AW68" s="2"/>
      <c r="AX68" s="2"/>
      <c r="AY68" s="2"/>
      <c r="AZ68" s="88"/>
      <c r="BA68" s="2"/>
      <c r="BB68" s="2" t="s">
        <v>1510</v>
      </c>
      <c r="BC68" s="2">
        <v>16</v>
      </c>
      <c r="BD68" s="2">
        <v>5</v>
      </c>
      <c r="BE68" s="2"/>
      <c r="BF68" s="2">
        <v>40</v>
      </c>
      <c r="BG68" s="2" t="s">
        <v>1103</v>
      </c>
      <c r="BH68" s="10">
        <v>18000000</v>
      </c>
      <c r="BI68" s="2" t="str">
        <f>""</f>
        <v/>
      </c>
      <c r="BJ68" s="2"/>
      <c r="BK68" s="2">
        <v>1</v>
      </c>
      <c r="BL68" s="2">
        <v>4</v>
      </c>
      <c r="BM68" s="2">
        <f t="shared" si="18"/>
        <v>5</v>
      </c>
      <c r="BN68" s="2">
        <f t="shared" si="19"/>
        <v>5</v>
      </c>
      <c r="BO68" s="2">
        <f t="shared" si="20"/>
        <v>0</v>
      </c>
      <c r="BP68" s="2">
        <f t="shared" si="21"/>
        <v>10</v>
      </c>
      <c r="BQ68" s="2">
        <f t="shared" si="22"/>
        <v>9</v>
      </c>
      <c r="BR68" s="2">
        <f t="shared" si="23"/>
        <v>9</v>
      </c>
      <c r="BS68" s="2">
        <f t="shared" si="24"/>
        <v>2</v>
      </c>
      <c r="BT68" s="2">
        <v>0</v>
      </c>
    </row>
    <row r="69" spans="21:72" x14ac:dyDescent="0.3">
      <c r="U69">
        <v>6</v>
      </c>
      <c r="V69" s="122" t="s">
        <v>1051</v>
      </c>
      <c r="Z69" t="s">
        <v>952</v>
      </c>
      <c r="AA69">
        <v>-1</v>
      </c>
      <c r="AB69">
        <v>0</v>
      </c>
      <c r="AC69">
        <v>0</v>
      </c>
      <c r="AD69">
        <v>5</v>
      </c>
      <c r="AE69" t="s">
        <v>370</v>
      </c>
      <c r="AH69" s="2">
        <v>3</v>
      </c>
      <c r="AI69" t="s">
        <v>961</v>
      </c>
      <c r="AL69" t="s">
        <v>964</v>
      </c>
      <c r="AR69" t="s">
        <v>2085</v>
      </c>
      <c r="AS69" s="508" t="s">
        <v>2055</v>
      </c>
      <c r="AT69" s="508" t="s">
        <v>952</v>
      </c>
      <c r="AU69" s="508" t="str">
        <f>""</f>
        <v/>
      </c>
      <c r="AV69" s="512" t="s">
        <v>2054</v>
      </c>
      <c r="AW69" s="2"/>
      <c r="AX69" s="2"/>
      <c r="AY69" s="2"/>
      <c r="AZ69" s="88"/>
      <c r="BA69" s="2"/>
      <c r="BB69" s="2" t="s">
        <v>1258</v>
      </c>
      <c r="BC69" s="2">
        <v>10</v>
      </c>
      <c r="BD69" s="2">
        <v>3</v>
      </c>
      <c r="BE69" s="2"/>
      <c r="BF69" s="2">
        <v>75</v>
      </c>
      <c r="BG69" s="2" t="s">
        <v>1259</v>
      </c>
      <c r="BH69" s="10">
        <v>50000000</v>
      </c>
      <c r="BI69" s="2" t="s">
        <v>1230</v>
      </c>
      <c r="BJ69" s="2"/>
      <c r="BK69" s="2">
        <v>1</v>
      </c>
      <c r="BL69" s="2">
        <v>6</v>
      </c>
      <c r="BM69" s="2">
        <f t="shared" si="18"/>
        <v>5</v>
      </c>
      <c r="BN69" s="2">
        <f t="shared" si="19"/>
        <v>5</v>
      </c>
      <c r="BO69" s="2">
        <f t="shared" si="20"/>
        <v>0</v>
      </c>
      <c r="BP69" s="2">
        <f t="shared" si="21"/>
        <v>10</v>
      </c>
      <c r="BQ69" s="2">
        <f t="shared" si="22"/>
        <v>9</v>
      </c>
      <c r="BR69" s="2">
        <f t="shared" si="23"/>
        <v>10</v>
      </c>
      <c r="BS69" s="2">
        <f t="shared" si="24"/>
        <v>2</v>
      </c>
      <c r="BT69" s="2">
        <v>0</v>
      </c>
    </row>
    <row r="70" spans="21:72" x14ac:dyDescent="0.3">
      <c r="U70">
        <v>7</v>
      </c>
      <c r="V70" s="122" t="s">
        <v>1072</v>
      </c>
      <c r="W70" s="52" t="s">
        <v>1073</v>
      </c>
      <c r="Z70" t="s">
        <v>953</v>
      </c>
      <c r="AA70">
        <v>-1</v>
      </c>
      <c r="AB70">
        <v>0.3</v>
      </c>
      <c r="AC70">
        <v>0</v>
      </c>
      <c r="AD70">
        <v>5</v>
      </c>
      <c r="AE70" t="s">
        <v>369</v>
      </c>
      <c r="AH70" s="2">
        <v>3</v>
      </c>
      <c r="AI70" t="s">
        <v>962</v>
      </c>
      <c r="AR70" t="s">
        <v>2086</v>
      </c>
      <c r="AS70" s="512" t="s">
        <v>954</v>
      </c>
      <c r="AT70" s="512" t="s">
        <v>2093</v>
      </c>
      <c r="AU70" s="508" t="str">
        <f>""</f>
        <v/>
      </c>
      <c r="AV70" s="508" t="s">
        <v>2055</v>
      </c>
      <c r="AW70" s="2"/>
      <c r="AX70" s="2"/>
      <c r="AY70" s="2"/>
      <c r="AZ70" s="88"/>
      <c r="BA70" s="2"/>
      <c r="BB70" s="2" t="s">
        <v>1255</v>
      </c>
      <c r="BC70" s="2">
        <v>10</v>
      </c>
      <c r="BD70" s="2">
        <v>3</v>
      </c>
      <c r="BE70" s="2"/>
      <c r="BF70" s="2">
        <v>50</v>
      </c>
      <c r="BG70" s="2" t="s">
        <v>1257</v>
      </c>
      <c r="BH70" s="10">
        <v>35000000</v>
      </c>
      <c r="BI70" s="2" t="s">
        <v>1230</v>
      </c>
      <c r="BJ70" s="2"/>
      <c r="BK70" s="2">
        <v>1</v>
      </c>
      <c r="BL70" s="2">
        <v>5</v>
      </c>
      <c r="BM70" s="2">
        <f t="shared" si="18"/>
        <v>5</v>
      </c>
      <c r="BN70" s="2">
        <f t="shared" si="19"/>
        <v>5</v>
      </c>
      <c r="BO70" s="2">
        <f t="shared" si="20"/>
        <v>0</v>
      </c>
      <c r="BP70" s="2">
        <f t="shared" si="21"/>
        <v>10</v>
      </c>
      <c r="BQ70" s="2">
        <f t="shared" si="22"/>
        <v>10</v>
      </c>
      <c r="BR70" s="2">
        <f t="shared" si="23"/>
        <v>10</v>
      </c>
      <c r="BS70" s="2">
        <f t="shared" si="24"/>
        <v>2</v>
      </c>
      <c r="BT70" s="2">
        <v>0</v>
      </c>
    </row>
    <row r="71" spans="21:72" x14ac:dyDescent="0.3">
      <c r="U71">
        <v>8</v>
      </c>
      <c r="V71" s="121" t="s">
        <v>320</v>
      </c>
      <c r="W71" s="2">
        <f>IF(OR(G46=V71,G50=V71,G53=V71),1,0)</f>
        <v>0</v>
      </c>
      <c r="Z71" t="s">
        <v>2051</v>
      </c>
      <c r="AA71">
        <v>-2</v>
      </c>
      <c r="AB71">
        <v>0</v>
      </c>
      <c r="AC71">
        <v>1.4</v>
      </c>
      <c r="AD71">
        <v>10</v>
      </c>
      <c r="AE71" t="s">
        <v>955</v>
      </c>
      <c r="AH71" s="2">
        <v>3</v>
      </c>
      <c r="AI71" t="s">
        <v>2053</v>
      </c>
      <c r="AR71" t="s">
        <v>2087</v>
      </c>
      <c r="AS71" s="508" t="str">
        <f>""</f>
        <v/>
      </c>
      <c r="AT71" s="508" t="s">
        <v>2051</v>
      </c>
      <c r="AU71" s="508" t="str">
        <f>""</f>
        <v/>
      </c>
      <c r="AV71" s="512" t="s">
        <v>954</v>
      </c>
      <c r="AW71" s="2"/>
      <c r="AX71" s="2"/>
      <c r="AY71" s="2"/>
      <c r="AZ71" s="88"/>
      <c r="BA71" s="2"/>
      <c r="BB71" s="2" t="s">
        <v>1228</v>
      </c>
      <c r="BC71" s="2">
        <v>10</v>
      </c>
      <c r="BD71" s="2">
        <v>3</v>
      </c>
      <c r="BE71" s="2"/>
      <c r="BF71" s="2">
        <v>35</v>
      </c>
      <c r="BG71" s="2" t="s">
        <v>1231</v>
      </c>
      <c r="BH71" s="10">
        <v>25000000</v>
      </c>
      <c r="BI71" s="2" t="s">
        <v>1230</v>
      </c>
      <c r="BJ71" s="2"/>
      <c r="BK71" s="2">
        <v>1</v>
      </c>
      <c r="BL71" s="2">
        <v>4</v>
      </c>
      <c r="BM71" s="2">
        <f t="shared" si="18"/>
        <v>5</v>
      </c>
      <c r="BN71" s="2">
        <f t="shared" si="19"/>
        <v>5</v>
      </c>
      <c r="BO71" s="2">
        <f t="shared" si="20"/>
        <v>0</v>
      </c>
      <c r="BP71" s="2">
        <f t="shared" si="21"/>
        <v>11</v>
      </c>
      <c r="BQ71" s="2">
        <f t="shared" si="22"/>
        <v>10</v>
      </c>
      <c r="BR71" s="2">
        <f t="shared" si="23"/>
        <v>10</v>
      </c>
      <c r="BS71" s="2">
        <f t="shared" si="24"/>
        <v>2</v>
      </c>
      <c r="BT71" s="2">
        <v>0</v>
      </c>
    </row>
    <row r="72" spans="21:72" x14ac:dyDescent="0.3">
      <c r="U72">
        <v>9</v>
      </c>
      <c r="V72" s="122" t="s">
        <v>320</v>
      </c>
      <c r="Z72" t="s">
        <v>2054</v>
      </c>
      <c r="AA72">
        <v>-2</v>
      </c>
      <c r="AB72">
        <v>0.3</v>
      </c>
      <c r="AC72">
        <v>1.2</v>
      </c>
      <c r="AD72">
        <v>10</v>
      </c>
      <c r="AE72" t="s">
        <v>956</v>
      </c>
      <c r="AH72" s="2">
        <v>3</v>
      </c>
      <c r="AI72" t="s">
        <v>2056</v>
      </c>
      <c r="AR72" t="s">
        <v>2088</v>
      </c>
      <c r="AS72" s="508" t="str">
        <f>""</f>
        <v/>
      </c>
      <c r="AT72" s="512" t="s">
        <v>2054</v>
      </c>
      <c r="AU72" s="508" t="str">
        <f>""</f>
        <v/>
      </c>
      <c r="AV72" s="508" t="s">
        <v>2060</v>
      </c>
      <c r="AW72" s="2"/>
      <c r="AX72" s="2"/>
      <c r="AY72" s="2"/>
      <c r="AZ72" s="88"/>
      <c r="BA72" s="2"/>
      <c r="BB72" s="2" t="s">
        <v>1260</v>
      </c>
      <c r="BC72" s="2">
        <v>10</v>
      </c>
      <c r="BD72" s="2">
        <v>4</v>
      </c>
      <c r="BE72" s="2"/>
      <c r="BF72" s="2">
        <v>25</v>
      </c>
      <c r="BG72" s="2" t="s">
        <v>1261</v>
      </c>
      <c r="BH72" s="10">
        <v>24000000</v>
      </c>
      <c r="BI72" s="2" t="s">
        <v>1230</v>
      </c>
      <c r="BJ72" s="2"/>
      <c r="BK72" s="2">
        <v>1</v>
      </c>
      <c r="BL72" s="2">
        <v>6</v>
      </c>
      <c r="BM72" s="2">
        <f t="shared" si="18"/>
        <v>5</v>
      </c>
      <c r="BN72" s="2">
        <f t="shared" si="19"/>
        <v>5</v>
      </c>
      <c r="BO72" s="2">
        <f t="shared" si="20"/>
        <v>0</v>
      </c>
      <c r="BP72" s="2">
        <f t="shared" si="21"/>
        <v>11</v>
      </c>
      <c r="BQ72" s="2">
        <f t="shared" si="22"/>
        <v>10</v>
      </c>
      <c r="BR72" s="2">
        <f t="shared" si="23"/>
        <v>11</v>
      </c>
      <c r="BS72" s="2">
        <f t="shared" si="24"/>
        <v>2</v>
      </c>
      <c r="BT72" s="2">
        <v>0</v>
      </c>
    </row>
    <row r="73" spans="21:72" x14ac:dyDescent="0.3">
      <c r="Z73" t="s">
        <v>2055</v>
      </c>
      <c r="AA73">
        <v>-2</v>
      </c>
      <c r="AB73">
        <v>0</v>
      </c>
      <c r="AC73">
        <v>1.2</v>
      </c>
      <c r="AD73">
        <v>10</v>
      </c>
      <c r="AE73" t="s">
        <v>957</v>
      </c>
      <c r="AH73" s="2">
        <v>3</v>
      </c>
      <c r="AI73" t="s">
        <v>2057</v>
      </c>
      <c r="AL73" t="s">
        <v>964</v>
      </c>
      <c r="AR73" t="s">
        <v>2089</v>
      </c>
      <c r="AS73" s="508" t="str">
        <f>""</f>
        <v/>
      </c>
      <c r="AT73" s="508" t="s">
        <v>2055</v>
      </c>
      <c r="AU73" s="508" t="str">
        <f>""</f>
        <v/>
      </c>
      <c r="AV73" s="513" t="s">
        <v>2061</v>
      </c>
      <c r="AW73" s="2"/>
      <c r="AX73" s="2"/>
      <c r="AY73" s="2"/>
      <c r="AZ73" s="88"/>
      <c r="BA73" s="2"/>
      <c r="BB73" s="2" t="s">
        <v>1256</v>
      </c>
      <c r="BC73" s="2">
        <v>10</v>
      </c>
      <c r="BD73" s="2">
        <v>4</v>
      </c>
      <c r="BE73" s="2"/>
      <c r="BF73" s="2">
        <v>15</v>
      </c>
      <c r="BG73" s="2" t="s">
        <v>1235</v>
      </c>
      <c r="BH73" s="10">
        <v>20000000</v>
      </c>
      <c r="BI73" s="2" t="s">
        <v>1230</v>
      </c>
      <c r="BJ73" s="2"/>
      <c r="BK73" s="2">
        <v>1</v>
      </c>
      <c r="BL73" s="2">
        <v>5</v>
      </c>
      <c r="BM73" s="2">
        <f t="shared" si="18"/>
        <v>5</v>
      </c>
      <c r="BN73" s="2">
        <f t="shared" si="19"/>
        <v>5</v>
      </c>
      <c r="BO73" s="2">
        <f t="shared" si="20"/>
        <v>0</v>
      </c>
      <c r="BP73" s="2">
        <f t="shared" si="21"/>
        <v>11</v>
      </c>
      <c r="BQ73" s="2">
        <f t="shared" si="22"/>
        <v>11</v>
      </c>
      <c r="BR73" s="2">
        <f t="shared" si="23"/>
        <v>11</v>
      </c>
      <c r="BS73" s="2">
        <f t="shared" si="24"/>
        <v>2</v>
      </c>
      <c r="BT73" s="2">
        <v>0</v>
      </c>
    </row>
    <row r="74" spans="21:72" x14ac:dyDescent="0.3">
      <c r="V74" s="3" t="s">
        <v>1489</v>
      </c>
      <c r="Z74" t="s">
        <v>954</v>
      </c>
      <c r="AA74">
        <v>-2</v>
      </c>
      <c r="AB74">
        <v>0</v>
      </c>
      <c r="AC74">
        <v>1</v>
      </c>
      <c r="AD74">
        <v>10</v>
      </c>
      <c r="AE74" t="s">
        <v>958</v>
      </c>
      <c r="AH74" s="2">
        <v>3</v>
      </c>
      <c r="AI74" t="s">
        <v>963</v>
      </c>
      <c r="AL74" t="s">
        <v>965</v>
      </c>
      <c r="AR74" t="s">
        <v>2090</v>
      </c>
      <c r="AS74" s="508" t="str">
        <f>""</f>
        <v/>
      </c>
      <c r="AT74" s="512" t="s">
        <v>954</v>
      </c>
      <c r="AU74" s="508" t="str">
        <f>""</f>
        <v/>
      </c>
      <c r="AV74" s="508" t="str">
        <f>""</f>
        <v/>
      </c>
      <c r="AW74" s="2"/>
      <c r="AX74" s="2"/>
      <c r="AY74" s="2"/>
      <c r="AZ74" s="88"/>
      <c r="BA74" s="2"/>
      <c r="BB74" s="2" t="s">
        <v>1229</v>
      </c>
      <c r="BC74" s="2">
        <v>10</v>
      </c>
      <c r="BD74" s="2">
        <v>4</v>
      </c>
      <c r="BE74" s="2"/>
      <c r="BF74" s="2">
        <v>5</v>
      </c>
      <c r="BG74" s="2" t="s">
        <v>1232</v>
      </c>
      <c r="BH74" s="10">
        <v>16000000</v>
      </c>
      <c r="BI74" s="2" t="s">
        <v>1230</v>
      </c>
      <c r="BJ74" s="2"/>
      <c r="BK74" s="2">
        <v>1</v>
      </c>
      <c r="BL74" s="2">
        <v>4</v>
      </c>
      <c r="BM74" s="2">
        <f t="shared" si="18"/>
        <v>5</v>
      </c>
      <c r="BN74" s="2">
        <f t="shared" si="19"/>
        <v>5</v>
      </c>
      <c r="BO74" s="2">
        <f t="shared" si="20"/>
        <v>0</v>
      </c>
      <c r="BP74" s="2">
        <f t="shared" si="21"/>
        <v>12</v>
      </c>
      <c r="BQ74" s="2">
        <f t="shared" si="22"/>
        <v>11</v>
      </c>
      <c r="BR74" s="2">
        <f t="shared" si="23"/>
        <v>11</v>
      </c>
      <c r="BS74" s="2">
        <f t="shared" si="24"/>
        <v>2</v>
      </c>
      <c r="BT74" s="2">
        <v>0</v>
      </c>
    </row>
    <row r="75" spans="21:72" x14ac:dyDescent="0.3">
      <c r="V75">
        <f>SUM(V78:V97)*-1</f>
        <v>0</v>
      </c>
      <c r="Z75" t="s">
        <v>2060</v>
      </c>
      <c r="AA75">
        <v>-2</v>
      </c>
      <c r="AB75">
        <v>0.3</v>
      </c>
      <c r="AC75">
        <v>1</v>
      </c>
      <c r="AD75">
        <v>10</v>
      </c>
      <c r="AE75" t="s">
        <v>959</v>
      </c>
      <c r="AH75" s="2">
        <v>3</v>
      </c>
      <c r="AI75" t="s">
        <v>2058</v>
      </c>
      <c r="AL75" t="s">
        <v>964</v>
      </c>
      <c r="AR75" t="s">
        <v>2091</v>
      </c>
      <c r="AS75" s="508" t="str">
        <f>""</f>
        <v/>
      </c>
      <c r="AT75" s="508" t="s">
        <v>2060</v>
      </c>
      <c r="AU75" s="508" t="str">
        <f>""</f>
        <v/>
      </c>
      <c r="AV75" s="508" t="str">
        <f>""</f>
        <v/>
      </c>
      <c r="AW75" s="2"/>
      <c r="AX75" s="2"/>
      <c r="AY75" s="2"/>
      <c r="AZ75" s="88"/>
      <c r="BA75" s="2"/>
      <c r="BB75" s="2" t="s">
        <v>627</v>
      </c>
      <c r="BC75" s="2">
        <v>11</v>
      </c>
      <c r="BD75" s="2">
        <v>6</v>
      </c>
      <c r="BE75" s="2">
        <v>2</v>
      </c>
      <c r="BF75" s="2">
        <v>15</v>
      </c>
      <c r="BG75" s="2" t="s">
        <v>1245</v>
      </c>
      <c r="BH75" s="10">
        <v>8000000</v>
      </c>
      <c r="BI75" s="2" t="s">
        <v>325</v>
      </c>
      <c r="BJ75" s="2"/>
      <c r="BK75" s="2">
        <v>1</v>
      </c>
      <c r="BL75" s="2">
        <v>2</v>
      </c>
      <c r="BM75" s="2">
        <f t="shared" si="18"/>
        <v>5</v>
      </c>
      <c r="BN75" s="2">
        <f t="shared" si="19"/>
        <v>6</v>
      </c>
      <c r="BO75" s="2">
        <f t="shared" si="20"/>
        <v>0</v>
      </c>
      <c r="BP75" s="2">
        <f t="shared" si="21"/>
        <v>12</v>
      </c>
      <c r="BQ75" s="2">
        <f t="shared" si="22"/>
        <v>11</v>
      </c>
      <c r="BR75" s="2">
        <f t="shared" si="23"/>
        <v>11</v>
      </c>
      <c r="BS75" s="2">
        <f t="shared" si="24"/>
        <v>2</v>
      </c>
      <c r="BT75" s="2">
        <v>0</v>
      </c>
    </row>
    <row r="76" spans="21:72" x14ac:dyDescent="0.3">
      <c r="Z76" t="s">
        <v>2061</v>
      </c>
      <c r="AA76">
        <v>-2</v>
      </c>
      <c r="AB76">
        <v>0.6</v>
      </c>
      <c r="AC76">
        <v>1</v>
      </c>
      <c r="AD76">
        <v>10</v>
      </c>
      <c r="AE76" t="s">
        <v>960</v>
      </c>
      <c r="AH76" s="2">
        <v>3</v>
      </c>
      <c r="AI76" t="s">
        <v>2059</v>
      </c>
      <c r="AR76" t="s">
        <v>2092</v>
      </c>
      <c r="AS76" s="508" t="str">
        <f>""</f>
        <v/>
      </c>
      <c r="AT76" s="513" t="s">
        <v>2061</v>
      </c>
      <c r="AU76" s="508" t="str">
        <f>""</f>
        <v/>
      </c>
      <c r="AV76" s="508" t="str">
        <f>""</f>
        <v/>
      </c>
      <c r="AW76" s="2"/>
      <c r="AX76" s="2"/>
      <c r="AY76" s="2"/>
      <c r="AZ76" s="88"/>
      <c r="BA76" s="2"/>
      <c r="BB76" s="2" t="s">
        <v>1511</v>
      </c>
      <c r="BC76" s="2">
        <v>12</v>
      </c>
      <c r="BD76" s="2">
        <v>6</v>
      </c>
      <c r="BE76" s="2">
        <v>2</v>
      </c>
      <c r="BF76" s="2">
        <v>8</v>
      </c>
      <c r="BG76" s="2" t="s">
        <v>1104</v>
      </c>
      <c r="BH76" s="10">
        <v>4000000</v>
      </c>
      <c r="BI76" s="2" t="s">
        <v>325</v>
      </c>
      <c r="BJ76" s="2"/>
      <c r="BK76" s="2"/>
      <c r="BL76" s="2">
        <v>1</v>
      </c>
      <c r="BM76" s="2">
        <f t="shared" si="18"/>
        <v>6</v>
      </c>
      <c r="BN76" s="2">
        <f t="shared" si="19"/>
        <v>6</v>
      </c>
      <c r="BO76" s="2">
        <f t="shared" si="20"/>
        <v>0</v>
      </c>
      <c r="BP76" s="2">
        <f t="shared" si="21"/>
        <v>12</v>
      </c>
      <c r="BQ76" s="2">
        <f t="shared" si="22"/>
        <v>11</v>
      </c>
      <c r="BR76" s="2">
        <f t="shared" si="23"/>
        <v>11</v>
      </c>
      <c r="BS76" s="2">
        <f t="shared" si="24"/>
        <v>2</v>
      </c>
      <c r="BT76" s="2">
        <v>0</v>
      </c>
    </row>
    <row r="77" spans="21:72" x14ac:dyDescent="0.3">
      <c r="W77" s="1"/>
      <c r="X77" s="1" t="s">
        <v>755</v>
      </c>
      <c r="Y77" s="1" t="s">
        <v>1019</v>
      </c>
      <c r="Z77" s="1" t="s">
        <v>360</v>
      </c>
      <c r="AB77" s="1" t="s">
        <v>1028</v>
      </c>
      <c r="AT77" s="92"/>
      <c r="AU77" s="2"/>
      <c r="AV77" s="2"/>
      <c r="AW77" s="2"/>
      <c r="AX77" s="2"/>
      <c r="AY77" s="2"/>
      <c r="AZ77" s="88"/>
      <c r="BA77" s="2"/>
      <c r="BB77" s="2" t="s">
        <v>1268</v>
      </c>
      <c r="BC77" s="2">
        <v>13</v>
      </c>
      <c r="BD77" s="2">
        <v>7</v>
      </c>
      <c r="BE77" s="2"/>
      <c r="BF77" s="2">
        <v>80</v>
      </c>
      <c r="BG77" s="2" t="s">
        <v>1241</v>
      </c>
      <c r="BH77" s="10">
        <v>60000000</v>
      </c>
      <c r="BI77" s="2" t="s">
        <v>325</v>
      </c>
      <c r="BJ77" s="2"/>
      <c r="BK77" s="2">
        <v>1</v>
      </c>
      <c r="BL77" s="2">
        <v>6</v>
      </c>
      <c r="BM77" s="2">
        <f t="shared" si="18"/>
        <v>6</v>
      </c>
      <c r="BN77" s="2">
        <f t="shared" si="19"/>
        <v>6</v>
      </c>
      <c r="BO77" s="2">
        <f t="shared" si="20"/>
        <v>0</v>
      </c>
      <c r="BP77" s="2">
        <f t="shared" si="21"/>
        <v>12</v>
      </c>
      <c r="BQ77" s="2">
        <f t="shared" si="22"/>
        <v>11</v>
      </c>
      <c r="BR77" s="2">
        <f t="shared" si="23"/>
        <v>12</v>
      </c>
      <c r="BS77" s="2">
        <f t="shared" si="24"/>
        <v>2</v>
      </c>
      <c r="BT77" s="2">
        <v>0</v>
      </c>
    </row>
    <row r="78" spans="21:72" x14ac:dyDescent="0.3">
      <c r="V78">
        <f>IF(Z78=3,D12,0)</f>
        <v>0</v>
      </c>
      <c r="W78" s="1">
        <v>1</v>
      </c>
      <c r="X78" s="134">
        <f>VLOOKUP(B12,Table2[],8)</f>
        <v>0</v>
      </c>
      <c r="Y78" s="129">
        <f>VLOOKUP(B12,Table1[],8)</f>
        <v>0</v>
      </c>
      <c r="Z78" s="87">
        <f>IF(AND('Ship Info'!$F$7,'Ship Info'!$C$5&gt;=100),Y78,IF($B$4&lt;100,X78,Y78))</f>
        <v>0</v>
      </c>
      <c r="AA78" s="134" t="str">
        <f>""</f>
        <v/>
      </c>
      <c r="AB78" s="45" t="str">
        <f>IF($Z78=0,AB$99,IF($Z78=1,AB$100,IF($Z78=2,AB$101,IF($Z78=3,AB$102,IF($Z78=4,AB$103,IF($Z78=5,AB$104,AB$105))))))</f>
        <v/>
      </c>
      <c r="AC78" s="45" t="str">
        <f t="shared" ref="AC78:AL80" si="25">IF($Z78=0,AC$99,IF($Z78=1,AC$100,IF($Z78=2,AC$101,IF($Z78=3,AC$102,IF($Z78=4,AC$103,IF($Z78=5,AC$104,AC$105))))))</f>
        <v/>
      </c>
      <c r="AD78" s="45" t="str">
        <f t="shared" si="25"/>
        <v/>
      </c>
      <c r="AE78" s="45" t="str">
        <f t="shared" si="25"/>
        <v/>
      </c>
      <c r="AF78" s="45" t="str">
        <f t="shared" si="25"/>
        <v/>
      </c>
      <c r="AG78" s="45" t="str">
        <f t="shared" si="25"/>
        <v/>
      </c>
      <c r="AH78" s="45" t="str">
        <f t="shared" si="25"/>
        <v/>
      </c>
      <c r="AI78" s="45" t="str">
        <f t="shared" si="25"/>
        <v/>
      </c>
      <c r="AJ78" s="45" t="str">
        <f t="shared" si="25"/>
        <v/>
      </c>
      <c r="AK78" s="45" t="str">
        <f t="shared" si="25"/>
        <v/>
      </c>
      <c r="AL78" s="45" t="str">
        <f t="shared" si="25"/>
        <v/>
      </c>
      <c r="AM78" s="45" t="str">
        <f t="shared" ref="AM78:AO80" si="26">IF($Z78=0,AM$99,IF($Z78=1,AM$100,IF($Z78=2,AM$101,IF($Z78=3,AM$102,IF($Z78=4,AM$103,IF($Z78=5,AM$104,AM$105))))))</f>
        <v/>
      </c>
      <c r="AN78" s="45" t="str">
        <f t="shared" si="26"/>
        <v/>
      </c>
      <c r="AO78" s="45" t="str">
        <f t="shared" si="26"/>
        <v/>
      </c>
      <c r="AT78" s="92"/>
      <c r="AU78" s="2"/>
      <c r="AV78" s="2"/>
      <c r="AW78" s="2"/>
      <c r="AX78" s="2"/>
      <c r="AY78" s="2"/>
      <c r="AZ78" s="88"/>
      <c r="BA78" s="2"/>
      <c r="BB78" s="2" t="s">
        <v>1512</v>
      </c>
      <c r="BC78" s="2">
        <v>12</v>
      </c>
      <c r="BD78" s="2">
        <v>6</v>
      </c>
      <c r="BE78" s="2"/>
      <c r="BF78" s="2">
        <v>50</v>
      </c>
      <c r="BG78" s="2" t="s">
        <v>1254</v>
      </c>
      <c r="BH78" s="10">
        <v>40000000</v>
      </c>
      <c r="BI78" s="2" t="s">
        <v>325</v>
      </c>
      <c r="BJ78" s="2"/>
      <c r="BK78" s="2">
        <v>1</v>
      </c>
      <c r="BL78" s="2">
        <v>5</v>
      </c>
      <c r="BM78" s="2">
        <f t="shared" si="18"/>
        <v>6</v>
      </c>
      <c r="BN78" s="2">
        <f t="shared" si="19"/>
        <v>6</v>
      </c>
      <c r="BO78" s="2">
        <f t="shared" si="20"/>
        <v>0</v>
      </c>
      <c r="BP78" s="2">
        <f t="shared" si="21"/>
        <v>12</v>
      </c>
      <c r="BQ78" s="2">
        <f t="shared" si="22"/>
        <v>12</v>
      </c>
      <c r="BR78" s="2">
        <f t="shared" si="23"/>
        <v>12</v>
      </c>
      <c r="BS78" s="2">
        <f t="shared" si="24"/>
        <v>2</v>
      </c>
      <c r="BT78" s="2">
        <v>0</v>
      </c>
    </row>
    <row r="79" spans="21:72" x14ac:dyDescent="0.3">
      <c r="V79">
        <f t="shared" ref="V79:V97" si="27">IF(Z79=3,D13,0)</f>
        <v>0</v>
      </c>
      <c r="W79" s="103">
        <v>2</v>
      </c>
      <c r="X79" s="135">
        <f>VLOOKUP(B13,Table2[],8)</f>
        <v>0</v>
      </c>
      <c r="Y79" s="27">
        <f>VLOOKUP(B13,Table1[],8)</f>
        <v>0</v>
      </c>
      <c r="Z79" s="87">
        <f>IF(AND('Ship Info'!$F$7,'Ship Info'!$C$5&gt;=100),Y79,IF($B$4&lt;100,X79,Y79))</f>
        <v>0</v>
      </c>
      <c r="AA79" s="135" t="str">
        <f>""</f>
        <v/>
      </c>
      <c r="AB79" s="22" t="str">
        <f>IF($Z79=0,AB$99,IF($Z79=1,AB$100,IF($Z79=2,AB$101,IF($Z79=3,AB$102,IF($Z79=4,AB$103,IF($Z79=5,AB$104,AB$105))))))</f>
        <v/>
      </c>
      <c r="AC79" s="22" t="str">
        <f t="shared" si="25"/>
        <v/>
      </c>
      <c r="AD79" s="22" t="str">
        <f t="shared" si="25"/>
        <v/>
      </c>
      <c r="AE79" s="22" t="str">
        <f t="shared" si="25"/>
        <v/>
      </c>
      <c r="AF79" s="22" t="str">
        <f t="shared" si="25"/>
        <v/>
      </c>
      <c r="AG79" s="22" t="str">
        <f t="shared" si="25"/>
        <v/>
      </c>
      <c r="AH79" s="22" t="str">
        <f t="shared" si="25"/>
        <v/>
      </c>
      <c r="AI79" s="22" t="str">
        <f t="shared" si="25"/>
        <v/>
      </c>
      <c r="AJ79" s="22" t="str">
        <f t="shared" si="25"/>
        <v/>
      </c>
      <c r="AK79" s="22" t="str">
        <f t="shared" si="25"/>
        <v/>
      </c>
      <c r="AL79" s="22" t="str">
        <f t="shared" si="25"/>
        <v/>
      </c>
      <c r="AM79" s="22" t="str">
        <f t="shared" si="26"/>
        <v/>
      </c>
      <c r="AN79" s="22" t="str">
        <f t="shared" si="26"/>
        <v/>
      </c>
      <c r="AO79" s="22" t="str">
        <f t="shared" si="26"/>
        <v/>
      </c>
      <c r="AT79" s="92"/>
      <c r="AU79" s="2"/>
      <c r="AV79" s="2"/>
      <c r="AW79" s="2"/>
      <c r="AX79" s="2"/>
      <c r="AY79" s="2"/>
      <c r="AZ79" s="88"/>
      <c r="BA79" s="2"/>
      <c r="BB79" s="2" t="s">
        <v>1513</v>
      </c>
      <c r="BC79" s="2">
        <v>11</v>
      </c>
      <c r="BD79" s="2">
        <v>6</v>
      </c>
      <c r="BE79" s="2"/>
      <c r="BF79" s="2">
        <v>30</v>
      </c>
      <c r="BG79" s="2" t="s">
        <v>1236</v>
      </c>
      <c r="BH79" s="10">
        <v>20000000</v>
      </c>
      <c r="BI79" s="2" t="s">
        <v>325</v>
      </c>
      <c r="BJ79" s="2"/>
      <c r="BK79" s="2">
        <v>1</v>
      </c>
      <c r="BL79" s="2">
        <v>4</v>
      </c>
      <c r="BM79" s="2">
        <f t="shared" si="18"/>
        <v>6</v>
      </c>
      <c r="BN79" s="2">
        <f t="shared" si="19"/>
        <v>6</v>
      </c>
      <c r="BO79" s="2">
        <f t="shared" si="20"/>
        <v>0</v>
      </c>
      <c r="BP79" s="2">
        <f t="shared" si="21"/>
        <v>13</v>
      </c>
      <c r="BQ79" s="2">
        <f t="shared" si="22"/>
        <v>12</v>
      </c>
      <c r="BR79" s="2">
        <f t="shared" si="23"/>
        <v>12</v>
      </c>
      <c r="BS79" s="2">
        <f t="shared" si="24"/>
        <v>2</v>
      </c>
      <c r="BT79" s="2">
        <v>0</v>
      </c>
    </row>
    <row r="80" spans="21:72" x14ac:dyDescent="0.3">
      <c r="V80">
        <f t="shared" si="27"/>
        <v>0</v>
      </c>
      <c r="W80" s="1">
        <v>3</v>
      </c>
      <c r="X80" s="92">
        <f>VLOOKUP(B14,Table2[],8)</f>
        <v>0</v>
      </c>
      <c r="Y80" s="2">
        <f>VLOOKUP(B14,Table1[],8)</f>
        <v>0</v>
      </c>
      <c r="Z80" s="87">
        <f>IF(AND('Ship Info'!$F$7,'Ship Info'!$C$5&gt;=100),Y80,IF($B$4&lt;100,X80,Y80))</f>
        <v>0</v>
      </c>
      <c r="AA80" s="92" t="str">
        <f>""</f>
        <v/>
      </c>
      <c r="AB80" t="str">
        <f>IF($Z80=0,AB$99,IF($Z80=1,AB$100,IF($Z80=2,AB$101,IF($Z80=3,AB$102,IF($Z80=4,AB$103,IF($Z80=5,AB$104,AB$105))))))</f>
        <v/>
      </c>
      <c r="AC80" t="str">
        <f t="shared" si="25"/>
        <v/>
      </c>
      <c r="AD80" t="str">
        <f t="shared" si="25"/>
        <v/>
      </c>
      <c r="AE80" t="str">
        <f t="shared" si="25"/>
        <v/>
      </c>
      <c r="AF80" t="str">
        <f t="shared" si="25"/>
        <v/>
      </c>
      <c r="AG80" t="str">
        <f t="shared" si="25"/>
        <v/>
      </c>
      <c r="AH80" t="str">
        <f t="shared" si="25"/>
        <v/>
      </c>
      <c r="AI80" t="str">
        <f t="shared" si="25"/>
        <v/>
      </c>
      <c r="AJ80" t="str">
        <f t="shared" si="25"/>
        <v/>
      </c>
      <c r="AK80" t="str">
        <f t="shared" si="25"/>
        <v/>
      </c>
      <c r="AL80" t="str">
        <f t="shared" si="25"/>
        <v/>
      </c>
      <c r="AM80" t="str">
        <f t="shared" si="26"/>
        <v/>
      </c>
      <c r="AN80" t="str">
        <f t="shared" si="26"/>
        <v/>
      </c>
      <c r="AO80" t="str">
        <f t="shared" si="26"/>
        <v/>
      </c>
      <c r="AT80" s="92"/>
      <c r="AU80" s="2"/>
      <c r="AV80" s="2"/>
      <c r="AW80" s="2"/>
      <c r="AX80" s="2"/>
      <c r="AY80" s="2"/>
      <c r="AZ80" s="88"/>
      <c r="BA80" s="2"/>
      <c r="BB80" s="2" t="s">
        <v>1514</v>
      </c>
      <c r="BC80" s="2">
        <v>11</v>
      </c>
      <c r="BD80" s="2">
        <v>4</v>
      </c>
      <c r="BE80" s="2">
        <v>1</v>
      </c>
      <c r="BF80" s="2">
        <v>12</v>
      </c>
      <c r="BG80" s="2" t="s">
        <v>1245</v>
      </c>
      <c r="BH80" s="10">
        <v>5000000</v>
      </c>
      <c r="BI80" s="2" t="s">
        <v>1246</v>
      </c>
      <c r="BJ80" s="2"/>
      <c r="BK80" s="2">
        <v>1</v>
      </c>
      <c r="BL80" s="2">
        <v>2</v>
      </c>
      <c r="BM80" s="2">
        <f t="shared" si="18"/>
        <v>6</v>
      </c>
      <c r="BN80" s="2">
        <f t="shared" si="19"/>
        <v>7</v>
      </c>
      <c r="BO80" s="2">
        <f t="shared" si="20"/>
        <v>0</v>
      </c>
      <c r="BP80" s="2">
        <f t="shared" si="21"/>
        <v>13</v>
      </c>
      <c r="BQ80" s="2">
        <f t="shared" si="22"/>
        <v>12</v>
      </c>
      <c r="BR80" s="2">
        <f t="shared" si="23"/>
        <v>12</v>
      </c>
      <c r="BS80" s="2">
        <f t="shared" si="24"/>
        <v>2</v>
      </c>
      <c r="BT80" s="2">
        <v>0</v>
      </c>
    </row>
    <row r="81" spans="22:72" x14ac:dyDescent="0.3">
      <c r="V81">
        <f t="shared" si="27"/>
        <v>0</v>
      </c>
      <c r="W81" s="103">
        <v>4</v>
      </c>
      <c r="X81" s="135">
        <f>VLOOKUP(B15,Table2[],8)</f>
        <v>0</v>
      </c>
      <c r="Y81" s="27">
        <f>VLOOKUP(B15,Table1[],8)</f>
        <v>0</v>
      </c>
      <c r="Z81" s="87">
        <f>IF(AND('Ship Info'!$F$7,'Ship Info'!$C$5&gt;=100),Y81,IF($B$4&lt;100,X81,Y81))</f>
        <v>0</v>
      </c>
      <c r="AA81" s="135" t="str">
        <f>""</f>
        <v/>
      </c>
      <c r="AB81" s="22" t="str">
        <f>IF($Z81=0,AB$99,IF($Z81=1,AB$100,IF($Z81=2,AB$101,IF($Z81=3,AB$102,IF($Z81=4,AB$103,IF($Z81=5,AB$104,IF($Z81=6,AB$105,IF($Z81=7,AB$106,AB$107))))))))</f>
        <v/>
      </c>
      <c r="AC81" s="22" t="str">
        <f t="shared" ref="AC81:AD97" si="28">IF($Z81=0,AC$99,IF($Z81=1,AC$100,IF($Z81=2,AC$101,IF($Z81=3,AC$102,IF($Z81=4,AC$103,IF($Z81=5,AC$104,IF($Z81=6,AC$105,IF($Z81=7,AC$106,AC$107))))))))</f>
        <v/>
      </c>
      <c r="AD81" s="22" t="str">
        <f t="shared" si="28"/>
        <v/>
      </c>
      <c r="AE81" s="22" t="str">
        <f t="shared" ref="AE81:AR83" si="29">IF($Z81=0,AE$99,IF($Z81=1,AE$100,IF($Z81=2,AE$101,IF($Z81=3,AE$102,IF($Z81=4,AE$103,IF($Z81=5,AE$104,IF($Z81=6,AE$105,AE$106)))))))</f>
        <v/>
      </c>
      <c r="AF81" s="22" t="str">
        <f t="shared" si="29"/>
        <v/>
      </c>
      <c r="AG81" s="22" t="str">
        <f t="shared" si="29"/>
        <v/>
      </c>
      <c r="AH81" s="22" t="str">
        <f t="shared" si="29"/>
        <v/>
      </c>
      <c r="AI81" s="22" t="str">
        <f t="shared" si="29"/>
        <v/>
      </c>
      <c r="AJ81" s="22" t="str">
        <f t="shared" si="29"/>
        <v/>
      </c>
      <c r="AK81" s="22" t="str">
        <f t="shared" si="29"/>
        <v/>
      </c>
      <c r="AL81" s="22" t="str">
        <f t="shared" si="29"/>
        <v/>
      </c>
      <c r="AM81" s="22" t="str">
        <f t="shared" si="29"/>
        <v/>
      </c>
      <c r="AN81" s="22" t="str">
        <f t="shared" si="29"/>
        <v/>
      </c>
      <c r="AO81" s="22" t="str">
        <f t="shared" si="29"/>
        <v/>
      </c>
      <c r="AP81" s="22" t="str">
        <f t="shared" si="29"/>
        <v/>
      </c>
      <c r="AQ81" s="22" t="str">
        <f t="shared" si="29"/>
        <v/>
      </c>
      <c r="AR81" s="22" t="str">
        <f t="shared" si="29"/>
        <v/>
      </c>
      <c r="AS81" s="22" t="str">
        <f>IF($Z81=0,AS$99,IF($Z81=1,AS$100,IF($Z81=2,AS$101,IF($Z81=3,AS$102,IF($Z81=4,AS$103,IF($Z81=5,AS$104,IF($Z81=6,AS$105,AS$106)))))))</f>
        <v/>
      </c>
      <c r="AT81" s="22" t="str">
        <f>IF($Z81=0,AT$99,IF($Z81=1,AT$100,IF($Z81=2,AT$101,IF($Z81=3,AT$102,IF($Z81=4,AT$103,IF($Z81=5,AT$104,IF($Z81=6,AT$105,AT$106)))))))</f>
        <v/>
      </c>
      <c r="AU81" s="22" t="str">
        <f t="shared" ref="AU81:AZ96" si="30">IF($Z81=0,AU$99,IF($Z81=1,AU$100,IF($Z81=2,AU$101,IF($Z81=3,AU$102,IF($Z81=4,AU$103,IF($Z81=5,AU$104,IF($Z81=6,AU$105,AU$106)))))))</f>
        <v/>
      </c>
      <c r="AV81" s="22" t="str">
        <f t="shared" si="30"/>
        <v/>
      </c>
      <c r="AW81" s="22" t="str">
        <f t="shared" si="30"/>
        <v/>
      </c>
      <c r="AX81" s="22" t="str">
        <f t="shared" si="30"/>
        <v/>
      </c>
      <c r="AY81" s="22" t="str">
        <f t="shared" si="30"/>
        <v/>
      </c>
      <c r="AZ81" s="22" t="str">
        <f t="shared" si="30"/>
        <v/>
      </c>
      <c r="BA81" s="2"/>
      <c r="BB81" s="2" t="s">
        <v>1515</v>
      </c>
      <c r="BC81" s="2">
        <v>11</v>
      </c>
      <c r="BD81" s="2">
        <v>4</v>
      </c>
      <c r="BE81" s="2">
        <v>1</v>
      </c>
      <c r="BF81" s="2">
        <v>6</v>
      </c>
      <c r="BG81" s="2" t="s">
        <v>1104</v>
      </c>
      <c r="BH81" s="10">
        <v>2500000</v>
      </c>
      <c r="BI81" s="2" t="str">
        <f>""</f>
        <v/>
      </c>
      <c r="BJ81" s="2"/>
      <c r="BK81" s="2"/>
      <c r="BL81" s="2">
        <v>1</v>
      </c>
      <c r="BM81" s="2">
        <f t="shared" si="18"/>
        <v>7</v>
      </c>
      <c r="BN81" s="2">
        <f t="shared" si="19"/>
        <v>7</v>
      </c>
      <c r="BO81" s="2">
        <f t="shared" si="20"/>
        <v>0</v>
      </c>
      <c r="BP81" s="2">
        <f t="shared" si="21"/>
        <v>13</v>
      </c>
      <c r="BQ81" s="2">
        <f t="shared" si="22"/>
        <v>12</v>
      </c>
      <c r="BR81" s="2">
        <f t="shared" si="23"/>
        <v>12</v>
      </c>
      <c r="BS81" s="2">
        <f t="shared" si="24"/>
        <v>2</v>
      </c>
      <c r="BT81" s="2">
        <v>0</v>
      </c>
    </row>
    <row r="82" spans="22:72" x14ac:dyDescent="0.3">
      <c r="V82">
        <f t="shared" si="27"/>
        <v>0</v>
      </c>
      <c r="W82" s="1">
        <v>5</v>
      </c>
      <c r="X82" s="92">
        <f>VLOOKUP(B16,Table2[],8)</f>
        <v>0</v>
      </c>
      <c r="Y82" s="2">
        <f>VLOOKUP(B16,Table1[],8)</f>
        <v>0</v>
      </c>
      <c r="Z82" s="87">
        <f>IF(AND('Ship Info'!$F$7,'Ship Info'!$C$5&gt;=100),Y82,IF($B$4&lt;100,X82,Y82))</f>
        <v>0</v>
      </c>
      <c r="AA82" s="92" t="str">
        <f>""</f>
        <v/>
      </c>
      <c r="AB82" t="str">
        <f t="shared" ref="AB82:AB97" si="31">IF($Z82=0,AB$99,IF($Z82=1,AB$100,IF($Z82=2,AB$101,IF($Z82=3,AB$102,IF($Z82=4,AB$103,IF($Z82=5,AB$104,IF($Z82=6,AB$105,IF($Z82=7,AB$106,AB$107))))))))</f>
        <v/>
      </c>
      <c r="AC82" t="str">
        <f t="shared" si="28"/>
        <v/>
      </c>
      <c r="AD82" t="str">
        <f t="shared" si="28"/>
        <v/>
      </c>
      <c r="AE82" t="str">
        <f>IF($Z82=0,AE$99,IF($Z82=1,AE$100,IF($Z82=2,AE$101,IF($Z82=3,AE$102,IF($Z82=4,AE$103,IF($Z82=5,AE$104,IF($Z82=6,AE$105,AE$106)))))))</f>
        <v/>
      </c>
      <c r="AF82" s="144" t="str">
        <f t="shared" si="29"/>
        <v/>
      </c>
      <c r="AG82" s="144" t="str">
        <f t="shared" si="29"/>
        <v/>
      </c>
      <c r="AH82" s="144" t="str">
        <f t="shared" si="29"/>
        <v/>
      </c>
      <c r="AI82" s="144" t="str">
        <f t="shared" si="29"/>
        <v/>
      </c>
      <c r="AJ82" s="144" t="str">
        <f t="shared" si="29"/>
        <v/>
      </c>
      <c r="AK82" s="144" t="str">
        <f t="shared" si="29"/>
        <v/>
      </c>
      <c r="AL82" s="144" t="str">
        <f t="shared" si="29"/>
        <v/>
      </c>
      <c r="AM82" s="144" t="str">
        <f t="shared" ref="AM82:AR83" si="32">IF($Z82=0,AM$99,IF($Z82=1,AM$100,IF($Z82=2,AM$101,IF($Z82=3,AM$102,IF($Z82=4,AM$103,IF($Z82=5,AM$104,IF($Z82=6,AM$105,AM$106)))))))</f>
        <v/>
      </c>
      <c r="AN82" s="144" t="str">
        <f t="shared" si="32"/>
        <v/>
      </c>
      <c r="AO82" s="144" t="str">
        <f t="shared" si="32"/>
        <v/>
      </c>
      <c r="AP82" s="144" t="str">
        <f>IF($Z82=0,AP$99,IF($Z82=1,AP$100,IF($Z82=2,AP$101,IF($Z82=3,AP$102,IF($Z82=4,AP$103,IF($Z82=5,AP$104,IF($Z82=6,AP$105,AP$106)))))))</f>
        <v/>
      </c>
      <c r="AQ82" s="144" t="str">
        <f>IF($Z82=0,AQ$99,IF($Z82=1,AQ$100,IF($Z82=2,AQ$101,IF($Z82=3,AQ$102,IF($Z82=4,AQ$103,IF($Z82=5,AQ$104,IF($Z82=6,AQ$105,AQ$106)))))))</f>
        <v/>
      </c>
      <c r="AR82" t="str">
        <f>IF($Z82=0,AR$99,IF($Z82=1,AR$100,IF($Z82=2,AR$101,IF($Z82=3,AR$102,IF($Z82=4,AR$103,IF($Z82=5,AR$104,IF($Z82=6,AR$105,AR$106)))))))</f>
        <v/>
      </c>
      <c r="AS82" t="str">
        <f>IF($Z82=0,AS$99,IF($Z82=1,AS$100,IF($Z82=2,AS$101,IF($Z82=3,AS$102,IF($Z82=4,AS$103,IF($Z82=5,AS$104,IF($Z82=6,AS$105,AS$106)))))))</f>
        <v/>
      </c>
      <c r="AT82" t="str">
        <f t="shared" ref="AT82:AY97" si="33">IF($Z82=0,AT$99,IF($Z82=1,AT$100,IF($Z82=2,AT$101,IF($Z82=3,AT$102,IF($Z82=4,AT$103,IF($Z82=5,AT$104,IF($Z82=6,AT$105,AT$106)))))))</f>
        <v/>
      </c>
      <c r="AU82" t="str">
        <f t="shared" si="30"/>
        <v/>
      </c>
      <c r="AV82" t="str">
        <f t="shared" si="30"/>
        <v/>
      </c>
      <c r="AW82" t="str">
        <f t="shared" si="30"/>
        <v/>
      </c>
      <c r="AX82" t="str">
        <f t="shared" si="30"/>
        <v/>
      </c>
      <c r="AY82" t="str">
        <f t="shared" si="30"/>
        <v/>
      </c>
      <c r="AZ82" t="str">
        <f t="shared" si="30"/>
        <v/>
      </c>
      <c r="BA82" s="2"/>
      <c r="BB82" s="2" t="s">
        <v>609</v>
      </c>
      <c r="BC82" s="2">
        <v>13</v>
      </c>
      <c r="BD82" s="2">
        <v>4</v>
      </c>
      <c r="BE82" s="2">
        <v>1</v>
      </c>
      <c r="BF82" s="2">
        <v>20</v>
      </c>
      <c r="BG82" s="2" t="s">
        <v>1234</v>
      </c>
      <c r="BH82" s="10">
        <v>6000000</v>
      </c>
      <c r="BI82" s="2" t="s">
        <v>326</v>
      </c>
      <c r="BJ82" s="2"/>
      <c r="BK82" s="2">
        <v>1</v>
      </c>
      <c r="BL82" s="2">
        <v>2</v>
      </c>
      <c r="BM82" s="2">
        <f t="shared" si="18"/>
        <v>7</v>
      </c>
      <c r="BN82" s="2">
        <f t="shared" si="19"/>
        <v>8</v>
      </c>
      <c r="BO82" s="2">
        <f t="shared" si="20"/>
        <v>0</v>
      </c>
      <c r="BP82" s="2">
        <f t="shared" si="21"/>
        <v>13</v>
      </c>
      <c r="BQ82" s="2">
        <f t="shared" si="22"/>
        <v>12</v>
      </c>
      <c r="BR82" s="2">
        <f t="shared" si="23"/>
        <v>12</v>
      </c>
      <c r="BS82" s="2">
        <f t="shared" si="24"/>
        <v>2</v>
      </c>
      <c r="BT82" s="2">
        <v>0</v>
      </c>
    </row>
    <row r="83" spans="22:72" ht="15" customHeight="1" x14ac:dyDescent="0.3">
      <c r="V83">
        <f t="shared" si="27"/>
        <v>0</v>
      </c>
      <c r="W83" s="103">
        <v>6</v>
      </c>
      <c r="X83" s="135">
        <f>VLOOKUP(B17,Table2[],8)</f>
        <v>0</v>
      </c>
      <c r="Y83" s="27">
        <f>VLOOKUP(B17,Table1[],8)</f>
        <v>0</v>
      </c>
      <c r="Z83" s="87">
        <f>IF(AND('Ship Info'!$F$7,'Ship Info'!$C$5&gt;=100),Y83,IF($B$4&lt;100,X83,Y83))</f>
        <v>0</v>
      </c>
      <c r="AA83" s="135" t="str">
        <f>""</f>
        <v/>
      </c>
      <c r="AB83" s="22" t="str">
        <f t="shared" si="31"/>
        <v/>
      </c>
      <c r="AC83" s="22" t="str">
        <f t="shared" si="28"/>
        <v/>
      </c>
      <c r="AD83" s="22" t="str">
        <f t="shared" si="28"/>
        <v/>
      </c>
      <c r="AE83" s="22" t="str">
        <f t="shared" si="29"/>
        <v/>
      </c>
      <c r="AF83" s="22" t="str">
        <f t="shared" si="29"/>
        <v/>
      </c>
      <c r="AG83" s="22" t="str">
        <f t="shared" si="29"/>
        <v/>
      </c>
      <c r="AH83" s="22" t="str">
        <f t="shared" si="29"/>
        <v/>
      </c>
      <c r="AI83" s="22" t="str">
        <f t="shared" si="29"/>
        <v/>
      </c>
      <c r="AJ83" s="22" t="str">
        <f t="shared" si="29"/>
        <v/>
      </c>
      <c r="AK83" s="22" t="str">
        <f t="shared" si="29"/>
        <v/>
      </c>
      <c r="AL83" s="22" t="str">
        <f t="shared" si="29"/>
        <v/>
      </c>
      <c r="AM83" s="22" t="str">
        <f t="shared" si="32"/>
        <v/>
      </c>
      <c r="AN83" s="22" t="str">
        <f t="shared" si="32"/>
        <v/>
      </c>
      <c r="AO83" s="22" t="str">
        <f t="shared" si="32"/>
        <v/>
      </c>
      <c r="AP83" s="22" t="str">
        <f t="shared" si="32"/>
        <v/>
      </c>
      <c r="AQ83" s="22" t="str">
        <f t="shared" si="32"/>
        <v/>
      </c>
      <c r="AR83" s="22" t="str">
        <f t="shared" si="32"/>
        <v/>
      </c>
      <c r="AS83" s="22" t="str">
        <f t="shared" ref="AS83:AS97" si="34">IF($Z83=0,AS$99,IF($Z83=1,AS$100,IF($Z83=2,AS$101,IF($Z83=3,AS$102,IF($Z83=4,AS$103,IF($Z83=5,AS$104,IF($Z83=6,AS$105,AS$106)))))))</f>
        <v/>
      </c>
      <c r="AT83" s="22" t="str">
        <f t="shared" si="33"/>
        <v/>
      </c>
      <c r="AU83" s="22" t="str">
        <f t="shared" si="30"/>
        <v/>
      </c>
      <c r="AV83" s="22" t="str">
        <f t="shared" si="30"/>
        <v/>
      </c>
      <c r="AW83" s="22" t="str">
        <f t="shared" si="30"/>
        <v/>
      </c>
      <c r="AX83" s="22" t="str">
        <f t="shared" si="30"/>
        <v/>
      </c>
      <c r="AY83" s="22" t="str">
        <f t="shared" si="30"/>
        <v/>
      </c>
      <c r="AZ83" s="22" t="str">
        <f t="shared" si="30"/>
        <v/>
      </c>
      <c r="BA83" s="2"/>
      <c r="BB83" s="76" t="s">
        <v>606</v>
      </c>
      <c r="BC83" s="2">
        <v>13</v>
      </c>
      <c r="BD83" s="2">
        <v>4</v>
      </c>
      <c r="BE83" s="2">
        <v>1</v>
      </c>
      <c r="BF83" s="2">
        <v>10</v>
      </c>
      <c r="BG83" s="2" t="s">
        <v>323</v>
      </c>
      <c r="BH83" s="10">
        <v>3000000</v>
      </c>
      <c r="BI83" s="2" t="s">
        <v>326</v>
      </c>
      <c r="BJ83" s="2"/>
      <c r="BK83" s="2"/>
      <c r="BL83" s="2">
        <v>1</v>
      </c>
      <c r="BM83" s="2">
        <f t="shared" si="18"/>
        <v>8</v>
      </c>
      <c r="BN83" s="2">
        <f t="shared" si="19"/>
        <v>8</v>
      </c>
      <c r="BO83" s="2">
        <f t="shared" si="20"/>
        <v>0</v>
      </c>
      <c r="BP83" s="2">
        <f t="shared" si="21"/>
        <v>13</v>
      </c>
      <c r="BQ83" s="2">
        <f t="shared" si="22"/>
        <v>12</v>
      </c>
      <c r="BR83" s="2">
        <f t="shared" si="23"/>
        <v>12</v>
      </c>
      <c r="BS83" s="2">
        <f t="shared" si="24"/>
        <v>2</v>
      </c>
      <c r="BT83" s="2">
        <v>0</v>
      </c>
    </row>
    <row r="84" spans="22:72" x14ac:dyDescent="0.3">
      <c r="V84">
        <f t="shared" si="27"/>
        <v>0</v>
      </c>
      <c r="W84" s="1">
        <v>7</v>
      </c>
      <c r="X84" s="92">
        <f>VLOOKUP(B18,Table2[],8)</f>
        <v>0</v>
      </c>
      <c r="Y84" s="2">
        <f>VLOOKUP(B18,Table1[],8)</f>
        <v>0</v>
      </c>
      <c r="Z84" s="87">
        <f>IF(AND('Ship Info'!$F$7,'Ship Info'!$C$5&gt;=100),Y84,IF($B$4&lt;100,X84,Y84))</f>
        <v>0</v>
      </c>
      <c r="AA84" s="92" t="str">
        <f>""</f>
        <v/>
      </c>
      <c r="AB84" t="str">
        <f t="shared" si="31"/>
        <v/>
      </c>
      <c r="AC84" t="str">
        <f t="shared" si="28"/>
        <v/>
      </c>
      <c r="AD84" t="str">
        <f t="shared" si="28"/>
        <v/>
      </c>
      <c r="AE84" s="144" t="str">
        <f t="shared" ref="AE84:AL84" si="35">IF($Z84=0,AE$99,IF($Z84=1,AE$100,IF($Z84=2,AE$101,IF($Z84=3,AE$102,IF($Z84=4,AE$103,IF($Z84=5,AE104,IF($Z84=6,AE$105,AE$106)))))))</f>
        <v/>
      </c>
      <c r="AF84" s="144" t="str">
        <f t="shared" si="35"/>
        <v/>
      </c>
      <c r="AG84" s="144" t="str">
        <f t="shared" si="35"/>
        <v/>
      </c>
      <c r="AH84" s="144" t="str">
        <f t="shared" si="35"/>
        <v/>
      </c>
      <c r="AI84" s="144" t="str">
        <f t="shared" si="35"/>
        <v/>
      </c>
      <c r="AJ84" s="144" t="str">
        <f t="shared" si="35"/>
        <v/>
      </c>
      <c r="AK84" s="144" t="str">
        <f t="shared" si="35"/>
        <v/>
      </c>
      <c r="AL84" s="144" t="str">
        <f t="shared" si="35"/>
        <v/>
      </c>
      <c r="AM84" s="144" t="str">
        <f t="shared" ref="AM84:AR84" si="36">IF($Z84=0,AM$99,IF($Z84=1,AM$100,IF($Z84=2,AM$101,IF($Z84=3,AM$102,IF($Z84=4,AM$103,IF($Z84=5,AM104,IF($Z84=6,AM$105,AM$106)))))))</f>
        <v/>
      </c>
      <c r="AN84" s="144" t="str">
        <f t="shared" si="36"/>
        <v/>
      </c>
      <c r="AO84" s="144" t="str">
        <f t="shared" si="36"/>
        <v/>
      </c>
      <c r="AP84" s="144" t="str">
        <f t="shared" si="36"/>
        <v/>
      </c>
      <c r="AQ84" s="144" t="str">
        <f t="shared" si="36"/>
        <v/>
      </c>
      <c r="AR84" t="str">
        <f t="shared" si="36"/>
        <v/>
      </c>
      <c r="AS84" t="str">
        <f t="shared" si="34"/>
        <v/>
      </c>
      <c r="AT84" t="str">
        <f t="shared" si="33"/>
        <v/>
      </c>
      <c r="AU84" t="str">
        <f t="shared" si="30"/>
        <v/>
      </c>
      <c r="AV84" t="str">
        <f t="shared" si="30"/>
        <v/>
      </c>
      <c r="AW84" t="str">
        <f t="shared" si="30"/>
        <v/>
      </c>
      <c r="AX84" t="str">
        <f t="shared" si="30"/>
        <v/>
      </c>
      <c r="AY84" t="str">
        <f t="shared" si="30"/>
        <v/>
      </c>
      <c r="AZ84" t="str">
        <f t="shared" si="30"/>
        <v/>
      </c>
      <c r="BA84" s="2"/>
      <c r="BB84" s="2" t="s">
        <v>1494</v>
      </c>
      <c r="BC84" s="2">
        <v>13</v>
      </c>
      <c r="BD84" s="2">
        <v>4</v>
      </c>
      <c r="BE84" s="2"/>
      <c r="BF84" s="2">
        <v>400</v>
      </c>
      <c r="BG84" s="2" t="s">
        <v>1241</v>
      </c>
      <c r="BH84" s="10">
        <v>80000000</v>
      </c>
      <c r="BI84" s="2" t="s">
        <v>337</v>
      </c>
      <c r="BJ84" s="2"/>
      <c r="BK84" s="2">
        <v>1</v>
      </c>
      <c r="BL84" s="2">
        <v>6</v>
      </c>
      <c r="BM84" s="2">
        <f t="shared" si="18"/>
        <v>8</v>
      </c>
      <c r="BN84" s="2">
        <f t="shared" si="19"/>
        <v>8</v>
      </c>
      <c r="BO84" s="2">
        <f t="shared" si="20"/>
        <v>0</v>
      </c>
      <c r="BP84" s="2">
        <f t="shared" si="21"/>
        <v>13</v>
      </c>
      <c r="BQ84" s="2">
        <f t="shared" si="22"/>
        <v>12</v>
      </c>
      <c r="BR84" s="2">
        <f t="shared" si="23"/>
        <v>13</v>
      </c>
      <c r="BS84" s="2">
        <f t="shared" si="24"/>
        <v>2</v>
      </c>
      <c r="BT84" s="2">
        <v>0</v>
      </c>
    </row>
    <row r="85" spans="22:72" x14ac:dyDescent="0.3">
      <c r="V85">
        <f t="shared" si="27"/>
        <v>0</v>
      </c>
      <c r="W85" s="103">
        <v>8</v>
      </c>
      <c r="X85" s="135">
        <f>VLOOKUP(B19,Table2[],8)</f>
        <v>0</v>
      </c>
      <c r="Y85" s="27">
        <f>VLOOKUP(B19,Table1[],8)</f>
        <v>0</v>
      </c>
      <c r="Z85" s="87">
        <f>IF(AND('Ship Info'!$F$7,'Ship Info'!$C$5&gt;=100),Y85,IF($B$4&lt;100,X85,Y85))</f>
        <v>0</v>
      </c>
      <c r="AA85" s="135" t="str">
        <f>""</f>
        <v/>
      </c>
      <c r="AB85" s="22" t="str">
        <f t="shared" si="31"/>
        <v/>
      </c>
      <c r="AC85" s="22" t="str">
        <f t="shared" si="28"/>
        <v/>
      </c>
      <c r="AD85" s="22" t="str">
        <f t="shared" si="28"/>
        <v/>
      </c>
      <c r="AE85" s="22" t="str">
        <f t="shared" ref="AE85:AR97" si="37">IF($Z85=0,AE$99,IF($Z85=1,AE$100,IF($Z85=2,AE$101,IF($Z85=3,AE$102,IF($Z85=4,AE$103,IF($Z85=5,AE$104,IF($Z85=6,AE$105,AE$106)))))))</f>
        <v/>
      </c>
      <c r="AF85" s="22" t="str">
        <f t="shared" si="37"/>
        <v/>
      </c>
      <c r="AG85" s="22" t="str">
        <f t="shared" si="37"/>
        <v/>
      </c>
      <c r="AH85" s="22" t="str">
        <f t="shared" si="37"/>
        <v/>
      </c>
      <c r="AI85" s="22" t="str">
        <f t="shared" si="37"/>
        <v/>
      </c>
      <c r="AJ85" s="22" t="str">
        <f t="shared" si="37"/>
        <v/>
      </c>
      <c r="AK85" s="22" t="str">
        <f t="shared" si="37"/>
        <v/>
      </c>
      <c r="AL85" s="22" t="str">
        <f t="shared" si="37"/>
        <v/>
      </c>
      <c r="AM85" s="22" t="str">
        <f t="shared" si="37"/>
        <v/>
      </c>
      <c r="AN85" s="22" t="str">
        <f t="shared" si="37"/>
        <v/>
      </c>
      <c r="AO85" s="22" t="str">
        <f t="shared" si="37"/>
        <v/>
      </c>
      <c r="AP85" s="22" t="str">
        <f t="shared" si="37"/>
        <v/>
      </c>
      <c r="AQ85" s="22" t="str">
        <f t="shared" si="37"/>
        <v/>
      </c>
      <c r="AR85" s="22" t="str">
        <f t="shared" si="37"/>
        <v/>
      </c>
      <c r="AS85" s="22" t="str">
        <f t="shared" si="34"/>
        <v/>
      </c>
      <c r="AT85" s="22" t="str">
        <f t="shared" si="33"/>
        <v/>
      </c>
      <c r="AU85" s="22" t="str">
        <f t="shared" si="30"/>
        <v/>
      </c>
      <c r="AV85" s="22" t="str">
        <f t="shared" si="30"/>
        <v/>
      </c>
      <c r="AW85" s="22" t="str">
        <f t="shared" si="30"/>
        <v/>
      </c>
      <c r="AX85" s="22" t="str">
        <f t="shared" si="30"/>
        <v/>
      </c>
      <c r="AY85" s="22" t="str">
        <f t="shared" si="30"/>
        <v/>
      </c>
      <c r="AZ85" s="22" t="str">
        <f t="shared" si="30"/>
        <v/>
      </c>
      <c r="BB85" s="2" t="s">
        <v>1516</v>
      </c>
      <c r="BC85" s="2">
        <v>13</v>
      </c>
      <c r="BD85" s="2">
        <v>4</v>
      </c>
      <c r="BE85" s="2"/>
      <c r="BF85" s="2">
        <v>90</v>
      </c>
      <c r="BG85" s="2" t="s">
        <v>1254</v>
      </c>
      <c r="BH85" s="10">
        <v>30000000</v>
      </c>
      <c r="BI85" s="2" t="s">
        <v>337</v>
      </c>
      <c r="BJ85" s="2"/>
      <c r="BK85" s="2">
        <v>1</v>
      </c>
      <c r="BL85" s="2">
        <v>5</v>
      </c>
      <c r="BM85" s="2">
        <f t="shared" si="18"/>
        <v>8</v>
      </c>
      <c r="BN85" s="2">
        <f t="shared" si="19"/>
        <v>8</v>
      </c>
      <c r="BO85" s="2">
        <f t="shared" si="20"/>
        <v>0</v>
      </c>
      <c r="BP85" s="2">
        <f t="shared" si="21"/>
        <v>13</v>
      </c>
      <c r="BQ85" s="2">
        <f t="shared" si="22"/>
        <v>13</v>
      </c>
      <c r="BR85" s="2">
        <f t="shared" si="23"/>
        <v>13</v>
      </c>
      <c r="BS85" s="2">
        <f t="shared" si="24"/>
        <v>2</v>
      </c>
      <c r="BT85" s="2">
        <v>0</v>
      </c>
    </row>
    <row r="86" spans="22:72" x14ac:dyDescent="0.3">
      <c r="V86">
        <f t="shared" si="27"/>
        <v>0</v>
      </c>
      <c r="W86" s="1">
        <v>9</v>
      </c>
      <c r="X86" s="92">
        <f>VLOOKUP(B20,Table2[],8)</f>
        <v>0</v>
      </c>
      <c r="Y86" s="2">
        <f>VLOOKUP(B20,Table1[],8)</f>
        <v>0</v>
      </c>
      <c r="Z86" s="87">
        <f>IF(AND('Ship Info'!$F$7,'Ship Info'!$C$5&gt;=100),Y86,IF($B$4&lt;100,X86,Y86))</f>
        <v>0</v>
      </c>
      <c r="AA86" s="92" t="str">
        <f>""</f>
        <v/>
      </c>
      <c r="AB86" t="str">
        <f t="shared" si="31"/>
        <v/>
      </c>
      <c r="AC86" t="str">
        <f t="shared" si="28"/>
        <v/>
      </c>
      <c r="AD86" t="str">
        <f t="shared" si="28"/>
        <v/>
      </c>
      <c r="AE86" s="144" t="str">
        <f t="shared" si="37"/>
        <v/>
      </c>
      <c r="AF86" s="144" t="str">
        <f t="shared" si="37"/>
        <v/>
      </c>
      <c r="AG86" s="144" t="str">
        <f t="shared" si="37"/>
        <v/>
      </c>
      <c r="AH86" s="144" t="str">
        <f t="shared" si="37"/>
        <v/>
      </c>
      <c r="AI86" s="144" t="str">
        <f t="shared" si="37"/>
        <v/>
      </c>
      <c r="AJ86" s="144" t="str">
        <f t="shared" si="37"/>
        <v/>
      </c>
      <c r="AK86" s="144" t="str">
        <f t="shared" si="37"/>
        <v/>
      </c>
      <c r="AL86" s="144" t="str">
        <f t="shared" si="37"/>
        <v/>
      </c>
      <c r="AM86" s="144" t="str">
        <f t="shared" ref="AM86:AR97" si="38">IF($Z86=0,AM$99,IF($Z86=1,AM$100,IF($Z86=2,AM$101,IF($Z86=3,AM$102,IF($Z86=4,AM$103,IF($Z86=5,AM$104,IF($Z86=6,AM$105,AM$106)))))))</f>
        <v/>
      </c>
      <c r="AN86" s="144" t="str">
        <f t="shared" si="38"/>
        <v/>
      </c>
      <c r="AO86" s="144" t="str">
        <f t="shared" si="38"/>
        <v/>
      </c>
      <c r="AP86" s="144" t="str">
        <f t="shared" si="38"/>
        <v/>
      </c>
      <c r="AQ86" s="144" t="str">
        <f t="shared" si="38"/>
        <v/>
      </c>
      <c r="AR86" t="str">
        <f t="shared" si="38"/>
        <v/>
      </c>
      <c r="AS86" t="str">
        <f>IF($Z86=0,AS$99,IF($Z86=1,AS$100,IF($Z86=2,AS$101,IF($Z86=3,AS$102,IF($Z86=4,AS$103,IF($Z86=5,AS$104,IF($Z86=6,AS$105,AS$106)))))))</f>
        <v/>
      </c>
      <c r="AT86" t="str">
        <f t="shared" si="33"/>
        <v/>
      </c>
      <c r="AU86" t="str">
        <f t="shared" si="30"/>
        <v/>
      </c>
      <c r="AV86" t="str">
        <f t="shared" si="30"/>
        <v/>
      </c>
      <c r="AW86" t="str">
        <f t="shared" si="30"/>
        <v/>
      </c>
      <c r="AX86" t="str">
        <f t="shared" si="30"/>
        <v/>
      </c>
      <c r="AY86" t="str">
        <f t="shared" si="30"/>
        <v/>
      </c>
      <c r="AZ86" t="str">
        <f t="shared" si="30"/>
        <v/>
      </c>
      <c r="BB86" s="2" t="s">
        <v>1517</v>
      </c>
      <c r="BC86" s="2">
        <v>13</v>
      </c>
      <c r="BD86" s="2">
        <v>4</v>
      </c>
      <c r="BE86" s="2"/>
      <c r="BF86" s="2">
        <v>60</v>
      </c>
      <c r="BG86" s="2" t="s">
        <v>1236</v>
      </c>
      <c r="BH86" s="10">
        <v>15000000</v>
      </c>
      <c r="BI86" s="2" t="s">
        <v>335</v>
      </c>
      <c r="BJ86" s="2"/>
      <c r="BK86" s="2">
        <v>1</v>
      </c>
      <c r="BL86" s="2">
        <v>4</v>
      </c>
      <c r="BM86" s="2">
        <f t="shared" si="18"/>
        <v>8</v>
      </c>
      <c r="BN86" s="2">
        <f t="shared" si="19"/>
        <v>8</v>
      </c>
      <c r="BO86" s="2">
        <f t="shared" si="20"/>
        <v>0</v>
      </c>
      <c r="BP86" s="2">
        <f t="shared" si="21"/>
        <v>14</v>
      </c>
      <c r="BQ86" s="2">
        <f t="shared" si="22"/>
        <v>13</v>
      </c>
      <c r="BR86" s="2">
        <f t="shared" si="23"/>
        <v>13</v>
      </c>
      <c r="BS86" s="2">
        <f t="shared" si="24"/>
        <v>2</v>
      </c>
      <c r="BT86" s="2">
        <v>0</v>
      </c>
    </row>
    <row r="87" spans="22:72" x14ac:dyDescent="0.3">
      <c r="V87">
        <f t="shared" si="27"/>
        <v>0</v>
      </c>
      <c r="W87" s="103">
        <v>10</v>
      </c>
      <c r="X87" s="135">
        <f>VLOOKUP(B21,Table2[],8)</f>
        <v>0</v>
      </c>
      <c r="Y87" s="27">
        <f>VLOOKUP(B21,Table1[],8)</f>
        <v>0</v>
      </c>
      <c r="Z87" s="87">
        <f>IF(AND('Ship Info'!$F$7,'Ship Info'!$C$5&gt;=100),Y87,IF($B$4&lt;100,X87,Y87))</f>
        <v>0</v>
      </c>
      <c r="AA87" s="135" t="str">
        <f>""</f>
        <v/>
      </c>
      <c r="AB87" s="22" t="str">
        <f t="shared" si="31"/>
        <v/>
      </c>
      <c r="AC87" s="22" t="str">
        <f t="shared" si="28"/>
        <v/>
      </c>
      <c r="AD87" s="22" t="str">
        <f t="shared" si="28"/>
        <v/>
      </c>
      <c r="AE87" s="22" t="str">
        <f t="shared" si="37"/>
        <v/>
      </c>
      <c r="AF87" s="22" t="str">
        <f t="shared" si="37"/>
        <v/>
      </c>
      <c r="AG87" s="22" t="str">
        <f t="shared" si="37"/>
        <v/>
      </c>
      <c r="AH87" s="22" t="str">
        <f t="shared" si="37"/>
        <v/>
      </c>
      <c r="AI87" s="22" t="str">
        <f t="shared" si="37"/>
        <v/>
      </c>
      <c r="AJ87" s="22" t="str">
        <f t="shared" si="37"/>
        <v/>
      </c>
      <c r="AK87" s="22" t="str">
        <f t="shared" si="37"/>
        <v/>
      </c>
      <c r="AL87" s="22" t="str">
        <f t="shared" si="37"/>
        <v/>
      </c>
      <c r="AM87" s="22" t="str">
        <f t="shared" si="38"/>
        <v/>
      </c>
      <c r="AN87" s="22" t="str">
        <f t="shared" si="38"/>
        <v/>
      </c>
      <c r="AO87" s="22" t="str">
        <f t="shared" si="38"/>
        <v/>
      </c>
      <c r="AP87" s="22" t="str">
        <f t="shared" si="38"/>
        <v/>
      </c>
      <c r="AQ87" s="22" t="str">
        <f t="shared" si="38"/>
        <v/>
      </c>
      <c r="AR87" s="22" t="str">
        <f t="shared" si="38"/>
        <v/>
      </c>
      <c r="AS87" s="22" t="str">
        <f t="shared" si="34"/>
        <v/>
      </c>
      <c r="AT87" s="22" t="str">
        <f t="shared" si="33"/>
        <v/>
      </c>
      <c r="AU87" s="22" t="str">
        <f t="shared" si="30"/>
        <v/>
      </c>
      <c r="AV87" s="22" t="str">
        <f t="shared" si="30"/>
        <v/>
      </c>
      <c r="AW87" s="22" t="str">
        <f t="shared" si="30"/>
        <v/>
      </c>
      <c r="AX87" s="22" t="str">
        <f t="shared" si="30"/>
        <v/>
      </c>
      <c r="AY87" s="22" t="str">
        <f t="shared" si="30"/>
        <v/>
      </c>
      <c r="AZ87" s="22" t="str">
        <f t="shared" si="30"/>
        <v/>
      </c>
      <c r="BB87" s="2" t="s">
        <v>607</v>
      </c>
      <c r="BC87" s="2">
        <v>9</v>
      </c>
      <c r="BD87" s="2">
        <v>5</v>
      </c>
      <c r="BE87" s="2">
        <v>2</v>
      </c>
      <c r="BF87" s="2">
        <v>4</v>
      </c>
      <c r="BG87" s="2" t="s">
        <v>323</v>
      </c>
      <c r="BH87" s="10">
        <v>1000000</v>
      </c>
      <c r="BI87" s="2"/>
      <c r="BJ87" s="2"/>
      <c r="BK87" s="2"/>
      <c r="BL87" s="2">
        <v>1</v>
      </c>
      <c r="BM87" s="2">
        <f t="shared" si="18"/>
        <v>9</v>
      </c>
      <c r="BN87" s="2">
        <f t="shared" si="19"/>
        <v>8</v>
      </c>
      <c r="BO87" s="2">
        <f t="shared" si="20"/>
        <v>0</v>
      </c>
      <c r="BP87" s="2">
        <f t="shared" si="21"/>
        <v>14</v>
      </c>
      <c r="BQ87" s="2">
        <f t="shared" si="22"/>
        <v>13</v>
      </c>
      <c r="BR87" s="2">
        <f t="shared" si="23"/>
        <v>13</v>
      </c>
      <c r="BS87" s="2">
        <f t="shared" si="24"/>
        <v>2</v>
      </c>
      <c r="BT87" s="2">
        <v>0</v>
      </c>
    </row>
    <row r="88" spans="22:72" x14ac:dyDescent="0.3">
      <c r="V88">
        <f t="shared" si="27"/>
        <v>0</v>
      </c>
      <c r="W88" s="1">
        <v>11</v>
      </c>
      <c r="X88" s="92">
        <f>VLOOKUP(B22,Table2[],8)</f>
        <v>0</v>
      </c>
      <c r="Y88" s="2">
        <f>VLOOKUP(B22,Table1[],8)</f>
        <v>0</v>
      </c>
      <c r="Z88" s="87">
        <f>IF(AND('Ship Info'!$F$7,'Ship Info'!$C$5&gt;=100),Y88,IF($B$4&lt;100,X88,Y88))</f>
        <v>0</v>
      </c>
      <c r="AA88" s="92" t="str">
        <f>""</f>
        <v/>
      </c>
      <c r="AB88" t="str">
        <f t="shared" si="31"/>
        <v/>
      </c>
      <c r="AC88" t="str">
        <f t="shared" si="28"/>
        <v/>
      </c>
      <c r="AD88" t="str">
        <f t="shared" si="28"/>
        <v/>
      </c>
      <c r="AE88" s="144" t="str">
        <f t="shared" si="37"/>
        <v/>
      </c>
      <c r="AF88" s="144" t="str">
        <f t="shared" si="37"/>
        <v/>
      </c>
      <c r="AG88" s="144" t="str">
        <f t="shared" si="37"/>
        <v/>
      </c>
      <c r="AH88" s="144" t="str">
        <f t="shared" si="37"/>
        <v/>
      </c>
      <c r="AI88" s="144" t="str">
        <f t="shared" si="37"/>
        <v/>
      </c>
      <c r="AJ88" s="144" t="str">
        <f t="shared" si="37"/>
        <v/>
      </c>
      <c r="AK88" s="144" t="str">
        <f t="shared" si="37"/>
        <v/>
      </c>
      <c r="AL88" s="144" t="str">
        <f t="shared" si="37"/>
        <v/>
      </c>
      <c r="AM88" s="144" t="str">
        <f t="shared" si="38"/>
        <v/>
      </c>
      <c r="AN88" s="144" t="str">
        <f t="shared" si="38"/>
        <v/>
      </c>
      <c r="AO88" s="144" t="str">
        <f t="shared" si="38"/>
        <v/>
      </c>
      <c r="AP88" s="144" t="str">
        <f t="shared" si="38"/>
        <v/>
      </c>
      <c r="AQ88" s="144" t="str">
        <f t="shared" si="38"/>
        <v/>
      </c>
      <c r="AR88" t="str">
        <f t="shared" si="38"/>
        <v/>
      </c>
      <c r="AS88" t="str">
        <f t="shared" si="34"/>
        <v/>
      </c>
      <c r="AT88" t="str">
        <f t="shared" si="33"/>
        <v/>
      </c>
      <c r="AU88" t="str">
        <f t="shared" si="30"/>
        <v/>
      </c>
      <c r="AV88" t="str">
        <f t="shared" si="30"/>
        <v/>
      </c>
      <c r="AW88" t="str">
        <f t="shared" si="30"/>
        <v/>
      </c>
      <c r="AX88" t="str">
        <f t="shared" si="30"/>
        <v/>
      </c>
      <c r="AY88" t="str">
        <f t="shared" si="30"/>
        <v/>
      </c>
      <c r="AZ88" t="str">
        <f t="shared" si="30"/>
        <v/>
      </c>
      <c r="BB88" s="2" t="s">
        <v>1267</v>
      </c>
      <c r="BC88" s="2">
        <v>9</v>
      </c>
      <c r="BD88" s="2">
        <v>5</v>
      </c>
      <c r="BE88" s="2">
        <v>2</v>
      </c>
      <c r="BF88" s="2">
        <v>8</v>
      </c>
      <c r="BG88" s="2" t="s">
        <v>1234</v>
      </c>
      <c r="BH88" s="10">
        <v>2000000</v>
      </c>
      <c r="BI88" s="2"/>
      <c r="BJ88" s="2"/>
      <c r="BK88" s="2">
        <v>1</v>
      </c>
      <c r="BL88" s="2">
        <v>2</v>
      </c>
      <c r="BM88" s="2">
        <f t="shared" si="18"/>
        <v>9</v>
      </c>
      <c r="BN88" s="2">
        <f t="shared" si="19"/>
        <v>9</v>
      </c>
      <c r="BO88" s="2">
        <f t="shared" si="20"/>
        <v>0</v>
      </c>
      <c r="BP88" s="2">
        <f t="shared" si="21"/>
        <v>14</v>
      </c>
      <c r="BQ88" s="2">
        <f t="shared" si="22"/>
        <v>13</v>
      </c>
      <c r="BR88" s="2">
        <f t="shared" si="23"/>
        <v>13</v>
      </c>
      <c r="BS88" s="2">
        <f t="shared" si="24"/>
        <v>2</v>
      </c>
      <c r="BT88" s="2">
        <v>0</v>
      </c>
    </row>
    <row r="89" spans="22:72" x14ac:dyDescent="0.3">
      <c r="V89">
        <f t="shared" si="27"/>
        <v>0</v>
      </c>
      <c r="W89" s="103">
        <v>12</v>
      </c>
      <c r="X89" s="135">
        <f>VLOOKUP(B23,Table2[],8)</f>
        <v>0</v>
      </c>
      <c r="Y89" s="27">
        <f>VLOOKUP(B23,Table1[],8)</f>
        <v>0</v>
      </c>
      <c r="Z89" s="87">
        <f>IF(AND('Ship Info'!$F$7,'Ship Info'!$C$5&gt;=100),Y89,IF($B$4&lt;100,X89,Y89))</f>
        <v>0</v>
      </c>
      <c r="AA89" s="135" t="str">
        <f>""</f>
        <v/>
      </c>
      <c r="AB89" s="22" t="str">
        <f t="shared" si="31"/>
        <v/>
      </c>
      <c r="AC89" s="22" t="str">
        <f t="shared" si="28"/>
        <v/>
      </c>
      <c r="AD89" s="22" t="str">
        <f t="shared" si="28"/>
        <v/>
      </c>
      <c r="AE89" s="22" t="str">
        <f t="shared" si="37"/>
        <v/>
      </c>
      <c r="AF89" s="22" t="str">
        <f t="shared" si="37"/>
        <v/>
      </c>
      <c r="AG89" s="22" t="str">
        <f t="shared" si="37"/>
        <v/>
      </c>
      <c r="AH89" s="22" t="str">
        <f t="shared" si="37"/>
        <v/>
      </c>
      <c r="AI89" s="22" t="str">
        <f t="shared" si="37"/>
        <v/>
      </c>
      <c r="AJ89" s="22" t="str">
        <f t="shared" si="37"/>
        <v/>
      </c>
      <c r="AK89" s="22" t="str">
        <f t="shared" si="37"/>
        <v/>
      </c>
      <c r="AL89" s="22" t="str">
        <f t="shared" si="37"/>
        <v/>
      </c>
      <c r="AM89" s="22" t="str">
        <f t="shared" si="38"/>
        <v/>
      </c>
      <c r="AN89" s="22" t="str">
        <f t="shared" si="38"/>
        <v/>
      </c>
      <c r="AO89" s="22" t="str">
        <f t="shared" si="38"/>
        <v/>
      </c>
      <c r="AP89" s="22" t="str">
        <f t="shared" si="38"/>
        <v/>
      </c>
      <c r="AQ89" s="22" t="str">
        <f t="shared" si="38"/>
        <v/>
      </c>
      <c r="AR89" s="22" t="str">
        <f t="shared" si="38"/>
        <v/>
      </c>
      <c r="AS89" s="22" t="str">
        <f t="shared" si="34"/>
        <v/>
      </c>
      <c r="AT89" s="22" t="str">
        <f t="shared" si="33"/>
        <v/>
      </c>
      <c r="AU89" s="22" t="str">
        <f t="shared" si="30"/>
        <v/>
      </c>
      <c r="AV89" s="22" t="str">
        <f t="shared" si="30"/>
        <v/>
      </c>
      <c r="AW89" s="22" t="str">
        <f t="shared" si="30"/>
        <v/>
      </c>
      <c r="AX89" s="22" t="str">
        <f t="shared" si="30"/>
        <v/>
      </c>
      <c r="AY89" s="22" t="str">
        <f t="shared" si="30"/>
        <v/>
      </c>
      <c r="AZ89" s="22" t="str">
        <f t="shared" si="30"/>
        <v/>
      </c>
      <c r="BB89" s="2" t="s">
        <v>1572</v>
      </c>
      <c r="BC89" s="2">
        <v>9</v>
      </c>
      <c r="BD89" s="2">
        <v>5</v>
      </c>
      <c r="BE89" s="2"/>
      <c r="BF89" s="2">
        <v>100</v>
      </c>
      <c r="BG89" s="2" t="s">
        <v>1249</v>
      </c>
      <c r="BH89" s="10">
        <v>30000000</v>
      </c>
      <c r="BI89" s="2"/>
      <c r="BJ89" s="2"/>
      <c r="BK89" s="2">
        <v>1</v>
      </c>
      <c r="BL89" s="2">
        <v>6</v>
      </c>
      <c r="BM89" s="2">
        <f t="shared" si="18"/>
        <v>9</v>
      </c>
      <c r="BN89" s="2">
        <f t="shared" si="19"/>
        <v>9</v>
      </c>
      <c r="BO89" s="2">
        <f t="shared" si="20"/>
        <v>0</v>
      </c>
      <c r="BP89" s="2">
        <f t="shared" si="21"/>
        <v>14</v>
      </c>
      <c r="BQ89" s="2">
        <f t="shared" si="22"/>
        <v>13</v>
      </c>
      <c r="BR89" s="2">
        <f t="shared" si="23"/>
        <v>14</v>
      </c>
      <c r="BS89" s="2">
        <f t="shared" si="24"/>
        <v>2</v>
      </c>
      <c r="BT89" s="2">
        <v>0</v>
      </c>
    </row>
    <row r="90" spans="22:72" x14ac:dyDescent="0.3">
      <c r="V90">
        <f t="shared" si="27"/>
        <v>0</v>
      </c>
      <c r="W90" s="1">
        <v>13</v>
      </c>
      <c r="X90" s="92">
        <f>VLOOKUP(B24,Table2[],8)</f>
        <v>0</v>
      </c>
      <c r="Y90" s="2">
        <f>VLOOKUP(B24,Table1[],8)</f>
        <v>0</v>
      </c>
      <c r="Z90" s="87">
        <f>IF(AND('Ship Info'!$F$7,'Ship Info'!$C$5&gt;=100),Y90,IF($B$4&lt;100,X90,Y90))</f>
        <v>0</v>
      </c>
      <c r="AA90" s="92" t="str">
        <f>""</f>
        <v/>
      </c>
      <c r="AB90" t="str">
        <f t="shared" si="31"/>
        <v/>
      </c>
      <c r="AC90" t="str">
        <f t="shared" si="28"/>
        <v/>
      </c>
      <c r="AD90" t="str">
        <f t="shared" si="28"/>
        <v/>
      </c>
      <c r="AE90" s="144" t="str">
        <f t="shared" si="37"/>
        <v/>
      </c>
      <c r="AF90" s="144" t="str">
        <f t="shared" si="37"/>
        <v/>
      </c>
      <c r="AG90" s="144" t="str">
        <f t="shared" si="37"/>
        <v/>
      </c>
      <c r="AH90" s="144" t="str">
        <f t="shared" si="37"/>
        <v/>
      </c>
      <c r="AI90" s="144" t="str">
        <f t="shared" si="37"/>
        <v/>
      </c>
      <c r="AJ90" s="144" t="str">
        <f t="shared" si="37"/>
        <v/>
      </c>
      <c r="AK90" s="144" t="str">
        <f t="shared" si="37"/>
        <v/>
      </c>
      <c r="AL90" s="144" t="str">
        <f t="shared" si="37"/>
        <v/>
      </c>
      <c r="AM90" s="144" t="str">
        <f t="shared" si="38"/>
        <v/>
      </c>
      <c r="AN90" s="144" t="str">
        <f t="shared" si="38"/>
        <v/>
      </c>
      <c r="AO90" s="144" t="str">
        <f t="shared" si="38"/>
        <v/>
      </c>
      <c r="AP90" s="144" t="str">
        <f t="shared" si="38"/>
        <v/>
      </c>
      <c r="AQ90" s="144" t="str">
        <f t="shared" si="38"/>
        <v/>
      </c>
      <c r="AR90" t="str">
        <f t="shared" si="38"/>
        <v/>
      </c>
      <c r="AS90" t="str">
        <f t="shared" si="34"/>
        <v/>
      </c>
      <c r="AT90" t="str">
        <f t="shared" si="33"/>
        <v/>
      </c>
      <c r="AU90" t="str">
        <f t="shared" si="30"/>
        <v/>
      </c>
      <c r="AV90" t="str">
        <f t="shared" si="30"/>
        <v/>
      </c>
      <c r="AW90" t="str">
        <f t="shared" si="30"/>
        <v/>
      </c>
      <c r="AX90" t="str">
        <f t="shared" si="30"/>
        <v/>
      </c>
      <c r="AY90" t="str">
        <f t="shared" si="30"/>
        <v/>
      </c>
      <c r="AZ90" t="str">
        <f t="shared" si="30"/>
        <v/>
      </c>
      <c r="BB90" s="2" t="s">
        <v>1573</v>
      </c>
      <c r="BC90" s="2">
        <v>9</v>
      </c>
      <c r="BD90" s="2">
        <v>5</v>
      </c>
      <c r="BE90" s="2"/>
      <c r="BF90" s="2">
        <v>23</v>
      </c>
      <c r="BG90" s="2" t="s">
        <v>1253</v>
      </c>
      <c r="BH90" s="10">
        <v>10000000</v>
      </c>
      <c r="BI90" s="2"/>
      <c r="BJ90" s="2"/>
      <c r="BK90" s="2">
        <v>1</v>
      </c>
      <c r="BL90" s="2">
        <v>5</v>
      </c>
      <c r="BM90" s="2">
        <f t="shared" si="18"/>
        <v>9</v>
      </c>
      <c r="BN90" s="2">
        <f t="shared" si="19"/>
        <v>9</v>
      </c>
      <c r="BO90" s="2">
        <f t="shared" si="20"/>
        <v>0</v>
      </c>
      <c r="BP90" s="2">
        <f t="shared" si="21"/>
        <v>14</v>
      </c>
      <c r="BQ90" s="2">
        <f t="shared" si="22"/>
        <v>14</v>
      </c>
      <c r="BR90" s="2">
        <f t="shared" si="23"/>
        <v>14</v>
      </c>
      <c r="BS90" s="2">
        <f t="shared" si="24"/>
        <v>2</v>
      </c>
      <c r="BT90" s="2">
        <v>0</v>
      </c>
    </row>
    <row r="91" spans="22:72" x14ac:dyDescent="0.3">
      <c r="V91">
        <f t="shared" si="27"/>
        <v>0</v>
      </c>
      <c r="W91" s="103">
        <v>14</v>
      </c>
      <c r="X91" s="135">
        <f>VLOOKUP(B25,Table2[],8)</f>
        <v>0</v>
      </c>
      <c r="Y91" s="27">
        <f>VLOOKUP(B25,Table1[],8)</f>
        <v>0</v>
      </c>
      <c r="Z91" s="87">
        <f>IF(AND('Ship Info'!$F$7,'Ship Info'!$C$5&gt;=100),Y91,IF($B$4&lt;100,X91,Y91))</f>
        <v>0</v>
      </c>
      <c r="AA91" s="135" t="str">
        <f>""</f>
        <v/>
      </c>
      <c r="AB91" s="22" t="str">
        <f t="shared" si="31"/>
        <v/>
      </c>
      <c r="AC91" s="22" t="str">
        <f t="shared" si="28"/>
        <v/>
      </c>
      <c r="AD91" s="22" t="str">
        <f t="shared" si="28"/>
        <v/>
      </c>
      <c r="AE91" s="22" t="str">
        <f t="shared" si="37"/>
        <v/>
      </c>
      <c r="AF91" s="22" t="str">
        <f t="shared" si="37"/>
        <v/>
      </c>
      <c r="AG91" s="22" t="str">
        <f t="shared" si="37"/>
        <v/>
      </c>
      <c r="AH91" s="22" t="str">
        <f t="shared" si="37"/>
        <v/>
      </c>
      <c r="AI91" s="22" t="str">
        <f t="shared" si="37"/>
        <v/>
      </c>
      <c r="AJ91" s="22" t="str">
        <f t="shared" si="37"/>
        <v/>
      </c>
      <c r="AK91" s="22" t="str">
        <f t="shared" si="37"/>
        <v/>
      </c>
      <c r="AL91" s="22" t="str">
        <f t="shared" si="37"/>
        <v/>
      </c>
      <c r="AM91" s="22" t="str">
        <f t="shared" si="38"/>
        <v/>
      </c>
      <c r="AN91" s="22" t="str">
        <f t="shared" si="38"/>
        <v/>
      </c>
      <c r="AO91" s="22" t="str">
        <f t="shared" si="38"/>
        <v/>
      </c>
      <c r="AP91" s="22" t="str">
        <f t="shared" si="38"/>
        <v/>
      </c>
      <c r="AQ91" s="22" t="str">
        <f t="shared" si="38"/>
        <v/>
      </c>
      <c r="AR91" s="22" t="str">
        <f t="shared" si="38"/>
        <v/>
      </c>
      <c r="AS91" s="22" t="str">
        <f t="shared" si="34"/>
        <v/>
      </c>
      <c r="AT91" s="22" t="str">
        <f t="shared" si="33"/>
        <v/>
      </c>
      <c r="AU91" s="22" t="str">
        <f t="shared" si="30"/>
        <v/>
      </c>
      <c r="AV91" s="22" t="str">
        <f t="shared" si="30"/>
        <v/>
      </c>
      <c r="AW91" s="22" t="str">
        <f t="shared" si="30"/>
        <v/>
      </c>
      <c r="AX91" s="22" t="str">
        <f t="shared" si="30"/>
        <v/>
      </c>
      <c r="AY91" s="22" t="str">
        <f t="shared" si="30"/>
        <v/>
      </c>
      <c r="AZ91" s="22" t="str">
        <f t="shared" si="30"/>
        <v/>
      </c>
      <c r="BB91" s="2" t="s">
        <v>1574</v>
      </c>
      <c r="BC91" s="2">
        <v>9</v>
      </c>
      <c r="BD91" s="2">
        <v>5</v>
      </c>
      <c r="BE91" s="2"/>
      <c r="BF91" s="2">
        <v>15</v>
      </c>
      <c r="BG91" s="2" t="s">
        <v>1263</v>
      </c>
      <c r="BH91" s="10">
        <v>3000000</v>
      </c>
      <c r="BI91" s="2"/>
      <c r="BJ91" s="2"/>
      <c r="BK91" s="2">
        <v>1</v>
      </c>
      <c r="BL91" s="2">
        <v>4</v>
      </c>
      <c r="BM91" s="2">
        <f t="shared" si="18"/>
        <v>9</v>
      </c>
      <c r="BN91" s="2">
        <f t="shared" si="19"/>
        <v>9</v>
      </c>
      <c r="BO91" s="2">
        <f t="shared" si="20"/>
        <v>0</v>
      </c>
      <c r="BP91" s="2">
        <f t="shared" si="21"/>
        <v>15</v>
      </c>
      <c r="BQ91" s="2">
        <f t="shared" si="22"/>
        <v>14</v>
      </c>
      <c r="BR91" s="2">
        <f t="shared" si="23"/>
        <v>14</v>
      </c>
      <c r="BS91" s="2">
        <f t="shared" si="24"/>
        <v>2</v>
      </c>
      <c r="BT91" s="2">
        <v>0</v>
      </c>
    </row>
    <row r="92" spans="22:72" x14ac:dyDescent="0.3">
      <c r="V92">
        <f t="shared" si="27"/>
        <v>0</v>
      </c>
      <c r="W92" s="1">
        <v>15</v>
      </c>
      <c r="X92" s="92">
        <f>VLOOKUP(B26,Table2[],8)</f>
        <v>0</v>
      </c>
      <c r="Y92" s="2">
        <f>VLOOKUP(B26,Table1[],8)</f>
        <v>0</v>
      </c>
      <c r="Z92" s="87">
        <f>IF(AND('Ship Info'!$F$7,'Ship Info'!$C$5&gt;=100),Y92,IF($B$4&lt;100,X92,Y92))</f>
        <v>0</v>
      </c>
      <c r="AA92" s="92" t="str">
        <f>""</f>
        <v/>
      </c>
      <c r="AB92" t="str">
        <f t="shared" si="31"/>
        <v/>
      </c>
      <c r="AC92" t="str">
        <f t="shared" si="28"/>
        <v/>
      </c>
      <c r="AD92" t="str">
        <f t="shared" si="28"/>
        <v/>
      </c>
      <c r="AE92" s="144" t="str">
        <f t="shared" si="37"/>
        <v/>
      </c>
      <c r="AF92" s="144" t="str">
        <f t="shared" si="37"/>
        <v/>
      </c>
      <c r="AG92" s="144" t="str">
        <f t="shared" si="37"/>
        <v/>
      </c>
      <c r="AH92" s="144" t="str">
        <f t="shared" si="37"/>
        <v/>
      </c>
      <c r="AI92" s="144" t="str">
        <f t="shared" si="37"/>
        <v/>
      </c>
      <c r="AJ92" s="144" t="str">
        <f t="shared" si="37"/>
        <v/>
      </c>
      <c r="AK92" s="144" t="str">
        <f t="shared" si="37"/>
        <v/>
      </c>
      <c r="AL92" s="144" t="str">
        <f t="shared" si="37"/>
        <v/>
      </c>
      <c r="AM92" s="144" t="str">
        <f t="shared" si="38"/>
        <v/>
      </c>
      <c r="AN92" s="144" t="str">
        <f t="shared" si="38"/>
        <v/>
      </c>
      <c r="AO92" s="144" t="str">
        <f t="shared" si="38"/>
        <v/>
      </c>
      <c r="AP92" s="144" t="str">
        <f t="shared" si="38"/>
        <v/>
      </c>
      <c r="AQ92" s="144" t="str">
        <f t="shared" si="38"/>
        <v/>
      </c>
      <c r="AR92" t="str">
        <f t="shared" si="38"/>
        <v/>
      </c>
      <c r="AS92" t="str">
        <f t="shared" si="34"/>
        <v/>
      </c>
      <c r="AT92" t="str">
        <f t="shared" si="33"/>
        <v/>
      </c>
      <c r="AU92" t="str">
        <f t="shared" si="30"/>
        <v/>
      </c>
      <c r="AV92" t="str">
        <f t="shared" si="30"/>
        <v/>
      </c>
      <c r="AW92" t="str">
        <f t="shared" si="30"/>
        <v/>
      </c>
      <c r="AX92" t="str">
        <f t="shared" si="30"/>
        <v/>
      </c>
      <c r="AY92" t="str">
        <f t="shared" si="30"/>
        <v/>
      </c>
      <c r="AZ92" t="str">
        <f t="shared" si="30"/>
        <v/>
      </c>
      <c r="BB92" s="2" t="s">
        <v>377</v>
      </c>
      <c r="BC92" s="2">
        <v>10</v>
      </c>
      <c r="BD92" s="2">
        <v>3</v>
      </c>
      <c r="BE92" s="2">
        <v>1</v>
      </c>
      <c r="BF92" s="2">
        <v>2</v>
      </c>
      <c r="BG92" s="2" t="s">
        <v>323</v>
      </c>
      <c r="BH92" s="10">
        <v>1000000</v>
      </c>
      <c r="BI92" s="2" t="s">
        <v>1226</v>
      </c>
      <c r="BJ92" s="2"/>
      <c r="BK92" s="2"/>
      <c r="BL92" s="2">
        <v>1</v>
      </c>
      <c r="BM92" s="2">
        <f t="shared" si="18"/>
        <v>10</v>
      </c>
      <c r="BN92" s="2">
        <f t="shared" si="19"/>
        <v>9</v>
      </c>
      <c r="BO92" s="2">
        <f t="shared" si="20"/>
        <v>0</v>
      </c>
      <c r="BP92" s="2">
        <f t="shared" si="21"/>
        <v>15</v>
      </c>
      <c r="BQ92" s="2">
        <f t="shared" si="22"/>
        <v>14</v>
      </c>
      <c r="BR92" s="2">
        <f t="shared" si="23"/>
        <v>14</v>
      </c>
      <c r="BS92" s="2">
        <f t="shared" si="24"/>
        <v>2</v>
      </c>
      <c r="BT92" s="2">
        <v>0</v>
      </c>
    </row>
    <row r="93" spans="22:72" x14ac:dyDescent="0.3">
      <c r="V93">
        <f t="shared" si="27"/>
        <v>0</v>
      </c>
      <c r="W93" s="103">
        <v>16</v>
      </c>
      <c r="X93" s="135">
        <f>VLOOKUP(B27,Table2[],8)</f>
        <v>0</v>
      </c>
      <c r="Y93" s="27">
        <f>VLOOKUP(B27,Table1[],8)</f>
        <v>0</v>
      </c>
      <c r="Z93" s="87">
        <f>IF(AND('Ship Info'!$F$7,'Ship Info'!$C$5&gt;=100),Y93,IF($B$4&lt;100,X93,Y93))</f>
        <v>0</v>
      </c>
      <c r="AA93" s="135" t="str">
        <f>""</f>
        <v/>
      </c>
      <c r="AB93" s="22" t="str">
        <f t="shared" si="31"/>
        <v/>
      </c>
      <c r="AC93" s="22" t="str">
        <f t="shared" si="28"/>
        <v/>
      </c>
      <c r="AD93" s="22" t="str">
        <f t="shared" si="28"/>
        <v/>
      </c>
      <c r="AE93" s="22" t="str">
        <f t="shared" si="37"/>
        <v/>
      </c>
      <c r="AF93" s="22" t="str">
        <f t="shared" si="37"/>
        <v/>
      </c>
      <c r="AG93" s="22" t="str">
        <f t="shared" si="37"/>
        <v/>
      </c>
      <c r="AH93" s="22" t="str">
        <f t="shared" si="37"/>
        <v/>
      </c>
      <c r="AI93" s="22" t="str">
        <f t="shared" si="37"/>
        <v/>
      </c>
      <c r="AJ93" s="22" t="str">
        <f t="shared" si="37"/>
        <v/>
      </c>
      <c r="AK93" s="22" t="str">
        <f t="shared" si="37"/>
        <v/>
      </c>
      <c r="AL93" s="22" t="str">
        <f t="shared" si="37"/>
        <v/>
      </c>
      <c r="AM93" s="22" t="str">
        <f t="shared" si="38"/>
        <v/>
      </c>
      <c r="AN93" s="22" t="str">
        <f t="shared" si="38"/>
        <v/>
      </c>
      <c r="AO93" s="22" t="str">
        <f t="shared" si="38"/>
        <v/>
      </c>
      <c r="AP93" s="22" t="str">
        <f t="shared" si="38"/>
        <v/>
      </c>
      <c r="AQ93" s="22" t="str">
        <f t="shared" si="38"/>
        <v/>
      </c>
      <c r="AR93" s="22" t="str">
        <f t="shared" si="38"/>
        <v/>
      </c>
      <c r="AS93" s="22" t="str">
        <f t="shared" si="34"/>
        <v/>
      </c>
      <c r="AT93" s="22" t="str">
        <f t="shared" si="33"/>
        <v/>
      </c>
      <c r="AU93" s="22" t="str">
        <f t="shared" si="30"/>
        <v/>
      </c>
      <c r="AV93" s="22" t="str">
        <f t="shared" si="30"/>
        <v/>
      </c>
      <c r="AW93" s="22" t="str">
        <f t="shared" si="30"/>
        <v/>
      </c>
      <c r="AX93" s="22" t="str">
        <f t="shared" si="30"/>
        <v/>
      </c>
      <c r="AY93" s="22" t="str">
        <f>IF($Z93=0,AY$99,IF($Z93=1,AY$100,IF($Z93=2,AY$101,IF($Z93=3,AY$102,IF($Z93=4,AY$103,IF($Z93=5,AY$104,IF($Z93=6,AY$105,AY$106)))))))</f>
        <v/>
      </c>
      <c r="AZ93" s="22" t="str">
        <f t="shared" si="30"/>
        <v/>
      </c>
      <c r="BB93" s="2" t="s">
        <v>1227</v>
      </c>
      <c r="BC93" s="2">
        <v>10</v>
      </c>
      <c r="BD93" s="2">
        <v>4</v>
      </c>
      <c r="BE93" s="2">
        <v>1</v>
      </c>
      <c r="BF93" s="2">
        <v>5</v>
      </c>
      <c r="BG93" s="2" t="s">
        <v>1234</v>
      </c>
      <c r="BH93" s="10">
        <v>2000000</v>
      </c>
      <c r="BI93" s="2" t="s">
        <v>1248</v>
      </c>
      <c r="BJ93" s="2"/>
      <c r="BK93" s="2">
        <v>1</v>
      </c>
      <c r="BL93" s="2">
        <v>2</v>
      </c>
      <c r="BM93" s="2">
        <f t="shared" si="18"/>
        <v>10</v>
      </c>
      <c r="BN93" s="2">
        <f t="shared" si="19"/>
        <v>10</v>
      </c>
      <c r="BO93" s="2">
        <f t="shared" si="20"/>
        <v>0</v>
      </c>
      <c r="BP93" s="2">
        <f t="shared" si="21"/>
        <v>15</v>
      </c>
      <c r="BQ93" s="2">
        <f t="shared" si="22"/>
        <v>14</v>
      </c>
      <c r="BR93" s="2">
        <f t="shared" si="23"/>
        <v>14</v>
      </c>
      <c r="BS93" s="2">
        <f t="shared" si="24"/>
        <v>2</v>
      </c>
      <c r="BT93" s="2">
        <v>0</v>
      </c>
    </row>
    <row r="94" spans="22:72" ht="15" customHeight="1" x14ac:dyDescent="0.3">
      <c r="V94">
        <f t="shared" si="27"/>
        <v>0</v>
      </c>
      <c r="W94" s="1">
        <v>17</v>
      </c>
      <c r="X94" s="92">
        <f>VLOOKUP(B28,Table2[],8)</f>
        <v>0</v>
      </c>
      <c r="Y94" s="2">
        <f>VLOOKUP(B28,Table1[],8)</f>
        <v>0</v>
      </c>
      <c r="Z94" s="87">
        <f>IF(AND('Ship Info'!$F$7,'Ship Info'!$C$5&gt;=100),Y94,IF($B$4&lt;100,X94,Y94))</f>
        <v>0</v>
      </c>
      <c r="AA94" s="92" t="str">
        <f>""</f>
        <v/>
      </c>
      <c r="AB94" t="str">
        <f t="shared" si="31"/>
        <v/>
      </c>
      <c r="AC94" t="str">
        <f t="shared" si="28"/>
        <v/>
      </c>
      <c r="AD94" t="str">
        <f t="shared" si="28"/>
        <v/>
      </c>
      <c r="AE94" s="144" t="str">
        <f t="shared" si="37"/>
        <v/>
      </c>
      <c r="AF94" s="144" t="str">
        <f t="shared" si="37"/>
        <v/>
      </c>
      <c r="AG94" s="144" t="str">
        <f t="shared" si="37"/>
        <v/>
      </c>
      <c r="AH94" s="144" t="str">
        <f t="shared" si="37"/>
        <v/>
      </c>
      <c r="AI94" s="144" t="str">
        <f t="shared" si="37"/>
        <v/>
      </c>
      <c r="AJ94" s="144" t="str">
        <f t="shared" si="37"/>
        <v/>
      </c>
      <c r="AK94" s="144" t="str">
        <f t="shared" si="37"/>
        <v/>
      </c>
      <c r="AL94" s="144" t="str">
        <f t="shared" si="37"/>
        <v/>
      </c>
      <c r="AM94" s="144" t="str">
        <f t="shared" si="38"/>
        <v/>
      </c>
      <c r="AN94" s="144" t="str">
        <f t="shared" si="38"/>
        <v/>
      </c>
      <c r="AO94" s="144" t="str">
        <f t="shared" si="38"/>
        <v/>
      </c>
      <c r="AP94" s="144" t="str">
        <f t="shared" si="38"/>
        <v/>
      </c>
      <c r="AQ94" s="144" t="str">
        <f t="shared" si="38"/>
        <v/>
      </c>
      <c r="AR94" t="str">
        <f t="shared" si="38"/>
        <v/>
      </c>
      <c r="AS94" t="str">
        <f t="shared" si="34"/>
        <v/>
      </c>
      <c r="AT94" t="str">
        <f t="shared" si="33"/>
        <v/>
      </c>
      <c r="AU94" t="str">
        <f t="shared" si="30"/>
        <v/>
      </c>
      <c r="AV94" t="str">
        <f t="shared" si="30"/>
        <v/>
      </c>
      <c r="AW94" t="str">
        <f t="shared" si="30"/>
        <v/>
      </c>
      <c r="AX94" t="str">
        <f t="shared" si="30"/>
        <v/>
      </c>
      <c r="AY94" t="str">
        <f t="shared" si="30"/>
        <v/>
      </c>
      <c r="AZ94" t="str">
        <f t="shared" si="30"/>
        <v/>
      </c>
      <c r="BB94" s="2" t="s">
        <v>1495</v>
      </c>
      <c r="BC94" s="2">
        <v>10</v>
      </c>
      <c r="BD94" s="2">
        <v>4</v>
      </c>
      <c r="BE94" s="2"/>
      <c r="BF94" s="2">
        <v>25</v>
      </c>
      <c r="BG94" s="2" t="s">
        <v>1249</v>
      </c>
      <c r="BH94" s="10">
        <v>70000000</v>
      </c>
      <c r="BI94" s="2" t="s">
        <v>328</v>
      </c>
      <c r="BJ94" s="2"/>
      <c r="BK94" s="2">
        <v>1</v>
      </c>
      <c r="BL94" s="2">
        <v>6</v>
      </c>
      <c r="BM94" s="2">
        <f t="shared" si="18"/>
        <v>10</v>
      </c>
      <c r="BN94" s="2">
        <f t="shared" si="19"/>
        <v>10</v>
      </c>
      <c r="BO94" s="2">
        <f t="shared" si="20"/>
        <v>0</v>
      </c>
      <c r="BP94" s="2">
        <f t="shared" si="21"/>
        <v>15</v>
      </c>
      <c r="BQ94" s="2">
        <f t="shared" si="22"/>
        <v>14</v>
      </c>
      <c r="BR94" s="2">
        <f t="shared" si="23"/>
        <v>15</v>
      </c>
      <c r="BS94" s="2">
        <f t="shared" si="24"/>
        <v>2</v>
      </c>
      <c r="BT94" s="2">
        <v>0</v>
      </c>
    </row>
    <row r="95" spans="22:72" x14ac:dyDescent="0.3">
      <c r="V95">
        <f t="shared" si="27"/>
        <v>0</v>
      </c>
      <c r="W95" s="103">
        <v>18</v>
      </c>
      <c r="X95" s="135">
        <f>VLOOKUP(B29,Table2[],8)</f>
        <v>0</v>
      </c>
      <c r="Y95" s="27">
        <f>VLOOKUP(B29,Table1[],8)</f>
        <v>0</v>
      </c>
      <c r="Z95" s="87">
        <f>IF(AND('Ship Info'!$F$7,'Ship Info'!$C$5&gt;=100),Y95,IF($B$4&lt;100,X95,Y95))</f>
        <v>0</v>
      </c>
      <c r="AA95" s="135" t="str">
        <f>""</f>
        <v/>
      </c>
      <c r="AB95" s="22" t="str">
        <f t="shared" si="31"/>
        <v/>
      </c>
      <c r="AC95" s="22" t="str">
        <f t="shared" si="28"/>
        <v/>
      </c>
      <c r="AD95" s="22" t="str">
        <f t="shared" si="28"/>
        <v/>
      </c>
      <c r="AE95" s="22" t="str">
        <f t="shared" si="37"/>
        <v/>
      </c>
      <c r="AF95" s="22" t="str">
        <f t="shared" si="37"/>
        <v/>
      </c>
      <c r="AG95" s="22" t="str">
        <f t="shared" si="37"/>
        <v/>
      </c>
      <c r="AH95" s="22" t="str">
        <f t="shared" si="37"/>
        <v/>
      </c>
      <c r="AI95" s="22" t="str">
        <f t="shared" si="37"/>
        <v/>
      </c>
      <c r="AJ95" s="22" t="str">
        <f t="shared" si="37"/>
        <v/>
      </c>
      <c r="AK95" s="22" t="str">
        <f t="shared" si="37"/>
        <v/>
      </c>
      <c r="AL95" s="22" t="str">
        <f t="shared" si="37"/>
        <v/>
      </c>
      <c r="AM95" s="22" t="str">
        <f t="shared" si="38"/>
        <v/>
      </c>
      <c r="AN95" s="22" t="str">
        <f t="shared" si="38"/>
        <v/>
      </c>
      <c r="AO95" s="22" t="str">
        <f t="shared" si="38"/>
        <v/>
      </c>
      <c r="AP95" s="22" t="str">
        <f t="shared" si="38"/>
        <v/>
      </c>
      <c r="AQ95" s="22" t="str">
        <f t="shared" si="38"/>
        <v/>
      </c>
      <c r="AR95" s="22" t="str">
        <f t="shared" si="38"/>
        <v/>
      </c>
      <c r="AS95" s="22" t="str">
        <f t="shared" si="34"/>
        <v/>
      </c>
      <c r="AT95" s="22" t="str">
        <f t="shared" si="33"/>
        <v/>
      </c>
      <c r="AU95" s="22" t="str">
        <f t="shared" si="30"/>
        <v/>
      </c>
      <c r="AV95" s="22" t="str">
        <f t="shared" si="30"/>
        <v/>
      </c>
      <c r="AW95" s="22" t="str">
        <f t="shared" si="30"/>
        <v/>
      </c>
      <c r="AX95" s="22" t="str">
        <f t="shared" si="30"/>
        <v/>
      </c>
      <c r="AY95" s="22" t="str">
        <f t="shared" si="30"/>
        <v/>
      </c>
      <c r="AZ95" s="22" t="str">
        <f t="shared" si="30"/>
        <v/>
      </c>
      <c r="BB95" s="2" t="s">
        <v>1518</v>
      </c>
      <c r="BC95" s="2">
        <v>10</v>
      </c>
      <c r="BD95" s="2">
        <v>3</v>
      </c>
      <c r="BE95" s="2"/>
      <c r="BF95" s="2">
        <v>15</v>
      </c>
      <c r="BG95" s="2" t="s">
        <v>1235</v>
      </c>
      <c r="BH95" s="10">
        <v>50000000</v>
      </c>
      <c r="BI95" s="2" t="s">
        <v>328</v>
      </c>
      <c r="BJ95" s="2"/>
      <c r="BK95" s="2">
        <v>1</v>
      </c>
      <c r="BL95" s="2">
        <v>5</v>
      </c>
      <c r="BM95" s="2">
        <f t="shared" si="18"/>
        <v>10</v>
      </c>
      <c r="BN95" s="2">
        <f t="shared" si="19"/>
        <v>10</v>
      </c>
      <c r="BO95" s="2">
        <f t="shared" si="20"/>
        <v>0</v>
      </c>
      <c r="BP95" s="2">
        <f t="shared" si="21"/>
        <v>15</v>
      </c>
      <c r="BQ95" s="2">
        <f t="shared" si="22"/>
        <v>15</v>
      </c>
      <c r="BR95" s="2">
        <f t="shared" si="23"/>
        <v>15</v>
      </c>
      <c r="BS95" s="2">
        <f t="shared" si="24"/>
        <v>2</v>
      </c>
      <c r="BT95" s="2">
        <v>0</v>
      </c>
    </row>
    <row r="96" spans="22:72" x14ac:dyDescent="0.3">
      <c r="V96">
        <f t="shared" si="27"/>
        <v>0</v>
      </c>
      <c r="W96" s="1">
        <v>19</v>
      </c>
      <c r="X96" s="92">
        <f>VLOOKUP(B30,Table2[],8)</f>
        <v>0</v>
      </c>
      <c r="Y96" s="2">
        <f>VLOOKUP(B30,Table1[],8)</f>
        <v>0</v>
      </c>
      <c r="Z96" s="87">
        <f>IF(AND('Ship Info'!$F$7,'Ship Info'!$C$5&gt;=100),Y96,IF($B$4&lt;100,X96,Y96))</f>
        <v>0</v>
      </c>
      <c r="AA96" s="92" t="str">
        <f>""</f>
        <v/>
      </c>
      <c r="AB96" t="str">
        <f t="shared" si="31"/>
        <v/>
      </c>
      <c r="AC96" t="str">
        <f t="shared" si="28"/>
        <v/>
      </c>
      <c r="AD96" t="str">
        <f t="shared" si="28"/>
        <v/>
      </c>
      <c r="AE96" s="144" t="str">
        <f t="shared" si="37"/>
        <v/>
      </c>
      <c r="AF96" s="144" t="str">
        <f t="shared" si="37"/>
        <v/>
      </c>
      <c r="AG96" s="144" t="str">
        <f t="shared" si="37"/>
        <v/>
      </c>
      <c r="AH96" s="144" t="str">
        <f t="shared" si="37"/>
        <v/>
      </c>
      <c r="AI96" s="144" t="str">
        <f t="shared" si="37"/>
        <v/>
      </c>
      <c r="AJ96" s="144" t="str">
        <f t="shared" si="37"/>
        <v/>
      </c>
      <c r="AK96" s="144" t="str">
        <f t="shared" si="37"/>
        <v/>
      </c>
      <c r="AL96" s="144" t="str">
        <f t="shared" si="37"/>
        <v/>
      </c>
      <c r="AM96" s="144" t="str">
        <f t="shared" si="38"/>
        <v/>
      </c>
      <c r="AN96" s="144" t="str">
        <f t="shared" si="38"/>
        <v/>
      </c>
      <c r="AO96" s="144" t="str">
        <f t="shared" si="38"/>
        <v/>
      </c>
      <c r="AP96" s="144" t="str">
        <f t="shared" si="38"/>
        <v/>
      </c>
      <c r="AQ96" s="144" t="str">
        <f t="shared" si="38"/>
        <v/>
      </c>
      <c r="AR96" t="str">
        <f t="shared" si="38"/>
        <v/>
      </c>
      <c r="AS96" t="str">
        <f t="shared" si="34"/>
        <v/>
      </c>
      <c r="AT96" t="str">
        <f t="shared" si="33"/>
        <v/>
      </c>
      <c r="AU96" t="str">
        <f t="shared" si="30"/>
        <v/>
      </c>
      <c r="AV96" t="str">
        <f t="shared" si="30"/>
        <v/>
      </c>
      <c r="AW96" t="str">
        <f t="shared" si="30"/>
        <v/>
      </c>
      <c r="AX96" t="str">
        <f t="shared" si="30"/>
        <v/>
      </c>
      <c r="AY96" t="str">
        <f t="shared" si="30"/>
        <v/>
      </c>
      <c r="AZ96" t="str">
        <f t="shared" si="30"/>
        <v/>
      </c>
      <c r="BB96" s="2" t="s">
        <v>1519</v>
      </c>
      <c r="BC96" s="2">
        <v>10</v>
      </c>
      <c r="BD96" s="2">
        <v>3</v>
      </c>
      <c r="BE96" s="2"/>
      <c r="BF96" s="2">
        <v>10</v>
      </c>
      <c r="BG96" s="2" t="s">
        <v>1232</v>
      </c>
      <c r="BH96" s="10">
        <v>30000000</v>
      </c>
      <c r="BI96" s="2" t="s">
        <v>328</v>
      </c>
      <c r="BJ96" s="2"/>
      <c r="BK96" s="2">
        <v>1</v>
      </c>
      <c r="BL96" s="2">
        <v>4</v>
      </c>
      <c r="BM96" s="2">
        <f t="shared" si="18"/>
        <v>10</v>
      </c>
      <c r="BN96" s="2">
        <f t="shared" si="19"/>
        <v>10</v>
      </c>
      <c r="BO96" s="2">
        <f t="shared" si="20"/>
        <v>0</v>
      </c>
      <c r="BP96" s="2">
        <f t="shared" si="21"/>
        <v>16</v>
      </c>
      <c r="BQ96" s="2">
        <f t="shared" si="22"/>
        <v>15</v>
      </c>
      <c r="BR96" s="2">
        <f t="shared" si="23"/>
        <v>15</v>
      </c>
      <c r="BS96" s="2">
        <f t="shared" si="24"/>
        <v>2</v>
      </c>
      <c r="BT96" s="2">
        <v>0</v>
      </c>
    </row>
    <row r="97" spans="22:72" x14ac:dyDescent="0.3">
      <c r="V97">
        <f t="shared" si="27"/>
        <v>0</v>
      </c>
      <c r="W97" s="103">
        <v>20</v>
      </c>
      <c r="X97" s="137">
        <f>VLOOKUP(B31,Table2[],8)</f>
        <v>0</v>
      </c>
      <c r="Y97" s="138">
        <f>VLOOKUP(B31,Table1[],8)</f>
        <v>0</v>
      </c>
      <c r="Z97" s="87">
        <f>IF(AND('Ship Info'!$F$7,'Ship Info'!$C$5&gt;=100),Y97,IF($B$4&lt;100,X97,Y97))</f>
        <v>0</v>
      </c>
      <c r="AA97" s="137" t="str">
        <f>""</f>
        <v/>
      </c>
      <c r="AB97" s="22" t="str">
        <f t="shared" si="31"/>
        <v/>
      </c>
      <c r="AC97" s="22" t="str">
        <f t="shared" si="28"/>
        <v/>
      </c>
      <c r="AD97" s="22" t="str">
        <f t="shared" si="28"/>
        <v/>
      </c>
      <c r="AE97" s="82" t="str">
        <f t="shared" si="37"/>
        <v/>
      </c>
      <c r="AF97" s="82" t="str">
        <f t="shared" si="37"/>
        <v/>
      </c>
      <c r="AG97" s="82" t="str">
        <f t="shared" si="37"/>
        <v/>
      </c>
      <c r="AH97" s="82" t="str">
        <f t="shared" si="37"/>
        <v/>
      </c>
      <c r="AI97" s="82" t="str">
        <f t="shared" si="37"/>
        <v/>
      </c>
      <c r="AJ97" s="82" t="str">
        <f t="shared" si="37"/>
        <v/>
      </c>
      <c r="AK97" s="82" t="str">
        <f t="shared" si="37"/>
        <v/>
      </c>
      <c r="AL97" s="82" t="str">
        <f t="shared" si="37"/>
        <v/>
      </c>
      <c r="AM97" s="82" t="str">
        <f t="shared" si="38"/>
        <v/>
      </c>
      <c r="AN97" s="82" t="str">
        <f t="shared" si="38"/>
        <v/>
      </c>
      <c r="AO97" s="82" t="str">
        <f t="shared" si="38"/>
        <v/>
      </c>
      <c r="AP97" s="82" t="str">
        <f t="shared" si="38"/>
        <v/>
      </c>
      <c r="AQ97" s="82" t="str">
        <f t="shared" si="38"/>
        <v/>
      </c>
      <c r="AR97" s="82" t="str">
        <f t="shared" si="38"/>
        <v/>
      </c>
      <c r="AS97" s="22" t="str">
        <f t="shared" si="34"/>
        <v/>
      </c>
      <c r="AT97" s="22" t="str">
        <f t="shared" si="33"/>
        <v/>
      </c>
      <c r="AU97" s="22" t="str">
        <f t="shared" si="33"/>
        <v/>
      </c>
      <c r="AV97" s="22" t="str">
        <f t="shared" si="33"/>
        <v/>
      </c>
      <c r="AW97" s="22" t="str">
        <f t="shared" si="33"/>
        <v/>
      </c>
      <c r="AX97" s="22" t="str">
        <f t="shared" si="33"/>
        <v/>
      </c>
      <c r="AY97" s="22" t="str">
        <f t="shared" si="33"/>
        <v/>
      </c>
      <c r="AZ97" s="22" t="str">
        <f>IF($Z97=0,AZ$99,IF($Z97=1,AZ$100,IF($Z97=2,AZ$101,IF($Z97=3,AZ$102,IF($Z97=4,AZ$103,IF($Z97=5,AZ$104,IF($Z97=6,AZ$105,AZ$106)))))))</f>
        <v/>
      </c>
      <c r="BB97" s="2" t="s">
        <v>1520</v>
      </c>
      <c r="BC97" s="2">
        <v>13</v>
      </c>
      <c r="BD97" s="2">
        <v>3</v>
      </c>
      <c r="BE97" s="2"/>
      <c r="BF97" s="2">
        <v>200</v>
      </c>
      <c r="BG97" s="2" t="s">
        <v>320</v>
      </c>
      <c r="BH97" s="10">
        <v>90000000</v>
      </c>
      <c r="BI97" s="2" t="s">
        <v>1472</v>
      </c>
      <c r="BJ97" s="2"/>
      <c r="BK97" s="2">
        <v>1</v>
      </c>
      <c r="BL97" s="2">
        <v>6</v>
      </c>
      <c r="BM97" s="2">
        <f t="shared" si="18"/>
        <v>10</v>
      </c>
      <c r="BN97" s="2">
        <f t="shared" si="19"/>
        <v>10</v>
      </c>
      <c r="BO97" s="2">
        <f t="shared" si="20"/>
        <v>0</v>
      </c>
      <c r="BP97" s="2">
        <f t="shared" si="21"/>
        <v>16</v>
      </c>
      <c r="BQ97" s="2">
        <f t="shared" si="22"/>
        <v>15</v>
      </c>
      <c r="BR97" s="2">
        <f t="shared" si="23"/>
        <v>16</v>
      </c>
      <c r="BS97" s="2">
        <f t="shared" si="24"/>
        <v>2</v>
      </c>
      <c r="BT97" s="2">
        <v>0</v>
      </c>
    </row>
    <row r="98" spans="22:72" x14ac:dyDescent="0.3">
      <c r="BB98" s="2" t="s">
        <v>1521</v>
      </c>
      <c r="BC98" s="2">
        <v>14</v>
      </c>
      <c r="BD98" s="2">
        <v>3</v>
      </c>
      <c r="BE98" s="2"/>
      <c r="BF98" s="2">
        <v>100</v>
      </c>
      <c r="BG98" s="2" t="s">
        <v>320</v>
      </c>
      <c r="BH98" s="10">
        <v>60000000</v>
      </c>
      <c r="BI98" s="2" t="s">
        <v>1475</v>
      </c>
      <c r="BJ98" s="2"/>
      <c r="BK98" s="2">
        <v>1</v>
      </c>
      <c r="BL98" s="2">
        <v>5</v>
      </c>
      <c r="BM98" s="2">
        <f t="shared" si="18"/>
        <v>10</v>
      </c>
      <c r="BN98" s="2">
        <f t="shared" si="19"/>
        <v>10</v>
      </c>
      <c r="BO98" s="2">
        <f t="shared" si="20"/>
        <v>0</v>
      </c>
      <c r="BP98" s="2">
        <f t="shared" si="21"/>
        <v>16</v>
      </c>
      <c r="BQ98" s="2">
        <f t="shared" si="22"/>
        <v>16</v>
      </c>
      <c r="BR98" s="2">
        <f t="shared" si="23"/>
        <v>16</v>
      </c>
      <c r="BS98" s="2">
        <f t="shared" si="24"/>
        <v>2</v>
      </c>
      <c r="BT98" s="2">
        <v>0</v>
      </c>
    </row>
    <row r="99" spans="22:72" x14ac:dyDescent="0.3">
      <c r="V99" t="str">
        <f>""</f>
        <v/>
      </c>
      <c r="W99">
        <v>0</v>
      </c>
      <c r="Z99" s="44" t="s">
        <v>60</v>
      </c>
      <c r="AA99" s="129" t="str">
        <f>""</f>
        <v/>
      </c>
      <c r="AB99" s="129" t="str">
        <f>""</f>
        <v/>
      </c>
      <c r="AC99" s="129" t="str">
        <f>""</f>
        <v/>
      </c>
      <c r="AD99" s="129" t="str">
        <f>""</f>
        <v/>
      </c>
      <c r="AE99" s="129" t="str">
        <f>""</f>
        <v/>
      </c>
      <c r="AF99" s="129" t="str">
        <f>""</f>
        <v/>
      </c>
      <c r="AG99" s="129" t="str">
        <f>""</f>
        <v/>
      </c>
      <c r="AH99" s="129" t="str">
        <f>""</f>
        <v/>
      </c>
      <c r="AI99" s="129" t="str">
        <f>""</f>
        <v/>
      </c>
      <c r="AJ99" s="129" t="str">
        <f>""</f>
        <v/>
      </c>
      <c r="AK99" s="129" t="str">
        <f>""</f>
        <v/>
      </c>
      <c r="AL99" s="129" t="str">
        <f>""</f>
        <v/>
      </c>
      <c r="AM99" s="129" t="str">
        <f>""</f>
        <v/>
      </c>
      <c r="AN99" s="129" t="str">
        <f>""</f>
        <v/>
      </c>
      <c r="AO99" s="129" t="str">
        <f>""</f>
        <v/>
      </c>
      <c r="AP99" s="45" t="str">
        <f>""</f>
        <v/>
      </c>
      <c r="AQ99" s="45" t="str">
        <f>""</f>
        <v/>
      </c>
      <c r="AR99" s="45" t="str">
        <f>""</f>
        <v/>
      </c>
      <c r="AS99" s="45" t="str">
        <f>""</f>
        <v/>
      </c>
      <c r="AT99" s="45" t="str">
        <f>""</f>
        <v/>
      </c>
      <c r="AU99" s="45" t="str">
        <f>""</f>
        <v/>
      </c>
      <c r="AV99" s="45" t="str">
        <f>""</f>
        <v/>
      </c>
      <c r="AW99" s="45" t="str">
        <f>""</f>
        <v/>
      </c>
      <c r="AX99" s="45" t="str">
        <f>""</f>
        <v/>
      </c>
      <c r="AY99" s="45" t="str">
        <f>""</f>
        <v/>
      </c>
      <c r="AZ99" s="47" t="str">
        <f>""</f>
        <v/>
      </c>
      <c r="BA99" s="46" t="str">
        <f>""</f>
        <v/>
      </c>
      <c r="BB99" s="2" t="s">
        <v>1522</v>
      </c>
      <c r="BC99" s="2">
        <v>15</v>
      </c>
      <c r="BD99" s="2">
        <v>3</v>
      </c>
      <c r="BE99" s="2"/>
      <c r="BF99" s="2">
        <v>50</v>
      </c>
      <c r="BG99" s="2" t="s">
        <v>320</v>
      </c>
      <c r="BH99" s="10">
        <v>30000000</v>
      </c>
      <c r="BI99" s="2" t="s">
        <v>1474</v>
      </c>
      <c r="BJ99" s="2"/>
      <c r="BK99" s="2">
        <v>1</v>
      </c>
      <c r="BL99" s="2">
        <v>4</v>
      </c>
      <c r="BM99" s="2">
        <f t="shared" si="18"/>
        <v>10</v>
      </c>
      <c r="BN99" s="2">
        <f t="shared" si="19"/>
        <v>10</v>
      </c>
      <c r="BO99" s="2">
        <f t="shared" si="20"/>
        <v>0</v>
      </c>
      <c r="BP99" s="2">
        <f t="shared" si="21"/>
        <v>17</v>
      </c>
      <c r="BQ99" s="2">
        <f t="shared" si="22"/>
        <v>16</v>
      </c>
      <c r="BR99" s="2">
        <f t="shared" si="23"/>
        <v>16</v>
      </c>
      <c r="BS99" s="2">
        <f t="shared" si="24"/>
        <v>2</v>
      </c>
      <c r="BT99" s="2">
        <v>0</v>
      </c>
    </row>
    <row r="100" spans="22:72" x14ac:dyDescent="0.3">
      <c r="V100" t="s">
        <v>1054</v>
      </c>
      <c r="W100">
        <v>1</v>
      </c>
      <c r="Z100" s="78" t="s">
        <v>324</v>
      </c>
      <c r="AA100" s="2" t="str">
        <f>""</f>
        <v/>
      </c>
      <c r="AB100" s="2" t="str">
        <f>INDEX(Table3[],MATCH(1,Table3[1],0),1)</f>
        <v>Beam Laser</v>
      </c>
      <c r="AC100" s="2" t="str">
        <f>INDEX(Table3[],MATCH(2,Table3[1],0),1)</f>
        <v>Burst Laser</v>
      </c>
      <c r="AD100" s="2" t="str">
        <f>INDEX(Table3[],MATCH(3,Table3[1],0),1)</f>
        <v>Fusion Gun</v>
      </c>
      <c r="AE100" s="2" t="str">
        <f>INDEX(Table3[],MATCH(4,Table3[1],0),1)</f>
        <v>Laser Drill</v>
      </c>
      <c r="AF100" s="2" t="str">
        <f>INDEX(Table3[],MATCH(5,Table3[1],0),1)</f>
        <v>Missile Rack</v>
      </c>
      <c r="AG100" s="2" t="str">
        <f>INDEX(Table3[],MATCH(6,Table3[1],0),1)</f>
        <v>Particle Beam</v>
      </c>
      <c r="AH100" s="2" t="str">
        <f>INDEX(Table3[],MATCH(7,Table3[1],0),1)</f>
        <v>Plasma Gun</v>
      </c>
      <c r="AI100" s="2" t="str">
        <f>INDEX(Table3[],MATCH(8,Table3[1],0),1)</f>
        <v>Plasma-pulse Cannon (T)</v>
      </c>
      <c r="AJ100" s="2" t="str">
        <f>INDEX(Table3[],MATCH(9,Table3[1],0),1)</f>
        <v>Pulse Laser</v>
      </c>
      <c r="AK100" s="2" t="str">
        <f>INDEX(Table3[],MATCH(10,Table3[1],0),1)</f>
        <v>Railgun</v>
      </c>
      <c r="AL100" s="2" t="str">
        <f>INDEX(Table3[],MATCH(11,Table3[1],0),1)</f>
        <v>Sandcaster</v>
      </c>
      <c r="AM100" s="2" t="str">
        <f>INDEX(Table3[],MATCH(12,Table3[1],0),1)</f>
        <v>Torpedo Interceptor Cluster</v>
      </c>
      <c r="AN100" s="2" t="str">
        <f>IF($AC$108=1,$AB$108,"")</f>
        <v/>
      </c>
      <c r="AO100" s="2" t="str">
        <f>IF($AC$109=1,$AB$109,"")</f>
        <v/>
      </c>
      <c r="AP100" s="2" t="str">
        <f>IF($AC$110=1,$AB$110,"")</f>
        <v/>
      </c>
      <c r="AQ100" s="2" t="str">
        <f>""</f>
        <v/>
      </c>
      <c r="AR100" s="2" t="str">
        <f>""</f>
        <v/>
      </c>
      <c r="AS100" s="2" t="str">
        <f>""</f>
        <v/>
      </c>
      <c r="AT100" s="2" t="str">
        <f>""</f>
        <v/>
      </c>
      <c r="AU100" s="2" t="str">
        <f>""</f>
        <v/>
      </c>
      <c r="AV100" s="2" t="str">
        <f>""</f>
        <v/>
      </c>
      <c r="AW100" s="2" t="str">
        <f>""</f>
        <v/>
      </c>
      <c r="AX100" s="2" t="str">
        <f>""</f>
        <v/>
      </c>
      <c r="AY100" s="2" t="str">
        <f>""</f>
        <v/>
      </c>
      <c r="AZ100" s="46" t="str">
        <f>""</f>
        <v/>
      </c>
      <c r="BA100" s="46" t="str">
        <f>""</f>
        <v/>
      </c>
      <c r="BB100" s="2" t="s">
        <v>1469</v>
      </c>
      <c r="BC100" s="2">
        <v>14</v>
      </c>
      <c r="BD100" s="2">
        <v>3</v>
      </c>
      <c r="BE100" s="2"/>
      <c r="BF100" s="2">
        <v>200</v>
      </c>
      <c r="BG100" s="2" t="s">
        <v>320</v>
      </c>
      <c r="BH100" s="10">
        <v>90000000</v>
      </c>
      <c r="BI100" s="2" t="s">
        <v>1476</v>
      </c>
      <c r="BJ100" s="2"/>
      <c r="BK100" s="2">
        <v>1</v>
      </c>
      <c r="BL100" s="2">
        <v>6</v>
      </c>
      <c r="BM100" s="2">
        <f t="shared" si="18"/>
        <v>10</v>
      </c>
      <c r="BN100" s="2">
        <f t="shared" si="19"/>
        <v>10</v>
      </c>
      <c r="BO100" s="2">
        <f t="shared" si="20"/>
        <v>0</v>
      </c>
      <c r="BP100" s="2">
        <f t="shared" si="21"/>
        <v>17</v>
      </c>
      <c r="BQ100" s="2">
        <f t="shared" si="22"/>
        <v>16</v>
      </c>
      <c r="BR100" s="2">
        <f t="shared" si="23"/>
        <v>17</v>
      </c>
      <c r="BS100" s="2">
        <f t="shared" si="24"/>
        <v>2</v>
      </c>
      <c r="BT100" s="2">
        <v>0</v>
      </c>
    </row>
    <row r="101" spans="22:72" x14ac:dyDescent="0.3">
      <c r="V101" t="s">
        <v>1055</v>
      </c>
      <c r="W101">
        <v>2</v>
      </c>
      <c r="Z101" s="78" t="s">
        <v>297</v>
      </c>
      <c r="AA101" s="2" t="str">
        <f>""</f>
        <v/>
      </c>
      <c r="AB101" s="2" t="str">
        <f>INDEX(Table3[],MATCH(1,Table3[2],0),1)</f>
        <v>Beam Laser Barbette</v>
      </c>
      <c r="AC101" s="2" t="str">
        <f>INDEX(Table3[],MATCH(2,Table3[2],0),1)</f>
        <v>Fusion Barbette</v>
      </c>
      <c r="AD101" s="2" t="str">
        <f>INDEX(Table3[],MATCH(3,Table3[2],0),1)</f>
        <v>Gravimetric Distorter</v>
      </c>
      <c r="AE101" s="2" t="str">
        <f>INDEX(Table3[],MATCH(4,Table3[2],0),1)</f>
        <v>Ion Cannon</v>
      </c>
      <c r="AF101" s="2" t="str">
        <f>INDEX(Table3[],MATCH(5,Table3[2],0),1)</f>
        <v>Missile Barbette</v>
      </c>
      <c r="AG101" s="2" t="str">
        <f>INDEX(Table3[],MATCH(6,Table3[2],0),1)</f>
        <v>Particle Barbette</v>
      </c>
      <c r="AH101" s="2" t="str">
        <f>INDEX(Table3[],MATCH(7,Table3[2],0),1)</f>
        <v>Plasma Barbette</v>
      </c>
      <c r="AI101" s="2" t="str">
        <f>INDEX(Table3[],MATCH(8,Table3[2],0),1)</f>
        <v>Plasma-pulse Cannon (Brbt)</v>
      </c>
      <c r="AJ101" s="2" t="str">
        <f>INDEX(Table3[],MATCH(9,Table3[2],0),1)</f>
        <v>Pulse Laser Barbette</v>
      </c>
      <c r="AK101" s="2" t="str">
        <f>INDEX(Table3[],MATCH(10,Table3[2],0),1)</f>
        <v>Railgun (B)</v>
      </c>
      <c r="AL101" s="2" t="str">
        <f>INDEX(Table3[],MATCH(11,Table3[2],0),1)</f>
        <v>Tachyon Cannon</v>
      </c>
      <c r="AM101" s="2" t="str">
        <f>INDEX(Table3[],MATCH(12,Table3[2],0),1)</f>
        <v>Torpedo</v>
      </c>
      <c r="AN101" s="2" t="str">
        <f>IF($AC$108=2,$AB$108,"")</f>
        <v/>
      </c>
      <c r="AO101" s="2" t="str">
        <f>IF($AC$109=2,$AB$109,"")</f>
        <v/>
      </c>
      <c r="AP101" s="2" t="str">
        <f>IF($AC$110=2,$AB$110,"")</f>
        <v/>
      </c>
      <c r="AQ101" t="str">
        <f>""</f>
        <v/>
      </c>
      <c r="AR101" t="str">
        <f>""</f>
        <v/>
      </c>
      <c r="AS101" t="str">
        <f>""</f>
        <v/>
      </c>
      <c r="AT101" t="str">
        <f>""</f>
        <v/>
      </c>
      <c r="AU101" t="str">
        <f>""</f>
        <v/>
      </c>
      <c r="AV101" t="str">
        <f>""</f>
        <v/>
      </c>
      <c r="AW101" t="str">
        <f>""</f>
        <v/>
      </c>
      <c r="AX101" t="str">
        <f>""</f>
        <v/>
      </c>
      <c r="AY101" t="str">
        <f>""</f>
        <v/>
      </c>
      <c r="AZ101" s="46" t="str">
        <f>""</f>
        <v/>
      </c>
      <c r="BA101" s="46" t="str">
        <f>""</f>
        <v/>
      </c>
      <c r="BB101" s="2" t="s">
        <v>1470</v>
      </c>
      <c r="BC101" s="2">
        <v>15</v>
      </c>
      <c r="BD101" s="2">
        <v>3</v>
      </c>
      <c r="BE101" s="2"/>
      <c r="BF101" s="2">
        <v>100</v>
      </c>
      <c r="BG101" s="2" t="s">
        <v>320</v>
      </c>
      <c r="BH101" s="10">
        <v>66000000</v>
      </c>
      <c r="BI101" s="2" t="s">
        <v>1473</v>
      </c>
      <c r="BJ101" s="2"/>
      <c r="BK101" s="2">
        <v>1</v>
      </c>
      <c r="BL101" s="2">
        <v>5</v>
      </c>
      <c r="BM101" s="2">
        <f t="shared" si="18"/>
        <v>10</v>
      </c>
      <c r="BN101" s="2">
        <f t="shared" si="19"/>
        <v>10</v>
      </c>
      <c r="BO101" s="2">
        <f t="shared" si="20"/>
        <v>0</v>
      </c>
      <c r="BP101" s="2">
        <f t="shared" si="21"/>
        <v>17</v>
      </c>
      <c r="BQ101" s="2">
        <f t="shared" si="22"/>
        <v>17</v>
      </c>
      <c r="BR101" s="2">
        <f t="shared" si="23"/>
        <v>17</v>
      </c>
      <c r="BS101" s="2">
        <f t="shared" si="24"/>
        <v>2</v>
      </c>
      <c r="BT101" s="2">
        <v>0</v>
      </c>
    </row>
    <row r="102" spans="22:72" x14ac:dyDescent="0.3">
      <c r="V102" t="s">
        <v>1056</v>
      </c>
      <c r="W102">
        <v>3</v>
      </c>
      <c r="Z102" s="78" t="s">
        <v>248</v>
      </c>
      <c r="AA102" s="2" t="str">
        <f>""</f>
        <v/>
      </c>
      <c r="AB102" s="2" t="str">
        <f>INDEX(Table3[],MATCH(1,Table3[3],0),1)</f>
        <v>Type I -G</v>
      </c>
      <c r="AC102" s="2" t="str">
        <f>INDEX(Table3[],MATCH(2,Table3[3],0),1)</f>
        <v>Type I -L</v>
      </c>
      <c r="AD102" s="2" t="str">
        <f>INDEX(Table3[],MATCH(3,Table3[3],0),1)</f>
        <v>Type II -G</v>
      </c>
      <c r="AE102" s="2" t="str">
        <f>INDEX(Table3[],MATCH(4,Table3[3],0),1)</f>
        <v>Type II -L</v>
      </c>
      <c r="AF102" s="2" t="str">
        <f>INDEX(Table3[],MATCH(5,Table3[3],0),1)</f>
        <v>Type III -G</v>
      </c>
      <c r="AG102" s="2" t="str">
        <f>INDEX(Table3[],MATCH(6,Table3[3],0),1)</f>
        <v>Type III -L</v>
      </c>
      <c r="AH102" s="2" t="str">
        <f>IF($AC$108=3,$AB$108,"")</f>
        <v/>
      </c>
      <c r="AI102" s="2" t="str">
        <f>IF($AC$109=3,$AB$109,"")</f>
        <v/>
      </c>
      <c r="AJ102" s="2" t="str">
        <f>IF($AC$110=3,$AB$110,"")</f>
        <v/>
      </c>
      <c r="AK102" s="2" t="str">
        <f>""</f>
        <v/>
      </c>
      <c r="AL102" s="2" t="str">
        <f>""</f>
        <v/>
      </c>
      <c r="AM102" s="2" t="str">
        <f>""</f>
        <v/>
      </c>
      <c r="AN102" s="2" t="str">
        <f>""</f>
        <v/>
      </c>
      <c r="AO102" s="2" t="str">
        <f>""</f>
        <v/>
      </c>
      <c r="AP102" t="str">
        <f>""</f>
        <v/>
      </c>
      <c r="AQ102" t="str">
        <f>""</f>
        <v/>
      </c>
      <c r="AR102" t="str">
        <f>""</f>
        <v/>
      </c>
      <c r="AS102" t="str">
        <f>""</f>
        <v/>
      </c>
      <c r="AT102" t="str">
        <f>""</f>
        <v/>
      </c>
      <c r="AU102" t="str">
        <f>""</f>
        <v/>
      </c>
      <c r="AV102" t="str">
        <f>""</f>
        <v/>
      </c>
      <c r="AW102" t="str">
        <f>""</f>
        <v/>
      </c>
      <c r="AX102" t="str">
        <f>""</f>
        <v/>
      </c>
      <c r="AY102" t="str">
        <f>""</f>
        <v/>
      </c>
      <c r="AZ102" s="46" t="str">
        <f>""</f>
        <v/>
      </c>
      <c r="BA102" s="46" t="str">
        <f>""</f>
        <v/>
      </c>
      <c r="BB102" s="2" t="s">
        <v>1471</v>
      </c>
      <c r="BC102" s="2">
        <v>16</v>
      </c>
      <c r="BD102" s="2">
        <v>3</v>
      </c>
      <c r="BE102" s="2"/>
      <c r="BF102" s="2">
        <v>50</v>
      </c>
      <c r="BG102" s="2" t="s">
        <v>320</v>
      </c>
      <c r="BH102" s="10">
        <v>30000000</v>
      </c>
      <c r="BI102" s="2" t="s">
        <v>1475</v>
      </c>
      <c r="BJ102" s="2"/>
      <c r="BK102" s="2">
        <v>1</v>
      </c>
      <c r="BL102" s="2">
        <v>4</v>
      </c>
      <c r="BM102" s="2">
        <f t="shared" si="18"/>
        <v>10</v>
      </c>
      <c r="BN102" s="2">
        <f t="shared" si="19"/>
        <v>10</v>
      </c>
      <c r="BO102" s="2">
        <f t="shared" si="20"/>
        <v>0</v>
      </c>
      <c r="BP102" s="2">
        <f t="shared" si="21"/>
        <v>18</v>
      </c>
      <c r="BQ102" s="2">
        <f t="shared" si="22"/>
        <v>17</v>
      </c>
      <c r="BR102" s="2">
        <f t="shared" si="23"/>
        <v>17</v>
      </c>
      <c r="BS102" s="2">
        <f t="shared" si="24"/>
        <v>2</v>
      </c>
      <c r="BT102" s="2">
        <v>0</v>
      </c>
    </row>
    <row r="103" spans="22:72" x14ac:dyDescent="0.3">
      <c r="V103" t="s">
        <v>1057</v>
      </c>
      <c r="W103">
        <v>4</v>
      </c>
      <c r="Z103" s="78" t="s">
        <v>333</v>
      </c>
      <c r="AA103" s="2" t="str">
        <f>""</f>
        <v/>
      </c>
      <c r="AB103" s="2" t="str">
        <f>INDEX(Table3[],MATCH(1,Table3[4],0),1)</f>
        <v>Antimatter Streamer Bay (S)</v>
      </c>
      <c r="AC103" s="2" t="str">
        <f>INDEX(Table3[],MATCH(2,Table3[4],0),1)</f>
        <v>Beam Laser Bay (S)</v>
      </c>
      <c r="AD103" s="2" t="str">
        <f>INDEX(Table3[],MATCH(3,Table3[4],0),1)</f>
        <v>Fusion Gun Bay (S)</v>
      </c>
      <c r="AE103" s="2" t="str">
        <f>INDEX(Table3[],MATCH(4,Table3[4],0),1)</f>
        <v>GP Mass Driver</v>
      </c>
      <c r="AF103" s="2" t="str">
        <f>INDEX(Table3[],MATCH(5,Table3[4],0),1)</f>
        <v>Hullcutter Bay (S)</v>
      </c>
      <c r="AG103" s="2" t="str">
        <f>INDEX(Table3[],MATCH(6,Table3[4],0),1)</f>
        <v>Ion Cannon Bay (S)</v>
      </c>
      <c r="AH103" s="2" t="str">
        <f>INDEX(Table3[],MATCH(7,Table3[4],0),1)</f>
        <v>Mass Driver Bay (S)</v>
      </c>
      <c r="AI103" s="2" t="str">
        <f>INDEX(Table3[],MATCH(8,Table3[4],0),1)</f>
        <v>Meson Gun Bay (S)</v>
      </c>
      <c r="AJ103" s="2" t="str">
        <f>INDEX(Table3[],MATCH(9,Table3[4],0),1)</f>
        <v>Missile Bay (S)</v>
      </c>
      <c r="AK103" s="2" t="str">
        <f>INDEX(Table3[],MATCH(10,Table3[4],0),1)</f>
        <v>Neutron Laser Bay (S)</v>
      </c>
      <c r="AL103" s="2" t="str">
        <f>INDEX(Table3[],MATCH(11,Table3[4],0),1)</f>
        <v>Orbital Strike MD (S)</v>
      </c>
      <c r="AM103" s="2" t="str">
        <f>INDEX(Table3[],MATCH(12,Table3[4],0),1)</f>
        <v>Orbital Strike Ms (S)</v>
      </c>
      <c r="AN103" s="2" t="str">
        <f>INDEX(Table3[],MATCH(13,Table3[4],0),1)</f>
        <v>Particle Beam Bay (S)</v>
      </c>
      <c r="AO103" s="2" t="str">
        <f>INDEX(Table3[],MATCH(14,Table3[4],0),1)</f>
        <v>Plasma-pulse Cannon Bay (S)</v>
      </c>
      <c r="AP103" s="2" t="str">
        <f>INDEX(Table3[],MATCH(15,Table3[4],0),1)</f>
        <v>Pulse Laser Bay (S)</v>
      </c>
      <c r="AQ103" s="2" t="str">
        <f>INDEX(Table3[],MATCH(16,Table3[4],0),1)</f>
        <v>Railgun Bay (S)</v>
      </c>
      <c r="AR103" s="2" t="str">
        <f>INDEX(Table3[],MATCH(17,Table3[4],0),1)</f>
        <v>Repulsor Bay (S)</v>
      </c>
      <c r="AS103" s="2" t="str">
        <f>INDEX(Table3[],MATCH(18,Table3[4],0),1)</f>
        <v>Repulsor Bay Adv (S)</v>
      </c>
      <c r="AT103" s="2" t="str">
        <f>INDEX(Table3[],MATCH(19,Table3[4],0),1)</f>
        <v>Tachyon Cannon Bay (S)</v>
      </c>
      <c r="AU103" t="str">
        <f>INDEX(Table3[],MATCH(20,Table3[4],0),1)</f>
        <v>Torpedo Bay (S)</v>
      </c>
      <c r="AV103" t="str">
        <f>IF($AC$108=4,$AB$108,"")</f>
        <v/>
      </c>
      <c r="AW103" t="str">
        <f>IF($AC$109=4,$AB$109,"")</f>
        <v/>
      </c>
      <c r="AX103" t="str">
        <f>IF($AC$110=4,$AB$110,"")</f>
        <v/>
      </c>
      <c r="AY103" t="str">
        <f>""</f>
        <v/>
      </c>
      <c r="AZ103" s="46" t="str">
        <f>""</f>
        <v/>
      </c>
      <c r="BA103" s="46" t="str">
        <f>""</f>
        <v/>
      </c>
      <c r="BB103" s="2" t="s">
        <v>608</v>
      </c>
      <c r="BC103" s="2">
        <v>9</v>
      </c>
      <c r="BD103" s="2">
        <v>8</v>
      </c>
      <c r="BE103" s="2">
        <v>8</v>
      </c>
      <c r="BF103" s="2">
        <v>0</v>
      </c>
      <c r="BG103" s="2" t="s">
        <v>320</v>
      </c>
      <c r="BH103" s="10">
        <v>250000</v>
      </c>
      <c r="BI103" s="2" t="str">
        <f>""</f>
        <v/>
      </c>
      <c r="BJ103" s="2"/>
      <c r="BK103" s="2">
        <v>1</v>
      </c>
      <c r="BL103" s="2">
        <v>1</v>
      </c>
      <c r="BM103" s="2">
        <f t="shared" si="18"/>
        <v>11</v>
      </c>
      <c r="BN103" s="2">
        <f t="shared" si="19"/>
        <v>10</v>
      </c>
      <c r="BO103" s="2">
        <f t="shared" si="20"/>
        <v>0</v>
      </c>
      <c r="BP103" s="2">
        <f t="shared" si="21"/>
        <v>18</v>
      </c>
      <c r="BQ103" s="2">
        <f t="shared" si="22"/>
        <v>17</v>
      </c>
      <c r="BR103" s="2">
        <f t="shared" si="23"/>
        <v>17</v>
      </c>
      <c r="BS103" s="2">
        <f t="shared" si="24"/>
        <v>2</v>
      </c>
      <c r="BT103" s="2">
        <v>0</v>
      </c>
    </row>
    <row r="104" spans="22:72" x14ac:dyDescent="0.3">
      <c r="V104" t="s">
        <v>1058</v>
      </c>
      <c r="W104">
        <v>5</v>
      </c>
      <c r="Z104" s="78" t="s">
        <v>336</v>
      </c>
      <c r="AA104" s="2" t="str">
        <f>""</f>
        <v/>
      </c>
      <c r="AB104" s="2" t="str">
        <f>INDEX(Table3[],MATCH(1,Table3[5],0),1)</f>
        <v>Antimatter Streamer Bay (M)</v>
      </c>
      <c r="AC104" s="2" t="str">
        <f>INDEX(Table3[],MATCH(2,Table3[5],0),1)</f>
        <v>Beam Laser Bay (M)</v>
      </c>
      <c r="AD104" s="2" t="str">
        <f>INDEX(Table3[],MATCH(3,Table3[5],0),1)</f>
        <v>Fusion Gun Bay (M)</v>
      </c>
      <c r="AE104" s="2" t="str">
        <f>INDEX(Table3[],MATCH(4,Table3[5],0),1)</f>
        <v>Hullcutter Bay (M)</v>
      </c>
      <c r="AF104" s="2" t="str">
        <f>INDEX(Table3[],MATCH(5,Table3[5],0),1)</f>
        <v>Ion Cannon Bay (M)</v>
      </c>
      <c r="AG104" s="2" t="str">
        <f>INDEX(Table3[],MATCH(6,Table3[5],0),1)</f>
        <v>Mass Driver Bay (M)</v>
      </c>
      <c r="AH104" s="2" t="str">
        <f>INDEX(Table3[],MATCH(7,Table3[5],0),1)</f>
        <v>Meson Gun Bay (M)</v>
      </c>
      <c r="AI104" s="2" t="str">
        <f>INDEX(Table3[],MATCH(8,Table3[5],0),1)</f>
        <v>Missile Bay (M)</v>
      </c>
      <c r="AJ104" s="2" t="str">
        <f>INDEX(Table3[],MATCH(9,Table3[5],0),1)</f>
        <v>Neutron Laser Bay (M)</v>
      </c>
      <c r="AK104" s="2" t="str">
        <f>INDEX(Table3[],MATCH(10,Table3[5],0),1)</f>
        <v>Orbital Strike MD (M)</v>
      </c>
      <c r="AL104" s="2" t="str">
        <f>INDEX(Table3[],MATCH(11,Table3[5],0),1)</f>
        <v>Orbital Strike Ms (M)</v>
      </c>
      <c r="AM104" s="2" t="str">
        <f>INDEX(Table3[],MATCH(12,Table3[5],0),1)</f>
        <v>Particle Beam Bay (M)</v>
      </c>
      <c r="AN104" s="2" t="str">
        <f>INDEX(Table3[],MATCH(13,Table3[5],0),1)</f>
        <v>Plasma-pulse Cannon Bay (M)</v>
      </c>
      <c r="AO104" s="2" t="str">
        <f>INDEX(Table3[],MATCH(14,Table3[5],0),1)</f>
        <v>Pulse Laser Bay (M)</v>
      </c>
      <c r="AP104" s="2" t="str">
        <f>INDEX(Table3[],MATCH(15,Table3[5],0),1)</f>
        <v>Railgun Bay (M)</v>
      </c>
      <c r="AQ104" s="2" t="str">
        <f>INDEX(Table3[],MATCH(16,Table3[5],0),1)</f>
        <v>Repulsor Bay (M)</v>
      </c>
      <c r="AR104" s="2" t="str">
        <f>INDEX(Table3[],MATCH(17,Table3[5],0),1)</f>
        <v>Repulsor Bay Adv (M)</v>
      </c>
      <c r="AS104" s="2" t="str">
        <f>INDEX(Table3[],MATCH(18,Table3[5],0),1)</f>
        <v>Tachyon Cannon Bay (M)</v>
      </c>
      <c r="AT104" s="2" t="str">
        <f>INDEX(Table3[],MATCH(19,Table3[5],0),1)</f>
        <v>Torpedo Bay (M)</v>
      </c>
      <c r="AU104" t="str">
        <f>IF($AC$108=5,$AB$108,"")</f>
        <v/>
      </c>
      <c r="AV104" t="str">
        <f>IF($AC$109=5,$AB$109,"")</f>
        <v/>
      </c>
      <c r="AW104" t="str">
        <f>IF($AC$110=5,$AB$110,"")</f>
        <v/>
      </c>
      <c r="AX104" t="str">
        <f>""</f>
        <v/>
      </c>
      <c r="AY104" t="str">
        <f>""</f>
        <v/>
      </c>
      <c r="AZ104" s="46" t="str">
        <f>""</f>
        <v/>
      </c>
      <c r="BA104" s="46" t="str">
        <f>""</f>
        <v/>
      </c>
      <c r="BB104" s="2" t="s">
        <v>629</v>
      </c>
      <c r="BC104" s="2">
        <v>14</v>
      </c>
      <c r="BD104" s="2">
        <v>5</v>
      </c>
      <c r="BE104" s="2">
        <v>2</v>
      </c>
      <c r="BF104" s="2">
        <v>6</v>
      </c>
      <c r="BG104" s="2" t="s">
        <v>1233</v>
      </c>
      <c r="BH104" s="10">
        <v>5000000</v>
      </c>
      <c r="BI104" s="2" t="s">
        <v>328</v>
      </c>
      <c r="BJ104" s="2"/>
      <c r="BK104" s="2">
        <v>1</v>
      </c>
      <c r="BL104" s="2">
        <v>2</v>
      </c>
      <c r="BM104" s="2">
        <f t="shared" si="18"/>
        <v>11</v>
      </c>
      <c r="BN104" s="2">
        <f t="shared" si="19"/>
        <v>11</v>
      </c>
      <c r="BO104" s="2">
        <f t="shared" si="20"/>
        <v>0</v>
      </c>
      <c r="BP104" s="2">
        <f t="shared" si="21"/>
        <v>18</v>
      </c>
      <c r="BQ104" s="2">
        <f t="shared" si="22"/>
        <v>17</v>
      </c>
      <c r="BR104" s="2">
        <f t="shared" si="23"/>
        <v>17</v>
      </c>
      <c r="BS104" s="2">
        <f t="shared" si="24"/>
        <v>2</v>
      </c>
      <c r="BT104" s="2">
        <v>0</v>
      </c>
    </row>
    <row r="105" spans="22:72" x14ac:dyDescent="0.3">
      <c r="V105" t="s">
        <v>1059</v>
      </c>
      <c r="W105">
        <v>6</v>
      </c>
      <c r="Z105" s="78" t="s">
        <v>339</v>
      </c>
      <c r="AA105" s="2" t="str">
        <f>""</f>
        <v/>
      </c>
      <c r="AB105" s="2" t="str">
        <f>INDEX(Table3[],MATCH(1,Table3[6],0),1)</f>
        <v>Antimatter Streamer Bay (L)</v>
      </c>
      <c r="AC105" s="2" t="str">
        <f>INDEX(Table3[],MATCH(2,Table3[6],0),1)</f>
        <v>Beam Laser Bay (L)</v>
      </c>
      <c r="AD105" s="2" t="str">
        <f>INDEX(Table3[],MATCH(3,Table3[6],0),1)</f>
        <v>Fusion Gun Bay (L)</v>
      </c>
      <c r="AE105" s="2" t="str">
        <f>INDEX(Table3[],MATCH(4,Table3[6],0),1)</f>
        <v>Hullcutter Bay (L)</v>
      </c>
      <c r="AF105" s="2" t="str">
        <f>INDEX(Table3[],MATCH(5,Table3[6],0),1)</f>
        <v>Ion Cannon Bay (L)</v>
      </c>
      <c r="AG105" s="2" t="str">
        <f>INDEX(Table3[],MATCH(6,Table3[6],0),1)</f>
        <v>Mass Driver Bay (L)</v>
      </c>
      <c r="AH105" s="2" t="str">
        <f>INDEX(Table3[],MATCH(7,Table3[6],0),1)</f>
        <v>Meson Gun Bay (L)</v>
      </c>
      <c r="AI105" s="2" t="str">
        <f>INDEX(Table3[],MATCH(8,Table3[6],0),1)</f>
        <v>Missile Bay (L)</v>
      </c>
      <c r="AJ105" s="2" t="str">
        <f>INDEX(Table3[],MATCH(9,Table3[6],0),1)</f>
        <v>Neutron Laser Bay (L)</v>
      </c>
      <c r="AK105" s="2" t="str">
        <f>INDEX(Table3[],MATCH(10,Table3[6],0),1)</f>
        <v>Orbital Strike MD (L)</v>
      </c>
      <c r="AL105" s="2" t="str">
        <f>INDEX(Table3[],MATCH(11,Table3[6],0),1)</f>
        <v>Orbital Strike Ms (L)</v>
      </c>
      <c r="AM105" s="2" t="str">
        <f>INDEX(Table3[],MATCH(12,Table3[6],0),1)</f>
        <v>Particle Beam Bay (L)</v>
      </c>
      <c r="AN105" s="2" t="str">
        <f>INDEX(Table3[],MATCH(13,Table3[6],0),1)</f>
        <v>Plasma-pulse Cannon Bay (L)</v>
      </c>
      <c r="AO105" s="2" t="str">
        <f>INDEX(Table3[],MATCH(14,Table3[6],0),1)</f>
        <v>Pulse Laser Bay (L)</v>
      </c>
      <c r="AP105" s="2" t="str">
        <f>INDEX(Table3[],MATCH(15,Table3[6],0),1)</f>
        <v>Railgun Bay (L)</v>
      </c>
      <c r="AQ105" s="2" t="str">
        <f>INDEX(Table3[],MATCH(16,Table3[6],0),1)</f>
        <v>Repulsor Bay (L)</v>
      </c>
      <c r="AR105" s="2" t="str">
        <f>INDEX(Table3[],MATCH(17,Table3[6],0),1)</f>
        <v>Repulsor Bay Adv (L)</v>
      </c>
      <c r="AS105" s="2" t="str">
        <f>INDEX(Table3[],MATCH(18,Table3[6],0),1)</f>
        <v>Tachyon Cannon Bay (L)</v>
      </c>
      <c r="AT105" s="2" t="str">
        <f>INDEX(Table3[],MATCH(19,Table3[6],0),1)</f>
        <v>Torpedo Bay (L)</v>
      </c>
      <c r="AU105" t="str">
        <f>IF($AC$108=6,$AB$108,"")</f>
        <v/>
      </c>
      <c r="AV105" t="str">
        <f>IF($AC$109=6,$AB$109,"")</f>
        <v/>
      </c>
      <c r="AW105" t="str">
        <f>IF($AC$110=6,$AB$110,"")</f>
        <v/>
      </c>
      <c r="AX105" t="str">
        <f>""</f>
        <v/>
      </c>
      <c r="AY105" t="str">
        <f>""</f>
        <v/>
      </c>
      <c r="AZ105" s="46" t="str">
        <f>""</f>
        <v/>
      </c>
      <c r="BA105" s="46" t="str">
        <f>""</f>
        <v/>
      </c>
      <c r="BB105" s="2" t="s">
        <v>1496</v>
      </c>
      <c r="BC105" s="2">
        <v>14</v>
      </c>
      <c r="BD105" s="2">
        <v>6</v>
      </c>
      <c r="BE105" s="2"/>
      <c r="BF105" s="2">
        <v>25</v>
      </c>
      <c r="BG105" s="2" t="s">
        <v>1262</v>
      </c>
      <c r="BH105" s="10">
        <v>50000000</v>
      </c>
      <c r="BI105" s="2" t="s">
        <v>338</v>
      </c>
      <c r="BJ105" s="2"/>
      <c r="BK105" s="2">
        <v>1</v>
      </c>
      <c r="BL105" s="2">
        <v>6</v>
      </c>
      <c r="BM105" s="2">
        <f t="shared" si="18"/>
        <v>11</v>
      </c>
      <c r="BN105" s="2">
        <f t="shared" si="19"/>
        <v>11</v>
      </c>
      <c r="BO105" s="2">
        <f t="shared" si="20"/>
        <v>0</v>
      </c>
      <c r="BP105" s="2">
        <f t="shared" si="21"/>
        <v>18</v>
      </c>
      <c r="BQ105" s="2">
        <f t="shared" si="22"/>
        <v>17</v>
      </c>
      <c r="BR105" s="2">
        <f t="shared" si="23"/>
        <v>18</v>
      </c>
      <c r="BS105" s="2">
        <f t="shared" si="24"/>
        <v>2</v>
      </c>
      <c r="BT105" s="2">
        <v>0</v>
      </c>
    </row>
    <row r="106" spans="22:72" x14ac:dyDescent="0.3">
      <c r="V106" t="s">
        <v>1480</v>
      </c>
      <c r="W106">
        <v>7</v>
      </c>
      <c r="Z106" s="86" t="s">
        <v>1478</v>
      </c>
      <c r="AA106" s="28"/>
      <c r="AB106" s="2" t="str">
        <f>INDEX(Table3[],MATCH(1,Table3[7],0),1)</f>
        <v>Cannonade, Fusion</v>
      </c>
      <c r="AC106" s="2" t="str">
        <f>INDEX(Table3[],MATCH(2,Table3[7],0),1)</f>
        <v>Cannonade, Plasma</v>
      </c>
      <c r="AD106" s="2" t="str">
        <f>IF($AC$108=7,$AB$108,"")</f>
        <v/>
      </c>
      <c r="AE106" s="2" t="str">
        <f>IF($AC$109=7,$AB$109,"")</f>
        <v/>
      </c>
      <c r="AF106" s="2" t="str">
        <f>IF($AC$110=7,$AB$110,"")</f>
        <v/>
      </c>
      <c r="AG106" s="28" t="str">
        <f>""</f>
        <v/>
      </c>
      <c r="AH106" s="28" t="str">
        <f>""</f>
        <v/>
      </c>
      <c r="AI106" s="28" t="str">
        <f>""</f>
        <v/>
      </c>
      <c r="AJ106" s="28" t="str">
        <f>""</f>
        <v/>
      </c>
      <c r="AK106" s="28" t="str">
        <f>""</f>
        <v/>
      </c>
      <c r="AL106" s="28" t="str">
        <f>""</f>
        <v/>
      </c>
      <c r="AM106" s="28" t="str">
        <f>""</f>
        <v/>
      </c>
      <c r="AN106" s="28" t="str">
        <f>""</f>
        <v/>
      </c>
      <c r="AO106" s="28" t="str">
        <f>""</f>
        <v/>
      </c>
      <c r="AP106" s="28" t="str">
        <f>""</f>
        <v/>
      </c>
      <c r="AQ106" s="28" t="str">
        <f>""</f>
        <v/>
      </c>
      <c r="AR106" s="28" t="str">
        <f>""</f>
        <v/>
      </c>
      <c r="AS106" s="28" t="str">
        <f>""</f>
        <v/>
      </c>
      <c r="AT106" s="28" t="str">
        <f>""</f>
        <v/>
      </c>
      <c r="AU106" s="28" t="str">
        <f>""</f>
        <v/>
      </c>
      <c r="AV106" s="28" t="str">
        <f>""</f>
        <v/>
      </c>
      <c r="AW106" s="28" t="str">
        <f>""</f>
        <v/>
      </c>
      <c r="AX106" s="28" t="str">
        <f>""</f>
        <v/>
      </c>
      <c r="AY106" s="28" t="str">
        <f>""</f>
        <v/>
      </c>
      <c r="AZ106" s="79" t="str">
        <f>""</f>
        <v/>
      </c>
      <c r="BA106" s="46" t="str">
        <f>""</f>
        <v/>
      </c>
      <c r="BB106" s="2" t="s">
        <v>1523</v>
      </c>
      <c r="BC106" s="2">
        <v>14</v>
      </c>
      <c r="BD106" s="2">
        <v>5</v>
      </c>
      <c r="BE106" s="2"/>
      <c r="BF106" s="2">
        <v>15</v>
      </c>
      <c r="BG106" s="2" t="s">
        <v>1253</v>
      </c>
      <c r="BH106" s="10">
        <v>30000000</v>
      </c>
      <c r="BI106" s="2" t="s">
        <v>338</v>
      </c>
      <c r="BJ106" s="2"/>
      <c r="BK106" s="2">
        <v>1</v>
      </c>
      <c r="BL106" s="2">
        <v>5</v>
      </c>
      <c r="BM106" s="2">
        <f t="shared" si="18"/>
        <v>11</v>
      </c>
      <c r="BN106" s="2">
        <f t="shared" si="19"/>
        <v>11</v>
      </c>
      <c r="BO106" s="2">
        <f t="shared" si="20"/>
        <v>0</v>
      </c>
      <c r="BP106" s="2">
        <f t="shared" si="21"/>
        <v>18</v>
      </c>
      <c r="BQ106" s="2">
        <f t="shared" si="22"/>
        <v>18</v>
      </c>
      <c r="BR106" s="2">
        <f t="shared" si="23"/>
        <v>18</v>
      </c>
      <c r="BS106" s="2">
        <f t="shared" si="24"/>
        <v>2</v>
      </c>
      <c r="BT106" s="2">
        <v>0</v>
      </c>
    </row>
    <row r="107" spans="22:72" x14ac:dyDescent="0.3">
      <c r="V107" t="s">
        <v>1479</v>
      </c>
      <c r="W107">
        <v>8</v>
      </c>
      <c r="Z107" s="86" t="str">
        <f>IF(G40=0,"","X "&amp;G40)</f>
        <v/>
      </c>
      <c r="AA107" s="28"/>
      <c r="AB107" s="28" t="str">
        <f>IF(AC108=8,AB108,"")</f>
        <v/>
      </c>
      <c r="AC107" s="28" t="str">
        <f>IF(AC109=8,AB109,"")</f>
        <v/>
      </c>
      <c r="AD107" s="28" t="str">
        <f>IF(AC110=8,AB110,"")</f>
        <v/>
      </c>
      <c r="AE107" s="28" t="str">
        <f>""</f>
        <v/>
      </c>
      <c r="AF107" s="28" t="str">
        <f>""</f>
        <v/>
      </c>
      <c r="AG107" s="28" t="str">
        <f>""</f>
        <v/>
      </c>
      <c r="AH107" s="28" t="str">
        <f>""</f>
        <v/>
      </c>
      <c r="AI107" s="28" t="str">
        <f>""</f>
        <v/>
      </c>
      <c r="AJ107" s="28" t="str">
        <f>""</f>
        <v/>
      </c>
      <c r="AK107" s="28" t="str">
        <f>""</f>
        <v/>
      </c>
      <c r="AL107" s="28" t="str">
        <f>""</f>
        <v/>
      </c>
      <c r="AM107" s="28" t="str">
        <f>""</f>
        <v/>
      </c>
      <c r="AN107" s="28" t="str">
        <f>""</f>
        <v/>
      </c>
      <c r="AO107" s="28" t="str">
        <f>""</f>
        <v/>
      </c>
      <c r="AP107" s="28" t="str">
        <f>""</f>
        <v/>
      </c>
      <c r="AQ107" s="28" t="str">
        <f>""</f>
        <v/>
      </c>
      <c r="AR107" s="28" t="str">
        <f>""</f>
        <v/>
      </c>
      <c r="AS107" s="28" t="str">
        <f>""</f>
        <v/>
      </c>
      <c r="AT107" s="28" t="str">
        <f>""</f>
        <v/>
      </c>
      <c r="AU107" s="28" t="str">
        <f>""</f>
        <v/>
      </c>
      <c r="AV107" s="79" t="str">
        <f>""</f>
        <v/>
      </c>
      <c r="BB107" s="2" t="s">
        <v>1524</v>
      </c>
      <c r="BC107" s="2">
        <v>14</v>
      </c>
      <c r="BD107" s="2">
        <v>5</v>
      </c>
      <c r="BE107" s="2"/>
      <c r="BF107" s="2">
        <v>10</v>
      </c>
      <c r="BG107" s="2" t="s">
        <v>1263</v>
      </c>
      <c r="BH107" s="10">
        <v>15000000</v>
      </c>
      <c r="BI107" s="2" t="s">
        <v>328</v>
      </c>
      <c r="BJ107" s="2"/>
      <c r="BK107" s="2">
        <v>1</v>
      </c>
      <c r="BL107" s="2">
        <v>4</v>
      </c>
      <c r="BM107" s="2">
        <f t="shared" si="18"/>
        <v>11</v>
      </c>
      <c r="BN107" s="2">
        <f t="shared" si="19"/>
        <v>11</v>
      </c>
      <c r="BO107" s="2">
        <f t="shared" si="20"/>
        <v>0</v>
      </c>
      <c r="BP107" s="2">
        <f t="shared" si="21"/>
        <v>19</v>
      </c>
      <c r="BQ107" s="2">
        <f t="shared" si="22"/>
        <v>18</v>
      </c>
      <c r="BR107" s="2">
        <f t="shared" si="23"/>
        <v>18</v>
      </c>
      <c r="BS107" s="2">
        <f t="shared" si="24"/>
        <v>2</v>
      </c>
      <c r="BT107" s="2">
        <v>0</v>
      </c>
    </row>
    <row r="108" spans="22:72" x14ac:dyDescent="0.3">
      <c r="AA108" s="9" t="s">
        <v>1060</v>
      </c>
      <c r="AB108" t="str">
        <f>IF(F46=0,"X1","X1 "&amp;F46)</f>
        <v>X1</v>
      </c>
      <c r="AC108" s="2">
        <f>INDEX(V99:W107,MATCH(P46,V99:V107,0),2)</f>
        <v>0</v>
      </c>
      <c r="BB108" s="2" t="s">
        <v>630</v>
      </c>
      <c r="BC108" s="2">
        <v>7</v>
      </c>
      <c r="BD108" s="2">
        <v>8</v>
      </c>
      <c r="BE108" s="2">
        <v>8</v>
      </c>
      <c r="BF108" s="2">
        <v>2</v>
      </c>
      <c r="BG108" s="2" t="s">
        <v>1105</v>
      </c>
      <c r="BH108" s="10">
        <v>3000000</v>
      </c>
      <c r="BI108" s="2" t="s">
        <v>321</v>
      </c>
      <c r="BJ108" s="2"/>
      <c r="BK108" s="2">
        <v>1</v>
      </c>
      <c r="BL108" s="2">
        <v>2</v>
      </c>
      <c r="BM108" s="2">
        <f t="shared" si="18"/>
        <v>11</v>
      </c>
      <c r="BN108" s="2">
        <f t="shared" si="19"/>
        <v>12</v>
      </c>
      <c r="BO108" s="2">
        <f t="shared" si="20"/>
        <v>0</v>
      </c>
      <c r="BP108" s="2">
        <f t="shared" si="21"/>
        <v>19</v>
      </c>
      <c r="BQ108" s="2">
        <f t="shared" si="22"/>
        <v>18</v>
      </c>
      <c r="BR108" s="2">
        <f t="shared" si="23"/>
        <v>18</v>
      </c>
      <c r="BS108" s="2">
        <f t="shared" si="24"/>
        <v>2</v>
      </c>
      <c r="BT108" s="2">
        <v>1</v>
      </c>
    </row>
    <row r="109" spans="22:72" x14ac:dyDescent="0.3">
      <c r="AA109" s="9" t="s">
        <v>1061</v>
      </c>
      <c r="AB109" t="str">
        <f>IF(F50=0,"X2","X2 "&amp;F50)</f>
        <v>X2</v>
      </c>
      <c r="AC109" s="2">
        <f>INDEX(V99:W107,MATCH(P50,V99:V107,0),2)</f>
        <v>0</v>
      </c>
      <c r="BB109" s="2" t="s">
        <v>1525</v>
      </c>
      <c r="BC109" s="2">
        <v>9</v>
      </c>
      <c r="BD109" s="2">
        <v>8</v>
      </c>
      <c r="BE109" s="2"/>
      <c r="BF109" s="2">
        <v>25</v>
      </c>
      <c r="BG109" s="2" t="s">
        <v>1105</v>
      </c>
      <c r="BH109" s="10">
        <v>10000000</v>
      </c>
      <c r="BI109" s="2" t="s">
        <v>321</v>
      </c>
      <c r="BJ109" s="2"/>
      <c r="BK109" s="2">
        <v>1</v>
      </c>
      <c r="BL109" s="2">
        <v>6</v>
      </c>
      <c r="BM109" s="2">
        <f t="shared" si="18"/>
        <v>11</v>
      </c>
      <c r="BN109" s="2">
        <f t="shared" si="19"/>
        <v>12</v>
      </c>
      <c r="BO109" s="2">
        <f t="shared" si="20"/>
        <v>0</v>
      </c>
      <c r="BP109" s="2">
        <f t="shared" si="21"/>
        <v>19</v>
      </c>
      <c r="BQ109" s="2">
        <f t="shared" si="22"/>
        <v>18</v>
      </c>
      <c r="BR109" s="2">
        <f t="shared" si="23"/>
        <v>19</v>
      </c>
      <c r="BS109" s="2">
        <f t="shared" si="24"/>
        <v>2</v>
      </c>
      <c r="BT109" s="2">
        <v>1</v>
      </c>
    </row>
    <row r="110" spans="22:72" x14ac:dyDescent="0.3">
      <c r="AA110" s="9" t="s">
        <v>1062</v>
      </c>
      <c r="AB110" t="str">
        <f>IF(F53=0,"X3","X3 "&amp;F53)</f>
        <v>X3</v>
      </c>
      <c r="AC110" s="2">
        <f>INDEX(V99:W107,MATCH(P53,V99:V107,0),2)</f>
        <v>0</v>
      </c>
      <c r="BB110" s="2" t="s">
        <v>1526</v>
      </c>
      <c r="BC110" s="2">
        <v>9</v>
      </c>
      <c r="BD110" s="2">
        <v>8</v>
      </c>
      <c r="BE110" s="2"/>
      <c r="BF110" s="2">
        <v>5</v>
      </c>
      <c r="BG110" s="2" t="s">
        <v>1105</v>
      </c>
      <c r="BH110" s="10">
        <v>6000000</v>
      </c>
      <c r="BI110" s="2" t="s">
        <v>321</v>
      </c>
      <c r="BJ110" s="2"/>
      <c r="BK110" s="2">
        <v>1</v>
      </c>
      <c r="BL110" s="2">
        <v>5</v>
      </c>
      <c r="BM110" s="2">
        <f t="shared" ref="BM110:BM121" si="39">IF($BL110=1,BM109+1,BM109)</f>
        <v>11</v>
      </c>
      <c r="BN110" s="2">
        <f t="shared" ref="BN110:BN121" si="40">IF($BL110=2,BN109+1,BN109)</f>
        <v>12</v>
      </c>
      <c r="BO110" s="2">
        <f t="shared" ref="BO110:BO121" si="41">IF($BL110=3,BO109+1,BO109)</f>
        <v>0</v>
      </c>
      <c r="BP110" s="2">
        <f t="shared" ref="BP110:BP121" si="42">IF($BL110=4,BP109+1,BP109)</f>
        <v>19</v>
      </c>
      <c r="BQ110" s="2">
        <f t="shared" ref="BQ110:BQ121" si="43">IF($BL110=5,BQ109+1,BQ109)</f>
        <v>19</v>
      </c>
      <c r="BR110" s="2">
        <f t="shared" ref="BR110:BR121" si="44">IF($BL110=6,BR109+1,BR109)</f>
        <v>19</v>
      </c>
      <c r="BS110" s="2">
        <f t="shared" ref="BS110:BS121" si="45">IF($BL110=7,BS109+1,BS109)</f>
        <v>2</v>
      </c>
      <c r="BT110" s="2">
        <v>1</v>
      </c>
    </row>
    <row r="111" spans="22:72" x14ac:dyDescent="0.3">
      <c r="AM111" t="s">
        <v>1109</v>
      </c>
      <c r="AS111" t="s">
        <v>672</v>
      </c>
      <c r="BB111" s="2" t="s">
        <v>1527</v>
      </c>
      <c r="BC111" s="2">
        <v>9</v>
      </c>
      <c r="BD111" s="2">
        <v>8</v>
      </c>
      <c r="BE111" s="2"/>
      <c r="BF111" s="2">
        <v>2</v>
      </c>
      <c r="BG111" s="2" t="s">
        <v>1105</v>
      </c>
      <c r="BH111" s="10">
        <v>3000000</v>
      </c>
      <c r="BI111" s="2" t="s">
        <v>321</v>
      </c>
      <c r="BJ111" s="2"/>
      <c r="BK111" s="2">
        <v>1</v>
      </c>
      <c r="BL111" s="2">
        <v>4</v>
      </c>
      <c r="BM111" s="2">
        <f t="shared" si="39"/>
        <v>11</v>
      </c>
      <c r="BN111" s="2">
        <f t="shared" si="40"/>
        <v>12</v>
      </c>
      <c r="BO111" s="2">
        <f t="shared" si="41"/>
        <v>0</v>
      </c>
      <c r="BP111" s="2">
        <f t="shared" si="42"/>
        <v>20</v>
      </c>
      <c r="BQ111" s="2">
        <f t="shared" si="43"/>
        <v>19</v>
      </c>
      <c r="BR111" s="2">
        <f t="shared" si="44"/>
        <v>19</v>
      </c>
      <c r="BS111" s="2">
        <f t="shared" si="45"/>
        <v>2</v>
      </c>
      <c r="BT111" s="2">
        <v>1</v>
      </c>
    </row>
    <row r="112" spans="22:72" x14ac:dyDescent="0.3">
      <c r="Z112" s="44"/>
      <c r="AA112" s="150" t="s">
        <v>26</v>
      </c>
      <c r="AB112" s="150" t="s">
        <v>314</v>
      </c>
      <c r="AC112" s="150" t="s">
        <v>110</v>
      </c>
      <c r="AD112" s="150" t="s">
        <v>310</v>
      </c>
      <c r="AE112" s="150" t="s">
        <v>378</v>
      </c>
      <c r="AF112" s="150" t="s">
        <v>1</v>
      </c>
      <c r="AG112" s="150" t="s">
        <v>379</v>
      </c>
      <c r="AH112" s="143" t="s">
        <v>164</v>
      </c>
      <c r="AS112" t="s">
        <v>1110</v>
      </c>
      <c r="AU112" t="s">
        <v>164</v>
      </c>
      <c r="AV112" s="134" t="s">
        <v>1138</v>
      </c>
      <c r="AW112" s="129" t="s">
        <v>1139</v>
      </c>
      <c r="AX112" s="129" t="s">
        <v>1141</v>
      </c>
      <c r="AY112" s="129" t="s">
        <v>1142</v>
      </c>
      <c r="AZ112" s="129" t="s">
        <v>1140</v>
      </c>
      <c r="BA112" s="87" t="s">
        <v>739</v>
      </c>
      <c r="BB112" s="2" t="s">
        <v>1483</v>
      </c>
      <c r="BC112" s="2">
        <v>10</v>
      </c>
      <c r="BD112" s="2">
        <v>1</v>
      </c>
      <c r="BE112" s="2"/>
      <c r="BF112" s="2">
        <v>1</v>
      </c>
      <c r="BG112" s="2" t="s">
        <v>320</v>
      </c>
      <c r="BH112" s="10">
        <v>1000000</v>
      </c>
      <c r="BI112" s="2"/>
      <c r="BJ112" s="2"/>
      <c r="BK112" s="2"/>
      <c r="BL112" s="2">
        <v>1</v>
      </c>
      <c r="BM112" s="2">
        <f t="shared" si="39"/>
        <v>12</v>
      </c>
      <c r="BN112" s="2">
        <f t="shared" si="40"/>
        <v>12</v>
      </c>
      <c r="BO112" s="2">
        <f t="shared" si="41"/>
        <v>0</v>
      </c>
      <c r="BP112" s="2">
        <f t="shared" si="42"/>
        <v>20</v>
      </c>
      <c r="BQ112" s="2">
        <f t="shared" si="43"/>
        <v>19</v>
      </c>
      <c r="BR112" s="2">
        <f t="shared" si="44"/>
        <v>19</v>
      </c>
      <c r="BS112" s="2">
        <f t="shared" si="45"/>
        <v>2</v>
      </c>
      <c r="BT112" s="2">
        <v>1</v>
      </c>
    </row>
    <row r="113" spans="15:72" x14ac:dyDescent="0.3">
      <c r="Z113" s="78" t="s">
        <v>362</v>
      </c>
      <c r="AA113">
        <v>0</v>
      </c>
      <c r="AB113" t="str">
        <f>""</f>
        <v/>
      </c>
      <c r="AC113">
        <v>0</v>
      </c>
      <c r="AD113">
        <v>0</v>
      </c>
      <c r="AE113">
        <v>0</v>
      </c>
      <c r="AF113">
        <v>0</v>
      </c>
      <c r="AG113">
        <v>0</v>
      </c>
      <c r="AH113" s="46"/>
      <c r="AK113" t="s">
        <v>1108</v>
      </c>
      <c r="AL113">
        <v>1</v>
      </c>
      <c r="AM113" s="22" t="str">
        <f>IF(AA28="","",AA28&amp;"x "&amp;Z28&amp;": "&amp;AB28&amp;AC28&amp;AD28&amp;AE28&amp;IF(I12="No",""," EM Hardened")&amp;IF(J12="No","",", Armored")&amp;" "&amp;AF28&amp;AG28&amp;AH28)</f>
        <v/>
      </c>
      <c r="AS113" s="22" t="str">
        <f>IF(AA28="","",AA28&amp;"x "&amp;Z28&amp;": "&amp;AB28&amp;AC28&amp;AD28&amp;AE28)</f>
        <v/>
      </c>
      <c r="AU113" s="22" t="str">
        <f>IF(AA28=0,"",IF(I12="No",""," Ignore Ion")&amp;IF(J12="No","",", CS-1")&amp;IF(VLOOKUP(E12,Table5[],13)="","",", "&amp;VLOOKUP(E12,Table5[],13))&amp;IF(VLOOKUP(F12,Table5[],13)="","",", "&amp;VLOOKUP(F12,Table5[],13))&amp;IF(VLOOKUP(G12,Table5[],13)="","",""&amp;VLOOKUP(G12,Table5[],13)))</f>
        <v/>
      </c>
      <c r="AV113" s="92">
        <v>1</v>
      </c>
      <c r="AW113" s="2">
        <f>VLOOKUP(B12,Table1[],8)</f>
        <v>0</v>
      </c>
      <c r="AX113">
        <f>VLOOKUP(B12,Table2[],8)</f>
        <v>0</v>
      </c>
      <c r="AY113">
        <f>IF(AND('Ship Info'!$F$7,'Ship Info'!$C$5&gt;=100),AW113,IF($B$4&lt;100,AX113,AW113))</f>
        <v>0</v>
      </c>
      <c r="AZ113">
        <f>VLOOKUP(C12,Table3[],11)</f>
        <v>0</v>
      </c>
      <c r="BA113" s="46">
        <f>IF(AZ113=0,0,IF(AY113=AZ113,0,1))</f>
        <v>0</v>
      </c>
      <c r="BB113" s="2" t="s">
        <v>1956</v>
      </c>
      <c r="BC113" s="2">
        <v>10</v>
      </c>
      <c r="BD113" s="2">
        <v>8</v>
      </c>
      <c r="BE113" s="2"/>
      <c r="BF113" s="2">
        <v>5</v>
      </c>
      <c r="BG113" s="2" t="s">
        <v>1106</v>
      </c>
      <c r="BH113" s="10">
        <v>3000000</v>
      </c>
      <c r="BI113" s="2" t="s">
        <v>332</v>
      </c>
      <c r="BJ113" s="2"/>
      <c r="BK113" s="2">
        <v>1</v>
      </c>
      <c r="BL113" s="2">
        <v>3</v>
      </c>
      <c r="BM113" s="2">
        <f t="shared" si="39"/>
        <v>12</v>
      </c>
      <c r="BN113" s="2">
        <f t="shared" si="40"/>
        <v>12</v>
      </c>
      <c r="BO113" s="2">
        <f t="shared" si="41"/>
        <v>1</v>
      </c>
      <c r="BP113" s="2">
        <f t="shared" si="42"/>
        <v>20</v>
      </c>
      <c r="BQ113" s="2">
        <f t="shared" si="43"/>
        <v>19</v>
      </c>
      <c r="BR113" s="2">
        <f t="shared" si="44"/>
        <v>19</v>
      </c>
      <c r="BS113" s="2">
        <f t="shared" si="45"/>
        <v>2</v>
      </c>
      <c r="BT113" s="2">
        <v>0</v>
      </c>
    </row>
    <row r="114" spans="15:72" x14ac:dyDescent="0.3">
      <c r="Z114" s="78" t="s">
        <v>631</v>
      </c>
      <c r="AA114">
        <v>21</v>
      </c>
      <c r="AB114" t="s">
        <v>322</v>
      </c>
      <c r="AC114">
        <v>12000</v>
      </c>
      <c r="AD114">
        <v>2500</v>
      </c>
      <c r="AE114">
        <v>3</v>
      </c>
      <c r="AF114">
        <v>5000000000</v>
      </c>
      <c r="AG114">
        <v>200000</v>
      </c>
      <c r="AH114" s="46" t="s">
        <v>697</v>
      </c>
      <c r="AL114">
        <v>2</v>
      </c>
      <c r="AM114" s="22" t="str">
        <f t="shared" ref="AM114:AM115" si="46">IF(AA29="","",AA29&amp;"x "&amp;Z29&amp;": "&amp;AB29&amp;AC29&amp;AD29&amp;AE29&amp;IF(I13="No",""," EM Hardened")&amp;IF(J13="No","",", Armored")&amp;" "&amp;AF29&amp;AG29&amp;AH29)</f>
        <v/>
      </c>
      <c r="AS114" s="22" t="str">
        <f t="shared" ref="AS114:AS115" si="47">IF(AA29="","",AA29&amp;"x "&amp;Z29&amp;": "&amp;AB29&amp;AC29&amp;AD29&amp;AE29)</f>
        <v/>
      </c>
      <c r="AU114" s="22" t="str">
        <f>IF(AA29=0,"",IF(I13="No",""," Ignore Ion")&amp;IF(J13="No","",", CS-1")&amp;IF(VLOOKUP(E13,Table5[],13)="","",", "&amp;VLOOKUP(E13,Table5[],13))&amp;IF(VLOOKUP(F13,Table5[],13)="","",", "&amp;VLOOKUP(F13,Table5[],13))&amp;IF(VLOOKUP(G13,Table5[],13)="","",""&amp;VLOOKUP(G13,Table5[],13)))</f>
        <v/>
      </c>
      <c r="AV114" s="92">
        <v>2</v>
      </c>
      <c r="AW114" s="2">
        <f>VLOOKUP(B13,Table1[],8)</f>
        <v>0</v>
      </c>
      <c r="AX114">
        <f>VLOOKUP(B13,Table2[],8)</f>
        <v>0</v>
      </c>
      <c r="AY114">
        <f>IF(AND('Ship Info'!$F$7,'Ship Info'!$C$5&gt;=100),AW114,IF($B$4&lt;100,AX114,AW114))</f>
        <v>0</v>
      </c>
      <c r="AZ114">
        <f>VLOOKUP(C13,Table3[],11)</f>
        <v>0</v>
      </c>
      <c r="BA114" s="46">
        <f t="shared" ref="BA114:BA132" si="48">IF(AZ114=0,0,IF(AY114=AZ114,0,1))</f>
        <v>0</v>
      </c>
      <c r="BB114" s="2" t="s">
        <v>1953</v>
      </c>
      <c r="BC114" s="2">
        <v>10</v>
      </c>
      <c r="BD114" s="2">
        <v>8</v>
      </c>
      <c r="BE114" s="2"/>
      <c r="BF114" s="2">
        <v>10</v>
      </c>
      <c r="BG114" s="2" t="s">
        <v>1106</v>
      </c>
      <c r="BH114" s="10">
        <v>5000000</v>
      </c>
      <c r="BI114" s="2" t="s">
        <v>332</v>
      </c>
      <c r="BJ114" s="2"/>
      <c r="BK114" s="2">
        <v>1</v>
      </c>
      <c r="BL114" s="2">
        <v>3</v>
      </c>
      <c r="BM114" s="2">
        <f t="shared" si="39"/>
        <v>12</v>
      </c>
      <c r="BN114" s="2">
        <f t="shared" si="40"/>
        <v>12</v>
      </c>
      <c r="BO114" s="2">
        <f t="shared" si="41"/>
        <v>2</v>
      </c>
      <c r="BP114" s="2">
        <f t="shared" si="42"/>
        <v>20</v>
      </c>
      <c r="BQ114" s="2">
        <f t="shared" si="43"/>
        <v>19</v>
      </c>
      <c r="BR114" s="2">
        <f t="shared" si="44"/>
        <v>19</v>
      </c>
      <c r="BS114" s="2">
        <f t="shared" si="45"/>
        <v>2</v>
      </c>
      <c r="BT114" s="2">
        <v>0</v>
      </c>
    </row>
    <row r="115" spans="15:72" x14ac:dyDescent="0.3">
      <c r="Z115" t="s">
        <v>1996</v>
      </c>
      <c r="AA115">
        <v>20</v>
      </c>
      <c r="AB115" t="s">
        <v>316</v>
      </c>
      <c r="AC115">
        <v>5000</v>
      </c>
      <c r="AD115">
        <v>2500</v>
      </c>
      <c r="AE115">
        <v>3</v>
      </c>
      <c r="AF115">
        <v>110000000</v>
      </c>
      <c r="AG115">
        <v>100000</v>
      </c>
      <c r="AL115">
        <v>3</v>
      </c>
      <c r="AM115" s="22" t="str">
        <f t="shared" si="46"/>
        <v/>
      </c>
      <c r="AS115" s="22" t="str">
        <f t="shared" si="47"/>
        <v/>
      </c>
      <c r="AU115" s="22" t="str">
        <f>IF(AA30=0,"",IF(I14="No",""," Ignore Ion")&amp;IF(J14="No","",", CS-1")&amp;IF(VLOOKUP(E14,Table5[],13)="","",", "&amp;VLOOKUP(E14,Table5[],13))&amp;IF(VLOOKUP(F14,Table5[],13)="","",", "&amp;VLOOKUP(F14,Table5[],13))&amp;IF(VLOOKUP(G14,Table5[],13)="","",""&amp;VLOOKUP(G14,Table5[],13)))</f>
        <v/>
      </c>
      <c r="AV115" s="92">
        <v>3</v>
      </c>
      <c r="AW115" s="2">
        <f>VLOOKUP(B14,Table1[],8)</f>
        <v>0</v>
      </c>
      <c r="AX115">
        <f>VLOOKUP(B14,Table2[],8)</f>
        <v>0</v>
      </c>
      <c r="AY115">
        <f>IF(AND('Ship Info'!$F$7,'Ship Info'!$C$5&gt;=100),AW115,IF($B$4&lt;100,AX115,AW115))</f>
        <v>0</v>
      </c>
      <c r="AZ115">
        <f>VLOOKUP(C14,Table3[],11)</f>
        <v>0</v>
      </c>
      <c r="BA115" s="46">
        <f t="shared" si="48"/>
        <v>0</v>
      </c>
      <c r="BB115" s="2" t="s">
        <v>1957</v>
      </c>
      <c r="BC115" s="2">
        <v>12</v>
      </c>
      <c r="BD115" s="2">
        <v>8</v>
      </c>
      <c r="BE115" s="2"/>
      <c r="BF115" s="2">
        <v>15</v>
      </c>
      <c r="BG115" s="2" t="s">
        <v>1306</v>
      </c>
      <c r="BH115" s="10">
        <v>6000000</v>
      </c>
      <c r="BI115" s="2" t="s">
        <v>332</v>
      </c>
      <c r="BJ115" s="2"/>
      <c r="BK115" s="2">
        <v>1</v>
      </c>
      <c r="BL115" s="2">
        <v>3</v>
      </c>
      <c r="BM115" s="2">
        <f t="shared" si="39"/>
        <v>12</v>
      </c>
      <c r="BN115" s="2">
        <f t="shared" si="40"/>
        <v>12</v>
      </c>
      <c r="BO115" s="2">
        <f t="shared" si="41"/>
        <v>3</v>
      </c>
      <c r="BP115" s="2">
        <f t="shared" si="42"/>
        <v>20</v>
      </c>
      <c r="BQ115" s="2">
        <f t="shared" si="43"/>
        <v>19</v>
      </c>
      <c r="BR115" s="2">
        <f t="shared" si="44"/>
        <v>19</v>
      </c>
      <c r="BS115" s="2">
        <f t="shared" si="45"/>
        <v>2</v>
      </c>
      <c r="BT115" s="2">
        <v>0</v>
      </c>
    </row>
    <row r="116" spans="15:72" x14ac:dyDescent="0.3">
      <c r="Z116" t="s">
        <v>1997</v>
      </c>
      <c r="AA116">
        <v>22</v>
      </c>
      <c r="AB116" t="s">
        <v>322</v>
      </c>
      <c r="AC116">
        <v>5000</v>
      </c>
      <c r="AD116">
        <v>3000</v>
      </c>
      <c r="AE116">
        <v>4</v>
      </c>
      <c r="AF116">
        <v>200000000</v>
      </c>
      <c r="AG116">
        <v>150000</v>
      </c>
      <c r="AL116">
        <v>4</v>
      </c>
      <c r="AM116" s="22" t="str">
        <f>IF(AA31="","",AA31&amp;"x "&amp;Z31&amp;": "&amp;AB31&amp;IF(I15="No",""," EM Hardened")&amp;IF(J15="No","",", Armored")&amp;" "&amp;AF31&amp;AG31&amp;AH31)</f>
        <v/>
      </c>
      <c r="AS116" s="22" t="str">
        <f>IF(AA31="","",AA31&amp;"x "&amp;Z31&amp;": "&amp;AB31)</f>
        <v/>
      </c>
      <c r="AU116" s="22" t="str">
        <f>IF(AA31=0,"",IF(I15="No",""," Ignore Ion")&amp;IF(J15="No","",", CS-1")&amp;IF(VLOOKUP(E15,Table5[],13)="","",", "&amp;VLOOKUP(E15,Table5[],13))&amp;IF(VLOOKUP(F15,Table5[],13)="","",", "&amp;VLOOKUP(F15,Table5[],13))&amp;IF(VLOOKUP(G15,Table5[],13)="","",""&amp;VLOOKUP(G15,Table5[],13)))</f>
        <v/>
      </c>
      <c r="AV116" s="92">
        <v>4</v>
      </c>
      <c r="AW116" s="2">
        <f>VLOOKUP(B15,Table1[],8)</f>
        <v>0</v>
      </c>
      <c r="AX116">
        <f>VLOOKUP(B15,Table2[],8)</f>
        <v>0</v>
      </c>
      <c r="AY116">
        <f>IF(AND('Ship Info'!$F$7,'Ship Info'!$C$5&gt;=100),AW116,IF($B$4&lt;100,AX116,AW116))</f>
        <v>0</v>
      </c>
      <c r="AZ116">
        <f>VLOOKUP(C15,Table3[],11)</f>
        <v>0</v>
      </c>
      <c r="BA116" s="46">
        <f>IF(AZ116=0,0,IF(AY116=AZ116,0,1))</f>
        <v>0</v>
      </c>
      <c r="BB116" s="2" t="s">
        <v>1954</v>
      </c>
      <c r="BC116" s="2">
        <v>12</v>
      </c>
      <c r="BD116" s="2">
        <v>8</v>
      </c>
      <c r="BE116" s="2"/>
      <c r="BF116" s="2">
        <v>20</v>
      </c>
      <c r="BG116" s="2" t="s">
        <v>1306</v>
      </c>
      <c r="BH116" s="10">
        <v>10000000</v>
      </c>
      <c r="BI116" s="2" t="s">
        <v>332</v>
      </c>
      <c r="BJ116" s="2"/>
      <c r="BK116" s="2">
        <v>1</v>
      </c>
      <c r="BL116" s="2">
        <v>3</v>
      </c>
      <c r="BM116" s="2">
        <f t="shared" si="39"/>
        <v>12</v>
      </c>
      <c r="BN116" s="2">
        <f t="shared" si="40"/>
        <v>12</v>
      </c>
      <c r="BO116" s="2">
        <f t="shared" si="41"/>
        <v>4</v>
      </c>
      <c r="BP116" s="2">
        <f t="shared" si="42"/>
        <v>20</v>
      </c>
      <c r="BQ116" s="2">
        <f t="shared" si="43"/>
        <v>19</v>
      </c>
      <c r="BR116" s="2">
        <f t="shared" si="44"/>
        <v>19</v>
      </c>
      <c r="BS116" s="2">
        <f t="shared" si="45"/>
        <v>2</v>
      </c>
      <c r="BT116" s="2">
        <v>0</v>
      </c>
    </row>
    <row r="117" spans="15:72" x14ac:dyDescent="0.3">
      <c r="Z117" t="s">
        <v>1998</v>
      </c>
      <c r="AA117">
        <v>24</v>
      </c>
      <c r="AB117" t="s">
        <v>1999</v>
      </c>
      <c r="AC117">
        <v>4000</v>
      </c>
      <c r="AD117">
        <v>4000</v>
      </c>
      <c r="AE117">
        <v>5</v>
      </c>
      <c r="AF117">
        <v>300000000</v>
      </c>
      <c r="AG117">
        <f>Tonnage</f>
        <v>100</v>
      </c>
      <c r="AL117">
        <v>5</v>
      </c>
      <c r="AM117" s="22" t="str">
        <f t="shared" ref="AM117:AM132" si="49">IF(AA32="","",AA32&amp;"x "&amp;Z32&amp;": "&amp;AB32&amp;IF(I16="No",""," EM Hardened")&amp;IF(J16="No","",", Armored")&amp;" "&amp;AF32&amp;AG32&amp;AH32)</f>
        <v/>
      </c>
      <c r="AS117" s="22" t="str">
        <f t="shared" ref="AS117:AS132" si="50">IF(AA32="","",AA32&amp;"x "&amp;Z32&amp;": "&amp;AB32)</f>
        <v/>
      </c>
      <c r="AU117" s="22" t="str">
        <f>IF(AA32=0,"",IF(I16="No",""," Ignore Ion")&amp;IF(J16="No","",", CS-1")&amp;IF(VLOOKUP(E16,Table5[],13)="","",", "&amp;VLOOKUP(E16,Table5[],13))&amp;IF(VLOOKUP(F16,Table5[],13)="","",", "&amp;VLOOKUP(F16,Table5[],13))&amp;IF(VLOOKUP(G16,Table5[],13)="","",""&amp;VLOOKUP(G16,Table5[],13)))</f>
        <v/>
      </c>
      <c r="AV117" s="92">
        <v>5</v>
      </c>
      <c r="AW117" s="2">
        <f>VLOOKUP(B16,Table1[],8)</f>
        <v>0</v>
      </c>
      <c r="AX117">
        <f>VLOOKUP(B16,Table2[],8)</f>
        <v>0</v>
      </c>
      <c r="AY117">
        <f>IF(AND('Ship Info'!$F$7,'Ship Info'!$C$5&gt;=100),AW117,IF($B$4&lt;100,AX117,AW117))</f>
        <v>0</v>
      </c>
      <c r="AZ117">
        <f>VLOOKUP(C16,Table3[],11)</f>
        <v>0</v>
      </c>
      <c r="BA117" s="46">
        <f t="shared" si="48"/>
        <v>0</v>
      </c>
      <c r="BB117" s="2" t="s">
        <v>1958</v>
      </c>
      <c r="BC117" s="2">
        <v>14</v>
      </c>
      <c r="BD117" s="2">
        <v>8</v>
      </c>
      <c r="BE117" s="2"/>
      <c r="BF117" s="2">
        <v>25</v>
      </c>
      <c r="BG117" s="2" t="s">
        <v>1307</v>
      </c>
      <c r="BH117" s="10">
        <v>10000000</v>
      </c>
      <c r="BI117" s="2" t="s">
        <v>332</v>
      </c>
      <c r="BJ117" s="2"/>
      <c r="BK117" s="2">
        <v>1</v>
      </c>
      <c r="BL117" s="2">
        <v>3</v>
      </c>
      <c r="BM117" s="2">
        <f t="shared" si="39"/>
        <v>12</v>
      </c>
      <c r="BN117" s="2">
        <f t="shared" si="40"/>
        <v>12</v>
      </c>
      <c r="BO117" s="2">
        <f t="shared" si="41"/>
        <v>5</v>
      </c>
      <c r="BP117" s="2">
        <f t="shared" si="42"/>
        <v>20</v>
      </c>
      <c r="BQ117" s="2">
        <f t="shared" si="43"/>
        <v>19</v>
      </c>
      <c r="BR117" s="2">
        <f t="shared" si="44"/>
        <v>19</v>
      </c>
      <c r="BS117" s="2">
        <f t="shared" si="45"/>
        <v>2</v>
      </c>
      <c r="BT117" s="2">
        <v>0</v>
      </c>
    </row>
    <row r="118" spans="15:72" x14ac:dyDescent="0.3">
      <c r="Z118" s="78" t="s">
        <v>632</v>
      </c>
      <c r="AA118">
        <v>12</v>
      </c>
      <c r="AB118" t="s">
        <v>322</v>
      </c>
      <c r="AC118">
        <v>7500</v>
      </c>
      <c r="AD118">
        <v>1000</v>
      </c>
      <c r="AE118">
        <v>2</v>
      </c>
      <c r="AF118">
        <v>2000000000</v>
      </c>
      <c r="AG118">
        <v>75000</v>
      </c>
      <c r="AH118" s="46" t="s">
        <v>709</v>
      </c>
      <c r="AL118">
        <v>6</v>
      </c>
      <c r="AM118" s="22" t="str">
        <f t="shared" si="49"/>
        <v/>
      </c>
      <c r="AS118" s="22" t="str">
        <f t="shared" si="50"/>
        <v/>
      </c>
      <c r="AU118" s="22" t="str">
        <f>IF(AA33=0,"",IF(I17="No",""," Ignore Ion")&amp;IF(J17="No","",", CS-1")&amp;IF(VLOOKUP(E17,Table5[],13)="","",", "&amp;VLOOKUP(E17,Table5[],13))&amp;IF(VLOOKUP(F17,Table5[],13)="","",", "&amp;VLOOKUP(F17,Table5[],13))&amp;IF(VLOOKUP(G17,Table5[],13)="","",""&amp;VLOOKUP(G17,Table5[],13)))</f>
        <v/>
      </c>
      <c r="AV118" s="92">
        <v>6</v>
      </c>
      <c r="AW118" s="2">
        <f>VLOOKUP(B17,Table1[],8)</f>
        <v>0</v>
      </c>
      <c r="AX118">
        <f>VLOOKUP(B17,Table2[],8)</f>
        <v>0</v>
      </c>
      <c r="AY118">
        <f>IF(AND('Ship Info'!$F$7,'Ship Info'!$C$5&gt;=100),AW118,IF($B$4&lt;100,AX118,AW118))</f>
        <v>0</v>
      </c>
      <c r="AZ118">
        <f>VLOOKUP(C17,Table3[],11)</f>
        <v>0</v>
      </c>
      <c r="BA118" s="46">
        <f t="shared" si="48"/>
        <v>0</v>
      </c>
      <c r="BB118" s="2" t="s">
        <v>1955</v>
      </c>
      <c r="BC118" s="2">
        <v>14</v>
      </c>
      <c r="BD118" s="2">
        <v>8</v>
      </c>
      <c r="BE118" s="2"/>
      <c r="BF118" s="2">
        <v>30</v>
      </c>
      <c r="BG118" s="2" t="s">
        <v>1307</v>
      </c>
      <c r="BH118" s="10">
        <v>20000000</v>
      </c>
      <c r="BI118" s="2" t="s">
        <v>332</v>
      </c>
      <c r="BJ118" s="2"/>
      <c r="BK118" s="2">
        <v>1</v>
      </c>
      <c r="BL118" s="2">
        <v>3</v>
      </c>
      <c r="BM118" s="2">
        <f t="shared" si="39"/>
        <v>12</v>
      </c>
      <c r="BN118" s="2">
        <f t="shared" si="40"/>
        <v>12</v>
      </c>
      <c r="BO118" s="2">
        <f t="shared" si="41"/>
        <v>6</v>
      </c>
      <c r="BP118" s="2">
        <f t="shared" si="42"/>
        <v>20</v>
      </c>
      <c r="BQ118" s="2">
        <f t="shared" si="43"/>
        <v>19</v>
      </c>
      <c r="BR118" s="2">
        <f t="shared" si="44"/>
        <v>19</v>
      </c>
      <c r="BS118" s="2">
        <f t="shared" si="45"/>
        <v>2</v>
      </c>
      <c r="BT118" s="2">
        <v>0</v>
      </c>
    </row>
    <row r="119" spans="15:72" x14ac:dyDescent="0.3">
      <c r="T119" t="s">
        <v>2742</v>
      </c>
      <c r="Z119" s="78" t="s">
        <v>633</v>
      </c>
      <c r="AA119">
        <v>11</v>
      </c>
      <c r="AB119" t="s">
        <v>322</v>
      </c>
      <c r="AC119">
        <v>3500</v>
      </c>
      <c r="AD119">
        <v>1000</v>
      </c>
      <c r="AE119">
        <v>1</v>
      </c>
      <c r="AF119">
        <v>1000000000</v>
      </c>
      <c r="AG119">
        <v>28000</v>
      </c>
      <c r="AH119" s="46" t="s">
        <v>697</v>
      </c>
      <c r="AL119">
        <v>7</v>
      </c>
      <c r="AM119" s="22" t="str">
        <f t="shared" si="49"/>
        <v/>
      </c>
      <c r="AS119" s="22" t="str">
        <f t="shared" si="50"/>
        <v/>
      </c>
      <c r="AU119" s="22" t="str">
        <f>IF(AA34=0,"",IF(I18="No",""," Ignore Ion")&amp;IF(J18="No","",", CS-1")&amp;IF(VLOOKUP(E18,Table5[],13)="","",", "&amp;VLOOKUP(E18,Table5[],13))&amp;IF(VLOOKUP(F18,Table5[],13)="","",", "&amp;VLOOKUP(F18,Table5[],13))&amp;IF(VLOOKUP(G18,Table5[],13)="","",""&amp;VLOOKUP(G18,Table5[],13)))</f>
        <v/>
      </c>
      <c r="AV119" s="92">
        <v>7</v>
      </c>
      <c r="AW119" s="2">
        <f>VLOOKUP(B18,Table1[],8)</f>
        <v>0</v>
      </c>
      <c r="AX119">
        <f>VLOOKUP(B18,Table2[],8)</f>
        <v>0</v>
      </c>
      <c r="AY119">
        <f>IF(AND('Ship Info'!$F$7,'Ship Info'!$C$5&gt;=100),AW119,IF($B$4&lt;100,AX119,AW119))</f>
        <v>0</v>
      </c>
      <c r="AZ119">
        <f>VLOOKUP(C18,Table3[],11)</f>
        <v>0</v>
      </c>
      <c r="BA119" s="46">
        <f t="shared" si="48"/>
        <v>0</v>
      </c>
      <c r="BB119" s="2" t="str">
        <f>$AB$108</f>
        <v>X1</v>
      </c>
      <c r="BC119" s="2">
        <f>$H$46</f>
        <v>0</v>
      </c>
      <c r="BD119" s="2" t="e">
        <f>IF($G$46=0,"",INDEX($U$64:$V$71,MATCH($G$46,$V$64:$V$71,0),1))</f>
        <v>#N/A</v>
      </c>
      <c r="BE119" s="2"/>
      <c r="BF119" s="2">
        <f>$I$46</f>
        <v>0</v>
      </c>
      <c r="BG119" s="2">
        <f>$J$46</f>
        <v>0</v>
      </c>
      <c r="BH119" s="10">
        <f>$L$46</f>
        <v>0</v>
      </c>
      <c r="BI119" s="2" t="str">
        <f>IF($M$46=0,"",$M$46)</f>
        <v/>
      </c>
      <c r="BJ119" s="2"/>
      <c r="BK119" s="2">
        <f>IF(Table3[[#This Row],[Index]]=1,0,1)</f>
        <v>1</v>
      </c>
      <c r="BL119" s="2" t="str">
        <f>IF(P46="","",VALUE(LEFT(P46,1)))</f>
        <v/>
      </c>
      <c r="BM119" s="2">
        <f t="shared" si="39"/>
        <v>12</v>
      </c>
      <c r="BN119" s="2">
        <f t="shared" si="40"/>
        <v>12</v>
      </c>
      <c r="BO119" s="2">
        <f t="shared" si="41"/>
        <v>6</v>
      </c>
      <c r="BP119" s="2">
        <f t="shared" si="42"/>
        <v>20</v>
      </c>
      <c r="BQ119" s="2">
        <f t="shared" si="43"/>
        <v>19</v>
      </c>
      <c r="BR119" s="2">
        <f t="shared" si="44"/>
        <v>19</v>
      </c>
      <c r="BS119" s="2">
        <f t="shared" si="45"/>
        <v>2</v>
      </c>
      <c r="BT119" s="2"/>
    </row>
    <row r="120" spans="15:72" x14ac:dyDescent="0.3">
      <c r="T120" t="s">
        <v>2741</v>
      </c>
      <c r="Z120" s="78" t="s">
        <v>377</v>
      </c>
      <c r="AA120">
        <v>10</v>
      </c>
      <c r="AB120" t="s">
        <v>316</v>
      </c>
      <c r="AC120">
        <v>3500</v>
      </c>
      <c r="AD120">
        <v>500</v>
      </c>
      <c r="AE120">
        <v>1</v>
      </c>
      <c r="AF120">
        <v>500000000</v>
      </c>
      <c r="AG120">
        <v>21000</v>
      </c>
      <c r="AH120" s="46"/>
      <c r="AL120">
        <v>8</v>
      </c>
      <c r="AM120" s="22" t="str">
        <f t="shared" si="49"/>
        <v/>
      </c>
      <c r="AS120" s="22" t="str">
        <f t="shared" si="50"/>
        <v/>
      </c>
      <c r="AU120" s="22" t="str">
        <f>IF(AA35=0,"",IF(I19="No",""," Ignore Ion")&amp;IF(J19="No","",", CS-1")&amp;IF(VLOOKUP(E19,Table5[],13)="","",", "&amp;VLOOKUP(E19,Table5[],13))&amp;IF(VLOOKUP(F19,Table5[],13)="","",", "&amp;VLOOKUP(F19,Table5[],13))&amp;IF(VLOOKUP(G19,Table5[],13)="","",""&amp;VLOOKUP(G19,Table5[],13)))</f>
        <v/>
      </c>
      <c r="AV120" s="92">
        <v>8</v>
      </c>
      <c r="AW120" s="2">
        <f>VLOOKUP(B19,Table1[],8)</f>
        <v>0</v>
      </c>
      <c r="AX120">
        <f>VLOOKUP(B19,Table2[],8)</f>
        <v>0</v>
      </c>
      <c r="AY120">
        <f>IF(AND('Ship Info'!$F$7,'Ship Info'!$C$5&gt;=100),AW120,IF($B$4&lt;100,AX120,AW120))</f>
        <v>0</v>
      </c>
      <c r="AZ120">
        <f>VLOOKUP(C19,Table3[],11)</f>
        <v>0</v>
      </c>
      <c r="BA120" s="46">
        <f t="shared" si="48"/>
        <v>0</v>
      </c>
      <c r="BB120" s="2" t="str">
        <f>$AB$109</f>
        <v>X2</v>
      </c>
      <c r="BC120" s="2">
        <f>$H$50</f>
        <v>0</v>
      </c>
      <c r="BD120" s="2" t="str">
        <f>IF($G$50="","",INDEX($U$64:$V$71,MATCH($G$50,$V$64:$V$71,0),1))</f>
        <v/>
      </c>
      <c r="BE120" s="2"/>
      <c r="BF120" s="2">
        <f>$I$50</f>
        <v>0</v>
      </c>
      <c r="BG120" s="2">
        <f>$J$50</f>
        <v>0</v>
      </c>
      <c r="BH120" s="10">
        <f>$L$50</f>
        <v>0</v>
      </c>
      <c r="BI120" s="2" t="str">
        <f>IF($M$50=0,"",$M$50)</f>
        <v/>
      </c>
      <c r="BJ120" s="2"/>
      <c r="BK120" s="2">
        <f>IF(Table3[[#This Row],[Index]]=1,0,1)</f>
        <v>1</v>
      </c>
      <c r="BL120" s="2" t="str">
        <f>IF(P50="","",VALUE(LEFT(P50,1)))</f>
        <v/>
      </c>
      <c r="BM120" s="2">
        <f t="shared" si="39"/>
        <v>12</v>
      </c>
      <c r="BN120" s="2">
        <f t="shared" si="40"/>
        <v>12</v>
      </c>
      <c r="BO120" s="2">
        <f t="shared" si="41"/>
        <v>6</v>
      </c>
      <c r="BP120" s="2">
        <f t="shared" si="42"/>
        <v>20</v>
      </c>
      <c r="BQ120" s="2">
        <f t="shared" si="43"/>
        <v>19</v>
      </c>
      <c r="BR120" s="2">
        <f t="shared" si="44"/>
        <v>19</v>
      </c>
      <c r="BS120" s="2">
        <f t="shared" si="45"/>
        <v>2</v>
      </c>
      <c r="BT120" s="2"/>
    </row>
    <row r="121" spans="15:72" x14ac:dyDescent="0.3">
      <c r="O121"/>
      <c r="P121"/>
      <c r="Q121"/>
      <c r="R121"/>
      <c r="S121"/>
      <c r="U121" s="2"/>
      <c r="Z121" s="86" t="s">
        <v>380</v>
      </c>
      <c r="AA121" s="28">
        <v>16</v>
      </c>
      <c r="AB121" s="28" t="s">
        <v>381</v>
      </c>
      <c r="AC121" s="28">
        <v>20000</v>
      </c>
      <c r="AD121" s="28">
        <v>6000</v>
      </c>
      <c r="AE121" s="28">
        <v>4</v>
      </c>
      <c r="AF121" s="28">
        <v>25000000000</v>
      </c>
      <c r="AG121" s="28">
        <f>'1-Hull'!B4</f>
        <v>100</v>
      </c>
      <c r="AH121" s="79"/>
      <c r="AI121" s="505" t="s">
        <v>2033</v>
      </c>
      <c r="AL121">
        <v>9</v>
      </c>
      <c r="AM121" s="22" t="str">
        <f t="shared" si="49"/>
        <v/>
      </c>
      <c r="AS121" s="22" t="str">
        <f t="shared" si="50"/>
        <v/>
      </c>
      <c r="AU121" s="22" t="str">
        <f>IF(AA36=0,"",IF(I20="No",""," Ignore Ion")&amp;IF(J20="No","",", CS-1")&amp;IF(VLOOKUP(E20,Table5[],13)="","",", "&amp;VLOOKUP(E20,Table5[],13))&amp;IF(VLOOKUP(F20,Table5[],13)="","",", "&amp;VLOOKUP(F20,Table5[],13))&amp;IF(VLOOKUP(G20,Table5[],13)="","",""&amp;VLOOKUP(G20,Table5[],13)))</f>
        <v/>
      </c>
      <c r="AV121" s="92">
        <v>9</v>
      </c>
      <c r="AW121" s="2">
        <f>VLOOKUP(B20,Table1[],8)</f>
        <v>0</v>
      </c>
      <c r="AX121">
        <f>VLOOKUP(B20,Table2[],8)</f>
        <v>0</v>
      </c>
      <c r="AY121">
        <f>IF(AND('Ship Info'!$F$7,'Ship Info'!$C$5&gt;=100),AW121,IF($B$4&lt;100,AX121,AW121))</f>
        <v>0</v>
      </c>
      <c r="AZ121">
        <f>VLOOKUP(C20,Table3[],11)</f>
        <v>0</v>
      </c>
      <c r="BA121" s="46">
        <f t="shared" si="48"/>
        <v>0</v>
      </c>
      <c r="BB121" s="2" t="str">
        <f>$AB$110</f>
        <v>X3</v>
      </c>
      <c r="BC121" s="2">
        <f>$H$53</f>
        <v>0</v>
      </c>
      <c r="BD121" s="2" t="str">
        <f>IF($G$53="","",INDEX($U$64:$V$71,MATCH($G$53,$V$64:$V$71,0),1))</f>
        <v/>
      </c>
      <c r="BE121" s="2"/>
      <c r="BF121" s="2">
        <f>$I$53</f>
        <v>0</v>
      </c>
      <c r="BG121" s="2">
        <f>$J$53</f>
        <v>0</v>
      </c>
      <c r="BH121" s="10">
        <f>$L$53</f>
        <v>0</v>
      </c>
      <c r="BI121" s="2" t="str">
        <f>IF($M$53=0,"",$M$53)</f>
        <v/>
      </c>
      <c r="BJ121" s="2"/>
      <c r="BK121" s="2">
        <f>IF(Table3[[#This Row],[Index]]=1,0,1)</f>
        <v>1</v>
      </c>
      <c r="BL121" s="2" t="str">
        <f>IF(P53="","",VALUE(LEFT(P53,1)))</f>
        <v/>
      </c>
      <c r="BM121" s="2">
        <f t="shared" si="39"/>
        <v>12</v>
      </c>
      <c r="BN121" s="2">
        <f t="shared" si="40"/>
        <v>12</v>
      </c>
      <c r="BO121" s="2">
        <f t="shared" si="41"/>
        <v>6</v>
      </c>
      <c r="BP121" s="2">
        <f t="shared" si="42"/>
        <v>20</v>
      </c>
      <c r="BQ121" s="2">
        <f t="shared" si="43"/>
        <v>19</v>
      </c>
      <c r="BR121" s="2">
        <f t="shared" si="44"/>
        <v>19</v>
      </c>
      <c r="BS121" s="2">
        <f t="shared" si="45"/>
        <v>2</v>
      </c>
      <c r="BT121" s="2"/>
    </row>
    <row r="122" spans="15:72" x14ac:dyDescent="0.3">
      <c r="O122"/>
      <c r="P122"/>
      <c r="Q122"/>
      <c r="R122"/>
      <c r="S122"/>
      <c r="T122" t="s">
        <v>2739</v>
      </c>
      <c r="U122" s="2"/>
      <c r="Z122" t="s">
        <v>2032</v>
      </c>
      <c r="AA122">
        <v>10</v>
      </c>
      <c r="AB122" t="s">
        <v>320</v>
      </c>
      <c r="AC122">
        <f>0.05*Tonnage+10*D36</f>
        <v>5</v>
      </c>
      <c r="AD122">
        <f>ROUNDUP(0.1*AC122,0)</f>
        <v>1</v>
      </c>
      <c r="AE122" t="str">
        <f>"x"&amp;4*D36</f>
        <v>x0</v>
      </c>
      <c r="AF122">
        <f>2000000*AC122</f>
        <v>10000000</v>
      </c>
      <c r="AG122">
        <f>Tonnage</f>
        <v>100</v>
      </c>
      <c r="AH122" t="s">
        <v>321</v>
      </c>
      <c r="AI122" s="260">
        <f>IF(B36=Z122,4+ROUNDUP(AC122/100,0),0)-D37</f>
        <v>0</v>
      </c>
      <c r="AL122">
        <v>10</v>
      </c>
      <c r="AM122" s="22" t="str">
        <f t="shared" si="49"/>
        <v/>
      </c>
      <c r="AS122" s="22" t="str">
        <f t="shared" si="50"/>
        <v/>
      </c>
      <c r="AU122" s="22" t="str">
        <f>IF(AA37=0,"",IF(I21="No",""," Ignore Ion")&amp;IF(J21="No","",", CS-1")&amp;IF(VLOOKUP(E21,Table5[],13)="","",", "&amp;VLOOKUP(E21,Table5[],13))&amp;IF(VLOOKUP(F21,Table5[],13)="","",", "&amp;VLOOKUP(F21,Table5[],13))&amp;IF(VLOOKUP(G21,Table5[],13)="","",""&amp;VLOOKUP(G21,Table5[],13)))</f>
        <v/>
      </c>
      <c r="AV122" s="92">
        <v>10</v>
      </c>
      <c r="AW122" s="2">
        <f>VLOOKUP(B21,Table1[],8)</f>
        <v>0</v>
      </c>
      <c r="AX122">
        <f>VLOOKUP(B21,Table2[],8)</f>
        <v>0</v>
      </c>
      <c r="AY122">
        <f>IF(AND('Ship Info'!$F$7,'Ship Info'!$C$5&gt;=100),AW122,IF($B$4&lt;100,AX122,AW122))</f>
        <v>0</v>
      </c>
      <c r="AZ122">
        <f>VLOOKUP(C21,Table3[],11)</f>
        <v>0</v>
      </c>
      <c r="BA122" s="46">
        <f t="shared" si="48"/>
        <v>0</v>
      </c>
    </row>
    <row r="123" spans="15:72" x14ac:dyDescent="0.3">
      <c r="T123" t="s">
        <v>2737</v>
      </c>
      <c r="AL123">
        <v>11</v>
      </c>
      <c r="AM123" s="22" t="str">
        <f t="shared" si="49"/>
        <v/>
      </c>
      <c r="AS123" s="22" t="str">
        <f t="shared" si="50"/>
        <v/>
      </c>
      <c r="AU123" s="22" t="str">
        <f>IF(AA38=0,"",IF(I22="No",""," Ignore Ion")&amp;IF(J22="No","",", CS-1")&amp;IF(VLOOKUP(E22,Table5[],13)="","",", "&amp;VLOOKUP(E22,Table5[],13))&amp;IF(VLOOKUP(F22,Table5[],13)="","",", "&amp;VLOOKUP(F22,Table5[],13))&amp;IF(VLOOKUP(G22,Table5[],13)="","",""&amp;VLOOKUP(G22,Table5[],13)))</f>
        <v/>
      </c>
      <c r="AV123" s="92">
        <v>11</v>
      </c>
      <c r="AW123" s="2">
        <f>VLOOKUP(B22,Table1[],8)</f>
        <v>0</v>
      </c>
      <c r="AX123">
        <f>VLOOKUP(B22,Table2[],8)</f>
        <v>0</v>
      </c>
      <c r="AY123">
        <f>IF(AND('Ship Info'!$F$7,'Ship Info'!$C$5&gt;=100),AW123,IF($B$4&lt;100,AX123,AW123))</f>
        <v>0</v>
      </c>
      <c r="AZ123">
        <f>VLOOKUP(C22,Table3[],11)</f>
        <v>0</v>
      </c>
      <c r="BA123" s="46">
        <f t="shared" si="48"/>
        <v>0</v>
      </c>
    </row>
    <row r="124" spans="15:72" x14ac:dyDescent="0.3">
      <c r="T124">
        <f>IF(B38="Automate Spinal Mount Size Reduction",((T130)*-0.05)-0.05,0)</f>
        <v>0</v>
      </c>
      <c r="V124" s="3" t="s">
        <v>1092</v>
      </c>
      <c r="W124" s="3"/>
      <c r="X124" s="3" t="s">
        <v>1093</v>
      </c>
      <c r="Z124" s="3" t="s">
        <v>383</v>
      </c>
      <c r="AA124" s="7" t="s">
        <v>26</v>
      </c>
      <c r="AB124" s="7" t="s">
        <v>310</v>
      </c>
      <c r="AC124" s="7" t="s">
        <v>110</v>
      </c>
      <c r="AD124" s="7" t="s">
        <v>1</v>
      </c>
      <c r="AE124" s="1" t="s">
        <v>164</v>
      </c>
      <c r="AF124" s="1" t="s">
        <v>1081</v>
      </c>
      <c r="AG124" s="3" t="s">
        <v>1029</v>
      </c>
      <c r="AH124" s="3" t="s">
        <v>710</v>
      </c>
      <c r="AI124" s="47"/>
      <c r="AL124">
        <v>12</v>
      </c>
      <c r="AM124" s="22" t="str">
        <f t="shared" si="49"/>
        <v/>
      </c>
      <c r="AS124" s="22" t="str">
        <f t="shared" si="50"/>
        <v/>
      </c>
      <c r="AU124" s="22" t="str">
        <f>IF(AA39=0,"",IF(I23="No",""," Ignore Ion")&amp;IF(J23="No","",", CS-1")&amp;IF(VLOOKUP(E23,Table5[],13)="","",", "&amp;VLOOKUP(E23,Table5[],13))&amp;IF(VLOOKUP(F23,Table5[],13)="","",", "&amp;VLOOKUP(F23,Table5[],13))&amp;IF(VLOOKUP(G23,Table5[],13)="","",""&amp;VLOOKUP(G23,Table5[],13)))</f>
        <v/>
      </c>
      <c r="AV124" s="92">
        <v>12</v>
      </c>
      <c r="AW124" s="2">
        <f>VLOOKUP(B23,Table1[],8)</f>
        <v>0</v>
      </c>
      <c r="AX124">
        <f>VLOOKUP(B23,Table2[],8)</f>
        <v>0</v>
      </c>
      <c r="AY124">
        <f>IF(AND('Ship Info'!$F$7,'Ship Info'!$C$5&gt;=100),AW124,IF($B$4&lt;100,AX124,AW124))</f>
        <v>0</v>
      </c>
      <c r="AZ124">
        <f>VLOOKUP(C23,Table3[],11)</f>
        <v>0</v>
      </c>
      <c r="BA124" s="46">
        <f t="shared" si="48"/>
        <v>0</v>
      </c>
    </row>
    <row r="125" spans="15:72" x14ac:dyDescent="0.3">
      <c r="V125" t="s">
        <v>382</v>
      </c>
      <c r="X125" t="s">
        <v>382</v>
      </c>
      <c r="Z125" t="s">
        <v>382</v>
      </c>
      <c r="AA125">
        <v>0</v>
      </c>
      <c r="AC125">
        <v>0</v>
      </c>
      <c r="AD125">
        <v>0</v>
      </c>
      <c r="AE125" t="str">
        <f>""</f>
        <v/>
      </c>
      <c r="AF125" s="2">
        <v>0</v>
      </c>
      <c r="AI125" s="46"/>
      <c r="AL125">
        <v>13</v>
      </c>
      <c r="AM125" s="22" t="str">
        <f t="shared" si="49"/>
        <v/>
      </c>
      <c r="AS125" s="22" t="str">
        <f t="shared" si="50"/>
        <v/>
      </c>
      <c r="AU125" s="22" t="str">
        <f>IF(AA40=0,"",IF(I24="No",""," Ignore Ion")&amp;IF(J24="No","",", CS-1")&amp;IF(VLOOKUP(E24,Table5[],13)="","",", "&amp;VLOOKUP(E24,Table5[],13))&amp;IF(VLOOKUP(F24,Table5[],13)="","",", "&amp;VLOOKUP(F24,Table5[],13))&amp;IF(VLOOKUP(G24,Table5[],13)="","",""&amp;VLOOKUP(G24,Table5[],13)))</f>
        <v/>
      </c>
      <c r="AV125" s="92">
        <v>13</v>
      </c>
      <c r="AW125" s="2">
        <f>VLOOKUP(B24,Table1[],8)</f>
        <v>0</v>
      </c>
      <c r="AX125">
        <f>VLOOKUP(B24,Table2[],8)</f>
        <v>0</v>
      </c>
      <c r="AY125">
        <f>IF(AND('Ship Info'!$F$7,'Ship Info'!$C$5&gt;=100),AW125,IF($B$4&lt;100,AX125,AW125))</f>
        <v>0</v>
      </c>
      <c r="AZ125">
        <f>VLOOKUP(C24,Table3[],11)</f>
        <v>0</v>
      </c>
      <c r="BA125" s="46">
        <f t="shared" si="48"/>
        <v>0</v>
      </c>
    </row>
    <row r="126" spans="15:72" x14ac:dyDescent="0.3">
      <c r="T126" t="s">
        <v>2738</v>
      </c>
      <c r="V126" s="141" t="s">
        <v>2044</v>
      </c>
      <c r="X126" s="141" t="s">
        <v>2044</v>
      </c>
      <c r="Z126" s="141" t="s">
        <v>2044</v>
      </c>
      <c r="AA126">
        <v>0</v>
      </c>
      <c r="AB126">
        <v>0</v>
      </c>
      <c r="AC126">
        <v>0.2</v>
      </c>
      <c r="AD126">
        <v>-0.25</v>
      </c>
      <c r="AE126" t="s">
        <v>1111</v>
      </c>
      <c r="AF126" s="2">
        <v>3</v>
      </c>
      <c r="AG126" s="141" t="s">
        <v>2094</v>
      </c>
      <c r="AI126" s="46"/>
      <c r="AL126">
        <v>14</v>
      </c>
      <c r="AM126" s="22" t="str">
        <f t="shared" si="49"/>
        <v/>
      </c>
      <c r="AS126" s="22" t="str">
        <f t="shared" si="50"/>
        <v/>
      </c>
      <c r="AU126" s="22" t="str">
        <f>IF(AA41=0,"",IF(I25="No",""," Ignore Ion")&amp;IF(J25="No","",", CS-1")&amp;IF(VLOOKUP(E25,Table5[],13)="","",", "&amp;VLOOKUP(E25,Table5[],13))&amp;IF(VLOOKUP(F25,Table5[],13)="","",", "&amp;VLOOKUP(F25,Table5[],13))&amp;IF(VLOOKUP(G25,Table5[],13)="","",""&amp;VLOOKUP(G25,Table5[],13)))</f>
        <v/>
      </c>
      <c r="AV126" s="92">
        <v>14</v>
      </c>
      <c r="AW126" s="2">
        <f>VLOOKUP(B25,Table1[],8)</f>
        <v>0</v>
      </c>
      <c r="AX126">
        <f>VLOOKUP(B25,Table2[],8)</f>
        <v>0</v>
      </c>
      <c r="AY126">
        <f>IF(AND('Ship Info'!$F$7,'Ship Info'!$C$5&gt;=100),AW126,IF($B$4&lt;100,AX126,AW126))</f>
        <v>0</v>
      </c>
      <c r="AZ126">
        <f>VLOOKUP(C25,Table3[],11)</f>
        <v>0</v>
      </c>
      <c r="BA126" s="46">
        <f t="shared" si="48"/>
        <v>0</v>
      </c>
    </row>
    <row r="127" spans="15:72" x14ac:dyDescent="0.3">
      <c r="T127">
        <f>IF(B38="Automate Spinal Mount Size Reduction",((T130)*0.1),0)</f>
        <v>0</v>
      </c>
      <c r="V127" s="16" t="s">
        <v>1012</v>
      </c>
      <c r="X127" s="16" t="s">
        <v>1012</v>
      </c>
      <c r="Z127" s="16" t="s">
        <v>1012</v>
      </c>
      <c r="AA127">
        <v>0</v>
      </c>
      <c r="AB127">
        <v>0</v>
      </c>
      <c r="AC127">
        <v>0</v>
      </c>
      <c r="AD127">
        <v>-0.25</v>
      </c>
      <c r="AE127" t="s">
        <v>964</v>
      </c>
      <c r="AF127" s="2">
        <v>3</v>
      </c>
      <c r="AG127" s="16" t="s">
        <v>620</v>
      </c>
      <c r="AH127" t="s">
        <v>964</v>
      </c>
      <c r="AI127" s="46"/>
      <c r="AL127">
        <v>15</v>
      </c>
      <c r="AM127" s="22" t="str">
        <f t="shared" si="49"/>
        <v/>
      </c>
      <c r="AS127" s="22" t="str">
        <f t="shared" si="50"/>
        <v/>
      </c>
      <c r="AU127" s="22" t="str">
        <f>IF(AA42=0,"",IF(I26="No",""," Ignore Ion")&amp;IF(J26="No","",", CS-1")&amp;IF(VLOOKUP(E26,Table5[],13)="","",", "&amp;VLOOKUP(E26,Table5[],13))&amp;IF(VLOOKUP(F26,Table5[],13)="","",", "&amp;VLOOKUP(F26,Table5[],13))&amp;IF(VLOOKUP(G26,Table5[],13)="","",""&amp;VLOOKUP(G26,Table5[],13)))</f>
        <v/>
      </c>
      <c r="AV127" s="92">
        <v>15</v>
      </c>
      <c r="AW127" s="2">
        <f>VLOOKUP(B26,Table1[],8)</f>
        <v>0</v>
      </c>
      <c r="AX127">
        <f>VLOOKUP(B26,Table2[],8)</f>
        <v>0</v>
      </c>
      <c r="AY127">
        <f>IF(AND('Ship Info'!$F$7,'Ship Info'!$C$5&gt;=100),AW127,IF($B$4&lt;100,AX127,AW127))</f>
        <v>0</v>
      </c>
      <c r="AZ127">
        <f>VLOOKUP(C26,Table3[],11)</f>
        <v>0</v>
      </c>
      <c r="BA127" s="46">
        <f t="shared" si="48"/>
        <v>0</v>
      </c>
    </row>
    <row r="128" spans="15:72" x14ac:dyDescent="0.3">
      <c r="V128" s="16" t="s">
        <v>2042</v>
      </c>
      <c r="X128" s="16" t="s">
        <v>2042</v>
      </c>
      <c r="Z128" s="16" t="s">
        <v>2042</v>
      </c>
      <c r="AA128">
        <v>0</v>
      </c>
      <c r="AB128">
        <v>0.3</v>
      </c>
      <c r="AC128">
        <v>0</v>
      </c>
      <c r="AD128">
        <v>-0.25</v>
      </c>
      <c r="AE128" t="s">
        <v>403</v>
      </c>
      <c r="AF128" s="2">
        <v>3</v>
      </c>
      <c r="AG128" s="16" t="s">
        <v>2043</v>
      </c>
      <c r="AI128" s="46"/>
      <c r="AL128">
        <v>16</v>
      </c>
      <c r="AM128" s="22" t="str">
        <f t="shared" si="49"/>
        <v/>
      </c>
      <c r="AS128" s="22" t="str">
        <f t="shared" si="50"/>
        <v/>
      </c>
      <c r="AU128" s="22" t="str">
        <f>IF(AA43=0,"",IF(I27="No",""," Ignore Ion")&amp;IF(J27="No","",", CS-1")&amp;IF(VLOOKUP(E27,Table5[],13)="","",", "&amp;VLOOKUP(E27,Table5[],13))&amp;IF(VLOOKUP(F27,Table5[],13)="","",", "&amp;VLOOKUP(F27,Table5[],13))&amp;IF(VLOOKUP(G27,Table5[],13)="","",""&amp;VLOOKUP(G27,Table5[],13)))</f>
        <v/>
      </c>
      <c r="AV128" s="92">
        <v>16</v>
      </c>
      <c r="AW128" s="2">
        <f>VLOOKUP(B27,Table1[],8)</f>
        <v>0</v>
      </c>
      <c r="AX128">
        <f>VLOOKUP(B27,Table2[],8)</f>
        <v>0</v>
      </c>
      <c r="AY128">
        <f>IF(AND('Ship Info'!$F$7,'Ship Info'!$C$5&gt;=100),AW128,IF($B$4&lt;100,AX128,AW128))</f>
        <v>0</v>
      </c>
      <c r="AZ128">
        <f>VLOOKUP(C27,Table3[],11)</f>
        <v>0</v>
      </c>
      <c r="BA128" s="46">
        <f t="shared" si="48"/>
        <v>0</v>
      </c>
    </row>
    <row r="129" spans="20:53" x14ac:dyDescent="0.3">
      <c r="T129" t="s">
        <v>2740</v>
      </c>
      <c r="V129" s="16" t="s">
        <v>2306</v>
      </c>
      <c r="X129" s="16" t="s">
        <v>2306</v>
      </c>
      <c r="Z129" s="16" t="s">
        <v>2306</v>
      </c>
      <c r="AA129">
        <v>1</v>
      </c>
      <c r="AB129">
        <v>0</v>
      </c>
      <c r="AC129">
        <v>0</v>
      </c>
      <c r="AD129">
        <v>-0.1</v>
      </c>
      <c r="AE129" t="s">
        <v>698</v>
      </c>
      <c r="AF129" s="2">
        <v>3</v>
      </c>
      <c r="AG129" s="16" t="s">
        <v>2313</v>
      </c>
      <c r="AI129" s="46"/>
      <c r="AL129">
        <v>17</v>
      </c>
      <c r="AM129" s="22" t="str">
        <f t="shared" si="49"/>
        <v/>
      </c>
      <c r="AS129" s="22" t="str">
        <f t="shared" si="50"/>
        <v/>
      </c>
      <c r="AU129" s="22" t="str">
        <f>IF(AA44=0,"",IF(I28="No",""," Ignore Ion")&amp;IF(J28="No","",", CS-1")&amp;IF(VLOOKUP(E28,Table5[],13)="","",", "&amp;VLOOKUP(E28,Table5[],13))&amp;IF(VLOOKUP(F28,Table5[],13)="","",", "&amp;VLOOKUP(F28,Table5[],13))&amp;IF(VLOOKUP(G28,Table5[],13)="","",""&amp;VLOOKUP(G28,Table5[],13)))</f>
        <v/>
      </c>
      <c r="AV129" s="92">
        <v>17</v>
      </c>
      <c r="AW129" s="2">
        <f>VLOOKUP(B28,Table1[],8)</f>
        <v>0</v>
      </c>
      <c r="AX129">
        <f>VLOOKUP(B28,Table2[],8)</f>
        <v>0</v>
      </c>
      <c r="AY129">
        <f>IF(AND('Ship Info'!$F$7,'Ship Info'!$C$5&gt;=100),AW129,IF($B$4&lt;100,AX129,AW129))</f>
        <v>0</v>
      </c>
      <c r="AZ129">
        <f>VLOOKUP(C28,Table3[],11)</f>
        <v>0</v>
      </c>
      <c r="BA129" s="46">
        <f t="shared" si="48"/>
        <v>0</v>
      </c>
    </row>
    <row r="130" spans="20:53" x14ac:dyDescent="0.3">
      <c r="T130">
        <f>IF(B38="Automate Spinal Mount Size Reduction",IF(D40="Yes",(MIN(K2-IF(B36=Z113,0,X154+Y154),3)),K2-IF(B36=Z113,0,X154+Y154)),0)</f>
        <v>0</v>
      </c>
      <c r="V130" s="16" t="s">
        <v>2307</v>
      </c>
      <c r="X130" s="16" t="s">
        <v>2307</v>
      </c>
      <c r="Z130" s="16" t="s">
        <v>2307</v>
      </c>
      <c r="AA130">
        <v>2</v>
      </c>
      <c r="AB130">
        <v>0</v>
      </c>
      <c r="AC130">
        <v>0</v>
      </c>
      <c r="AD130">
        <v>-0.2</v>
      </c>
      <c r="AE130" t="s">
        <v>699</v>
      </c>
      <c r="AF130" s="2">
        <v>3</v>
      </c>
      <c r="AG130" s="16" t="s">
        <v>2314</v>
      </c>
      <c r="AI130" s="46"/>
      <c r="AL130">
        <v>18</v>
      </c>
      <c r="AM130" s="22" t="str">
        <f t="shared" si="49"/>
        <v/>
      </c>
      <c r="AS130" s="22" t="str">
        <f t="shared" si="50"/>
        <v/>
      </c>
      <c r="AU130" s="22" t="str">
        <f>IF(AA45=0,"",IF(I29="No",""," Ignore Ion")&amp;IF(J29="No","",", CS-1")&amp;IF(VLOOKUP(E29,Table5[],13)="","",", "&amp;VLOOKUP(E29,Table5[],13))&amp;IF(VLOOKUP(F29,Table5[],13)="","",", "&amp;VLOOKUP(F29,Table5[],13))&amp;IF(VLOOKUP(G29,Table5[],13)="","",""&amp;VLOOKUP(G29,Table5[],13)))</f>
        <v/>
      </c>
      <c r="AV130" s="92">
        <v>18</v>
      </c>
      <c r="AW130" s="2">
        <f>VLOOKUP(B29,Table1[],8)</f>
        <v>0</v>
      </c>
      <c r="AX130">
        <f>VLOOKUP(B29,Table2[],8)</f>
        <v>0</v>
      </c>
      <c r="AY130">
        <f>IF(AND('Ship Info'!$F$7,'Ship Info'!$C$5&gt;=100),AW130,IF($B$4&lt;100,AX130,AW130))</f>
        <v>0</v>
      </c>
      <c r="AZ130">
        <f>VLOOKUP(C29,Table3[],11)</f>
        <v>0</v>
      </c>
      <c r="BA130" s="46">
        <f t="shared" si="48"/>
        <v>0</v>
      </c>
    </row>
    <row r="131" spans="20:53" x14ac:dyDescent="0.3">
      <c r="V131" s="16" t="s">
        <v>2308</v>
      </c>
      <c r="X131" s="16" t="s">
        <v>2308</v>
      </c>
      <c r="Z131" s="16" t="s">
        <v>2308</v>
      </c>
      <c r="AA131">
        <v>3</v>
      </c>
      <c r="AB131">
        <v>0</v>
      </c>
      <c r="AC131">
        <v>0</v>
      </c>
      <c r="AD131">
        <v>-0.3</v>
      </c>
      <c r="AE131" t="s">
        <v>700</v>
      </c>
      <c r="AF131" s="2">
        <v>3</v>
      </c>
      <c r="AG131" s="16" t="s">
        <v>2315</v>
      </c>
      <c r="AI131" s="46"/>
      <c r="AL131">
        <v>19</v>
      </c>
      <c r="AM131" s="22" t="str">
        <f t="shared" si="49"/>
        <v/>
      </c>
      <c r="AS131" s="22" t="str">
        <f t="shared" si="50"/>
        <v/>
      </c>
      <c r="AU131" s="22" t="str">
        <f>IF(AA46=0,"",IF(I30="No",""," Ignore Ion")&amp;IF(J30="No","",", CS-1")&amp;IF(VLOOKUP(E30,Table5[],13)="","",", "&amp;VLOOKUP(E30,Table5[],13))&amp;IF(VLOOKUP(F30,Table5[],13)="","",", "&amp;VLOOKUP(F30,Table5[],13))&amp;IF(VLOOKUP(G30,Table5[],13)="","",""&amp;VLOOKUP(G30,Table5[],13)))</f>
        <v/>
      </c>
      <c r="AV131" s="92">
        <v>19</v>
      </c>
      <c r="AW131" s="2">
        <f>VLOOKUP(B30,Table1[],8)</f>
        <v>0</v>
      </c>
      <c r="AX131">
        <f>VLOOKUP(B30,Table2[],8)</f>
        <v>0</v>
      </c>
      <c r="AY131">
        <f>IF(AND('Ship Info'!$F$7,'Ship Info'!$C$5&gt;=100),AW131,IF($B$4&lt;100,AX131,AW131))</f>
        <v>0</v>
      </c>
      <c r="AZ131">
        <f>VLOOKUP(C30,Table3[],11)</f>
        <v>0</v>
      </c>
      <c r="BA131" s="46">
        <f t="shared" si="48"/>
        <v>0</v>
      </c>
    </row>
    <row r="132" spans="20:53" x14ac:dyDescent="0.3">
      <c r="T132" t="s">
        <v>2743</v>
      </c>
      <c r="V132" t="s">
        <v>2098</v>
      </c>
      <c r="X132" s="16" t="s">
        <v>1084</v>
      </c>
      <c r="Z132" t="s">
        <v>2098</v>
      </c>
      <c r="AA132">
        <v>1</v>
      </c>
      <c r="AC132">
        <v>-0.1</v>
      </c>
      <c r="AD132">
        <v>0.1</v>
      </c>
      <c r="AE132" t="s">
        <v>1082</v>
      </c>
      <c r="AF132" s="2">
        <v>1</v>
      </c>
      <c r="AG132" t="s">
        <v>2095</v>
      </c>
      <c r="AI132" s="46"/>
      <c r="AL132">
        <v>20</v>
      </c>
      <c r="AM132" s="22" t="str">
        <f t="shared" si="49"/>
        <v/>
      </c>
      <c r="AS132" s="22" t="str">
        <f t="shared" si="50"/>
        <v/>
      </c>
      <c r="AU132" s="22" t="str">
        <f>IF(AA47=0,"",IF(I31="No",""," Ignore Ion")&amp;IF(J31="No","",", CS-1")&amp;IF(VLOOKUP(E31,Table5[],13)="","",", "&amp;VLOOKUP(E31,Table5[],13))&amp;IF(VLOOKUP(F31,Table5[],13)="","",", "&amp;VLOOKUP(F31,Table5[],13))&amp;IF(VLOOKUP(G31,Table5[],13)="","",""&amp;VLOOKUP(G31,Table5[],13)))</f>
        <v/>
      </c>
      <c r="AV132" s="140">
        <v>20</v>
      </c>
      <c r="AW132" s="130">
        <f>VLOOKUP(B31,Table1[],8)</f>
        <v>0</v>
      </c>
      <c r="AX132" s="28">
        <f>VLOOKUP(B31,Table2[],8)</f>
        <v>0</v>
      </c>
      <c r="AY132">
        <f>IF(AND('Ship Info'!$F$7,'Ship Info'!$C$5&gt;=100),AW132,IF($B$4&lt;100,AX132,AW132))</f>
        <v>0</v>
      </c>
      <c r="AZ132" s="28">
        <f>VLOOKUP(C31,Table3[],11)</f>
        <v>0</v>
      </c>
      <c r="BA132" s="79">
        <f t="shared" si="48"/>
        <v>0</v>
      </c>
    </row>
    <row r="133" spans="20:53" x14ac:dyDescent="0.3">
      <c r="T133">
        <f>IF(B36=Z113,0,X154+Y154)+T130</f>
        <v>0</v>
      </c>
      <c r="V133" t="s">
        <v>2099</v>
      </c>
      <c r="X133" s="16" t="s">
        <v>1085</v>
      </c>
      <c r="Z133" t="s">
        <v>2099</v>
      </c>
      <c r="AA133">
        <v>2</v>
      </c>
      <c r="AC133">
        <v>-0.15</v>
      </c>
      <c r="AD133">
        <v>0.2</v>
      </c>
      <c r="AE133" t="s">
        <v>1083</v>
      </c>
      <c r="AF133" s="2">
        <v>2</v>
      </c>
      <c r="AG133" t="s">
        <v>2097</v>
      </c>
      <c r="AI133" s="46"/>
    </row>
    <row r="134" spans="20:53" x14ac:dyDescent="0.3">
      <c r="V134" t="s">
        <v>2100</v>
      </c>
      <c r="X134" s="16" t="s">
        <v>1086</v>
      </c>
      <c r="Z134" t="s">
        <v>2100</v>
      </c>
      <c r="AA134">
        <v>3</v>
      </c>
      <c r="AC134">
        <v>-0.2</v>
      </c>
      <c r="AD134">
        <v>0.3</v>
      </c>
      <c r="AE134" t="s">
        <v>373</v>
      </c>
      <c r="AF134" s="2">
        <v>3</v>
      </c>
      <c r="AG134" t="s">
        <v>2096</v>
      </c>
      <c r="AI134" s="46"/>
      <c r="AL134" s="9" t="s">
        <v>1107</v>
      </c>
      <c r="AM134" s="22" t="str">
        <f>IF(D32=0,"",", "&amp;D32&amp;"x Small Weapons Mounts"&amp;IF(J32="No","",", Armored"))&amp;IF(D33=0,"",", "&amp;D33&amp;"x Small Weapons Turrets"&amp;IF(J33="No","",", Armored"))&amp;IF(D34=0,"",", "&amp;F34&amp;" tons Vehicle Weapons &gt;.25 Dt on "&amp;D34&amp;" Fixed Mounts")</f>
        <v/>
      </c>
    </row>
    <row r="135" spans="20:53" x14ac:dyDescent="0.3">
      <c r="T135" t="s">
        <v>2746</v>
      </c>
      <c r="V135" s="16" t="s">
        <v>1084</v>
      </c>
      <c r="X135" s="16" t="s">
        <v>1087</v>
      </c>
      <c r="Z135" s="16" t="s">
        <v>1084</v>
      </c>
      <c r="AA135">
        <v>1</v>
      </c>
      <c r="AB135">
        <v>0</v>
      </c>
      <c r="AC135">
        <v>0</v>
      </c>
      <c r="AD135">
        <v>0</v>
      </c>
      <c r="AE135" t="s">
        <v>402</v>
      </c>
      <c r="AF135" s="2">
        <v>1</v>
      </c>
      <c r="AG135" s="16" t="s">
        <v>1078</v>
      </c>
      <c r="AH135" s="124" t="s">
        <v>703</v>
      </c>
      <c r="AI135" s="46"/>
      <c r="AW135" s="3" t="s">
        <v>314</v>
      </c>
      <c r="AX135" s="3" t="s">
        <v>378</v>
      </c>
    </row>
    <row r="136" spans="20:53" x14ac:dyDescent="0.3">
      <c r="T136">
        <f>MIN(T130,3)</f>
        <v>0</v>
      </c>
      <c r="V136" s="16" t="s">
        <v>1085</v>
      </c>
      <c r="X136" s="16" t="s">
        <v>1088</v>
      </c>
      <c r="Z136" s="16" t="s">
        <v>1085</v>
      </c>
      <c r="AA136">
        <v>1</v>
      </c>
      <c r="AB136">
        <v>-0.25</v>
      </c>
      <c r="AC136">
        <v>0</v>
      </c>
      <c r="AD136">
        <v>0</v>
      </c>
      <c r="AE136" t="s">
        <v>405</v>
      </c>
      <c r="AF136" s="2">
        <v>1</v>
      </c>
      <c r="AG136" s="16" t="s">
        <v>621</v>
      </c>
      <c r="AH136" s="124"/>
      <c r="AI136" s="46"/>
      <c r="AL136" s="9" t="s">
        <v>613</v>
      </c>
      <c r="AM136" s="22" t="str">
        <f>IF(B36=Z113,"","Class "&amp;D36&amp;" "&amp;B36&amp;IF(I36="No",""," EM Hardened")&amp;IF(J36="No","",", Armored")&amp;" "&amp;Z157&amp;Z158&amp;Z159&amp;Z160)</f>
        <v/>
      </c>
      <c r="AS136" s="22" t="str">
        <f>IF(B36=Z113,"","Class "&amp;D36&amp;" "&amp;B36)</f>
        <v/>
      </c>
      <c r="AU136" s="22" t="str">
        <f>IF(B36=Z113,"",IF(I36="No",""," Ignore Ion")&amp;IF(J36="No","",", CS-1")&amp;" "&amp;Z161&amp;Z162&amp;Z163)</f>
        <v/>
      </c>
      <c r="AW136" s="22" t="str">
        <f>INDEX(Z113:AH122,MATCH(B36,Z113:Z122,0),3)</f>
        <v/>
      </c>
      <c r="AX136" s="22" t="str">
        <f>IF(B36=Z122,"",IF(D36=0,"",D36*INDEX(Z113:AH122,MATCH(B36,Z113:Z122,0),6)&amp;"DD (xK)"))</f>
        <v/>
      </c>
    </row>
    <row r="137" spans="20:53" x14ac:dyDescent="0.3">
      <c r="V137" s="16" t="s">
        <v>1086</v>
      </c>
      <c r="X137" t="s">
        <v>1089</v>
      </c>
      <c r="Z137" s="16" t="s">
        <v>1086</v>
      </c>
      <c r="AA137">
        <v>1</v>
      </c>
      <c r="AB137">
        <v>0</v>
      </c>
      <c r="AC137">
        <v>0</v>
      </c>
      <c r="AD137">
        <v>0</v>
      </c>
      <c r="AE137" t="s">
        <v>1112</v>
      </c>
      <c r="AF137" s="2">
        <v>1</v>
      </c>
      <c r="AG137" s="16" t="s">
        <v>1079</v>
      </c>
      <c r="AH137" s="124" t="s">
        <v>704</v>
      </c>
      <c r="AI137" s="46"/>
    </row>
    <row r="138" spans="20:53" x14ac:dyDescent="0.3">
      <c r="V138" s="16" t="s">
        <v>1087</v>
      </c>
      <c r="X138" s="16" t="s">
        <v>1090</v>
      </c>
      <c r="Z138" s="16" t="s">
        <v>1087</v>
      </c>
      <c r="AA138">
        <v>1</v>
      </c>
      <c r="AB138">
        <v>0</v>
      </c>
      <c r="AC138">
        <v>0</v>
      </c>
      <c r="AD138">
        <v>0</v>
      </c>
      <c r="AE138" t="s">
        <v>366</v>
      </c>
      <c r="AF138" s="2">
        <v>1</v>
      </c>
      <c r="AG138" s="16" t="s">
        <v>1080</v>
      </c>
      <c r="AH138" s="124" t="s">
        <v>705</v>
      </c>
      <c r="AI138" s="46"/>
    </row>
    <row r="139" spans="20:53" x14ac:dyDescent="0.3">
      <c r="V139" s="16" t="s">
        <v>1088</v>
      </c>
      <c r="X139" s="16" t="s">
        <v>1091</v>
      </c>
      <c r="Z139" s="16" t="s">
        <v>1088</v>
      </c>
      <c r="AA139">
        <v>2</v>
      </c>
      <c r="AB139">
        <v>0</v>
      </c>
      <c r="AC139">
        <v>0</v>
      </c>
      <c r="AD139">
        <v>0</v>
      </c>
      <c r="AE139" t="s">
        <v>706</v>
      </c>
      <c r="AF139" s="2">
        <v>2</v>
      </c>
      <c r="AG139" s="16" t="s">
        <v>622</v>
      </c>
      <c r="AH139" s="124"/>
      <c r="AI139" s="46"/>
    </row>
    <row r="140" spans="20:53" x14ac:dyDescent="0.3">
      <c r="V140" t="s">
        <v>1089</v>
      </c>
      <c r="X140" t="s">
        <v>2050</v>
      </c>
      <c r="Z140" t="s">
        <v>1089</v>
      </c>
      <c r="AA140">
        <v>2</v>
      </c>
      <c r="AB140">
        <v>0</v>
      </c>
      <c r="AC140">
        <v>0</v>
      </c>
      <c r="AD140">
        <v>0</v>
      </c>
      <c r="AE140" t="s">
        <v>702</v>
      </c>
      <c r="AF140" s="2">
        <v>2</v>
      </c>
      <c r="AG140" t="s">
        <v>623</v>
      </c>
      <c r="AH140" s="124" t="s">
        <v>706</v>
      </c>
      <c r="AI140" s="46"/>
    </row>
    <row r="141" spans="20:53" x14ac:dyDescent="0.3">
      <c r="V141" s="16" t="s">
        <v>1090</v>
      </c>
      <c r="X141" t="s">
        <v>952</v>
      </c>
      <c r="Z141" s="16" t="s">
        <v>1090</v>
      </c>
      <c r="AA141">
        <v>2</v>
      </c>
      <c r="AB141">
        <v>0</v>
      </c>
      <c r="AC141">
        <v>0</v>
      </c>
      <c r="AD141">
        <v>0</v>
      </c>
      <c r="AE141" t="s">
        <v>372</v>
      </c>
      <c r="AF141" s="2">
        <v>2</v>
      </c>
      <c r="AG141" s="16" t="s">
        <v>624</v>
      </c>
      <c r="AH141" s="124" t="s">
        <v>702</v>
      </c>
      <c r="AI141" s="46"/>
    </row>
    <row r="142" spans="20:53" x14ac:dyDescent="0.3">
      <c r="V142" s="16" t="s">
        <v>1091</v>
      </c>
      <c r="X142" t="s">
        <v>2093</v>
      </c>
      <c r="Z142" s="16" t="s">
        <v>1091</v>
      </c>
      <c r="AA142">
        <v>2</v>
      </c>
      <c r="AB142">
        <v>0</v>
      </c>
      <c r="AC142">
        <v>0</v>
      </c>
      <c r="AD142">
        <v>0</v>
      </c>
      <c r="AE142" t="s">
        <v>1113</v>
      </c>
      <c r="AF142" s="2">
        <v>2</v>
      </c>
      <c r="AG142" s="16" t="s">
        <v>625</v>
      </c>
      <c r="AH142" s="124" t="s">
        <v>707</v>
      </c>
      <c r="AI142" s="46"/>
    </row>
    <row r="143" spans="20:53" x14ac:dyDescent="0.3">
      <c r="V143" t="s">
        <v>2050</v>
      </c>
      <c r="X143" t="s">
        <v>2051</v>
      </c>
      <c r="Z143" t="s">
        <v>2050</v>
      </c>
      <c r="AA143">
        <v>-1</v>
      </c>
      <c r="AB143">
        <v>0</v>
      </c>
      <c r="AC143">
        <v>0.2</v>
      </c>
      <c r="AD143">
        <v>5</v>
      </c>
      <c r="AE143" t="s">
        <v>1111</v>
      </c>
      <c r="AF143" s="2">
        <v>3</v>
      </c>
      <c r="AG143" t="s">
        <v>2052</v>
      </c>
      <c r="AH143" s="124" t="s">
        <v>708</v>
      </c>
      <c r="AI143" s="46"/>
    </row>
    <row r="144" spans="20:53" x14ac:dyDescent="0.3">
      <c r="V144" t="s">
        <v>952</v>
      </c>
      <c r="X144" t="s">
        <v>2165</v>
      </c>
      <c r="Z144" t="s">
        <v>952</v>
      </c>
      <c r="AA144">
        <v>-1</v>
      </c>
      <c r="AB144">
        <v>0</v>
      </c>
      <c r="AC144">
        <v>0</v>
      </c>
      <c r="AD144">
        <v>5</v>
      </c>
      <c r="AE144" t="s">
        <v>964</v>
      </c>
      <c r="AF144" s="2">
        <v>3</v>
      </c>
      <c r="AG144" t="s">
        <v>961</v>
      </c>
      <c r="AH144" s="124"/>
      <c r="AI144" s="46"/>
    </row>
    <row r="145" spans="22:35" x14ac:dyDescent="0.3">
      <c r="V145" t="s">
        <v>2093</v>
      </c>
      <c r="X145" t="s">
        <v>2055</v>
      </c>
      <c r="Z145" t="s">
        <v>2093</v>
      </c>
      <c r="AA145">
        <v>-1</v>
      </c>
      <c r="AB145">
        <v>0.3</v>
      </c>
      <c r="AC145">
        <v>0</v>
      </c>
      <c r="AD145">
        <v>5</v>
      </c>
      <c r="AE145" t="s">
        <v>403</v>
      </c>
      <c r="AF145" s="2">
        <v>3</v>
      </c>
      <c r="AG145" t="s">
        <v>2102</v>
      </c>
      <c r="AH145" s="124" t="s">
        <v>964</v>
      </c>
      <c r="AI145" s="46"/>
    </row>
    <row r="146" spans="22:35" x14ac:dyDescent="0.3">
      <c r="V146" t="s">
        <v>2051</v>
      </c>
      <c r="X146" t="s">
        <v>954</v>
      </c>
      <c r="Z146" t="s">
        <v>2051</v>
      </c>
      <c r="AA146">
        <v>-2</v>
      </c>
      <c r="AB146">
        <v>0</v>
      </c>
      <c r="AC146">
        <v>1.4</v>
      </c>
      <c r="AD146">
        <v>10</v>
      </c>
      <c r="AE146" t="s">
        <v>1114</v>
      </c>
      <c r="AF146" s="2">
        <v>3</v>
      </c>
      <c r="AG146" t="s">
        <v>2053</v>
      </c>
      <c r="AH146" s="124"/>
      <c r="AI146" s="46"/>
    </row>
    <row r="147" spans="22:35" x14ac:dyDescent="0.3">
      <c r="V147" t="s">
        <v>2165</v>
      </c>
      <c r="X147" t="s">
        <v>2101</v>
      </c>
      <c r="Z147" t="s">
        <v>2165</v>
      </c>
      <c r="AA147">
        <v>-2</v>
      </c>
      <c r="AB147">
        <v>0.3</v>
      </c>
      <c r="AC147">
        <v>1.2</v>
      </c>
      <c r="AD147">
        <v>10</v>
      </c>
      <c r="AE147" t="s">
        <v>1115</v>
      </c>
      <c r="AF147" s="2">
        <v>3</v>
      </c>
      <c r="AG147" t="s">
        <v>2104</v>
      </c>
      <c r="AH147" s="124"/>
      <c r="AI147" s="46"/>
    </row>
    <row r="148" spans="22:35" x14ac:dyDescent="0.3">
      <c r="V148" t="s">
        <v>2055</v>
      </c>
      <c r="X148" s="521" t="s">
        <v>2061</v>
      </c>
      <c r="Z148" t="s">
        <v>2055</v>
      </c>
      <c r="AA148">
        <v>-2</v>
      </c>
      <c r="AB148">
        <v>0</v>
      </c>
      <c r="AC148">
        <v>1.2</v>
      </c>
      <c r="AD148">
        <v>10</v>
      </c>
      <c r="AE148" t="s">
        <v>1116</v>
      </c>
      <c r="AF148" s="2">
        <v>3</v>
      </c>
      <c r="AG148" t="s">
        <v>2057</v>
      </c>
      <c r="AH148" s="124"/>
      <c r="AI148" s="46"/>
    </row>
    <row r="149" spans="22:35" x14ac:dyDescent="0.3">
      <c r="V149" t="s">
        <v>954</v>
      </c>
      <c r="Z149" t="s">
        <v>954</v>
      </c>
      <c r="AA149">
        <v>-2</v>
      </c>
      <c r="AB149">
        <v>0</v>
      </c>
      <c r="AC149">
        <v>1</v>
      </c>
      <c r="AD149">
        <v>10</v>
      </c>
      <c r="AE149" t="s">
        <v>1117</v>
      </c>
      <c r="AF149" s="2">
        <v>3</v>
      </c>
      <c r="AG149" t="s">
        <v>963</v>
      </c>
      <c r="AH149" s="124" t="s">
        <v>964</v>
      </c>
      <c r="AI149" s="46"/>
    </row>
    <row r="150" spans="22:35" x14ac:dyDescent="0.3">
      <c r="V150" t="s">
        <v>2101</v>
      </c>
      <c r="Z150" t="s">
        <v>2101</v>
      </c>
      <c r="AA150">
        <v>-2</v>
      </c>
      <c r="AB150">
        <v>0.3</v>
      </c>
      <c r="AC150">
        <v>1</v>
      </c>
      <c r="AD150">
        <v>10</v>
      </c>
      <c r="AE150" t="s">
        <v>959</v>
      </c>
      <c r="AF150" s="2">
        <v>3</v>
      </c>
      <c r="AG150" t="s">
        <v>2103</v>
      </c>
      <c r="AH150" s="124" t="s">
        <v>965</v>
      </c>
      <c r="AI150" s="46"/>
    </row>
    <row r="151" spans="22:35" x14ac:dyDescent="0.3">
      <c r="V151" s="521" t="s">
        <v>2061</v>
      </c>
      <c r="Z151" t="s">
        <v>2061</v>
      </c>
      <c r="AA151">
        <v>-2</v>
      </c>
      <c r="AB151">
        <v>0.6</v>
      </c>
      <c r="AC151">
        <v>1</v>
      </c>
      <c r="AD151">
        <v>10</v>
      </c>
      <c r="AE151" t="s">
        <v>960</v>
      </c>
      <c r="AF151" s="2">
        <v>3</v>
      </c>
      <c r="AG151" t="s">
        <v>2059</v>
      </c>
      <c r="AH151" s="125" t="s">
        <v>964</v>
      </c>
      <c r="AI151" s="79"/>
    </row>
    <row r="153" spans="22:35" x14ac:dyDescent="0.3">
      <c r="X153" s="1" t="s">
        <v>1095</v>
      </c>
      <c r="Y153" s="1" t="s">
        <v>1096</v>
      </c>
      <c r="Z153" s="1" t="s">
        <v>1094</v>
      </c>
      <c r="AA153" s="1" t="s">
        <v>310</v>
      </c>
      <c r="AB153">
        <f>INDEX(Z113:AH122,MATCH(B36,Z113:Z122,0),5)</f>
        <v>0</v>
      </c>
      <c r="AC153">
        <f>INDEX(Table6[],MATCH(E36,Table6[Mod],0),3)</f>
        <v>0</v>
      </c>
      <c r="AD153">
        <f>INDEX(Table6[],MATCH(F36,Table6[Mod],0),3)</f>
        <v>0</v>
      </c>
      <c r="AE153">
        <f>INDEX(Table6[],MATCH(G36,Table6[Mod],0),3)</f>
        <v>0</v>
      </c>
    </row>
    <row r="154" spans="22:35" x14ac:dyDescent="0.3">
      <c r="X154" s="2">
        <f>INDEX(Z113:AH122,MATCH(B36,Z113:Z122,0),2)</f>
        <v>0</v>
      </c>
      <c r="Y154" s="2">
        <f>INDEX(Table6[],MATCH(E36,Table6[Mod],0),2)+INDEX(Table6[],MATCH(F36,Table6[Mod],0),2)+INDEX(Table6[],MATCH(G36,Table6[Mod],0),2)</f>
        <v>0</v>
      </c>
      <c r="Z154" s="2">
        <f>IF(B36=Z113,0,IF(B36=Z122,1,D36)*INDEX(Z113:AH122,MATCH(B36,Z113:Z122,0),4)*(1+INDEX(Table6[],MATCH(E36,Table6[Mod],0),4)+INDEX(Table6[],MATCH(F36,Table6[Mod],0),4)+INDEX(Table6[],MATCH(G36,Table6[Mod],0),4)+T124))</f>
        <v>0</v>
      </c>
      <c r="AA154" s="2">
        <f>ROUNDUP(IF(B36=Z122,1,D36)*AB153*(1+AC153+AD153+AE153),0)</f>
        <v>0</v>
      </c>
    </row>
    <row r="155" spans="22:35" x14ac:dyDescent="0.3">
      <c r="Z155" s="1" t="s">
        <v>1097</v>
      </c>
      <c r="AA155" t="s">
        <v>987</v>
      </c>
      <c r="AB155" t="s">
        <v>988</v>
      </c>
      <c r="AC155" t="s">
        <v>989</v>
      </c>
      <c r="AD155" t="s">
        <v>116</v>
      </c>
    </row>
    <row r="156" spans="22:35" x14ac:dyDescent="0.3">
      <c r="Z156">
        <f>IF(B36=Z122,1,D36)*INDEX(Z113:AH122,MATCH(B36,Z113:Z122,0),7)*SUM(1,AD156)</f>
        <v>0</v>
      </c>
      <c r="AA156">
        <f>INDEX(Table6[],MATCH(E36,Table6[Mod],0),5)</f>
        <v>0</v>
      </c>
      <c r="AB156">
        <f>INDEX(Table6[],MATCH(F36,Table6[Mod],0),5)</f>
        <v>0</v>
      </c>
      <c r="AC156">
        <f>INDEX(Table6[],MATCH(G36,Table6[Mod],0),5)</f>
        <v>0</v>
      </c>
      <c r="AD156">
        <f>IF(B38=T120,IF(SUM(AA156:AC156)=0,INDEX(AC17:AD20,MATCH(H36,AC17:AC20,0),2),SUM(AA156:AC156)),T127)</f>
        <v>0</v>
      </c>
    </row>
    <row r="157" spans="22:35" x14ac:dyDescent="0.3">
      <c r="X157" t="s">
        <v>1118</v>
      </c>
      <c r="Y157">
        <v>1</v>
      </c>
      <c r="Z157" t="str">
        <f>IF(E36="A Standard","",INDEX(Table6[],MATCH(E36,Table6[Mod],0),8)&amp;IF(AND(E36=G36,E36=F36)," x3",IF(OR(E36=F36,E36=G36)," x2","")))</f>
        <v/>
      </c>
    </row>
    <row r="158" spans="22:35" x14ac:dyDescent="0.3">
      <c r="Y158">
        <v>2</v>
      </c>
      <c r="Z158" t="str">
        <f>IF(F36="A Standard","",IF(E36=F36,"",IF(Z157="","",", ")&amp;INDEX(Table6[],MATCH(F36,Table6[Mod],0),8)&amp;IF(F36=G36," x2","")))</f>
        <v/>
      </c>
    </row>
    <row r="159" spans="22:35" x14ac:dyDescent="0.3">
      <c r="Y159">
        <v>3</v>
      </c>
      <c r="Z159" t="str">
        <f>IF(G36="A Standard","",IF(OR(G36=E36,G36=F36),"", IF(AND(Z157="",Z158=""),"",", ")&amp;INDEX(Table6[],MATCH(G36,Table6[Mod],0),8)))</f>
        <v/>
      </c>
    </row>
    <row r="160" spans="22:35" x14ac:dyDescent="0.3">
      <c r="Y160" s="9" t="s">
        <v>2745</v>
      </c>
      <c r="Z160" t="str">
        <f>IF(B38=T119,"Auto Size Reduction x"&amp;T130&amp;IF(T130&gt;3,"*",""),"")</f>
        <v/>
      </c>
    </row>
    <row r="161" spans="22:51" x14ac:dyDescent="0.3">
      <c r="X161" t="s">
        <v>672</v>
      </c>
      <c r="Y161">
        <v>1</v>
      </c>
      <c r="Z161" t="str">
        <f>IF(E36="A Standard","",INDEX(Table6[],MATCH(E36,Table6[Mod],0),6)&amp;IF(AND(E36=G36,E36=F36)," x3",IF(OR(E36=F36,E36=G36)," x2","")))</f>
        <v/>
      </c>
    </row>
    <row r="162" spans="22:51" x14ac:dyDescent="0.3">
      <c r="Y162">
        <v>2</v>
      </c>
      <c r="Z162" t="str">
        <f>IF(F36="A Standard","",IF(E36=F36,"",IF(Z161="","",", ")&amp;INDEX(Table6[],MATCH(F36,Table6[Mod],0),6)&amp;IF(F36=G36," x2","")))</f>
        <v/>
      </c>
    </row>
    <row r="163" spans="22:51" x14ac:dyDescent="0.3">
      <c r="Y163">
        <v>3</v>
      </c>
      <c r="Z163" t="str">
        <f>IF(G36="A Standard","",IF(OR(G36=E36,G36=F36),"", IF(AND(Z161="",Z162=""),"",", ")&amp;INDEX(Table6[],MATCH(G36,Table6[Mod],0),6)))</f>
        <v/>
      </c>
    </row>
    <row r="166" spans="22:51" x14ac:dyDescent="0.3">
      <c r="V166" s="2" t="s">
        <v>2064</v>
      </c>
      <c r="W166" s="2" t="s">
        <v>324</v>
      </c>
      <c r="X166" s="2" t="s">
        <v>2066</v>
      </c>
      <c r="Z166" s="2" t="s">
        <v>2067</v>
      </c>
      <c r="AA166" s="2" t="s">
        <v>2068</v>
      </c>
      <c r="AB166" s="2" t="s">
        <v>2069</v>
      </c>
      <c r="AC166" s="2" t="s">
        <v>2070</v>
      </c>
      <c r="AD166" s="2" t="s">
        <v>2071</v>
      </c>
      <c r="AE166" s="2" t="s">
        <v>2072</v>
      </c>
      <c r="AF166" s="2" t="s">
        <v>2073</v>
      </c>
      <c r="AG166" s="2" t="s">
        <v>2074</v>
      </c>
      <c r="AH166" s="2" t="s">
        <v>2075</v>
      </c>
      <c r="AI166" s="2" t="s">
        <v>2076</v>
      </c>
      <c r="AJ166" s="2" t="s">
        <v>2077</v>
      </c>
      <c r="AK166" s="2" t="s">
        <v>2078</v>
      </c>
      <c r="AL166" s="2" t="s">
        <v>2079</v>
      </c>
      <c r="AM166" s="2" t="s">
        <v>2080</v>
      </c>
      <c r="AN166" s="2" t="s">
        <v>2081</v>
      </c>
      <c r="AO166" s="2" t="s">
        <v>2082</v>
      </c>
      <c r="AP166" s="2" t="s">
        <v>2083</v>
      </c>
      <c r="AQ166" s="2" t="s">
        <v>2084</v>
      </c>
      <c r="AR166" s="2" t="s">
        <v>2085</v>
      </c>
      <c r="AS166" s="2" t="s">
        <v>2086</v>
      </c>
      <c r="AT166" s="2" t="s">
        <v>2087</v>
      </c>
      <c r="AU166" s="2" t="s">
        <v>2088</v>
      </c>
      <c r="AV166" s="2" t="s">
        <v>2089</v>
      </c>
      <c r="AW166" s="2" t="s">
        <v>2090</v>
      </c>
      <c r="AX166" s="2" t="s">
        <v>2091</v>
      </c>
      <c r="AY166" s="2" t="s">
        <v>2092</v>
      </c>
    </row>
    <row r="167" spans="22:51" x14ac:dyDescent="0.3">
      <c r="V167" s="2">
        <v>1</v>
      </c>
      <c r="W167" s="2">
        <f>IF(Tonnage&lt;100,INDEX(Table2[],MATCH(B12,Table2[Small Craft Firmpoints],0),8),INDEX(Table1[[Hardpoints]:[Index]],MATCH(B12,Table1[Hardpoints],0),8))</f>
        <v>0</v>
      </c>
      <c r="X167" s="2">
        <f>SUM(INDEX(Table3[],MATCH(C12,Table3[Weapon],0),19),INDEX(Table3[],MATCH(E6,Table3[Weapon],0),19),INDEX(Table3[],MATCH(E7,Table3[Weapon],0),19),INDEX(Table3[],MATCH(E8,Table3[Weapon],0),19),INDEX(Table3[],MATCH(E9,Table3[Weapon],0),19))</f>
        <v>0</v>
      </c>
      <c r="Y167" t="str">
        <f>IF(AND(W167&lt;&gt;1,X167=0),$AT$50,IF(AND(W167=1,X167&gt;0),$AU$50,IF(W167=1,$AS$50,$AV$50)))</f>
        <v>Other</v>
      </c>
      <c r="Z167" t="str" cm="1">
        <f t="array" ref="Z167">INDEX($AR$50:$AV$76,MATCH(Z$166,$AR$51:$AR$76,0)+1,MATCH($Y167,$AS$50:$AV$50,0)+1)</f>
        <v/>
      </c>
      <c r="AA167" t="str" cm="1">
        <f t="array" ref="AA167">INDEX($AR$50:$AV$76,MATCH(AA$166,$AR$51:$AR$76,0)+1,MATCH($Y167,$AS$50:$AV$50,0)+1)</f>
        <v>A Standard</v>
      </c>
      <c r="AB167" t="str" cm="1">
        <f t="array" ref="AB167">INDEX($AR$50:$AV$76,MATCH(AB$166,$AR$51:$AR$76,0)+1,MATCH($Y167,$AS$50:$AV$50,0)+1)</f>
        <v>B Budget - Increased Size</v>
      </c>
      <c r="AC167" t="str" cm="1">
        <f t="array" ref="AC167">INDEX($AR$50:$AV$76,MATCH(AC$166,$AR$51:$AR$76,0)+1,MATCH($Y167,$AS$50:$AV$50,0)+1)</f>
        <v>B Budget - Inaccurate</v>
      </c>
      <c r="AD167" t="str" cm="1">
        <f t="array" ref="AD167">INDEX($AR$50:$AV$76,MATCH(AD$166,$AR$51:$AR$76,0)+1,MATCH($Y167,$AS$50:$AV$50,0)+1)</f>
        <v>B Budget - Energy Inefficient</v>
      </c>
      <c r="AE167" t="str" cm="1">
        <f t="array" ref="AE167">INDEX($AR$50:$AV$76,MATCH(AE$166,$AR$51:$AR$76,0)+1,MATCH($Y167,$AS$50:$AV$50,0)+1)</f>
        <v>C TL+1 Cost Reduction*</v>
      </c>
      <c r="AF167" t="str" cm="1">
        <f t="array" ref="AF167">INDEX($AR$50:$AV$76,MATCH(AF$166,$AR$51:$AR$76,0)+1,MATCH($Y167,$AS$50:$AV$50,0)+1)</f>
        <v>C TL+2 Cost Reduction*</v>
      </c>
      <c r="AG167" t="str" cm="1">
        <f t="array" ref="AG167">INDEX($AR$50:$AV$76,MATCH(AG$166,$AR$51:$AR$76,0)+1,MATCH($Y167,$AS$50:$AV$50,0)+1)</f>
        <v>C TL+3 Cost Reduction*</v>
      </c>
      <c r="AH167" t="str" cm="1">
        <f t="array" ref="AH167">INDEX($AR$50:$AV$76,MATCH(AH$166,$AR$51:$AR$76,0)+1,MATCH($Y167,$AS$50:$AV$50,0)+1)</f>
        <v>D Adv - Easy to Repair</v>
      </c>
      <c r="AI167" t="str" cm="1">
        <f t="array" ref="AI167">INDEX($AR$50:$AV$76,MATCH(AI$166,$AR$51:$AR$76,0)+1,MATCH($Y167,$AS$50:$AV$50,0)+1)</f>
        <v>D Adv - Energy Efficient</v>
      </c>
      <c r="AJ167" t="str" cm="1">
        <f t="array" ref="AJ167">INDEX($AR$50:$AV$76,MATCH(AJ$166,$AR$51:$AR$76,0)+1,MATCH($Y167,$AS$50:$AV$50,0)+1)</f>
        <v>D Adv - High Yield</v>
      </c>
      <c r="AK167" t="str" cm="1">
        <f t="array" ref="AK167">INDEX($AR$50:$AV$76,MATCH(AK$166,$AR$51:$AR$76,0)+1,MATCH($Y167,$AS$50:$AV$50,0)+1)</f>
        <v>D Adv - Resilient</v>
      </c>
      <c r="AL167" t="str" cm="1">
        <f t="array" ref="AL167">INDEX($AR$50:$AV$76,MATCH(AL$166,$AR$51:$AR$76,0)+1,MATCH($Y167,$AS$50:$AV$50,0)+1)</f>
        <v>D Adv - Size Reduction</v>
      </c>
      <c r="AM167" t="str" cm="1">
        <f t="array" ref="AM167">INDEX($AR$50:$AV$76,MATCH(AM$166,$AR$51:$AR$76,0)+1,MATCH($Y167,$AS$50:$AV$50,0)+1)</f>
        <v>E VAdv - Accurate</v>
      </c>
      <c r="AN167" t="str" cm="1">
        <f t="array" ref="AN167">INDEX($AR$50:$AV$76,MATCH(AN$166,$AR$51:$AR$76,0)+1,MATCH($Y167,$AS$50:$AV$50,0)+1)</f>
        <v>E VAdv - Intense Focus</v>
      </c>
      <c r="AO167" t="str" cm="1">
        <f t="array" ref="AO167">INDEX($AR$50:$AV$76,MATCH(AO$166,$AR$51:$AR$76,0)+1,MATCH($Y167,$AS$50:$AV$50,0)+1)</f>
        <v>E VAdv - Long Range</v>
      </c>
      <c r="AP167" t="str" cm="1">
        <f t="array" ref="AP167">INDEX($AR$50:$AV$76,MATCH(AP$166,$AR$51:$AR$76,0)+1,MATCH($Y167,$AS$50:$AV$50,0)+1)</f>
        <v>E VAdv - Very High Yield</v>
      </c>
      <c r="AQ167" t="str" cm="1">
        <f t="array" ref="AQ167">INDEX($AR$50:$AV$76,MATCH(AQ$166,$AR$51:$AR$76,0)+1,MATCH($Y167,$AS$50:$AV$50,0)+1)</f>
        <v>P Prototype - Increased Size</v>
      </c>
      <c r="AR167" t="str" cm="1">
        <f t="array" ref="AR167">INDEX($AR$50:$AV$76,MATCH(AR$166,$AR$51:$AR$76,0)+1,MATCH($Y167,$AS$50:$AV$50,0)+1)</f>
        <v>P Prototype - Inaccurate</v>
      </c>
      <c r="AS167" t="str" cm="1">
        <f t="array" ref="AS167">INDEX($AR$50:$AV$76,MATCH(AS$166,$AR$51:$AR$76,0)+1,MATCH($Y167,$AS$50:$AV$50,0)+1)</f>
        <v>P Prototype - Energy Inefficient</v>
      </c>
      <c r="AT167" t="str" cm="1">
        <f t="array" ref="AT167">INDEX($AR$50:$AV$76,MATCH(AT$166,$AR$51:$AR$76,0)+1,MATCH($Y167,$AS$50:$AV$50,0)+1)</f>
        <v>R Early Prototype-Increased Size x2</v>
      </c>
      <c r="AU167" t="str" cm="1">
        <f t="array" ref="AU167">INDEX($AR$50:$AV$76,MATCH(AU$166,$AR$51:$AR$76,0)+1,MATCH($Y167,$AS$50:$AV$50,0)+1)</f>
        <v>R Early Prototype-Increased Size/Inefficient</v>
      </c>
      <c r="AV167" t="str" cm="1">
        <f t="array" ref="AV167">INDEX($AR$50:$AV$76,MATCH(AV$166,$AR$51:$AR$76,0)+1,MATCH($Y167,$AS$50:$AV$50,0)+1)</f>
        <v>R Early Prototype-Increased Size/Inaccurate</v>
      </c>
      <c r="AW167" t="str" cm="1">
        <f t="array" ref="AW167">INDEX($AR$50:$AV$76,MATCH(AW$166,$AR$51:$AR$76,0)+1,MATCH($Y167,$AS$50:$AV$50,0)+1)</f>
        <v>R Early Prototype-Inaccurate x2</v>
      </c>
      <c r="AX167" t="str" cm="1">
        <f t="array" ref="AX167">INDEX($AR$50:$AV$76,MATCH(AX$166,$AR$51:$AR$76,0)+1,MATCH($Y167,$AS$50:$AV$50,0)+1)</f>
        <v>R Early Prototype-Inaccurate/Inefficient</v>
      </c>
      <c r="AY167" t="str" cm="1">
        <f t="array" ref="AY167">INDEX($AR$50:$AV$76,MATCH(AY$166,$AR$51:$AR$76,0)+1,MATCH($Y167,$AS$50:$AV$50,0)+1)</f>
        <v>R Early Prototype-Energy Inefficient x2</v>
      </c>
    </row>
    <row r="168" spans="22:51" x14ac:dyDescent="0.3">
      <c r="V168" s="2">
        <v>2</v>
      </c>
      <c r="W168" s="2">
        <f>IF(Tonnage&lt;100,INDEX(Table2[],MATCH(B13,Table2[Small Craft Firmpoints],0),8),INDEX(Table1[[Hardpoints]:[Index]],MATCH(B13,Table1[Hardpoints],0),8))</f>
        <v>0</v>
      </c>
      <c r="X168" s="2">
        <f>SUM(INDEX(Table3[],MATCH(C13,Table3[Weapon],0),19),INDEX(Table3[],MATCH(F6,Table3[Weapon],0),19),INDEX(Table3[],MATCH(F7,Table3[Weapon],0),19),INDEX(Table3[],MATCH(F8,Table3[Weapon],0),19),INDEX(Table3[],MATCH(F9,Table3[Weapon],0),19))</f>
        <v>0</v>
      </c>
      <c r="Y168" t="str">
        <f t="shared" ref="Y168:Y186" si="51">IF(AND(W168&lt;&gt;1,X168=0),$AT$50,IF(AND(W168=1,X168&gt;0),$AU$50,IF(W168=1,$AS$50,$AV$50)))</f>
        <v>Other</v>
      </c>
      <c r="Z168" t="str" cm="1">
        <f t="array" ref="Z168">INDEX($AR$50:$AV$76,MATCH(Z$166,$AR$51:$AR$76,0)+1,MATCH($Y168,$AS$50:$AV$50,0)+1)</f>
        <v/>
      </c>
      <c r="AA168" t="str" cm="1">
        <f t="array" ref="AA168">INDEX($AR$50:$AV$76,MATCH(AA$166,$AR$51:$AR$76,0)+1,MATCH($Y168,$AS$50:$AV$50,0)+1)</f>
        <v>A Standard</v>
      </c>
      <c r="AB168" t="str" cm="1">
        <f t="array" ref="AB168">INDEX($AR$50:$AV$76,MATCH(AB$166,$AR$51:$AR$76,0)+1,MATCH($Y168,$AS$50:$AV$50,0)+1)</f>
        <v>B Budget - Increased Size</v>
      </c>
      <c r="AC168" t="str" cm="1">
        <f t="array" ref="AC168">INDEX($AR$50:$AV$76,MATCH(AC$166,$AR$51:$AR$76,0)+1,MATCH($Y168,$AS$50:$AV$50,0)+1)</f>
        <v>B Budget - Inaccurate</v>
      </c>
      <c r="AD168" t="str" cm="1">
        <f t="array" ref="AD168">INDEX($AR$50:$AV$76,MATCH(AD$166,$AR$51:$AR$76,0)+1,MATCH($Y168,$AS$50:$AV$50,0)+1)</f>
        <v>B Budget - Energy Inefficient</v>
      </c>
      <c r="AE168" t="str" cm="1">
        <f t="array" ref="AE168">INDEX($AR$50:$AV$76,MATCH(AE$166,$AR$51:$AR$76,0)+1,MATCH($Y168,$AS$50:$AV$50,0)+1)</f>
        <v>C TL+1 Cost Reduction*</v>
      </c>
      <c r="AF168" t="str" cm="1">
        <f t="array" ref="AF168">INDEX($AR$50:$AV$76,MATCH(AF$166,$AR$51:$AR$76,0)+1,MATCH($Y168,$AS$50:$AV$50,0)+1)</f>
        <v>C TL+2 Cost Reduction*</v>
      </c>
      <c r="AG168" t="str" cm="1">
        <f t="array" ref="AG168">INDEX($AR$50:$AV$76,MATCH(AG$166,$AR$51:$AR$76,0)+1,MATCH($Y168,$AS$50:$AV$50,0)+1)</f>
        <v>C TL+3 Cost Reduction*</v>
      </c>
      <c r="AH168" t="str" cm="1">
        <f t="array" ref="AH168">INDEX($AR$50:$AV$76,MATCH(AH$166,$AR$51:$AR$76,0)+1,MATCH($Y168,$AS$50:$AV$50,0)+1)</f>
        <v>D Adv - Easy to Repair</v>
      </c>
      <c r="AI168" t="str" cm="1">
        <f t="array" ref="AI168">INDEX($AR$50:$AV$76,MATCH(AI$166,$AR$51:$AR$76,0)+1,MATCH($Y168,$AS$50:$AV$50,0)+1)</f>
        <v>D Adv - Energy Efficient</v>
      </c>
      <c r="AJ168" t="str" cm="1">
        <f t="array" ref="AJ168">INDEX($AR$50:$AV$76,MATCH(AJ$166,$AR$51:$AR$76,0)+1,MATCH($Y168,$AS$50:$AV$50,0)+1)</f>
        <v>D Adv - High Yield</v>
      </c>
      <c r="AK168" t="str" cm="1">
        <f t="array" ref="AK168">INDEX($AR$50:$AV$76,MATCH(AK$166,$AR$51:$AR$76,0)+1,MATCH($Y168,$AS$50:$AV$50,0)+1)</f>
        <v>D Adv - Resilient</v>
      </c>
      <c r="AL168" t="str" cm="1">
        <f t="array" ref="AL168">INDEX($AR$50:$AV$76,MATCH(AL$166,$AR$51:$AR$76,0)+1,MATCH($Y168,$AS$50:$AV$50,0)+1)</f>
        <v>D Adv - Size Reduction</v>
      </c>
      <c r="AM168" t="str" cm="1">
        <f t="array" ref="AM168">INDEX($AR$50:$AV$76,MATCH(AM$166,$AR$51:$AR$76,0)+1,MATCH($Y168,$AS$50:$AV$50,0)+1)</f>
        <v>E VAdv - Accurate</v>
      </c>
      <c r="AN168" t="str" cm="1">
        <f t="array" ref="AN168">INDEX($AR$50:$AV$76,MATCH(AN$166,$AR$51:$AR$76,0)+1,MATCH($Y168,$AS$50:$AV$50,0)+1)</f>
        <v>E VAdv - Intense Focus</v>
      </c>
      <c r="AO168" t="str" cm="1">
        <f t="array" ref="AO168">INDEX($AR$50:$AV$76,MATCH(AO$166,$AR$51:$AR$76,0)+1,MATCH($Y168,$AS$50:$AV$50,0)+1)</f>
        <v>E VAdv - Long Range</v>
      </c>
      <c r="AP168" t="str" cm="1">
        <f t="array" ref="AP168">INDEX($AR$50:$AV$76,MATCH(AP$166,$AR$51:$AR$76,0)+1,MATCH($Y168,$AS$50:$AV$50,0)+1)</f>
        <v>E VAdv - Very High Yield</v>
      </c>
      <c r="AQ168" t="str" cm="1">
        <f t="array" ref="AQ168">INDEX($AR$50:$AV$76,MATCH(AQ$166,$AR$51:$AR$76,0)+1,MATCH($Y168,$AS$50:$AV$50,0)+1)</f>
        <v>P Prototype - Increased Size</v>
      </c>
      <c r="AR168" t="str" cm="1">
        <f t="array" ref="AR168">INDEX($AR$50:$AV$76,MATCH(AR$166,$AR$51:$AR$76,0)+1,MATCH($Y168,$AS$50:$AV$50,0)+1)</f>
        <v>P Prototype - Inaccurate</v>
      </c>
      <c r="AS168" t="str" cm="1">
        <f t="array" ref="AS168">INDEX($AR$50:$AV$76,MATCH(AS$166,$AR$51:$AR$76,0)+1,MATCH($Y168,$AS$50:$AV$50,0)+1)</f>
        <v>P Prototype - Energy Inefficient</v>
      </c>
      <c r="AT168" t="str" cm="1">
        <f t="array" ref="AT168">INDEX($AR$50:$AV$76,MATCH(AT$166,$AR$51:$AR$76,0)+1,MATCH($Y168,$AS$50:$AV$50,0)+1)</f>
        <v>R Early Prototype-Increased Size x2</v>
      </c>
      <c r="AU168" t="str" cm="1">
        <f t="array" ref="AU168">INDEX($AR$50:$AV$76,MATCH(AU$166,$AR$51:$AR$76,0)+1,MATCH($Y168,$AS$50:$AV$50,0)+1)</f>
        <v>R Early Prototype-Increased Size/Inefficient</v>
      </c>
      <c r="AV168" t="str" cm="1">
        <f t="array" ref="AV168">INDEX($AR$50:$AV$76,MATCH(AV$166,$AR$51:$AR$76,0)+1,MATCH($Y168,$AS$50:$AV$50,0)+1)</f>
        <v>R Early Prototype-Increased Size/Inaccurate</v>
      </c>
      <c r="AW168" t="str" cm="1">
        <f t="array" ref="AW168">INDEX($AR$50:$AV$76,MATCH(AW$166,$AR$51:$AR$76,0)+1,MATCH($Y168,$AS$50:$AV$50,0)+1)</f>
        <v>R Early Prototype-Inaccurate x2</v>
      </c>
      <c r="AX168" t="str" cm="1">
        <f t="array" ref="AX168">INDEX($AR$50:$AV$76,MATCH(AX$166,$AR$51:$AR$76,0)+1,MATCH($Y168,$AS$50:$AV$50,0)+1)</f>
        <v>R Early Prototype-Inaccurate/Inefficient</v>
      </c>
      <c r="AY168" t="str" cm="1">
        <f t="array" ref="AY168">INDEX($AR$50:$AV$76,MATCH(AY$166,$AR$51:$AR$76,0)+1,MATCH($Y168,$AS$50:$AV$50,0)+1)</f>
        <v>R Early Prototype-Energy Inefficient x2</v>
      </c>
    </row>
    <row r="169" spans="22:51" x14ac:dyDescent="0.3">
      <c r="V169" s="2">
        <v>3</v>
      </c>
      <c r="W169" s="2">
        <f>IF(Tonnage&lt;100,INDEX(Table2[],MATCH(B14,Table2[Small Craft Firmpoints],0),8),INDEX(Table1[[Hardpoints]:[Index]],MATCH(B14,Table1[Hardpoints],0),8))</f>
        <v>0</v>
      </c>
      <c r="X169" s="2">
        <f>SUM(INDEX(Table3[],MATCH(C14,Table3[Weapon],0),19),INDEX(Table3[],MATCH(G6,Table3[Weapon],0),19),INDEX(Table3[],MATCH(G7,Table3[Weapon],0),19),INDEX(Table3[],MATCH(G8,Table3[Weapon],0),19),INDEX(Table3[],MATCH(G9,Table3[Weapon],0),19))</f>
        <v>0</v>
      </c>
      <c r="Y169" t="str">
        <f t="shared" si="51"/>
        <v>Other</v>
      </c>
      <c r="Z169" t="str" cm="1">
        <f t="array" ref="Z169">INDEX($AR$50:$AV$76,MATCH(Z$166,$AR$51:$AR$76,0)+1,MATCH($Y169,$AS$50:$AV$50,0)+1)</f>
        <v/>
      </c>
      <c r="AA169" t="str" cm="1">
        <f t="array" ref="AA169">INDEX($AR$50:$AV$76,MATCH(AA$166,$AR$51:$AR$76,0)+1,MATCH($Y169,$AS$50:$AV$50,0)+1)</f>
        <v>A Standard</v>
      </c>
      <c r="AB169" t="str" cm="1">
        <f t="array" ref="AB169">INDEX($AR$50:$AV$76,MATCH(AB$166,$AR$51:$AR$76,0)+1,MATCH($Y169,$AS$50:$AV$50,0)+1)</f>
        <v>B Budget - Increased Size</v>
      </c>
      <c r="AC169" t="str" cm="1">
        <f t="array" ref="AC169">INDEX($AR$50:$AV$76,MATCH(AC$166,$AR$51:$AR$76,0)+1,MATCH($Y169,$AS$50:$AV$50,0)+1)</f>
        <v>B Budget - Inaccurate</v>
      </c>
      <c r="AD169" t="str" cm="1">
        <f t="array" ref="AD169">INDEX($AR$50:$AV$76,MATCH(AD$166,$AR$51:$AR$76,0)+1,MATCH($Y169,$AS$50:$AV$50,0)+1)</f>
        <v>B Budget - Energy Inefficient</v>
      </c>
      <c r="AE169" t="str" cm="1">
        <f t="array" ref="AE169">INDEX($AR$50:$AV$76,MATCH(AE$166,$AR$51:$AR$76,0)+1,MATCH($Y169,$AS$50:$AV$50,0)+1)</f>
        <v>C TL+1 Cost Reduction*</v>
      </c>
      <c r="AF169" t="str" cm="1">
        <f t="array" ref="AF169">INDEX($AR$50:$AV$76,MATCH(AF$166,$AR$51:$AR$76,0)+1,MATCH($Y169,$AS$50:$AV$50,0)+1)</f>
        <v>C TL+2 Cost Reduction*</v>
      </c>
      <c r="AG169" t="str" cm="1">
        <f t="array" ref="AG169">INDEX($AR$50:$AV$76,MATCH(AG$166,$AR$51:$AR$76,0)+1,MATCH($Y169,$AS$50:$AV$50,0)+1)</f>
        <v>C TL+3 Cost Reduction*</v>
      </c>
      <c r="AH169" t="str" cm="1">
        <f t="array" ref="AH169">INDEX($AR$50:$AV$76,MATCH(AH$166,$AR$51:$AR$76,0)+1,MATCH($Y169,$AS$50:$AV$50,0)+1)</f>
        <v>D Adv - Easy to Repair</v>
      </c>
      <c r="AI169" t="str" cm="1">
        <f t="array" ref="AI169">INDEX($AR$50:$AV$76,MATCH(AI$166,$AR$51:$AR$76,0)+1,MATCH($Y169,$AS$50:$AV$50,0)+1)</f>
        <v>D Adv - Energy Efficient</v>
      </c>
      <c r="AJ169" t="str" cm="1">
        <f t="array" ref="AJ169">INDEX($AR$50:$AV$76,MATCH(AJ$166,$AR$51:$AR$76,0)+1,MATCH($Y169,$AS$50:$AV$50,0)+1)</f>
        <v>D Adv - High Yield</v>
      </c>
      <c r="AK169" t="str" cm="1">
        <f t="array" ref="AK169">INDEX($AR$50:$AV$76,MATCH(AK$166,$AR$51:$AR$76,0)+1,MATCH($Y169,$AS$50:$AV$50,0)+1)</f>
        <v>D Adv - Resilient</v>
      </c>
      <c r="AL169" t="str" cm="1">
        <f t="array" ref="AL169">INDEX($AR$50:$AV$76,MATCH(AL$166,$AR$51:$AR$76,0)+1,MATCH($Y169,$AS$50:$AV$50,0)+1)</f>
        <v>D Adv - Size Reduction</v>
      </c>
      <c r="AM169" t="str" cm="1">
        <f t="array" ref="AM169">INDEX($AR$50:$AV$76,MATCH(AM$166,$AR$51:$AR$76,0)+1,MATCH($Y169,$AS$50:$AV$50,0)+1)</f>
        <v>E VAdv - Accurate</v>
      </c>
      <c r="AN169" t="str" cm="1">
        <f t="array" ref="AN169">INDEX($AR$50:$AV$76,MATCH(AN$166,$AR$51:$AR$76,0)+1,MATCH($Y169,$AS$50:$AV$50,0)+1)</f>
        <v>E VAdv - Intense Focus</v>
      </c>
      <c r="AO169" t="str" cm="1">
        <f t="array" ref="AO169">INDEX($AR$50:$AV$76,MATCH(AO$166,$AR$51:$AR$76,0)+1,MATCH($Y169,$AS$50:$AV$50,0)+1)</f>
        <v>E VAdv - Long Range</v>
      </c>
      <c r="AP169" t="str" cm="1">
        <f t="array" ref="AP169">INDEX($AR$50:$AV$76,MATCH(AP$166,$AR$51:$AR$76,0)+1,MATCH($Y169,$AS$50:$AV$50,0)+1)</f>
        <v>E VAdv - Very High Yield</v>
      </c>
      <c r="AQ169" t="str" cm="1">
        <f t="array" ref="AQ169">INDEX($AR$50:$AV$76,MATCH(AQ$166,$AR$51:$AR$76,0)+1,MATCH($Y169,$AS$50:$AV$50,0)+1)</f>
        <v>P Prototype - Increased Size</v>
      </c>
      <c r="AR169" t="str" cm="1">
        <f t="array" ref="AR169">INDEX($AR$50:$AV$76,MATCH(AR$166,$AR$51:$AR$76,0)+1,MATCH($Y169,$AS$50:$AV$50,0)+1)</f>
        <v>P Prototype - Inaccurate</v>
      </c>
      <c r="AS169" t="str" cm="1">
        <f t="array" ref="AS169">INDEX($AR$50:$AV$76,MATCH(AS$166,$AR$51:$AR$76,0)+1,MATCH($Y169,$AS$50:$AV$50,0)+1)</f>
        <v>P Prototype - Energy Inefficient</v>
      </c>
      <c r="AT169" t="str" cm="1">
        <f t="array" ref="AT169">INDEX($AR$50:$AV$76,MATCH(AT$166,$AR$51:$AR$76,0)+1,MATCH($Y169,$AS$50:$AV$50,0)+1)</f>
        <v>R Early Prototype-Increased Size x2</v>
      </c>
      <c r="AU169" t="str" cm="1">
        <f t="array" ref="AU169">INDEX($AR$50:$AV$76,MATCH(AU$166,$AR$51:$AR$76,0)+1,MATCH($Y169,$AS$50:$AV$50,0)+1)</f>
        <v>R Early Prototype-Increased Size/Inefficient</v>
      </c>
      <c r="AV169" t="str" cm="1">
        <f t="array" ref="AV169">INDEX($AR$50:$AV$76,MATCH(AV$166,$AR$51:$AR$76,0)+1,MATCH($Y169,$AS$50:$AV$50,0)+1)</f>
        <v>R Early Prototype-Increased Size/Inaccurate</v>
      </c>
      <c r="AW169" t="str" cm="1">
        <f t="array" ref="AW169">INDEX($AR$50:$AV$76,MATCH(AW$166,$AR$51:$AR$76,0)+1,MATCH($Y169,$AS$50:$AV$50,0)+1)</f>
        <v>R Early Prototype-Inaccurate x2</v>
      </c>
      <c r="AX169" t="str" cm="1">
        <f t="array" ref="AX169">INDEX($AR$50:$AV$76,MATCH(AX$166,$AR$51:$AR$76,0)+1,MATCH($Y169,$AS$50:$AV$50,0)+1)</f>
        <v>R Early Prototype-Inaccurate/Inefficient</v>
      </c>
      <c r="AY169" t="str" cm="1">
        <f t="array" ref="AY169">INDEX($AR$50:$AV$76,MATCH(AY$166,$AR$51:$AR$76,0)+1,MATCH($Y169,$AS$50:$AV$50,0)+1)</f>
        <v>R Early Prototype-Energy Inefficient x2</v>
      </c>
    </row>
    <row r="170" spans="22:51" x14ac:dyDescent="0.3">
      <c r="V170" s="2">
        <v>4</v>
      </c>
      <c r="W170" s="2">
        <f>INDEX(Table1[[Hardpoints]:[Index]],MATCH(B15,Table1[Hardpoints],0),8)</f>
        <v>0</v>
      </c>
      <c r="X170" s="2">
        <f>INDEX(Table3[],MATCH(C15,Table3[Weapon],0),19)</f>
        <v>0</v>
      </c>
      <c r="Y170" t="str">
        <f t="shared" si="51"/>
        <v>Other</v>
      </c>
      <c r="Z170" t="str" cm="1">
        <f t="array" ref="Z170">INDEX($AR$50:$AV$76,MATCH(Z$166,$AR$51:$AR$76,0)+1,MATCH($Y170,$AS$50:$AV$50,0)+1)</f>
        <v/>
      </c>
      <c r="AA170" t="str" cm="1">
        <f t="array" ref="AA170">INDEX($AR$50:$AV$76,MATCH(AA$166,$AR$51:$AR$76,0)+1,MATCH($Y170,$AS$50:$AV$50,0)+1)</f>
        <v>A Standard</v>
      </c>
      <c r="AB170" t="str" cm="1">
        <f t="array" ref="AB170">INDEX($AR$50:$AV$76,MATCH(AB$166,$AR$51:$AR$76,0)+1,MATCH($Y170,$AS$50:$AV$50,0)+1)</f>
        <v>B Budget - Increased Size</v>
      </c>
      <c r="AC170" t="str" cm="1">
        <f t="array" ref="AC170">INDEX($AR$50:$AV$76,MATCH(AC$166,$AR$51:$AR$76,0)+1,MATCH($Y170,$AS$50:$AV$50,0)+1)</f>
        <v>B Budget - Inaccurate</v>
      </c>
      <c r="AD170" t="str" cm="1">
        <f t="array" ref="AD170">INDEX($AR$50:$AV$76,MATCH(AD$166,$AR$51:$AR$76,0)+1,MATCH($Y170,$AS$50:$AV$50,0)+1)</f>
        <v>B Budget - Energy Inefficient</v>
      </c>
      <c r="AE170" t="str" cm="1">
        <f t="array" ref="AE170">INDEX($AR$50:$AV$76,MATCH(AE$166,$AR$51:$AR$76,0)+1,MATCH($Y170,$AS$50:$AV$50,0)+1)</f>
        <v>C TL+1 Cost Reduction*</v>
      </c>
      <c r="AF170" t="str" cm="1">
        <f t="array" ref="AF170">INDEX($AR$50:$AV$76,MATCH(AF$166,$AR$51:$AR$76,0)+1,MATCH($Y170,$AS$50:$AV$50,0)+1)</f>
        <v>C TL+2 Cost Reduction*</v>
      </c>
      <c r="AG170" t="str" cm="1">
        <f t="array" ref="AG170">INDEX($AR$50:$AV$76,MATCH(AG$166,$AR$51:$AR$76,0)+1,MATCH($Y170,$AS$50:$AV$50,0)+1)</f>
        <v>C TL+3 Cost Reduction*</v>
      </c>
      <c r="AH170" t="str" cm="1">
        <f t="array" ref="AH170">INDEX($AR$50:$AV$76,MATCH(AH$166,$AR$51:$AR$76,0)+1,MATCH($Y170,$AS$50:$AV$50,0)+1)</f>
        <v>D Adv - Easy to Repair</v>
      </c>
      <c r="AI170" t="str" cm="1">
        <f t="array" ref="AI170">INDEX($AR$50:$AV$76,MATCH(AI$166,$AR$51:$AR$76,0)+1,MATCH($Y170,$AS$50:$AV$50,0)+1)</f>
        <v>D Adv - Energy Efficient</v>
      </c>
      <c r="AJ170" t="str" cm="1">
        <f t="array" ref="AJ170">INDEX($AR$50:$AV$76,MATCH(AJ$166,$AR$51:$AR$76,0)+1,MATCH($Y170,$AS$50:$AV$50,0)+1)</f>
        <v>D Adv - High Yield</v>
      </c>
      <c r="AK170" t="str" cm="1">
        <f t="array" ref="AK170">INDEX($AR$50:$AV$76,MATCH(AK$166,$AR$51:$AR$76,0)+1,MATCH($Y170,$AS$50:$AV$50,0)+1)</f>
        <v>D Adv - Resilient</v>
      </c>
      <c r="AL170" t="str" cm="1">
        <f t="array" ref="AL170">INDEX($AR$50:$AV$76,MATCH(AL$166,$AR$51:$AR$76,0)+1,MATCH($Y170,$AS$50:$AV$50,0)+1)</f>
        <v>D Adv - Size Reduction</v>
      </c>
      <c r="AM170" t="str" cm="1">
        <f t="array" ref="AM170">INDEX($AR$50:$AV$76,MATCH(AM$166,$AR$51:$AR$76,0)+1,MATCH($Y170,$AS$50:$AV$50,0)+1)</f>
        <v>E VAdv - Accurate</v>
      </c>
      <c r="AN170" t="str" cm="1">
        <f t="array" ref="AN170">INDEX($AR$50:$AV$76,MATCH(AN$166,$AR$51:$AR$76,0)+1,MATCH($Y170,$AS$50:$AV$50,0)+1)</f>
        <v>E VAdv - Intense Focus</v>
      </c>
      <c r="AO170" t="str" cm="1">
        <f t="array" ref="AO170">INDEX($AR$50:$AV$76,MATCH(AO$166,$AR$51:$AR$76,0)+1,MATCH($Y170,$AS$50:$AV$50,0)+1)</f>
        <v>E VAdv - Long Range</v>
      </c>
      <c r="AP170" t="str" cm="1">
        <f t="array" ref="AP170">INDEX($AR$50:$AV$76,MATCH(AP$166,$AR$51:$AR$76,0)+1,MATCH($Y170,$AS$50:$AV$50,0)+1)</f>
        <v>E VAdv - Very High Yield</v>
      </c>
      <c r="AQ170" t="str" cm="1">
        <f t="array" ref="AQ170">INDEX($AR$50:$AV$76,MATCH(AQ$166,$AR$51:$AR$76,0)+1,MATCH($Y170,$AS$50:$AV$50,0)+1)</f>
        <v>P Prototype - Increased Size</v>
      </c>
      <c r="AR170" t="str" cm="1">
        <f t="array" ref="AR170">INDEX($AR$50:$AV$76,MATCH(AR$166,$AR$51:$AR$76,0)+1,MATCH($Y170,$AS$50:$AV$50,0)+1)</f>
        <v>P Prototype - Inaccurate</v>
      </c>
      <c r="AS170" t="str" cm="1">
        <f t="array" ref="AS170">INDEX($AR$50:$AV$76,MATCH(AS$166,$AR$51:$AR$76,0)+1,MATCH($Y170,$AS$50:$AV$50,0)+1)</f>
        <v>P Prototype - Energy Inefficient</v>
      </c>
      <c r="AT170" t="str" cm="1">
        <f t="array" ref="AT170">INDEX($AR$50:$AV$76,MATCH(AT$166,$AR$51:$AR$76,0)+1,MATCH($Y170,$AS$50:$AV$50,0)+1)</f>
        <v>R Early Prototype-Increased Size x2</v>
      </c>
      <c r="AU170" t="str" cm="1">
        <f t="array" ref="AU170">INDEX($AR$50:$AV$76,MATCH(AU$166,$AR$51:$AR$76,0)+1,MATCH($Y170,$AS$50:$AV$50,0)+1)</f>
        <v>R Early Prototype-Increased Size/Inefficient</v>
      </c>
      <c r="AV170" t="str" cm="1">
        <f t="array" ref="AV170">INDEX($AR$50:$AV$76,MATCH(AV$166,$AR$51:$AR$76,0)+1,MATCH($Y170,$AS$50:$AV$50,0)+1)</f>
        <v>R Early Prototype-Increased Size/Inaccurate</v>
      </c>
      <c r="AW170" t="str" cm="1">
        <f t="array" ref="AW170">INDEX($AR$50:$AV$76,MATCH(AW$166,$AR$51:$AR$76,0)+1,MATCH($Y170,$AS$50:$AV$50,0)+1)</f>
        <v>R Early Prototype-Inaccurate x2</v>
      </c>
      <c r="AX170" t="str" cm="1">
        <f t="array" ref="AX170">INDEX($AR$50:$AV$76,MATCH(AX$166,$AR$51:$AR$76,0)+1,MATCH($Y170,$AS$50:$AV$50,0)+1)</f>
        <v>R Early Prototype-Inaccurate/Inefficient</v>
      </c>
      <c r="AY170" t="str" cm="1">
        <f t="array" ref="AY170">INDEX($AR$50:$AV$76,MATCH(AY$166,$AR$51:$AR$76,0)+1,MATCH($Y170,$AS$50:$AV$50,0)+1)</f>
        <v>R Early Prototype-Energy Inefficient x2</v>
      </c>
    </row>
    <row r="171" spans="22:51" x14ac:dyDescent="0.3">
      <c r="V171" s="2">
        <v>5</v>
      </c>
      <c r="W171" s="2">
        <f>INDEX(Table1[[Hardpoints]:[Index]],MATCH(B16,Table1[Hardpoints],0),8)</f>
        <v>0</v>
      </c>
      <c r="X171" s="2">
        <f>INDEX(Table3[],MATCH(C16,Table3[Weapon],0),19)</f>
        <v>0</v>
      </c>
      <c r="Y171" t="str">
        <f t="shared" si="51"/>
        <v>Other</v>
      </c>
      <c r="Z171" t="str" cm="1">
        <f t="array" ref="Z171">INDEX($AR$50:$AV$76,MATCH(Z$166,$AR$51:$AR$76,0)+1,MATCH($Y171,$AS$50:$AV$50,0)+1)</f>
        <v/>
      </c>
      <c r="AA171" t="str" cm="1">
        <f t="array" ref="AA171">INDEX($AR$50:$AV$76,MATCH(AA$166,$AR$51:$AR$76,0)+1,MATCH($Y171,$AS$50:$AV$50,0)+1)</f>
        <v>A Standard</v>
      </c>
      <c r="AB171" t="str" cm="1">
        <f t="array" ref="AB171">INDEX($AR$50:$AV$76,MATCH(AB$166,$AR$51:$AR$76,0)+1,MATCH($Y171,$AS$50:$AV$50,0)+1)</f>
        <v>B Budget - Increased Size</v>
      </c>
      <c r="AC171" t="str" cm="1">
        <f t="array" ref="AC171">INDEX($AR$50:$AV$76,MATCH(AC$166,$AR$51:$AR$76,0)+1,MATCH($Y171,$AS$50:$AV$50,0)+1)</f>
        <v>B Budget - Inaccurate</v>
      </c>
      <c r="AD171" t="str" cm="1">
        <f t="array" ref="AD171">INDEX($AR$50:$AV$76,MATCH(AD$166,$AR$51:$AR$76,0)+1,MATCH($Y171,$AS$50:$AV$50,0)+1)</f>
        <v>B Budget - Energy Inefficient</v>
      </c>
      <c r="AE171" t="str" cm="1">
        <f t="array" ref="AE171">INDEX($AR$50:$AV$76,MATCH(AE$166,$AR$51:$AR$76,0)+1,MATCH($Y171,$AS$50:$AV$50,0)+1)</f>
        <v>C TL+1 Cost Reduction*</v>
      </c>
      <c r="AF171" t="str" cm="1">
        <f t="array" ref="AF171">INDEX($AR$50:$AV$76,MATCH(AF$166,$AR$51:$AR$76,0)+1,MATCH($Y171,$AS$50:$AV$50,0)+1)</f>
        <v>C TL+2 Cost Reduction*</v>
      </c>
      <c r="AG171" t="str" cm="1">
        <f t="array" ref="AG171">INDEX($AR$50:$AV$76,MATCH(AG$166,$AR$51:$AR$76,0)+1,MATCH($Y171,$AS$50:$AV$50,0)+1)</f>
        <v>C TL+3 Cost Reduction*</v>
      </c>
      <c r="AH171" t="str" cm="1">
        <f t="array" ref="AH171">INDEX($AR$50:$AV$76,MATCH(AH$166,$AR$51:$AR$76,0)+1,MATCH($Y171,$AS$50:$AV$50,0)+1)</f>
        <v>D Adv - Easy to Repair</v>
      </c>
      <c r="AI171" t="str" cm="1">
        <f t="array" ref="AI171">INDEX($AR$50:$AV$76,MATCH(AI$166,$AR$51:$AR$76,0)+1,MATCH($Y171,$AS$50:$AV$50,0)+1)</f>
        <v>D Adv - Energy Efficient</v>
      </c>
      <c r="AJ171" t="str" cm="1">
        <f t="array" ref="AJ171">INDEX($AR$50:$AV$76,MATCH(AJ$166,$AR$51:$AR$76,0)+1,MATCH($Y171,$AS$50:$AV$50,0)+1)</f>
        <v>D Adv - High Yield</v>
      </c>
      <c r="AK171" t="str" cm="1">
        <f t="array" ref="AK171">INDEX($AR$50:$AV$76,MATCH(AK$166,$AR$51:$AR$76,0)+1,MATCH($Y171,$AS$50:$AV$50,0)+1)</f>
        <v>D Adv - Resilient</v>
      </c>
      <c r="AL171" t="str" cm="1">
        <f t="array" ref="AL171">INDEX($AR$50:$AV$76,MATCH(AL$166,$AR$51:$AR$76,0)+1,MATCH($Y171,$AS$50:$AV$50,0)+1)</f>
        <v>D Adv - Size Reduction</v>
      </c>
      <c r="AM171" t="str" cm="1">
        <f t="array" ref="AM171">INDEX($AR$50:$AV$76,MATCH(AM$166,$AR$51:$AR$76,0)+1,MATCH($Y171,$AS$50:$AV$50,0)+1)</f>
        <v>E VAdv - Accurate</v>
      </c>
      <c r="AN171" t="str" cm="1">
        <f t="array" ref="AN171">INDEX($AR$50:$AV$76,MATCH(AN$166,$AR$51:$AR$76,0)+1,MATCH($Y171,$AS$50:$AV$50,0)+1)</f>
        <v>E VAdv - Intense Focus</v>
      </c>
      <c r="AO171" t="str" cm="1">
        <f t="array" ref="AO171">INDEX($AR$50:$AV$76,MATCH(AO$166,$AR$51:$AR$76,0)+1,MATCH($Y171,$AS$50:$AV$50,0)+1)</f>
        <v>E VAdv - Long Range</v>
      </c>
      <c r="AP171" t="str" cm="1">
        <f t="array" ref="AP171">INDEX($AR$50:$AV$76,MATCH(AP$166,$AR$51:$AR$76,0)+1,MATCH($Y171,$AS$50:$AV$50,0)+1)</f>
        <v>E VAdv - Very High Yield</v>
      </c>
      <c r="AQ171" t="str" cm="1">
        <f t="array" ref="AQ171">INDEX($AR$50:$AV$76,MATCH(AQ$166,$AR$51:$AR$76,0)+1,MATCH($Y171,$AS$50:$AV$50,0)+1)</f>
        <v>P Prototype - Increased Size</v>
      </c>
      <c r="AR171" t="str" cm="1">
        <f t="array" ref="AR171">INDEX($AR$50:$AV$76,MATCH(AR$166,$AR$51:$AR$76,0)+1,MATCH($Y171,$AS$50:$AV$50,0)+1)</f>
        <v>P Prototype - Inaccurate</v>
      </c>
      <c r="AS171" t="str" cm="1">
        <f t="array" ref="AS171">INDEX($AR$50:$AV$76,MATCH(AS$166,$AR$51:$AR$76,0)+1,MATCH($Y171,$AS$50:$AV$50,0)+1)</f>
        <v>P Prototype - Energy Inefficient</v>
      </c>
      <c r="AT171" t="str" cm="1">
        <f t="array" ref="AT171">INDEX($AR$50:$AV$76,MATCH(AT$166,$AR$51:$AR$76,0)+1,MATCH($Y171,$AS$50:$AV$50,0)+1)</f>
        <v>R Early Prototype-Increased Size x2</v>
      </c>
      <c r="AU171" t="str" cm="1">
        <f t="array" ref="AU171">INDEX($AR$50:$AV$76,MATCH(AU$166,$AR$51:$AR$76,0)+1,MATCH($Y171,$AS$50:$AV$50,0)+1)</f>
        <v>R Early Prototype-Increased Size/Inefficient</v>
      </c>
      <c r="AV171" t="str" cm="1">
        <f t="array" ref="AV171">INDEX($AR$50:$AV$76,MATCH(AV$166,$AR$51:$AR$76,0)+1,MATCH($Y171,$AS$50:$AV$50,0)+1)</f>
        <v>R Early Prototype-Increased Size/Inaccurate</v>
      </c>
      <c r="AW171" t="str" cm="1">
        <f t="array" ref="AW171">INDEX($AR$50:$AV$76,MATCH(AW$166,$AR$51:$AR$76,0)+1,MATCH($Y171,$AS$50:$AV$50,0)+1)</f>
        <v>R Early Prototype-Inaccurate x2</v>
      </c>
      <c r="AX171" t="str" cm="1">
        <f t="array" ref="AX171">INDEX($AR$50:$AV$76,MATCH(AX$166,$AR$51:$AR$76,0)+1,MATCH($Y171,$AS$50:$AV$50,0)+1)</f>
        <v>R Early Prototype-Inaccurate/Inefficient</v>
      </c>
      <c r="AY171" t="str" cm="1">
        <f t="array" ref="AY171">INDEX($AR$50:$AV$76,MATCH(AY$166,$AR$51:$AR$76,0)+1,MATCH($Y171,$AS$50:$AV$50,0)+1)</f>
        <v>R Early Prototype-Energy Inefficient x2</v>
      </c>
    </row>
    <row r="172" spans="22:51" x14ac:dyDescent="0.3">
      <c r="V172" s="2">
        <v>6</v>
      </c>
      <c r="W172" s="2">
        <f>INDEX(Table1[[Hardpoints]:[Index]],MATCH(B17,Table1[Hardpoints],0),8)</f>
        <v>0</v>
      </c>
      <c r="X172" s="2">
        <f>INDEX(Table3[],MATCH(C17,Table3[Weapon],0),19)</f>
        <v>0</v>
      </c>
      <c r="Y172" t="str">
        <f t="shared" si="51"/>
        <v>Other</v>
      </c>
      <c r="Z172" t="str" cm="1">
        <f t="array" ref="Z172">INDEX($AR$50:$AV$76,MATCH(Z$166,$AR$51:$AR$76,0)+1,MATCH($Y172,$AS$50:$AV$50,0)+1)</f>
        <v/>
      </c>
      <c r="AA172" t="str" cm="1">
        <f t="array" ref="AA172">INDEX($AR$50:$AV$76,MATCH(AA$166,$AR$51:$AR$76,0)+1,MATCH($Y172,$AS$50:$AV$50,0)+1)</f>
        <v>A Standard</v>
      </c>
      <c r="AB172" t="str" cm="1">
        <f t="array" ref="AB172">INDEX($AR$50:$AV$76,MATCH(AB$166,$AR$51:$AR$76,0)+1,MATCH($Y172,$AS$50:$AV$50,0)+1)</f>
        <v>B Budget - Increased Size</v>
      </c>
      <c r="AC172" t="str" cm="1">
        <f t="array" ref="AC172">INDEX($AR$50:$AV$76,MATCH(AC$166,$AR$51:$AR$76,0)+1,MATCH($Y172,$AS$50:$AV$50,0)+1)</f>
        <v>B Budget - Inaccurate</v>
      </c>
      <c r="AD172" t="str" cm="1">
        <f t="array" ref="AD172">INDEX($AR$50:$AV$76,MATCH(AD$166,$AR$51:$AR$76,0)+1,MATCH($Y172,$AS$50:$AV$50,0)+1)</f>
        <v>B Budget - Energy Inefficient</v>
      </c>
      <c r="AE172" t="str" cm="1">
        <f t="array" ref="AE172">INDEX($AR$50:$AV$76,MATCH(AE$166,$AR$51:$AR$76,0)+1,MATCH($Y172,$AS$50:$AV$50,0)+1)</f>
        <v>C TL+1 Cost Reduction*</v>
      </c>
      <c r="AF172" t="str" cm="1">
        <f t="array" ref="AF172">INDEX($AR$50:$AV$76,MATCH(AF$166,$AR$51:$AR$76,0)+1,MATCH($Y172,$AS$50:$AV$50,0)+1)</f>
        <v>C TL+2 Cost Reduction*</v>
      </c>
      <c r="AG172" t="str" cm="1">
        <f t="array" ref="AG172">INDEX($AR$50:$AV$76,MATCH(AG$166,$AR$51:$AR$76,0)+1,MATCH($Y172,$AS$50:$AV$50,0)+1)</f>
        <v>C TL+3 Cost Reduction*</v>
      </c>
      <c r="AH172" t="str" cm="1">
        <f t="array" ref="AH172">INDEX($AR$50:$AV$76,MATCH(AH$166,$AR$51:$AR$76,0)+1,MATCH($Y172,$AS$50:$AV$50,0)+1)</f>
        <v>D Adv - Easy to Repair</v>
      </c>
      <c r="AI172" t="str" cm="1">
        <f t="array" ref="AI172">INDEX($AR$50:$AV$76,MATCH(AI$166,$AR$51:$AR$76,0)+1,MATCH($Y172,$AS$50:$AV$50,0)+1)</f>
        <v>D Adv - Energy Efficient</v>
      </c>
      <c r="AJ172" t="str" cm="1">
        <f t="array" ref="AJ172">INDEX($AR$50:$AV$76,MATCH(AJ$166,$AR$51:$AR$76,0)+1,MATCH($Y172,$AS$50:$AV$50,0)+1)</f>
        <v>D Adv - High Yield</v>
      </c>
      <c r="AK172" t="str" cm="1">
        <f t="array" ref="AK172">INDEX($AR$50:$AV$76,MATCH(AK$166,$AR$51:$AR$76,0)+1,MATCH($Y172,$AS$50:$AV$50,0)+1)</f>
        <v>D Adv - Resilient</v>
      </c>
      <c r="AL172" t="str" cm="1">
        <f t="array" ref="AL172">INDEX($AR$50:$AV$76,MATCH(AL$166,$AR$51:$AR$76,0)+1,MATCH($Y172,$AS$50:$AV$50,0)+1)</f>
        <v>D Adv - Size Reduction</v>
      </c>
      <c r="AM172" t="str" cm="1">
        <f t="array" ref="AM172">INDEX($AR$50:$AV$76,MATCH(AM$166,$AR$51:$AR$76,0)+1,MATCH($Y172,$AS$50:$AV$50,0)+1)</f>
        <v>E VAdv - Accurate</v>
      </c>
      <c r="AN172" t="str" cm="1">
        <f t="array" ref="AN172">INDEX($AR$50:$AV$76,MATCH(AN$166,$AR$51:$AR$76,0)+1,MATCH($Y172,$AS$50:$AV$50,0)+1)</f>
        <v>E VAdv - Intense Focus</v>
      </c>
      <c r="AO172" t="str" cm="1">
        <f t="array" ref="AO172">INDEX($AR$50:$AV$76,MATCH(AO$166,$AR$51:$AR$76,0)+1,MATCH($Y172,$AS$50:$AV$50,0)+1)</f>
        <v>E VAdv - Long Range</v>
      </c>
      <c r="AP172" t="str" cm="1">
        <f t="array" ref="AP172">INDEX($AR$50:$AV$76,MATCH(AP$166,$AR$51:$AR$76,0)+1,MATCH($Y172,$AS$50:$AV$50,0)+1)</f>
        <v>E VAdv - Very High Yield</v>
      </c>
      <c r="AQ172" t="str" cm="1">
        <f t="array" ref="AQ172">INDEX($AR$50:$AV$76,MATCH(AQ$166,$AR$51:$AR$76,0)+1,MATCH($Y172,$AS$50:$AV$50,0)+1)</f>
        <v>P Prototype - Increased Size</v>
      </c>
      <c r="AR172" t="str" cm="1">
        <f t="array" ref="AR172">INDEX($AR$50:$AV$76,MATCH(AR$166,$AR$51:$AR$76,0)+1,MATCH($Y172,$AS$50:$AV$50,0)+1)</f>
        <v>P Prototype - Inaccurate</v>
      </c>
      <c r="AS172" t="str" cm="1">
        <f t="array" ref="AS172">INDEX($AR$50:$AV$76,MATCH(AS$166,$AR$51:$AR$76,0)+1,MATCH($Y172,$AS$50:$AV$50,0)+1)</f>
        <v>P Prototype - Energy Inefficient</v>
      </c>
      <c r="AT172" t="str" cm="1">
        <f t="array" ref="AT172">INDEX($AR$50:$AV$76,MATCH(AT$166,$AR$51:$AR$76,0)+1,MATCH($Y172,$AS$50:$AV$50,0)+1)</f>
        <v>R Early Prototype-Increased Size x2</v>
      </c>
      <c r="AU172" t="str" cm="1">
        <f t="array" ref="AU172">INDEX($AR$50:$AV$76,MATCH(AU$166,$AR$51:$AR$76,0)+1,MATCH($Y172,$AS$50:$AV$50,0)+1)</f>
        <v>R Early Prototype-Increased Size/Inefficient</v>
      </c>
      <c r="AV172" t="str" cm="1">
        <f t="array" ref="AV172">INDEX($AR$50:$AV$76,MATCH(AV$166,$AR$51:$AR$76,0)+1,MATCH($Y172,$AS$50:$AV$50,0)+1)</f>
        <v>R Early Prototype-Increased Size/Inaccurate</v>
      </c>
      <c r="AW172" t="str" cm="1">
        <f t="array" ref="AW172">INDEX($AR$50:$AV$76,MATCH(AW$166,$AR$51:$AR$76,0)+1,MATCH($Y172,$AS$50:$AV$50,0)+1)</f>
        <v>R Early Prototype-Inaccurate x2</v>
      </c>
      <c r="AX172" t="str" cm="1">
        <f t="array" ref="AX172">INDEX($AR$50:$AV$76,MATCH(AX$166,$AR$51:$AR$76,0)+1,MATCH($Y172,$AS$50:$AV$50,0)+1)</f>
        <v>R Early Prototype-Inaccurate/Inefficient</v>
      </c>
      <c r="AY172" t="str" cm="1">
        <f t="array" ref="AY172">INDEX($AR$50:$AV$76,MATCH(AY$166,$AR$51:$AR$76,0)+1,MATCH($Y172,$AS$50:$AV$50,0)+1)</f>
        <v>R Early Prototype-Energy Inefficient x2</v>
      </c>
    </row>
    <row r="173" spans="22:51" x14ac:dyDescent="0.3">
      <c r="V173" s="2">
        <v>7</v>
      </c>
      <c r="W173" s="2">
        <f>INDEX(Table1[[Hardpoints]:[Index]],MATCH(B18,Table1[Hardpoints],0),8)</f>
        <v>0</v>
      </c>
      <c r="X173" s="2">
        <f>INDEX(Table3[],MATCH(C18,Table3[Weapon],0),19)</f>
        <v>0</v>
      </c>
      <c r="Y173" t="str">
        <f t="shared" si="51"/>
        <v>Other</v>
      </c>
      <c r="Z173" t="str" cm="1">
        <f t="array" ref="Z173">INDEX($AR$50:$AV$76,MATCH(Z$166,$AR$51:$AR$76,0)+1,MATCH($Y173,$AS$50:$AV$50,0)+1)</f>
        <v/>
      </c>
      <c r="AA173" t="str" cm="1">
        <f t="array" ref="AA173">INDEX($AR$50:$AV$76,MATCH(AA$166,$AR$51:$AR$76,0)+1,MATCH($Y173,$AS$50:$AV$50,0)+1)</f>
        <v>A Standard</v>
      </c>
      <c r="AB173" t="str" cm="1">
        <f t="array" ref="AB173">INDEX($AR$50:$AV$76,MATCH(AB$166,$AR$51:$AR$76,0)+1,MATCH($Y173,$AS$50:$AV$50,0)+1)</f>
        <v>B Budget - Increased Size</v>
      </c>
      <c r="AC173" t="str" cm="1">
        <f t="array" ref="AC173">INDEX($AR$50:$AV$76,MATCH(AC$166,$AR$51:$AR$76,0)+1,MATCH($Y173,$AS$50:$AV$50,0)+1)</f>
        <v>B Budget - Inaccurate</v>
      </c>
      <c r="AD173" t="str" cm="1">
        <f t="array" ref="AD173">INDEX($AR$50:$AV$76,MATCH(AD$166,$AR$51:$AR$76,0)+1,MATCH($Y173,$AS$50:$AV$50,0)+1)</f>
        <v>B Budget - Energy Inefficient</v>
      </c>
      <c r="AE173" t="str" cm="1">
        <f t="array" ref="AE173">INDEX($AR$50:$AV$76,MATCH(AE$166,$AR$51:$AR$76,0)+1,MATCH($Y173,$AS$50:$AV$50,0)+1)</f>
        <v>C TL+1 Cost Reduction*</v>
      </c>
      <c r="AF173" t="str" cm="1">
        <f t="array" ref="AF173">INDEX($AR$50:$AV$76,MATCH(AF$166,$AR$51:$AR$76,0)+1,MATCH($Y173,$AS$50:$AV$50,0)+1)</f>
        <v>C TL+2 Cost Reduction*</v>
      </c>
      <c r="AG173" t="str" cm="1">
        <f t="array" ref="AG173">INDEX($AR$50:$AV$76,MATCH(AG$166,$AR$51:$AR$76,0)+1,MATCH($Y173,$AS$50:$AV$50,0)+1)</f>
        <v>C TL+3 Cost Reduction*</v>
      </c>
      <c r="AH173" t="str" cm="1">
        <f t="array" ref="AH173">INDEX($AR$50:$AV$76,MATCH(AH$166,$AR$51:$AR$76,0)+1,MATCH($Y173,$AS$50:$AV$50,0)+1)</f>
        <v>D Adv - Easy to Repair</v>
      </c>
      <c r="AI173" t="str" cm="1">
        <f t="array" ref="AI173">INDEX($AR$50:$AV$76,MATCH(AI$166,$AR$51:$AR$76,0)+1,MATCH($Y173,$AS$50:$AV$50,0)+1)</f>
        <v>D Adv - Energy Efficient</v>
      </c>
      <c r="AJ173" t="str" cm="1">
        <f t="array" ref="AJ173">INDEX($AR$50:$AV$76,MATCH(AJ$166,$AR$51:$AR$76,0)+1,MATCH($Y173,$AS$50:$AV$50,0)+1)</f>
        <v>D Adv - High Yield</v>
      </c>
      <c r="AK173" t="str" cm="1">
        <f t="array" ref="AK173">INDEX($AR$50:$AV$76,MATCH(AK$166,$AR$51:$AR$76,0)+1,MATCH($Y173,$AS$50:$AV$50,0)+1)</f>
        <v>D Adv - Resilient</v>
      </c>
      <c r="AL173" t="str" cm="1">
        <f t="array" ref="AL173">INDEX($AR$50:$AV$76,MATCH(AL$166,$AR$51:$AR$76,0)+1,MATCH($Y173,$AS$50:$AV$50,0)+1)</f>
        <v>D Adv - Size Reduction</v>
      </c>
      <c r="AM173" t="str" cm="1">
        <f t="array" ref="AM173">INDEX($AR$50:$AV$76,MATCH(AM$166,$AR$51:$AR$76,0)+1,MATCH($Y173,$AS$50:$AV$50,0)+1)</f>
        <v>E VAdv - Accurate</v>
      </c>
      <c r="AN173" t="str" cm="1">
        <f t="array" ref="AN173">INDEX($AR$50:$AV$76,MATCH(AN$166,$AR$51:$AR$76,0)+1,MATCH($Y173,$AS$50:$AV$50,0)+1)</f>
        <v>E VAdv - Intense Focus</v>
      </c>
      <c r="AO173" t="str" cm="1">
        <f t="array" ref="AO173">INDEX($AR$50:$AV$76,MATCH(AO$166,$AR$51:$AR$76,0)+1,MATCH($Y173,$AS$50:$AV$50,0)+1)</f>
        <v>E VAdv - Long Range</v>
      </c>
      <c r="AP173" t="str" cm="1">
        <f t="array" ref="AP173">INDEX($AR$50:$AV$76,MATCH(AP$166,$AR$51:$AR$76,0)+1,MATCH($Y173,$AS$50:$AV$50,0)+1)</f>
        <v>E VAdv - Very High Yield</v>
      </c>
      <c r="AQ173" t="str" cm="1">
        <f t="array" ref="AQ173">INDEX($AR$50:$AV$76,MATCH(AQ$166,$AR$51:$AR$76,0)+1,MATCH($Y173,$AS$50:$AV$50,0)+1)</f>
        <v>P Prototype - Increased Size</v>
      </c>
      <c r="AR173" t="str" cm="1">
        <f t="array" ref="AR173">INDEX($AR$50:$AV$76,MATCH(AR$166,$AR$51:$AR$76,0)+1,MATCH($Y173,$AS$50:$AV$50,0)+1)</f>
        <v>P Prototype - Inaccurate</v>
      </c>
      <c r="AS173" t="str" cm="1">
        <f t="array" ref="AS173">INDEX($AR$50:$AV$76,MATCH(AS$166,$AR$51:$AR$76,0)+1,MATCH($Y173,$AS$50:$AV$50,0)+1)</f>
        <v>P Prototype - Energy Inefficient</v>
      </c>
      <c r="AT173" t="str" cm="1">
        <f t="array" ref="AT173">INDEX($AR$50:$AV$76,MATCH(AT$166,$AR$51:$AR$76,0)+1,MATCH($Y173,$AS$50:$AV$50,0)+1)</f>
        <v>R Early Prototype-Increased Size x2</v>
      </c>
      <c r="AU173" t="str" cm="1">
        <f t="array" ref="AU173">INDEX($AR$50:$AV$76,MATCH(AU$166,$AR$51:$AR$76,0)+1,MATCH($Y173,$AS$50:$AV$50,0)+1)</f>
        <v>R Early Prototype-Increased Size/Inefficient</v>
      </c>
      <c r="AV173" t="str" cm="1">
        <f t="array" ref="AV173">INDEX($AR$50:$AV$76,MATCH(AV$166,$AR$51:$AR$76,0)+1,MATCH($Y173,$AS$50:$AV$50,0)+1)</f>
        <v>R Early Prototype-Increased Size/Inaccurate</v>
      </c>
      <c r="AW173" t="str" cm="1">
        <f t="array" ref="AW173">INDEX($AR$50:$AV$76,MATCH(AW$166,$AR$51:$AR$76,0)+1,MATCH($Y173,$AS$50:$AV$50,0)+1)</f>
        <v>R Early Prototype-Inaccurate x2</v>
      </c>
      <c r="AX173" t="str" cm="1">
        <f t="array" ref="AX173">INDEX($AR$50:$AV$76,MATCH(AX$166,$AR$51:$AR$76,0)+1,MATCH($Y173,$AS$50:$AV$50,0)+1)</f>
        <v>R Early Prototype-Inaccurate/Inefficient</v>
      </c>
      <c r="AY173" t="str" cm="1">
        <f t="array" ref="AY173">INDEX($AR$50:$AV$76,MATCH(AY$166,$AR$51:$AR$76,0)+1,MATCH($Y173,$AS$50:$AV$50,0)+1)</f>
        <v>R Early Prototype-Energy Inefficient x2</v>
      </c>
    </row>
    <row r="174" spans="22:51" x14ac:dyDescent="0.3">
      <c r="V174" s="2">
        <v>8</v>
      </c>
      <c r="W174" s="2">
        <f>INDEX(Table1[[Hardpoints]:[Index]],MATCH(B19,Table1[Hardpoints],0),8)</f>
        <v>0</v>
      </c>
      <c r="X174" s="2">
        <f>INDEX(Table3[],MATCH(C19,Table3[Weapon],0),19)</f>
        <v>0</v>
      </c>
      <c r="Y174" t="str">
        <f t="shared" si="51"/>
        <v>Other</v>
      </c>
      <c r="Z174" t="str" cm="1">
        <f t="array" ref="Z174">INDEX($AR$50:$AV$76,MATCH(Z$166,$AR$51:$AR$76,0)+1,MATCH($Y174,$AS$50:$AV$50,0)+1)</f>
        <v/>
      </c>
      <c r="AA174" t="str" cm="1">
        <f t="array" ref="AA174">INDEX($AR$50:$AV$76,MATCH(AA$166,$AR$51:$AR$76,0)+1,MATCH($Y174,$AS$50:$AV$50,0)+1)</f>
        <v>A Standard</v>
      </c>
      <c r="AB174" t="str" cm="1">
        <f t="array" ref="AB174">INDEX($AR$50:$AV$76,MATCH(AB$166,$AR$51:$AR$76,0)+1,MATCH($Y174,$AS$50:$AV$50,0)+1)</f>
        <v>B Budget - Increased Size</v>
      </c>
      <c r="AC174" t="str" cm="1">
        <f t="array" ref="AC174">INDEX($AR$50:$AV$76,MATCH(AC$166,$AR$51:$AR$76,0)+1,MATCH($Y174,$AS$50:$AV$50,0)+1)</f>
        <v>B Budget - Inaccurate</v>
      </c>
      <c r="AD174" t="str" cm="1">
        <f t="array" ref="AD174">INDEX($AR$50:$AV$76,MATCH(AD$166,$AR$51:$AR$76,0)+1,MATCH($Y174,$AS$50:$AV$50,0)+1)</f>
        <v>B Budget - Energy Inefficient</v>
      </c>
      <c r="AE174" t="str" cm="1">
        <f t="array" ref="AE174">INDEX($AR$50:$AV$76,MATCH(AE$166,$AR$51:$AR$76,0)+1,MATCH($Y174,$AS$50:$AV$50,0)+1)</f>
        <v>C TL+1 Cost Reduction*</v>
      </c>
      <c r="AF174" t="str" cm="1">
        <f t="array" ref="AF174">INDEX($AR$50:$AV$76,MATCH(AF$166,$AR$51:$AR$76,0)+1,MATCH($Y174,$AS$50:$AV$50,0)+1)</f>
        <v>C TL+2 Cost Reduction*</v>
      </c>
      <c r="AG174" t="str" cm="1">
        <f t="array" ref="AG174">INDEX($AR$50:$AV$76,MATCH(AG$166,$AR$51:$AR$76,0)+1,MATCH($Y174,$AS$50:$AV$50,0)+1)</f>
        <v>C TL+3 Cost Reduction*</v>
      </c>
      <c r="AH174" t="str" cm="1">
        <f t="array" ref="AH174">INDEX($AR$50:$AV$76,MATCH(AH$166,$AR$51:$AR$76,0)+1,MATCH($Y174,$AS$50:$AV$50,0)+1)</f>
        <v>D Adv - Easy to Repair</v>
      </c>
      <c r="AI174" t="str" cm="1">
        <f t="array" ref="AI174">INDEX($AR$50:$AV$76,MATCH(AI$166,$AR$51:$AR$76,0)+1,MATCH($Y174,$AS$50:$AV$50,0)+1)</f>
        <v>D Adv - Energy Efficient</v>
      </c>
      <c r="AJ174" t="str" cm="1">
        <f t="array" ref="AJ174">INDEX($AR$50:$AV$76,MATCH(AJ$166,$AR$51:$AR$76,0)+1,MATCH($Y174,$AS$50:$AV$50,0)+1)</f>
        <v>D Adv - High Yield</v>
      </c>
      <c r="AK174" t="str" cm="1">
        <f t="array" ref="AK174">INDEX($AR$50:$AV$76,MATCH(AK$166,$AR$51:$AR$76,0)+1,MATCH($Y174,$AS$50:$AV$50,0)+1)</f>
        <v>D Adv - Resilient</v>
      </c>
      <c r="AL174" t="str" cm="1">
        <f t="array" ref="AL174">INDEX($AR$50:$AV$76,MATCH(AL$166,$AR$51:$AR$76,0)+1,MATCH($Y174,$AS$50:$AV$50,0)+1)</f>
        <v>D Adv - Size Reduction</v>
      </c>
      <c r="AM174" t="str" cm="1">
        <f t="array" ref="AM174">INDEX($AR$50:$AV$76,MATCH(AM$166,$AR$51:$AR$76,0)+1,MATCH($Y174,$AS$50:$AV$50,0)+1)</f>
        <v>E VAdv - Accurate</v>
      </c>
      <c r="AN174" t="str" cm="1">
        <f t="array" ref="AN174">INDEX($AR$50:$AV$76,MATCH(AN$166,$AR$51:$AR$76,0)+1,MATCH($Y174,$AS$50:$AV$50,0)+1)</f>
        <v>E VAdv - Intense Focus</v>
      </c>
      <c r="AO174" t="str" cm="1">
        <f t="array" ref="AO174">INDEX($AR$50:$AV$76,MATCH(AO$166,$AR$51:$AR$76,0)+1,MATCH($Y174,$AS$50:$AV$50,0)+1)</f>
        <v>E VAdv - Long Range</v>
      </c>
      <c r="AP174" t="str" cm="1">
        <f t="array" ref="AP174">INDEX($AR$50:$AV$76,MATCH(AP$166,$AR$51:$AR$76,0)+1,MATCH($Y174,$AS$50:$AV$50,0)+1)</f>
        <v>E VAdv - Very High Yield</v>
      </c>
      <c r="AQ174" t="str" cm="1">
        <f t="array" ref="AQ174">INDEX($AR$50:$AV$76,MATCH(AQ$166,$AR$51:$AR$76,0)+1,MATCH($Y174,$AS$50:$AV$50,0)+1)</f>
        <v>P Prototype - Increased Size</v>
      </c>
      <c r="AR174" t="str" cm="1">
        <f t="array" ref="AR174">INDEX($AR$50:$AV$76,MATCH(AR$166,$AR$51:$AR$76,0)+1,MATCH($Y174,$AS$50:$AV$50,0)+1)</f>
        <v>P Prototype - Inaccurate</v>
      </c>
      <c r="AS174" t="str" cm="1">
        <f t="array" ref="AS174">INDEX($AR$50:$AV$76,MATCH(AS$166,$AR$51:$AR$76,0)+1,MATCH($Y174,$AS$50:$AV$50,0)+1)</f>
        <v>P Prototype - Energy Inefficient</v>
      </c>
      <c r="AT174" t="str" cm="1">
        <f t="array" ref="AT174">INDEX($AR$50:$AV$76,MATCH(AT$166,$AR$51:$AR$76,0)+1,MATCH($Y174,$AS$50:$AV$50,0)+1)</f>
        <v>R Early Prototype-Increased Size x2</v>
      </c>
      <c r="AU174" t="str" cm="1">
        <f t="array" ref="AU174">INDEX($AR$50:$AV$76,MATCH(AU$166,$AR$51:$AR$76,0)+1,MATCH($Y174,$AS$50:$AV$50,0)+1)</f>
        <v>R Early Prototype-Increased Size/Inefficient</v>
      </c>
      <c r="AV174" t="str" cm="1">
        <f t="array" ref="AV174">INDEX($AR$50:$AV$76,MATCH(AV$166,$AR$51:$AR$76,0)+1,MATCH($Y174,$AS$50:$AV$50,0)+1)</f>
        <v>R Early Prototype-Increased Size/Inaccurate</v>
      </c>
      <c r="AW174" t="str" cm="1">
        <f t="array" ref="AW174">INDEX($AR$50:$AV$76,MATCH(AW$166,$AR$51:$AR$76,0)+1,MATCH($Y174,$AS$50:$AV$50,0)+1)</f>
        <v>R Early Prototype-Inaccurate x2</v>
      </c>
      <c r="AX174" t="str" cm="1">
        <f t="array" ref="AX174">INDEX($AR$50:$AV$76,MATCH(AX$166,$AR$51:$AR$76,0)+1,MATCH($Y174,$AS$50:$AV$50,0)+1)</f>
        <v>R Early Prototype-Inaccurate/Inefficient</v>
      </c>
      <c r="AY174" t="str" cm="1">
        <f t="array" ref="AY174">INDEX($AR$50:$AV$76,MATCH(AY$166,$AR$51:$AR$76,0)+1,MATCH($Y174,$AS$50:$AV$50,0)+1)</f>
        <v>R Early Prototype-Energy Inefficient x2</v>
      </c>
    </row>
    <row r="175" spans="22:51" x14ac:dyDescent="0.3">
      <c r="V175" s="2">
        <v>9</v>
      </c>
      <c r="W175" s="2">
        <f>INDEX(Table1[[Hardpoints]:[Index]],MATCH(B20,Table1[Hardpoints],0),8)</f>
        <v>0</v>
      </c>
      <c r="X175" s="2">
        <f>INDEX(Table3[],MATCH(C20,Table3[Weapon],0),19)</f>
        <v>0</v>
      </c>
      <c r="Y175" t="str">
        <f t="shared" si="51"/>
        <v>Other</v>
      </c>
      <c r="Z175" t="str" cm="1">
        <f t="array" ref="Z175">INDEX($AR$50:$AV$76,MATCH(Z$166,$AR$51:$AR$76,0)+1,MATCH($Y175,$AS$50:$AV$50,0)+1)</f>
        <v/>
      </c>
      <c r="AA175" t="str" cm="1">
        <f t="array" ref="AA175">INDEX($AR$50:$AV$76,MATCH(AA$166,$AR$51:$AR$76,0)+1,MATCH($Y175,$AS$50:$AV$50,0)+1)</f>
        <v>A Standard</v>
      </c>
      <c r="AB175" t="str" cm="1">
        <f t="array" ref="AB175">INDEX($AR$50:$AV$76,MATCH(AB$166,$AR$51:$AR$76,0)+1,MATCH($Y175,$AS$50:$AV$50,0)+1)</f>
        <v>B Budget - Increased Size</v>
      </c>
      <c r="AC175" t="str" cm="1">
        <f t="array" ref="AC175">INDEX($AR$50:$AV$76,MATCH(AC$166,$AR$51:$AR$76,0)+1,MATCH($Y175,$AS$50:$AV$50,0)+1)</f>
        <v>B Budget - Inaccurate</v>
      </c>
      <c r="AD175" t="str" cm="1">
        <f t="array" ref="AD175">INDEX($AR$50:$AV$76,MATCH(AD$166,$AR$51:$AR$76,0)+1,MATCH($Y175,$AS$50:$AV$50,0)+1)</f>
        <v>B Budget - Energy Inefficient</v>
      </c>
      <c r="AE175" t="str" cm="1">
        <f t="array" ref="AE175">INDEX($AR$50:$AV$76,MATCH(AE$166,$AR$51:$AR$76,0)+1,MATCH($Y175,$AS$50:$AV$50,0)+1)</f>
        <v>C TL+1 Cost Reduction*</v>
      </c>
      <c r="AF175" t="str" cm="1">
        <f t="array" ref="AF175">INDEX($AR$50:$AV$76,MATCH(AF$166,$AR$51:$AR$76,0)+1,MATCH($Y175,$AS$50:$AV$50,0)+1)</f>
        <v>C TL+2 Cost Reduction*</v>
      </c>
      <c r="AG175" t="str" cm="1">
        <f t="array" ref="AG175">INDEX($AR$50:$AV$76,MATCH(AG$166,$AR$51:$AR$76,0)+1,MATCH($Y175,$AS$50:$AV$50,0)+1)</f>
        <v>C TL+3 Cost Reduction*</v>
      </c>
      <c r="AH175" t="str" cm="1">
        <f t="array" ref="AH175">INDEX($AR$50:$AV$76,MATCH(AH$166,$AR$51:$AR$76,0)+1,MATCH($Y175,$AS$50:$AV$50,0)+1)</f>
        <v>D Adv - Easy to Repair</v>
      </c>
      <c r="AI175" t="str" cm="1">
        <f t="array" ref="AI175">INDEX($AR$50:$AV$76,MATCH(AI$166,$AR$51:$AR$76,0)+1,MATCH($Y175,$AS$50:$AV$50,0)+1)</f>
        <v>D Adv - Energy Efficient</v>
      </c>
      <c r="AJ175" t="str" cm="1">
        <f t="array" ref="AJ175">INDEX($AR$50:$AV$76,MATCH(AJ$166,$AR$51:$AR$76,0)+1,MATCH($Y175,$AS$50:$AV$50,0)+1)</f>
        <v>D Adv - High Yield</v>
      </c>
      <c r="AK175" t="str" cm="1">
        <f t="array" ref="AK175">INDEX($AR$50:$AV$76,MATCH(AK$166,$AR$51:$AR$76,0)+1,MATCH($Y175,$AS$50:$AV$50,0)+1)</f>
        <v>D Adv - Resilient</v>
      </c>
      <c r="AL175" t="str" cm="1">
        <f t="array" ref="AL175">INDEX($AR$50:$AV$76,MATCH(AL$166,$AR$51:$AR$76,0)+1,MATCH($Y175,$AS$50:$AV$50,0)+1)</f>
        <v>D Adv - Size Reduction</v>
      </c>
      <c r="AM175" t="str" cm="1">
        <f t="array" ref="AM175">INDEX($AR$50:$AV$76,MATCH(AM$166,$AR$51:$AR$76,0)+1,MATCH($Y175,$AS$50:$AV$50,0)+1)</f>
        <v>E VAdv - Accurate</v>
      </c>
      <c r="AN175" t="str" cm="1">
        <f t="array" ref="AN175">INDEX($AR$50:$AV$76,MATCH(AN$166,$AR$51:$AR$76,0)+1,MATCH($Y175,$AS$50:$AV$50,0)+1)</f>
        <v>E VAdv - Intense Focus</v>
      </c>
      <c r="AO175" t="str" cm="1">
        <f t="array" ref="AO175">INDEX($AR$50:$AV$76,MATCH(AO$166,$AR$51:$AR$76,0)+1,MATCH($Y175,$AS$50:$AV$50,0)+1)</f>
        <v>E VAdv - Long Range</v>
      </c>
      <c r="AP175" t="str" cm="1">
        <f t="array" ref="AP175">INDEX($AR$50:$AV$76,MATCH(AP$166,$AR$51:$AR$76,0)+1,MATCH($Y175,$AS$50:$AV$50,0)+1)</f>
        <v>E VAdv - Very High Yield</v>
      </c>
      <c r="AQ175" t="str" cm="1">
        <f t="array" ref="AQ175">INDEX($AR$50:$AV$76,MATCH(AQ$166,$AR$51:$AR$76,0)+1,MATCH($Y175,$AS$50:$AV$50,0)+1)</f>
        <v>P Prototype - Increased Size</v>
      </c>
      <c r="AR175" t="str" cm="1">
        <f t="array" ref="AR175">INDEX($AR$50:$AV$76,MATCH(AR$166,$AR$51:$AR$76,0)+1,MATCH($Y175,$AS$50:$AV$50,0)+1)</f>
        <v>P Prototype - Inaccurate</v>
      </c>
      <c r="AS175" t="str" cm="1">
        <f t="array" ref="AS175">INDEX($AR$50:$AV$76,MATCH(AS$166,$AR$51:$AR$76,0)+1,MATCH($Y175,$AS$50:$AV$50,0)+1)</f>
        <v>P Prototype - Energy Inefficient</v>
      </c>
      <c r="AT175" t="str" cm="1">
        <f t="array" ref="AT175">INDEX($AR$50:$AV$76,MATCH(AT$166,$AR$51:$AR$76,0)+1,MATCH($Y175,$AS$50:$AV$50,0)+1)</f>
        <v>R Early Prototype-Increased Size x2</v>
      </c>
      <c r="AU175" t="str" cm="1">
        <f t="array" ref="AU175">INDEX($AR$50:$AV$76,MATCH(AU$166,$AR$51:$AR$76,0)+1,MATCH($Y175,$AS$50:$AV$50,0)+1)</f>
        <v>R Early Prototype-Increased Size/Inefficient</v>
      </c>
      <c r="AV175" t="str" cm="1">
        <f t="array" ref="AV175">INDEX($AR$50:$AV$76,MATCH(AV$166,$AR$51:$AR$76,0)+1,MATCH($Y175,$AS$50:$AV$50,0)+1)</f>
        <v>R Early Prototype-Increased Size/Inaccurate</v>
      </c>
      <c r="AW175" t="str" cm="1">
        <f t="array" ref="AW175">INDEX($AR$50:$AV$76,MATCH(AW$166,$AR$51:$AR$76,0)+1,MATCH($Y175,$AS$50:$AV$50,0)+1)</f>
        <v>R Early Prototype-Inaccurate x2</v>
      </c>
      <c r="AX175" t="str" cm="1">
        <f t="array" ref="AX175">INDEX($AR$50:$AV$76,MATCH(AX$166,$AR$51:$AR$76,0)+1,MATCH($Y175,$AS$50:$AV$50,0)+1)</f>
        <v>R Early Prototype-Inaccurate/Inefficient</v>
      </c>
      <c r="AY175" t="str" cm="1">
        <f t="array" ref="AY175">INDEX($AR$50:$AV$76,MATCH(AY$166,$AR$51:$AR$76,0)+1,MATCH($Y175,$AS$50:$AV$50,0)+1)</f>
        <v>R Early Prototype-Energy Inefficient x2</v>
      </c>
    </row>
    <row r="176" spans="22:51" x14ac:dyDescent="0.3">
      <c r="V176" s="2">
        <v>10</v>
      </c>
      <c r="W176" s="2">
        <f>INDEX(Table1[[Hardpoints]:[Index]],MATCH(B21,Table1[Hardpoints],0),8)</f>
        <v>0</v>
      </c>
      <c r="X176" s="2">
        <f>INDEX(Table3[],MATCH(C21,Table3[Weapon],0),19)</f>
        <v>0</v>
      </c>
      <c r="Y176" t="str">
        <f t="shared" si="51"/>
        <v>Other</v>
      </c>
      <c r="Z176" t="str" cm="1">
        <f t="array" ref="Z176">INDEX($AR$50:$AV$76,MATCH(Z$166,$AR$51:$AR$76,0)+1,MATCH($Y176,$AS$50:$AV$50,0)+1)</f>
        <v/>
      </c>
      <c r="AA176" t="str" cm="1">
        <f t="array" ref="AA176">INDEX($AR$50:$AV$76,MATCH(AA$166,$AR$51:$AR$76,0)+1,MATCH($Y176,$AS$50:$AV$50,0)+1)</f>
        <v>A Standard</v>
      </c>
      <c r="AB176" t="str" cm="1">
        <f t="array" ref="AB176">INDEX($AR$50:$AV$76,MATCH(AB$166,$AR$51:$AR$76,0)+1,MATCH($Y176,$AS$50:$AV$50,0)+1)</f>
        <v>B Budget - Increased Size</v>
      </c>
      <c r="AC176" t="str" cm="1">
        <f t="array" ref="AC176">INDEX($AR$50:$AV$76,MATCH(AC$166,$AR$51:$AR$76,0)+1,MATCH($Y176,$AS$50:$AV$50,0)+1)</f>
        <v>B Budget - Inaccurate</v>
      </c>
      <c r="AD176" t="str" cm="1">
        <f t="array" ref="AD176">INDEX($AR$50:$AV$76,MATCH(AD$166,$AR$51:$AR$76,0)+1,MATCH($Y176,$AS$50:$AV$50,0)+1)</f>
        <v>B Budget - Energy Inefficient</v>
      </c>
      <c r="AE176" t="str" cm="1">
        <f t="array" ref="AE176">INDEX($AR$50:$AV$76,MATCH(AE$166,$AR$51:$AR$76,0)+1,MATCH($Y176,$AS$50:$AV$50,0)+1)</f>
        <v>C TL+1 Cost Reduction*</v>
      </c>
      <c r="AF176" t="str" cm="1">
        <f t="array" ref="AF176">INDEX($AR$50:$AV$76,MATCH(AF$166,$AR$51:$AR$76,0)+1,MATCH($Y176,$AS$50:$AV$50,0)+1)</f>
        <v>C TL+2 Cost Reduction*</v>
      </c>
      <c r="AG176" t="str" cm="1">
        <f t="array" ref="AG176">INDEX($AR$50:$AV$76,MATCH(AG$166,$AR$51:$AR$76,0)+1,MATCH($Y176,$AS$50:$AV$50,0)+1)</f>
        <v>C TL+3 Cost Reduction*</v>
      </c>
      <c r="AH176" t="str" cm="1">
        <f t="array" ref="AH176">INDEX($AR$50:$AV$76,MATCH(AH$166,$AR$51:$AR$76,0)+1,MATCH($Y176,$AS$50:$AV$50,0)+1)</f>
        <v>D Adv - Easy to Repair</v>
      </c>
      <c r="AI176" t="str" cm="1">
        <f t="array" ref="AI176">INDEX($AR$50:$AV$76,MATCH(AI$166,$AR$51:$AR$76,0)+1,MATCH($Y176,$AS$50:$AV$50,0)+1)</f>
        <v>D Adv - Energy Efficient</v>
      </c>
      <c r="AJ176" t="str" cm="1">
        <f t="array" ref="AJ176">INDEX($AR$50:$AV$76,MATCH(AJ$166,$AR$51:$AR$76,0)+1,MATCH($Y176,$AS$50:$AV$50,0)+1)</f>
        <v>D Adv - High Yield</v>
      </c>
      <c r="AK176" t="str" cm="1">
        <f t="array" ref="AK176">INDEX($AR$50:$AV$76,MATCH(AK$166,$AR$51:$AR$76,0)+1,MATCH($Y176,$AS$50:$AV$50,0)+1)</f>
        <v>D Adv - Resilient</v>
      </c>
      <c r="AL176" t="str" cm="1">
        <f t="array" ref="AL176">INDEX($AR$50:$AV$76,MATCH(AL$166,$AR$51:$AR$76,0)+1,MATCH($Y176,$AS$50:$AV$50,0)+1)</f>
        <v>D Adv - Size Reduction</v>
      </c>
      <c r="AM176" t="str" cm="1">
        <f t="array" ref="AM176">INDEX($AR$50:$AV$76,MATCH(AM$166,$AR$51:$AR$76,0)+1,MATCH($Y176,$AS$50:$AV$50,0)+1)</f>
        <v>E VAdv - Accurate</v>
      </c>
      <c r="AN176" t="str" cm="1">
        <f t="array" ref="AN176">INDEX($AR$50:$AV$76,MATCH(AN$166,$AR$51:$AR$76,0)+1,MATCH($Y176,$AS$50:$AV$50,0)+1)</f>
        <v>E VAdv - Intense Focus</v>
      </c>
      <c r="AO176" t="str" cm="1">
        <f t="array" ref="AO176">INDEX($AR$50:$AV$76,MATCH(AO$166,$AR$51:$AR$76,0)+1,MATCH($Y176,$AS$50:$AV$50,0)+1)</f>
        <v>E VAdv - Long Range</v>
      </c>
      <c r="AP176" t="str" cm="1">
        <f t="array" ref="AP176">INDEX($AR$50:$AV$76,MATCH(AP$166,$AR$51:$AR$76,0)+1,MATCH($Y176,$AS$50:$AV$50,0)+1)</f>
        <v>E VAdv - Very High Yield</v>
      </c>
      <c r="AQ176" t="str" cm="1">
        <f t="array" ref="AQ176">INDEX($AR$50:$AV$76,MATCH(AQ$166,$AR$51:$AR$76,0)+1,MATCH($Y176,$AS$50:$AV$50,0)+1)</f>
        <v>P Prototype - Increased Size</v>
      </c>
      <c r="AR176" t="str" cm="1">
        <f t="array" ref="AR176">INDEX($AR$50:$AV$76,MATCH(AR$166,$AR$51:$AR$76,0)+1,MATCH($Y176,$AS$50:$AV$50,0)+1)</f>
        <v>P Prototype - Inaccurate</v>
      </c>
      <c r="AS176" t="str" cm="1">
        <f t="array" ref="AS176">INDEX($AR$50:$AV$76,MATCH(AS$166,$AR$51:$AR$76,0)+1,MATCH($Y176,$AS$50:$AV$50,0)+1)</f>
        <v>P Prototype - Energy Inefficient</v>
      </c>
      <c r="AT176" t="str" cm="1">
        <f t="array" ref="AT176">INDEX($AR$50:$AV$76,MATCH(AT$166,$AR$51:$AR$76,0)+1,MATCH($Y176,$AS$50:$AV$50,0)+1)</f>
        <v>R Early Prototype-Increased Size x2</v>
      </c>
      <c r="AU176" t="str" cm="1">
        <f t="array" ref="AU176">INDEX($AR$50:$AV$76,MATCH(AU$166,$AR$51:$AR$76,0)+1,MATCH($Y176,$AS$50:$AV$50,0)+1)</f>
        <v>R Early Prototype-Increased Size/Inefficient</v>
      </c>
      <c r="AV176" t="str" cm="1">
        <f t="array" ref="AV176">INDEX($AR$50:$AV$76,MATCH(AV$166,$AR$51:$AR$76,0)+1,MATCH($Y176,$AS$50:$AV$50,0)+1)</f>
        <v>R Early Prototype-Increased Size/Inaccurate</v>
      </c>
      <c r="AW176" t="str" cm="1">
        <f t="array" ref="AW176">INDEX($AR$50:$AV$76,MATCH(AW$166,$AR$51:$AR$76,0)+1,MATCH($Y176,$AS$50:$AV$50,0)+1)</f>
        <v>R Early Prototype-Inaccurate x2</v>
      </c>
      <c r="AX176" t="str" cm="1">
        <f t="array" ref="AX176">INDEX($AR$50:$AV$76,MATCH(AX$166,$AR$51:$AR$76,0)+1,MATCH($Y176,$AS$50:$AV$50,0)+1)</f>
        <v>R Early Prototype-Inaccurate/Inefficient</v>
      </c>
      <c r="AY176" t="str" cm="1">
        <f t="array" ref="AY176">INDEX($AR$50:$AV$76,MATCH(AY$166,$AR$51:$AR$76,0)+1,MATCH($Y176,$AS$50:$AV$50,0)+1)</f>
        <v>R Early Prototype-Energy Inefficient x2</v>
      </c>
    </row>
    <row r="177" spans="22:51" x14ac:dyDescent="0.3">
      <c r="V177" s="2">
        <v>11</v>
      </c>
      <c r="W177" s="2">
        <f>INDEX(Table1[[Hardpoints]:[Index]],MATCH(B22,Table1[Hardpoints],0),8)</f>
        <v>0</v>
      </c>
      <c r="X177" s="2">
        <f>INDEX(Table3[],MATCH(C22,Table3[Weapon],0),19)</f>
        <v>0</v>
      </c>
      <c r="Y177" t="str">
        <f t="shared" si="51"/>
        <v>Other</v>
      </c>
      <c r="Z177" t="str" cm="1">
        <f t="array" ref="Z177">INDEX($AR$50:$AV$76,MATCH(Z$166,$AR$51:$AR$76,0)+1,MATCH($Y177,$AS$50:$AV$50,0)+1)</f>
        <v/>
      </c>
      <c r="AA177" t="str" cm="1">
        <f t="array" ref="AA177">INDEX($AR$50:$AV$76,MATCH(AA$166,$AR$51:$AR$76,0)+1,MATCH($Y177,$AS$50:$AV$50,0)+1)</f>
        <v>A Standard</v>
      </c>
      <c r="AB177" t="str" cm="1">
        <f t="array" ref="AB177">INDEX($AR$50:$AV$76,MATCH(AB$166,$AR$51:$AR$76,0)+1,MATCH($Y177,$AS$50:$AV$50,0)+1)</f>
        <v>B Budget - Increased Size</v>
      </c>
      <c r="AC177" t="str" cm="1">
        <f t="array" ref="AC177">INDEX($AR$50:$AV$76,MATCH(AC$166,$AR$51:$AR$76,0)+1,MATCH($Y177,$AS$50:$AV$50,0)+1)</f>
        <v>B Budget - Inaccurate</v>
      </c>
      <c r="AD177" t="str" cm="1">
        <f t="array" ref="AD177">INDEX($AR$50:$AV$76,MATCH(AD$166,$AR$51:$AR$76,0)+1,MATCH($Y177,$AS$50:$AV$50,0)+1)</f>
        <v>B Budget - Energy Inefficient</v>
      </c>
      <c r="AE177" t="str" cm="1">
        <f t="array" ref="AE177">INDEX($AR$50:$AV$76,MATCH(AE$166,$AR$51:$AR$76,0)+1,MATCH($Y177,$AS$50:$AV$50,0)+1)</f>
        <v>C TL+1 Cost Reduction*</v>
      </c>
      <c r="AF177" t="str" cm="1">
        <f t="array" ref="AF177">INDEX($AR$50:$AV$76,MATCH(AF$166,$AR$51:$AR$76,0)+1,MATCH($Y177,$AS$50:$AV$50,0)+1)</f>
        <v>C TL+2 Cost Reduction*</v>
      </c>
      <c r="AG177" t="str" cm="1">
        <f t="array" ref="AG177">INDEX($AR$50:$AV$76,MATCH(AG$166,$AR$51:$AR$76,0)+1,MATCH($Y177,$AS$50:$AV$50,0)+1)</f>
        <v>C TL+3 Cost Reduction*</v>
      </c>
      <c r="AH177" t="str" cm="1">
        <f t="array" ref="AH177">INDEX($AR$50:$AV$76,MATCH(AH$166,$AR$51:$AR$76,0)+1,MATCH($Y177,$AS$50:$AV$50,0)+1)</f>
        <v>D Adv - Easy to Repair</v>
      </c>
      <c r="AI177" t="str" cm="1">
        <f t="array" ref="AI177">INDEX($AR$50:$AV$76,MATCH(AI$166,$AR$51:$AR$76,0)+1,MATCH($Y177,$AS$50:$AV$50,0)+1)</f>
        <v>D Adv - Energy Efficient</v>
      </c>
      <c r="AJ177" t="str" cm="1">
        <f t="array" ref="AJ177">INDEX($AR$50:$AV$76,MATCH(AJ$166,$AR$51:$AR$76,0)+1,MATCH($Y177,$AS$50:$AV$50,0)+1)</f>
        <v>D Adv - High Yield</v>
      </c>
      <c r="AK177" t="str" cm="1">
        <f t="array" ref="AK177">INDEX($AR$50:$AV$76,MATCH(AK$166,$AR$51:$AR$76,0)+1,MATCH($Y177,$AS$50:$AV$50,0)+1)</f>
        <v>D Adv - Resilient</v>
      </c>
      <c r="AL177" t="str" cm="1">
        <f t="array" ref="AL177">INDEX($AR$50:$AV$76,MATCH(AL$166,$AR$51:$AR$76,0)+1,MATCH($Y177,$AS$50:$AV$50,0)+1)</f>
        <v>D Adv - Size Reduction</v>
      </c>
      <c r="AM177" t="str" cm="1">
        <f t="array" ref="AM177">INDEX($AR$50:$AV$76,MATCH(AM$166,$AR$51:$AR$76,0)+1,MATCH($Y177,$AS$50:$AV$50,0)+1)</f>
        <v>E VAdv - Accurate</v>
      </c>
      <c r="AN177" t="str" cm="1">
        <f t="array" ref="AN177">INDEX($AR$50:$AV$76,MATCH(AN$166,$AR$51:$AR$76,0)+1,MATCH($Y177,$AS$50:$AV$50,0)+1)</f>
        <v>E VAdv - Intense Focus</v>
      </c>
      <c r="AO177" t="str" cm="1">
        <f t="array" ref="AO177">INDEX($AR$50:$AV$76,MATCH(AO$166,$AR$51:$AR$76,0)+1,MATCH($Y177,$AS$50:$AV$50,0)+1)</f>
        <v>E VAdv - Long Range</v>
      </c>
      <c r="AP177" t="str" cm="1">
        <f t="array" ref="AP177">INDEX($AR$50:$AV$76,MATCH(AP$166,$AR$51:$AR$76,0)+1,MATCH($Y177,$AS$50:$AV$50,0)+1)</f>
        <v>E VAdv - Very High Yield</v>
      </c>
      <c r="AQ177" t="str" cm="1">
        <f t="array" ref="AQ177">INDEX($AR$50:$AV$76,MATCH(AQ$166,$AR$51:$AR$76,0)+1,MATCH($Y177,$AS$50:$AV$50,0)+1)</f>
        <v>P Prototype - Increased Size</v>
      </c>
      <c r="AR177" t="str" cm="1">
        <f t="array" ref="AR177">INDEX($AR$50:$AV$76,MATCH(AR$166,$AR$51:$AR$76,0)+1,MATCH($Y177,$AS$50:$AV$50,0)+1)</f>
        <v>P Prototype - Inaccurate</v>
      </c>
      <c r="AS177" t="str" cm="1">
        <f t="array" ref="AS177">INDEX($AR$50:$AV$76,MATCH(AS$166,$AR$51:$AR$76,0)+1,MATCH($Y177,$AS$50:$AV$50,0)+1)</f>
        <v>P Prototype - Energy Inefficient</v>
      </c>
      <c r="AT177" t="str" cm="1">
        <f t="array" ref="AT177">INDEX($AR$50:$AV$76,MATCH(AT$166,$AR$51:$AR$76,0)+1,MATCH($Y177,$AS$50:$AV$50,0)+1)</f>
        <v>R Early Prototype-Increased Size x2</v>
      </c>
      <c r="AU177" t="str" cm="1">
        <f t="array" ref="AU177">INDEX($AR$50:$AV$76,MATCH(AU$166,$AR$51:$AR$76,0)+1,MATCH($Y177,$AS$50:$AV$50,0)+1)</f>
        <v>R Early Prototype-Increased Size/Inefficient</v>
      </c>
      <c r="AV177" t="str" cm="1">
        <f t="array" ref="AV177">INDEX($AR$50:$AV$76,MATCH(AV$166,$AR$51:$AR$76,0)+1,MATCH($Y177,$AS$50:$AV$50,0)+1)</f>
        <v>R Early Prototype-Increased Size/Inaccurate</v>
      </c>
      <c r="AW177" t="str" cm="1">
        <f t="array" ref="AW177">INDEX($AR$50:$AV$76,MATCH(AW$166,$AR$51:$AR$76,0)+1,MATCH($Y177,$AS$50:$AV$50,0)+1)</f>
        <v>R Early Prototype-Inaccurate x2</v>
      </c>
      <c r="AX177" t="str" cm="1">
        <f t="array" ref="AX177">INDEX($AR$50:$AV$76,MATCH(AX$166,$AR$51:$AR$76,0)+1,MATCH($Y177,$AS$50:$AV$50,0)+1)</f>
        <v>R Early Prototype-Inaccurate/Inefficient</v>
      </c>
      <c r="AY177" t="str" cm="1">
        <f t="array" ref="AY177">INDEX($AR$50:$AV$76,MATCH(AY$166,$AR$51:$AR$76,0)+1,MATCH($Y177,$AS$50:$AV$50,0)+1)</f>
        <v>R Early Prototype-Energy Inefficient x2</v>
      </c>
    </row>
    <row r="178" spans="22:51" x14ac:dyDescent="0.3">
      <c r="V178" s="2">
        <v>12</v>
      </c>
      <c r="W178" s="2">
        <f>INDEX(Table1[[Hardpoints]:[Index]],MATCH(B23,Table1[Hardpoints],0),8)</f>
        <v>0</v>
      </c>
      <c r="X178" s="2">
        <f>INDEX(Table3[],MATCH(C23,Table3[Weapon],0),19)</f>
        <v>0</v>
      </c>
      <c r="Y178" t="str">
        <f t="shared" si="51"/>
        <v>Other</v>
      </c>
      <c r="Z178" t="str" cm="1">
        <f t="array" ref="Z178">INDEX($AR$50:$AV$76,MATCH(Z$166,$AR$51:$AR$76,0)+1,MATCH($Y178,$AS$50:$AV$50,0)+1)</f>
        <v/>
      </c>
      <c r="AA178" t="str" cm="1">
        <f t="array" ref="AA178">INDEX($AR$50:$AV$76,MATCH(AA$166,$AR$51:$AR$76,0)+1,MATCH($Y178,$AS$50:$AV$50,0)+1)</f>
        <v>A Standard</v>
      </c>
      <c r="AB178" t="str" cm="1">
        <f t="array" ref="AB178">INDEX($AR$50:$AV$76,MATCH(AB$166,$AR$51:$AR$76,0)+1,MATCH($Y178,$AS$50:$AV$50,0)+1)</f>
        <v>B Budget - Increased Size</v>
      </c>
      <c r="AC178" t="str" cm="1">
        <f t="array" ref="AC178">INDEX($AR$50:$AV$76,MATCH(AC$166,$AR$51:$AR$76,0)+1,MATCH($Y178,$AS$50:$AV$50,0)+1)</f>
        <v>B Budget - Inaccurate</v>
      </c>
      <c r="AD178" t="str" cm="1">
        <f t="array" ref="AD178">INDEX($AR$50:$AV$76,MATCH(AD$166,$AR$51:$AR$76,0)+1,MATCH($Y178,$AS$50:$AV$50,0)+1)</f>
        <v>B Budget - Energy Inefficient</v>
      </c>
      <c r="AE178" t="str" cm="1">
        <f t="array" ref="AE178">INDEX($AR$50:$AV$76,MATCH(AE$166,$AR$51:$AR$76,0)+1,MATCH($Y178,$AS$50:$AV$50,0)+1)</f>
        <v>C TL+1 Cost Reduction*</v>
      </c>
      <c r="AF178" t="str" cm="1">
        <f t="array" ref="AF178">INDEX($AR$50:$AV$76,MATCH(AF$166,$AR$51:$AR$76,0)+1,MATCH($Y178,$AS$50:$AV$50,0)+1)</f>
        <v>C TL+2 Cost Reduction*</v>
      </c>
      <c r="AG178" t="str" cm="1">
        <f t="array" ref="AG178">INDEX($AR$50:$AV$76,MATCH(AG$166,$AR$51:$AR$76,0)+1,MATCH($Y178,$AS$50:$AV$50,0)+1)</f>
        <v>C TL+3 Cost Reduction*</v>
      </c>
      <c r="AH178" t="str" cm="1">
        <f t="array" ref="AH178">INDEX($AR$50:$AV$76,MATCH(AH$166,$AR$51:$AR$76,0)+1,MATCH($Y178,$AS$50:$AV$50,0)+1)</f>
        <v>D Adv - Easy to Repair</v>
      </c>
      <c r="AI178" t="str" cm="1">
        <f t="array" ref="AI178">INDEX($AR$50:$AV$76,MATCH(AI$166,$AR$51:$AR$76,0)+1,MATCH($Y178,$AS$50:$AV$50,0)+1)</f>
        <v>D Adv - Energy Efficient</v>
      </c>
      <c r="AJ178" t="str" cm="1">
        <f t="array" ref="AJ178">INDEX($AR$50:$AV$76,MATCH(AJ$166,$AR$51:$AR$76,0)+1,MATCH($Y178,$AS$50:$AV$50,0)+1)</f>
        <v>D Adv - High Yield</v>
      </c>
      <c r="AK178" t="str" cm="1">
        <f t="array" ref="AK178">INDEX($AR$50:$AV$76,MATCH(AK$166,$AR$51:$AR$76,0)+1,MATCH($Y178,$AS$50:$AV$50,0)+1)</f>
        <v>D Adv - Resilient</v>
      </c>
      <c r="AL178" t="str" cm="1">
        <f t="array" ref="AL178">INDEX($AR$50:$AV$76,MATCH(AL$166,$AR$51:$AR$76,0)+1,MATCH($Y178,$AS$50:$AV$50,0)+1)</f>
        <v>D Adv - Size Reduction</v>
      </c>
      <c r="AM178" t="str" cm="1">
        <f t="array" ref="AM178">INDEX($AR$50:$AV$76,MATCH(AM$166,$AR$51:$AR$76,0)+1,MATCH($Y178,$AS$50:$AV$50,0)+1)</f>
        <v>E VAdv - Accurate</v>
      </c>
      <c r="AN178" t="str" cm="1">
        <f t="array" ref="AN178">INDEX($AR$50:$AV$76,MATCH(AN$166,$AR$51:$AR$76,0)+1,MATCH($Y178,$AS$50:$AV$50,0)+1)</f>
        <v>E VAdv - Intense Focus</v>
      </c>
      <c r="AO178" t="str" cm="1">
        <f t="array" ref="AO178">INDEX($AR$50:$AV$76,MATCH(AO$166,$AR$51:$AR$76,0)+1,MATCH($Y178,$AS$50:$AV$50,0)+1)</f>
        <v>E VAdv - Long Range</v>
      </c>
      <c r="AP178" t="str" cm="1">
        <f t="array" ref="AP178">INDEX($AR$50:$AV$76,MATCH(AP$166,$AR$51:$AR$76,0)+1,MATCH($Y178,$AS$50:$AV$50,0)+1)</f>
        <v>E VAdv - Very High Yield</v>
      </c>
      <c r="AQ178" t="str" cm="1">
        <f t="array" ref="AQ178">INDEX($AR$50:$AV$76,MATCH(AQ$166,$AR$51:$AR$76,0)+1,MATCH($Y178,$AS$50:$AV$50,0)+1)</f>
        <v>P Prototype - Increased Size</v>
      </c>
      <c r="AR178" t="str" cm="1">
        <f t="array" ref="AR178">INDEX($AR$50:$AV$76,MATCH(AR$166,$AR$51:$AR$76,0)+1,MATCH($Y178,$AS$50:$AV$50,0)+1)</f>
        <v>P Prototype - Inaccurate</v>
      </c>
      <c r="AS178" t="str" cm="1">
        <f t="array" ref="AS178">INDEX($AR$50:$AV$76,MATCH(AS$166,$AR$51:$AR$76,0)+1,MATCH($Y178,$AS$50:$AV$50,0)+1)</f>
        <v>P Prototype - Energy Inefficient</v>
      </c>
      <c r="AT178" t="str" cm="1">
        <f t="array" ref="AT178">INDEX($AR$50:$AV$76,MATCH(AT$166,$AR$51:$AR$76,0)+1,MATCH($Y178,$AS$50:$AV$50,0)+1)</f>
        <v>R Early Prototype-Increased Size x2</v>
      </c>
      <c r="AU178" t="str" cm="1">
        <f t="array" ref="AU178">INDEX($AR$50:$AV$76,MATCH(AU$166,$AR$51:$AR$76,0)+1,MATCH($Y178,$AS$50:$AV$50,0)+1)</f>
        <v>R Early Prototype-Increased Size/Inefficient</v>
      </c>
      <c r="AV178" t="str" cm="1">
        <f t="array" ref="AV178">INDEX($AR$50:$AV$76,MATCH(AV$166,$AR$51:$AR$76,0)+1,MATCH($Y178,$AS$50:$AV$50,0)+1)</f>
        <v>R Early Prototype-Increased Size/Inaccurate</v>
      </c>
      <c r="AW178" t="str" cm="1">
        <f t="array" ref="AW178">INDEX($AR$50:$AV$76,MATCH(AW$166,$AR$51:$AR$76,0)+1,MATCH($Y178,$AS$50:$AV$50,0)+1)</f>
        <v>R Early Prototype-Inaccurate x2</v>
      </c>
      <c r="AX178" t="str" cm="1">
        <f t="array" ref="AX178">INDEX($AR$50:$AV$76,MATCH(AX$166,$AR$51:$AR$76,0)+1,MATCH($Y178,$AS$50:$AV$50,0)+1)</f>
        <v>R Early Prototype-Inaccurate/Inefficient</v>
      </c>
      <c r="AY178" t="str" cm="1">
        <f t="array" ref="AY178">INDEX($AR$50:$AV$76,MATCH(AY$166,$AR$51:$AR$76,0)+1,MATCH($Y178,$AS$50:$AV$50,0)+1)</f>
        <v>R Early Prototype-Energy Inefficient x2</v>
      </c>
    </row>
    <row r="179" spans="22:51" x14ac:dyDescent="0.3">
      <c r="V179" s="2">
        <v>13</v>
      </c>
      <c r="W179" s="2">
        <f>INDEX(Table1[[Hardpoints]:[Index]],MATCH(B24,Table1[Hardpoints],0),8)</f>
        <v>0</v>
      </c>
      <c r="X179" s="2">
        <f>INDEX(Table3[],MATCH(C24,Table3[Weapon],0),19)</f>
        <v>0</v>
      </c>
      <c r="Y179" t="str">
        <f t="shared" si="51"/>
        <v>Other</v>
      </c>
      <c r="Z179" t="str" cm="1">
        <f t="array" ref="Z179">INDEX($AR$50:$AV$76,MATCH(Z$166,$AR$51:$AR$76,0)+1,MATCH($Y179,$AS$50:$AV$50,0)+1)</f>
        <v/>
      </c>
      <c r="AA179" t="str" cm="1">
        <f t="array" ref="AA179">INDEX($AR$50:$AV$76,MATCH(AA$166,$AR$51:$AR$76,0)+1,MATCH($Y179,$AS$50:$AV$50,0)+1)</f>
        <v>A Standard</v>
      </c>
      <c r="AB179" t="str" cm="1">
        <f t="array" ref="AB179">INDEX($AR$50:$AV$76,MATCH(AB$166,$AR$51:$AR$76,0)+1,MATCH($Y179,$AS$50:$AV$50,0)+1)</f>
        <v>B Budget - Increased Size</v>
      </c>
      <c r="AC179" t="str" cm="1">
        <f t="array" ref="AC179">INDEX($AR$50:$AV$76,MATCH(AC$166,$AR$51:$AR$76,0)+1,MATCH($Y179,$AS$50:$AV$50,0)+1)</f>
        <v>B Budget - Inaccurate</v>
      </c>
      <c r="AD179" t="str" cm="1">
        <f t="array" ref="AD179">INDEX($AR$50:$AV$76,MATCH(AD$166,$AR$51:$AR$76,0)+1,MATCH($Y179,$AS$50:$AV$50,0)+1)</f>
        <v>B Budget - Energy Inefficient</v>
      </c>
      <c r="AE179" t="str" cm="1">
        <f t="array" ref="AE179">INDEX($AR$50:$AV$76,MATCH(AE$166,$AR$51:$AR$76,0)+1,MATCH($Y179,$AS$50:$AV$50,0)+1)</f>
        <v>C TL+1 Cost Reduction*</v>
      </c>
      <c r="AF179" t="str" cm="1">
        <f t="array" ref="AF179">INDEX($AR$50:$AV$76,MATCH(AF$166,$AR$51:$AR$76,0)+1,MATCH($Y179,$AS$50:$AV$50,0)+1)</f>
        <v>C TL+2 Cost Reduction*</v>
      </c>
      <c r="AG179" t="str" cm="1">
        <f t="array" ref="AG179">INDEX($AR$50:$AV$76,MATCH(AG$166,$AR$51:$AR$76,0)+1,MATCH($Y179,$AS$50:$AV$50,0)+1)</f>
        <v>C TL+3 Cost Reduction*</v>
      </c>
      <c r="AH179" t="str" cm="1">
        <f t="array" ref="AH179">INDEX($AR$50:$AV$76,MATCH(AH$166,$AR$51:$AR$76,0)+1,MATCH($Y179,$AS$50:$AV$50,0)+1)</f>
        <v>D Adv - Easy to Repair</v>
      </c>
      <c r="AI179" t="str" cm="1">
        <f t="array" ref="AI179">INDEX($AR$50:$AV$76,MATCH(AI$166,$AR$51:$AR$76,0)+1,MATCH($Y179,$AS$50:$AV$50,0)+1)</f>
        <v>D Adv - Energy Efficient</v>
      </c>
      <c r="AJ179" t="str" cm="1">
        <f t="array" ref="AJ179">INDEX($AR$50:$AV$76,MATCH(AJ$166,$AR$51:$AR$76,0)+1,MATCH($Y179,$AS$50:$AV$50,0)+1)</f>
        <v>D Adv - High Yield</v>
      </c>
      <c r="AK179" t="str" cm="1">
        <f t="array" ref="AK179">INDEX($AR$50:$AV$76,MATCH(AK$166,$AR$51:$AR$76,0)+1,MATCH($Y179,$AS$50:$AV$50,0)+1)</f>
        <v>D Adv - Resilient</v>
      </c>
      <c r="AL179" t="str" cm="1">
        <f t="array" ref="AL179">INDEX($AR$50:$AV$76,MATCH(AL$166,$AR$51:$AR$76,0)+1,MATCH($Y179,$AS$50:$AV$50,0)+1)</f>
        <v>D Adv - Size Reduction</v>
      </c>
      <c r="AM179" t="str" cm="1">
        <f t="array" ref="AM179">INDEX($AR$50:$AV$76,MATCH(AM$166,$AR$51:$AR$76,0)+1,MATCH($Y179,$AS$50:$AV$50,0)+1)</f>
        <v>E VAdv - Accurate</v>
      </c>
      <c r="AN179" t="str" cm="1">
        <f t="array" ref="AN179">INDEX($AR$50:$AV$76,MATCH(AN$166,$AR$51:$AR$76,0)+1,MATCH($Y179,$AS$50:$AV$50,0)+1)</f>
        <v>E VAdv - Intense Focus</v>
      </c>
      <c r="AO179" t="str" cm="1">
        <f t="array" ref="AO179">INDEX($AR$50:$AV$76,MATCH(AO$166,$AR$51:$AR$76,0)+1,MATCH($Y179,$AS$50:$AV$50,0)+1)</f>
        <v>E VAdv - Long Range</v>
      </c>
      <c r="AP179" t="str" cm="1">
        <f t="array" ref="AP179">INDEX($AR$50:$AV$76,MATCH(AP$166,$AR$51:$AR$76,0)+1,MATCH($Y179,$AS$50:$AV$50,0)+1)</f>
        <v>E VAdv - Very High Yield</v>
      </c>
      <c r="AQ179" t="str" cm="1">
        <f t="array" ref="AQ179">INDEX($AR$50:$AV$76,MATCH(AQ$166,$AR$51:$AR$76,0)+1,MATCH($Y179,$AS$50:$AV$50,0)+1)</f>
        <v>P Prototype - Increased Size</v>
      </c>
      <c r="AR179" t="str" cm="1">
        <f t="array" ref="AR179">INDEX($AR$50:$AV$76,MATCH(AR$166,$AR$51:$AR$76,0)+1,MATCH($Y179,$AS$50:$AV$50,0)+1)</f>
        <v>P Prototype - Inaccurate</v>
      </c>
      <c r="AS179" t="str" cm="1">
        <f t="array" ref="AS179">INDEX($AR$50:$AV$76,MATCH(AS$166,$AR$51:$AR$76,0)+1,MATCH($Y179,$AS$50:$AV$50,0)+1)</f>
        <v>P Prototype - Energy Inefficient</v>
      </c>
      <c r="AT179" t="str" cm="1">
        <f t="array" ref="AT179">INDEX($AR$50:$AV$76,MATCH(AT$166,$AR$51:$AR$76,0)+1,MATCH($Y179,$AS$50:$AV$50,0)+1)</f>
        <v>R Early Prototype-Increased Size x2</v>
      </c>
      <c r="AU179" t="str" cm="1">
        <f t="array" ref="AU179">INDEX($AR$50:$AV$76,MATCH(AU$166,$AR$51:$AR$76,0)+1,MATCH($Y179,$AS$50:$AV$50,0)+1)</f>
        <v>R Early Prototype-Increased Size/Inefficient</v>
      </c>
      <c r="AV179" t="str" cm="1">
        <f t="array" ref="AV179">INDEX($AR$50:$AV$76,MATCH(AV$166,$AR$51:$AR$76,0)+1,MATCH($Y179,$AS$50:$AV$50,0)+1)</f>
        <v>R Early Prototype-Increased Size/Inaccurate</v>
      </c>
      <c r="AW179" t="str" cm="1">
        <f t="array" ref="AW179">INDEX($AR$50:$AV$76,MATCH(AW$166,$AR$51:$AR$76,0)+1,MATCH($Y179,$AS$50:$AV$50,0)+1)</f>
        <v>R Early Prototype-Inaccurate x2</v>
      </c>
      <c r="AX179" t="str" cm="1">
        <f t="array" ref="AX179">INDEX($AR$50:$AV$76,MATCH(AX$166,$AR$51:$AR$76,0)+1,MATCH($Y179,$AS$50:$AV$50,0)+1)</f>
        <v>R Early Prototype-Inaccurate/Inefficient</v>
      </c>
      <c r="AY179" t="str" cm="1">
        <f t="array" ref="AY179">INDEX($AR$50:$AV$76,MATCH(AY$166,$AR$51:$AR$76,0)+1,MATCH($Y179,$AS$50:$AV$50,0)+1)</f>
        <v>R Early Prototype-Energy Inefficient x2</v>
      </c>
    </row>
    <row r="180" spans="22:51" x14ac:dyDescent="0.3">
      <c r="V180" s="2">
        <v>14</v>
      </c>
      <c r="W180" s="2">
        <f>INDEX(Table1[[Hardpoints]:[Index]],MATCH(B25,Table1[Hardpoints],0),8)</f>
        <v>0</v>
      </c>
      <c r="X180" s="2">
        <f>INDEX(Table3[],MATCH(C25,Table3[Weapon],0),19)</f>
        <v>0</v>
      </c>
      <c r="Y180" t="str">
        <f t="shared" si="51"/>
        <v>Other</v>
      </c>
      <c r="Z180" t="str" cm="1">
        <f t="array" ref="Z180">INDEX($AR$50:$AV$76,MATCH(Z$166,$AR$51:$AR$76,0)+1,MATCH($Y180,$AS$50:$AV$50,0)+1)</f>
        <v/>
      </c>
      <c r="AA180" t="str" cm="1">
        <f t="array" ref="AA180">INDEX($AR$50:$AV$76,MATCH(AA$166,$AR$51:$AR$76,0)+1,MATCH($Y180,$AS$50:$AV$50,0)+1)</f>
        <v>A Standard</v>
      </c>
      <c r="AB180" t="str" cm="1">
        <f t="array" ref="AB180">INDEX($AR$50:$AV$76,MATCH(AB$166,$AR$51:$AR$76,0)+1,MATCH($Y180,$AS$50:$AV$50,0)+1)</f>
        <v>B Budget - Increased Size</v>
      </c>
      <c r="AC180" t="str" cm="1">
        <f t="array" ref="AC180">INDEX($AR$50:$AV$76,MATCH(AC$166,$AR$51:$AR$76,0)+1,MATCH($Y180,$AS$50:$AV$50,0)+1)</f>
        <v>B Budget - Inaccurate</v>
      </c>
      <c r="AD180" t="str" cm="1">
        <f t="array" ref="AD180">INDEX($AR$50:$AV$76,MATCH(AD$166,$AR$51:$AR$76,0)+1,MATCH($Y180,$AS$50:$AV$50,0)+1)</f>
        <v>B Budget - Energy Inefficient</v>
      </c>
      <c r="AE180" t="str" cm="1">
        <f t="array" ref="AE180">INDEX($AR$50:$AV$76,MATCH(AE$166,$AR$51:$AR$76,0)+1,MATCH($Y180,$AS$50:$AV$50,0)+1)</f>
        <v>C TL+1 Cost Reduction*</v>
      </c>
      <c r="AF180" t="str" cm="1">
        <f t="array" ref="AF180">INDEX($AR$50:$AV$76,MATCH(AF$166,$AR$51:$AR$76,0)+1,MATCH($Y180,$AS$50:$AV$50,0)+1)</f>
        <v>C TL+2 Cost Reduction*</v>
      </c>
      <c r="AG180" t="str" cm="1">
        <f t="array" ref="AG180">INDEX($AR$50:$AV$76,MATCH(AG$166,$AR$51:$AR$76,0)+1,MATCH($Y180,$AS$50:$AV$50,0)+1)</f>
        <v>C TL+3 Cost Reduction*</v>
      </c>
      <c r="AH180" t="str" cm="1">
        <f t="array" ref="AH180">INDEX($AR$50:$AV$76,MATCH(AH$166,$AR$51:$AR$76,0)+1,MATCH($Y180,$AS$50:$AV$50,0)+1)</f>
        <v>D Adv - Easy to Repair</v>
      </c>
      <c r="AI180" t="str" cm="1">
        <f t="array" ref="AI180">INDEX($AR$50:$AV$76,MATCH(AI$166,$AR$51:$AR$76,0)+1,MATCH($Y180,$AS$50:$AV$50,0)+1)</f>
        <v>D Adv - Energy Efficient</v>
      </c>
      <c r="AJ180" t="str" cm="1">
        <f t="array" ref="AJ180">INDEX($AR$50:$AV$76,MATCH(AJ$166,$AR$51:$AR$76,0)+1,MATCH($Y180,$AS$50:$AV$50,0)+1)</f>
        <v>D Adv - High Yield</v>
      </c>
      <c r="AK180" t="str" cm="1">
        <f t="array" ref="AK180">INDEX($AR$50:$AV$76,MATCH(AK$166,$AR$51:$AR$76,0)+1,MATCH($Y180,$AS$50:$AV$50,0)+1)</f>
        <v>D Adv - Resilient</v>
      </c>
      <c r="AL180" t="str" cm="1">
        <f t="array" ref="AL180">INDEX($AR$50:$AV$76,MATCH(AL$166,$AR$51:$AR$76,0)+1,MATCH($Y180,$AS$50:$AV$50,0)+1)</f>
        <v>D Adv - Size Reduction</v>
      </c>
      <c r="AM180" t="str" cm="1">
        <f t="array" ref="AM180">INDEX($AR$50:$AV$76,MATCH(AM$166,$AR$51:$AR$76,0)+1,MATCH($Y180,$AS$50:$AV$50,0)+1)</f>
        <v>E VAdv - Accurate</v>
      </c>
      <c r="AN180" t="str" cm="1">
        <f t="array" ref="AN180">INDEX($AR$50:$AV$76,MATCH(AN$166,$AR$51:$AR$76,0)+1,MATCH($Y180,$AS$50:$AV$50,0)+1)</f>
        <v>E VAdv - Intense Focus</v>
      </c>
      <c r="AO180" t="str" cm="1">
        <f t="array" ref="AO180">INDEX($AR$50:$AV$76,MATCH(AO$166,$AR$51:$AR$76,0)+1,MATCH($Y180,$AS$50:$AV$50,0)+1)</f>
        <v>E VAdv - Long Range</v>
      </c>
      <c r="AP180" t="str" cm="1">
        <f t="array" ref="AP180">INDEX($AR$50:$AV$76,MATCH(AP$166,$AR$51:$AR$76,0)+1,MATCH($Y180,$AS$50:$AV$50,0)+1)</f>
        <v>E VAdv - Very High Yield</v>
      </c>
      <c r="AQ180" t="str" cm="1">
        <f t="array" ref="AQ180">INDEX($AR$50:$AV$76,MATCH(AQ$166,$AR$51:$AR$76,0)+1,MATCH($Y180,$AS$50:$AV$50,0)+1)</f>
        <v>P Prototype - Increased Size</v>
      </c>
      <c r="AR180" t="str" cm="1">
        <f t="array" ref="AR180">INDEX($AR$50:$AV$76,MATCH(AR$166,$AR$51:$AR$76,0)+1,MATCH($Y180,$AS$50:$AV$50,0)+1)</f>
        <v>P Prototype - Inaccurate</v>
      </c>
      <c r="AS180" t="str" cm="1">
        <f t="array" ref="AS180">INDEX($AR$50:$AV$76,MATCH(AS$166,$AR$51:$AR$76,0)+1,MATCH($Y180,$AS$50:$AV$50,0)+1)</f>
        <v>P Prototype - Energy Inefficient</v>
      </c>
      <c r="AT180" t="str" cm="1">
        <f t="array" ref="AT180">INDEX($AR$50:$AV$76,MATCH(AT$166,$AR$51:$AR$76,0)+1,MATCH($Y180,$AS$50:$AV$50,0)+1)</f>
        <v>R Early Prototype-Increased Size x2</v>
      </c>
      <c r="AU180" t="str" cm="1">
        <f t="array" ref="AU180">INDEX($AR$50:$AV$76,MATCH(AU$166,$AR$51:$AR$76,0)+1,MATCH($Y180,$AS$50:$AV$50,0)+1)</f>
        <v>R Early Prototype-Increased Size/Inefficient</v>
      </c>
      <c r="AV180" t="str" cm="1">
        <f t="array" ref="AV180">INDEX($AR$50:$AV$76,MATCH(AV$166,$AR$51:$AR$76,0)+1,MATCH($Y180,$AS$50:$AV$50,0)+1)</f>
        <v>R Early Prototype-Increased Size/Inaccurate</v>
      </c>
      <c r="AW180" t="str" cm="1">
        <f t="array" ref="AW180">INDEX($AR$50:$AV$76,MATCH(AW$166,$AR$51:$AR$76,0)+1,MATCH($Y180,$AS$50:$AV$50,0)+1)</f>
        <v>R Early Prototype-Inaccurate x2</v>
      </c>
      <c r="AX180" t="str" cm="1">
        <f t="array" ref="AX180">INDEX($AR$50:$AV$76,MATCH(AX$166,$AR$51:$AR$76,0)+1,MATCH($Y180,$AS$50:$AV$50,0)+1)</f>
        <v>R Early Prototype-Inaccurate/Inefficient</v>
      </c>
      <c r="AY180" t="str" cm="1">
        <f t="array" ref="AY180">INDEX($AR$50:$AV$76,MATCH(AY$166,$AR$51:$AR$76,0)+1,MATCH($Y180,$AS$50:$AV$50,0)+1)</f>
        <v>R Early Prototype-Energy Inefficient x2</v>
      </c>
    </row>
    <row r="181" spans="22:51" x14ac:dyDescent="0.3">
      <c r="V181" s="2">
        <v>15</v>
      </c>
      <c r="W181" s="2">
        <f>INDEX(Table1[[Hardpoints]:[Index]],MATCH(B26,Table1[Hardpoints],0),8)</f>
        <v>0</v>
      </c>
      <c r="X181" s="2">
        <f>INDEX(Table3[],MATCH(C26,Table3[Weapon],0),19)</f>
        <v>0</v>
      </c>
      <c r="Y181" t="str">
        <f t="shared" si="51"/>
        <v>Other</v>
      </c>
      <c r="Z181" t="str" cm="1">
        <f t="array" ref="Z181">INDEX($AR$50:$AV$76,MATCH(Z$166,$AR$51:$AR$76,0)+1,MATCH($Y181,$AS$50:$AV$50,0)+1)</f>
        <v/>
      </c>
      <c r="AA181" t="str" cm="1">
        <f t="array" ref="AA181">INDEX($AR$50:$AV$76,MATCH(AA$166,$AR$51:$AR$76,0)+1,MATCH($Y181,$AS$50:$AV$50,0)+1)</f>
        <v>A Standard</v>
      </c>
      <c r="AB181" t="str" cm="1">
        <f t="array" ref="AB181">INDEX($AR$50:$AV$76,MATCH(AB$166,$AR$51:$AR$76,0)+1,MATCH($Y181,$AS$50:$AV$50,0)+1)</f>
        <v>B Budget - Increased Size</v>
      </c>
      <c r="AC181" t="str" cm="1">
        <f t="array" ref="AC181">INDEX($AR$50:$AV$76,MATCH(AC$166,$AR$51:$AR$76,0)+1,MATCH($Y181,$AS$50:$AV$50,0)+1)</f>
        <v>B Budget - Inaccurate</v>
      </c>
      <c r="AD181" t="str" cm="1">
        <f t="array" ref="AD181">INDEX($AR$50:$AV$76,MATCH(AD$166,$AR$51:$AR$76,0)+1,MATCH($Y181,$AS$50:$AV$50,0)+1)</f>
        <v>B Budget - Energy Inefficient</v>
      </c>
      <c r="AE181" t="str" cm="1">
        <f t="array" ref="AE181">INDEX($AR$50:$AV$76,MATCH(AE$166,$AR$51:$AR$76,0)+1,MATCH($Y181,$AS$50:$AV$50,0)+1)</f>
        <v>C TL+1 Cost Reduction*</v>
      </c>
      <c r="AF181" t="str" cm="1">
        <f t="array" ref="AF181">INDEX($AR$50:$AV$76,MATCH(AF$166,$AR$51:$AR$76,0)+1,MATCH($Y181,$AS$50:$AV$50,0)+1)</f>
        <v>C TL+2 Cost Reduction*</v>
      </c>
      <c r="AG181" t="str" cm="1">
        <f t="array" ref="AG181">INDEX($AR$50:$AV$76,MATCH(AG$166,$AR$51:$AR$76,0)+1,MATCH($Y181,$AS$50:$AV$50,0)+1)</f>
        <v>C TL+3 Cost Reduction*</v>
      </c>
      <c r="AH181" t="str" cm="1">
        <f t="array" ref="AH181">INDEX($AR$50:$AV$76,MATCH(AH$166,$AR$51:$AR$76,0)+1,MATCH($Y181,$AS$50:$AV$50,0)+1)</f>
        <v>D Adv - Easy to Repair</v>
      </c>
      <c r="AI181" t="str" cm="1">
        <f t="array" ref="AI181">INDEX($AR$50:$AV$76,MATCH(AI$166,$AR$51:$AR$76,0)+1,MATCH($Y181,$AS$50:$AV$50,0)+1)</f>
        <v>D Adv - Energy Efficient</v>
      </c>
      <c r="AJ181" t="str" cm="1">
        <f t="array" ref="AJ181">INDEX($AR$50:$AV$76,MATCH(AJ$166,$AR$51:$AR$76,0)+1,MATCH($Y181,$AS$50:$AV$50,0)+1)</f>
        <v>D Adv - High Yield</v>
      </c>
      <c r="AK181" t="str" cm="1">
        <f t="array" ref="AK181">INDEX($AR$50:$AV$76,MATCH(AK$166,$AR$51:$AR$76,0)+1,MATCH($Y181,$AS$50:$AV$50,0)+1)</f>
        <v>D Adv - Resilient</v>
      </c>
      <c r="AL181" t="str" cm="1">
        <f t="array" ref="AL181">INDEX($AR$50:$AV$76,MATCH(AL$166,$AR$51:$AR$76,0)+1,MATCH($Y181,$AS$50:$AV$50,0)+1)</f>
        <v>D Adv - Size Reduction</v>
      </c>
      <c r="AM181" t="str" cm="1">
        <f t="array" ref="AM181">INDEX($AR$50:$AV$76,MATCH(AM$166,$AR$51:$AR$76,0)+1,MATCH($Y181,$AS$50:$AV$50,0)+1)</f>
        <v>E VAdv - Accurate</v>
      </c>
      <c r="AN181" t="str" cm="1">
        <f t="array" ref="AN181">INDEX($AR$50:$AV$76,MATCH(AN$166,$AR$51:$AR$76,0)+1,MATCH($Y181,$AS$50:$AV$50,0)+1)</f>
        <v>E VAdv - Intense Focus</v>
      </c>
      <c r="AO181" t="str" cm="1">
        <f t="array" ref="AO181">INDEX($AR$50:$AV$76,MATCH(AO$166,$AR$51:$AR$76,0)+1,MATCH($Y181,$AS$50:$AV$50,0)+1)</f>
        <v>E VAdv - Long Range</v>
      </c>
      <c r="AP181" t="str" cm="1">
        <f t="array" ref="AP181">INDEX($AR$50:$AV$76,MATCH(AP$166,$AR$51:$AR$76,0)+1,MATCH($Y181,$AS$50:$AV$50,0)+1)</f>
        <v>E VAdv - Very High Yield</v>
      </c>
      <c r="AQ181" t="str" cm="1">
        <f t="array" ref="AQ181">INDEX($AR$50:$AV$76,MATCH(AQ$166,$AR$51:$AR$76,0)+1,MATCH($Y181,$AS$50:$AV$50,0)+1)</f>
        <v>P Prototype - Increased Size</v>
      </c>
      <c r="AR181" t="str" cm="1">
        <f t="array" ref="AR181">INDEX($AR$50:$AV$76,MATCH(AR$166,$AR$51:$AR$76,0)+1,MATCH($Y181,$AS$50:$AV$50,0)+1)</f>
        <v>P Prototype - Inaccurate</v>
      </c>
      <c r="AS181" t="str" cm="1">
        <f t="array" ref="AS181">INDEX($AR$50:$AV$76,MATCH(AS$166,$AR$51:$AR$76,0)+1,MATCH($Y181,$AS$50:$AV$50,0)+1)</f>
        <v>P Prototype - Energy Inefficient</v>
      </c>
      <c r="AT181" t="str" cm="1">
        <f t="array" ref="AT181">INDEX($AR$50:$AV$76,MATCH(AT$166,$AR$51:$AR$76,0)+1,MATCH($Y181,$AS$50:$AV$50,0)+1)</f>
        <v>R Early Prototype-Increased Size x2</v>
      </c>
      <c r="AU181" t="str" cm="1">
        <f t="array" ref="AU181">INDEX($AR$50:$AV$76,MATCH(AU$166,$AR$51:$AR$76,0)+1,MATCH($Y181,$AS$50:$AV$50,0)+1)</f>
        <v>R Early Prototype-Increased Size/Inefficient</v>
      </c>
      <c r="AV181" t="str" cm="1">
        <f t="array" ref="AV181">INDEX($AR$50:$AV$76,MATCH(AV$166,$AR$51:$AR$76,0)+1,MATCH($Y181,$AS$50:$AV$50,0)+1)</f>
        <v>R Early Prototype-Increased Size/Inaccurate</v>
      </c>
      <c r="AW181" t="str" cm="1">
        <f t="array" ref="AW181">INDEX($AR$50:$AV$76,MATCH(AW$166,$AR$51:$AR$76,0)+1,MATCH($Y181,$AS$50:$AV$50,0)+1)</f>
        <v>R Early Prototype-Inaccurate x2</v>
      </c>
      <c r="AX181" t="str" cm="1">
        <f t="array" ref="AX181">INDEX($AR$50:$AV$76,MATCH(AX$166,$AR$51:$AR$76,0)+1,MATCH($Y181,$AS$50:$AV$50,0)+1)</f>
        <v>R Early Prototype-Inaccurate/Inefficient</v>
      </c>
      <c r="AY181" t="str" cm="1">
        <f t="array" ref="AY181">INDEX($AR$50:$AV$76,MATCH(AY$166,$AR$51:$AR$76,0)+1,MATCH($Y181,$AS$50:$AV$50,0)+1)</f>
        <v>R Early Prototype-Energy Inefficient x2</v>
      </c>
    </row>
    <row r="182" spans="22:51" x14ac:dyDescent="0.3">
      <c r="V182" s="2">
        <v>16</v>
      </c>
      <c r="W182" s="2">
        <f>INDEX(Table1[[Hardpoints]:[Index]],MATCH(B27,Table1[Hardpoints],0),8)</f>
        <v>0</v>
      </c>
      <c r="X182" s="2">
        <f>INDEX(Table3[],MATCH(C27,Table3[Weapon],0),19)</f>
        <v>0</v>
      </c>
      <c r="Y182" t="str">
        <f t="shared" si="51"/>
        <v>Other</v>
      </c>
      <c r="Z182" t="str" cm="1">
        <f t="array" ref="Z182">INDEX($AR$50:$AV$76,MATCH(Z$166,$AR$51:$AR$76,0)+1,MATCH($Y182,$AS$50:$AV$50,0)+1)</f>
        <v/>
      </c>
      <c r="AA182" t="str" cm="1">
        <f t="array" ref="AA182">INDEX($AR$50:$AV$76,MATCH(AA$166,$AR$51:$AR$76,0)+1,MATCH($Y182,$AS$50:$AV$50,0)+1)</f>
        <v>A Standard</v>
      </c>
      <c r="AB182" t="str" cm="1">
        <f t="array" ref="AB182">INDEX($AR$50:$AV$76,MATCH(AB$166,$AR$51:$AR$76,0)+1,MATCH($Y182,$AS$50:$AV$50,0)+1)</f>
        <v>B Budget - Increased Size</v>
      </c>
      <c r="AC182" t="str" cm="1">
        <f t="array" ref="AC182">INDEX($AR$50:$AV$76,MATCH(AC$166,$AR$51:$AR$76,0)+1,MATCH($Y182,$AS$50:$AV$50,0)+1)</f>
        <v>B Budget - Inaccurate</v>
      </c>
      <c r="AD182" t="str" cm="1">
        <f t="array" ref="AD182">INDEX($AR$50:$AV$76,MATCH(AD$166,$AR$51:$AR$76,0)+1,MATCH($Y182,$AS$50:$AV$50,0)+1)</f>
        <v>B Budget - Energy Inefficient</v>
      </c>
      <c r="AE182" t="str" cm="1">
        <f t="array" ref="AE182">INDEX($AR$50:$AV$76,MATCH(AE$166,$AR$51:$AR$76,0)+1,MATCH($Y182,$AS$50:$AV$50,0)+1)</f>
        <v>C TL+1 Cost Reduction*</v>
      </c>
      <c r="AF182" t="str" cm="1">
        <f t="array" ref="AF182">INDEX($AR$50:$AV$76,MATCH(AF$166,$AR$51:$AR$76,0)+1,MATCH($Y182,$AS$50:$AV$50,0)+1)</f>
        <v>C TL+2 Cost Reduction*</v>
      </c>
      <c r="AG182" t="str" cm="1">
        <f t="array" ref="AG182">INDEX($AR$50:$AV$76,MATCH(AG$166,$AR$51:$AR$76,0)+1,MATCH($Y182,$AS$50:$AV$50,0)+1)</f>
        <v>C TL+3 Cost Reduction*</v>
      </c>
      <c r="AH182" t="str" cm="1">
        <f t="array" ref="AH182">INDEX($AR$50:$AV$76,MATCH(AH$166,$AR$51:$AR$76,0)+1,MATCH($Y182,$AS$50:$AV$50,0)+1)</f>
        <v>D Adv - Easy to Repair</v>
      </c>
      <c r="AI182" t="str" cm="1">
        <f t="array" ref="AI182">INDEX($AR$50:$AV$76,MATCH(AI$166,$AR$51:$AR$76,0)+1,MATCH($Y182,$AS$50:$AV$50,0)+1)</f>
        <v>D Adv - Energy Efficient</v>
      </c>
      <c r="AJ182" t="str" cm="1">
        <f t="array" ref="AJ182">INDEX($AR$50:$AV$76,MATCH(AJ$166,$AR$51:$AR$76,0)+1,MATCH($Y182,$AS$50:$AV$50,0)+1)</f>
        <v>D Adv - High Yield</v>
      </c>
      <c r="AK182" t="str" cm="1">
        <f t="array" ref="AK182">INDEX($AR$50:$AV$76,MATCH(AK$166,$AR$51:$AR$76,0)+1,MATCH($Y182,$AS$50:$AV$50,0)+1)</f>
        <v>D Adv - Resilient</v>
      </c>
      <c r="AL182" t="str" cm="1">
        <f t="array" ref="AL182">INDEX($AR$50:$AV$76,MATCH(AL$166,$AR$51:$AR$76,0)+1,MATCH($Y182,$AS$50:$AV$50,0)+1)</f>
        <v>D Adv - Size Reduction</v>
      </c>
      <c r="AM182" t="str" cm="1">
        <f t="array" ref="AM182">INDEX($AR$50:$AV$76,MATCH(AM$166,$AR$51:$AR$76,0)+1,MATCH($Y182,$AS$50:$AV$50,0)+1)</f>
        <v>E VAdv - Accurate</v>
      </c>
      <c r="AN182" t="str" cm="1">
        <f t="array" ref="AN182">INDEX($AR$50:$AV$76,MATCH(AN$166,$AR$51:$AR$76,0)+1,MATCH($Y182,$AS$50:$AV$50,0)+1)</f>
        <v>E VAdv - Intense Focus</v>
      </c>
      <c r="AO182" t="str" cm="1">
        <f t="array" ref="AO182">INDEX($AR$50:$AV$76,MATCH(AO$166,$AR$51:$AR$76,0)+1,MATCH($Y182,$AS$50:$AV$50,0)+1)</f>
        <v>E VAdv - Long Range</v>
      </c>
      <c r="AP182" t="str" cm="1">
        <f t="array" ref="AP182">INDEX($AR$50:$AV$76,MATCH(AP$166,$AR$51:$AR$76,0)+1,MATCH($Y182,$AS$50:$AV$50,0)+1)</f>
        <v>E VAdv - Very High Yield</v>
      </c>
      <c r="AQ182" t="str" cm="1">
        <f t="array" ref="AQ182">INDEX($AR$50:$AV$76,MATCH(AQ$166,$AR$51:$AR$76,0)+1,MATCH($Y182,$AS$50:$AV$50,0)+1)</f>
        <v>P Prototype - Increased Size</v>
      </c>
      <c r="AR182" t="str" cm="1">
        <f t="array" ref="AR182">INDEX($AR$50:$AV$76,MATCH(AR$166,$AR$51:$AR$76,0)+1,MATCH($Y182,$AS$50:$AV$50,0)+1)</f>
        <v>P Prototype - Inaccurate</v>
      </c>
      <c r="AS182" t="str" cm="1">
        <f t="array" ref="AS182">INDEX($AR$50:$AV$76,MATCH(AS$166,$AR$51:$AR$76,0)+1,MATCH($Y182,$AS$50:$AV$50,0)+1)</f>
        <v>P Prototype - Energy Inefficient</v>
      </c>
      <c r="AT182" t="str" cm="1">
        <f t="array" ref="AT182">INDEX($AR$50:$AV$76,MATCH(AT$166,$AR$51:$AR$76,0)+1,MATCH($Y182,$AS$50:$AV$50,0)+1)</f>
        <v>R Early Prototype-Increased Size x2</v>
      </c>
      <c r="AU182" t="str" cm="1">
        <f t="array" ref="AU182">INDEX($AR$50:$AV$76,MATCH(AU$166,$AR$51:$AR$76,0)+1,MATCH($Y182,$AS$50:$AV$50,0)+1)</f>
        <v>R Early Prototype-Increased Size/Inefficient</v>
      </c>
      <c r="AV182" t="str" cm="1">
        <f t="array" ref="AV182">INDEX($AR$50:$AV$76,MATCH(AV$166,$AR$51:$AR$76,0)+1,MATCH($Y182,$AS$50:$AV$50,0)+1)</f>
        <v>R Early Prototype-Increased Size/Inaccurate</v>
      </c>
      <c r="AW182" t="str" cm="1">
        <f t="array" ref="AW182">INDEX($AR$50:$AV$76,MATCH(AW$166,$AR$51:$AR$76,0)+1,MATCH($Y182,$AS$50:$AV$50,0)+1)</f>
        <v>R Early Prototype-Inaccurate x2</v>
      </c>
      <c r="AX182" t="str" cm="1">
        <f t="array" ref="AX182">INDEX($AR$50:$AV$76,MATCH(AX$166,$AR$51:$AR$76,0)+1,MATCH($Y182,$AS$50:$AV$50,0)+1)</f>
        <v>R Early Prototype-Inaccurate/Inefficient</v>
      </c>
      <c r="AY182" t="str" cm="1">
        <f t="array" ref="AY182">INDEX($AR$50:$AV$76,MATCH(AY$166,$AR$51:$AR$76,0)+1,MATCH($Y182,$AS$50:$AV$50,0)+1)</f>
        <v>R Early Prototype-Energy Inefficient x2</v>
      </c>
    </row>
    <row r="183" spans="22:51" x14ac:dyDescent="0.3">
      <c r="V183" s="2">
        <v>17</v>
      </c>
      <c r="W183" s="2">
        <f>INDEX(Table1[[Hardpoints]:[Index]],MATCH(B28,Table1[Hardpoints],0),8)</f>
        <v>0</v>
      </c>
      <c r="X183" s="2">
        <f>INDEX(Table3[],MATCH(C28,Table3[Weapon],0),19)</f>
        <v>0</v>
      </c>
      <c r="Y183" t="str">
        <f t="shared" si="51"/>
        <v>Other</v>
      </c>
      <c r="Z183" t="str" cm="1">
        <f t="array" ref="Z183">INDEX($AR$50:$AV$76,MATCH(Z$166,$AR$51:$AR$76,0)+1,MATCH($Y183,$AS$50:$AV$50,0)+1)</f>
        <v/>
      </c>
      <c r="AA183" t="str" cm="1">
        <f t="array" ref="AA183">INDEX($AR$50:$AV$76,MATCH(AA$166,$AR$51:$AR$76,0)+1,MATCH($Y183,$AS$50:$AV$50,0)+1)</f>
        <v>A Standard</v>
      </c>
      <c r="AB183" t="str" cm="1">
        <f t="array" ref="AB183">INDEX($AR$50:$AV$76,MATCH(AB$166,$AR$51:$AR$76,0)+1,MATCH($Y183,$AS$50:$AV$50,0)+1)</f>
        <v>B Budget - Increased Size</v>
      </c>
      <c r="AC183" t="str" cm="1">
        <f t="array" ref="AC183">INDEX($AR$50:$AV$76,MATCH(AC$166,$AR$51:$AR$76,0)+1,MATCH($Y183,$AS$50:$AV$50,0)+1)</f>
        <v>B Budget - Inaccurate</v>
      </c>
      <c r="AD183" t="str" cm="1">
        <f t="array" ref="AD183">INDEX($AR$50:$AV$76,MATCH(AD$166,$AR$51:$AR$76,0)+1,MATCH($Y183,$AS$50:$AV$50,0)+1)</f>
        <v>B Budget - Energy Inefficient</v>
      </c>
      <c r="AE183" t="str" cm="1">
        <f t="array" ref="AE183">INDEX($AR$50:$AV$76,MATCH(AE$166,$AR$51:$AR$76,0)+1,MATCH($Y183,$AS$50:$AV$50,0)+1)</f>
        <v>C TL+1 Cost Reduction*</v>
      </c>
      <c r="AF183" t="str" cm="1">
        <f t="array" ref="AF183">INDEX($AR$50:$AV$76,MATCH(AF$166,$AR$51:$AR$76,0)+1,MATCH($Y183,$AS$50:$AV$50,0)+1)</f>
        <v>C TL+2 Cost Reduction*</v>
      </c>
      <c r="AG183" t="str" cm="1">
        <f t="array" ref="AG183">INDEX($AR$50:$AV$76,MATCH(AG$166,$AR$51:$AR$76,0)+1,MATCH($Y183,$AS$50:$AV$50,0)+1)</f>
        <v>C TL+3 Cost Reduction*</v>
      </c>
      <c r="AH183" t="str" cm="1">
        <f t="array" ref="AH183">INDEX($AR$50:$AV$76,MATCH(AH$166,$AR$51:$AR$76,0)+1,MATCH($Y183,$AS$50:$AV$50,0)+1)</f>
        <v>D Adv - Easy to Repair</v>
      </c>
      <c r="AI183" t="str" cm="1">
        <f t="array" ref="AI183">INDEX($AR$50:$AV$76,MATCH(AI$166,$AR$51:$AR$76,0)+1,MATCH($Y183,$AS$50:$AV$50,0)+1)</f>
        <v>D Adv - Energy Efficient</v>
      </c>
      <c r="AJ183" t="str" cm="1">
        <f t="array" ref="AJ183">INDEX($AR$50:$AV$76,MATCH(AJ$166,$AR$51:$AR$76,0)+1,MATCH($Y183,$AS$50:$AV$50,0)+1)</f>
        <v>D Adv - High Yield</v>
      </c>
      <c r="AK183" t="str" cm="1">
        <f t="array" ref="AK183">INDEX($AR$50:$AV$76,MATCH(AK$166,$AR$51:$AR$76,0)+1,MATCH($Y183,$AS$50:$AV$50,0)+1)</f>
        <v>D Adv - Resilient</v>
      </c>
      <c r="AL183" t="str" cm="1">
        <f t="array" ref="AL183">INDEX($AR$50:$AV$76,MATCH(AL$166,$AR$51:$AR$76,0)+1,MATCH($Y183,$AS$50:$AV$50,0)+1)</f>
        <v>D Adv - Size Reduction</v>
      </c>
      <c r="AM183" t="str" cm="1">
        <f t="array" ref="AM183">INDEX($AR$50:$AV$76,MATCH(AM$166,$AR$51:$AR$76,0)+1,MATCH($Y183,$AS$50:$AV$50,0)+1)</f>
        <v>E VAdv - Accurate</v>
      </c>
      <c r="AN183" t="str" cm="1">
        <f t="array" ref="AN183">INDEX($AR$50:$AV$76,MATCH(AN$166,$AR$51:$AR$76,0)+1,MATCH($Y183,$AS$50:$AV$50,0)+1)</f>
        <v>E VAdv - Intense Focus</v>
      </c>
      <c r="AO183" t="str" cm="1">
        <f t="array" ref="AO183">INDEX($AR$50:$AV$76,MATCH(AO$166,$AR$51:$AR$76,0)+1,MATCH($Y183,$AS$50:$AV$50,0)+1)</f>
        <v>E VAdv - Long Range</v>
      </c>
      <c r="AP183" t="str" cm="1">
        <f t="array" ref="AP183">INDEX($AR$50:$AV$76,MATCH(AP$166,$AR$51:$AR$76,0)+1,MATCH($Y183,$AS$50:$AV$50,0)+1)</f>
        <v>E VAdv - Very High Yield</v>
      </c>
      <c r="AQ183" t="str" cm="1">
        <f t="array" ref="AQ183">INDEX($AR$50:$AV$76,MATCH(AQ$166,$AR$51:$AR$76,0)+1,MATCH($Y183,$AS$50:$AV$50,0)+1)</f>
        <v>P Prototype - Increased Size</v>
      </c>
      <c r="AR183" t="str" cm="1">
        <f t="array" ref="AR183">INDEX($AR$50:$AV$76,MATCH(AR$166,$AR$51:$AR$76,0)+1,MATCH($Y183,$AS$50:$AV$50,0)+1)</f>
        <v>P Prototype - Inaccurate</v>
      </c>
      <c r="AS183" t="str" cm="1">
        <f t="array" ref="AS183">INDEX($AR$50:$AV$76,MATCH(AS$166,$AR$51:$AR$76,0)+1,MATCH($Y183,$AS$50:$AV$50,0)+1)</f>
        <v>P Prototype - Energy Inefficient</v>
      </c>
      <c r="AT183" t="str" cm="1">
        <f t="array" ref="AT183">INDEX($AR$50:$AV$76,MATCH(AT$166,$AR$51:$AR$76,0)+1,MATCH($Y183,$AS$50:$AV$50,0)+1)</f>
        <v>R Early Prototype-Increased Size x2</v>
      </c>
      <c r="AU183" t="str" cm="1">
        <f t="array" ref="AU183">INDEX($AR$50:$AV$76,MATCH(AU$166,$AR$51:$AR$76,0)+1,MATCH($Y183,$AS$50:$AV$50,0)+1)</f>
        <v>R Early Prototype-Increased Size/Inefficient</v>
      </c>
      <c r="AV183" t="str" cm="1">
        <f t="array" ref="AV183">INDEX($AR$50:$AV$76,MATCH(AV$166,$AR$51:$AR$76,0)+1,MATCH($Y183,$AS$50:$AV$50,0)+1)</f>
        <v>R Early Prototype-Increased Size/Inaccurate</v>
      </c>
      <c r="AW183" t="str" cm="1">
        <f t="array" ref="AW183">INDEX($AR$50:$AV$76,MATCH(AW$166,$AR$51:$AR$76,0)+1,MATCH($Y183,$AS$50:$AV$50,0)+1)</f>
        <v>R Early Prototype-Inaccurate x2</v>
      </c>
      <c r="AX183" t="str" cm="1">
        <f t="array" ref="AX183">INDEX($AR$50:$AV$76,MATCH(AX$166,$AR$51:$AR$76,0)+1,MATCH($Y183,$AS$50:$AV$50,0)+1)</f>
        <v>R Early Prototype-Inaccurate/Inefficient</v>
      </c>
      <c r="AY183" t="str" cm="1">
        <f t="array" ref="AY183">INDEX($AR$50:$AV$76,MATCH(AY$166,$AR$51:$AR$76,0)+1,MATCH($Y183,$AS$50:$AV$50,0)+1)</f>
        <v>R Early Prototype-Energy Inefficient x2</v>
      </c>
    </row>
    <row r="184" spans="22:51" x14ac:dyDescent="0.3">
      <c r="V184" s="2">
        <v>18</v>
      </c>
      <c r="W184" s="2">
        <f>INDEX(Table1[[Hardpoints]:[Index]],MATCH(B29,Table1[Hardpoints],0),8)</f>
        <v>0</v>
      </c>
      <c r="X184" s="2">
        <f>INDEX(Table3[],MATCH(C29,Table3[Weapon],0),19)</f>
        <v>0</v>
      </c>
      <c r="Y184" t="str">
        <f t="shared" si="51"/>
        <v>Other</v>
      </c>
      <c r="Z184" t="str" cm="1">
        <f t="array" ref="Z184">INDEX($AR$50:$AV$76,MATCH(Z$166,$AR$51:$AR$76,0)+1,MATCH($Y184,$AS$50:$AV$50,0)+1)</f>
        <v/>
      </c>
      <c r="AA184" t="str" cm="1">
        <f t="array" ref="AA184">INDEX($AR$50:$AV$76,MATCH(AA$166,$AR$51:$AR$76,0)+1,MATCH($Y184,$AS$50:$AV$50,0)+1)</f>
        <v>A Standard</v>
      </c>
      <c r="AB184" t="str" cm="1">
        <f t="array" ref="AB184">INDEX($AR$50:$AV$76,MATCH(AB$166,$AR$51:$AR$76,0)+1,MATCH($Y184,$AS$50:$AV$50,0)+1)</f>
        <v>B Budget - Increased Size</v>
      </c>
      <c r="AC184" t="str" cm="1">
        <f t="array" ref="AC184">INDEX($AR$50:$AV$76,MATCH(AC$166,$AR$51:$AR$76,0)+1,MATCH($Y184,$AS$50:$AV$50,0)+1)</f>
        <v>B Budget - Inaccurate</v>
      </c>
      <c r="AD184" t="str" cm="1">
        <f t="array" ref="AD184">INDEX($AR$50:$AV$76,MATCH(AD$166,$AR$51:$AR$76,0)+1,MATCH($Y184,$AS$50:$AV$50,0)+1)</f>
        <v>B Budget - Energy Inefficient</v>
      </c>
      <c r="AE184" t="str" cm="1">
        <f t="array" ref="AE184">INDEX($AR$50:$AV$76,MATCH(AE$166,$AR$51:$AR$76,0)+1,MATCH($Y184,$AS$50:$AV$50,0)+1)</f>
        <v>C TL+1 Cost Reduction*</v>
      </c>
      <c r="AF184" t="str" cm="1">
        <f t="array" ref="AF184">INDEX($AR$50:$AV$76,MATCH(AF$166,$AR$51:$AR$76,0)+1,MATCH($Y184,$AS$50:$AV$50,0)+1)</f>
        <v>C TL+2 Cost Reduction*</v>
      </c>
      <c r="AG184" t="str" cm="1">
        <f t="array" ref="AG184">INDEX($AR$50:$AV$76,MATCH(AG$166,$AR$51:$AR$76,0)+1,MATCH($Y184,$AS$50:$AV$50,0)+1)</f>
        <v>C TL+3 Cost Reduction*</v>
      </c>
      <c r="AH184" t="str" cm="1">
        <f t="array" ref="AH184">INDEX($AR$50:$AV$76,MATCH(AH$166,$AR$51:$AR$76,0)+1,MATCH($Y184,$AS$50:$AV$50,0)+1)</f>
        <v>D Adv - Easy to Repair</v>
      </c>
      <c r="AI184" t="str" cm="1">
        <f t="array" ref="AI184">INDEX($AR$50:$AV$76,MATCH(AI$166,$AR$51:$AR$76,0)+1,MATCH($Y184,$AS$50:$AV$50,0)+1)</f>
        <v>D Adv - Energy Efficient</v>
      </c>
      <c r="AJ184" t="str" cm="1">
        <f t="array" ref="AJ184">INDEX($AR$50:$AV$76,MATCH(AJ$166,$AR$51:$AR$76,0)+1,MATCH($Y184,$AS$50:$AV$50,0)+1)</f>
        <v>D Adv - High Yield</v>
      </c>
      <c r="AK184" t="str" cm="1">
        <f t="array" ref="AK184">INDEX($AR$50:$AV$76,MATCH(AK$166,$AR$51:$AR$76,0)+1,MATCH($Y184,$AS$50:$AV$50,0)+1)</f>
        <v>D Adv - Resilient</v>
      </c>
      <c r="AL184" t="str" cm="1">
        <f t="array" ref="AL184">INDEX($AR$50:$AV$76,MATCH(AL$166,$AR$51:$AR$76,0)+1,MATCH($Y184,$AS$50:$AV$50,0)+1)</f>
        <v>D Adv - Size Reduction</v>
      </c>
      <c r="AM184" t="str" cm="1">
        <f t="array" ref="AM184">INDEX($AR$50:$AV$76,MATCH(AM$166,$AR$51:$AR$76,0)+1,MATCH($Y184,$AS$50:$AV$50,0)+1)</f>
        <v>E VAdv - Accurate</v>
      </c>
      <c r="AN184" t="str" cm="1">
        <f t="array" ref="AN184">INDEX($AR$50:$AV$76,MATCH(AN$166,$AR$51:$AR$76,0)+1,MATCH($Y184,$AS$50:$AV$50,0)+1)</f>
        <v>E VAdv - Intense Focus</v>
      </c>
      <c r="AO184" t="str" cm="1">
        <f t="array" ref="AO184">INDEX($AR$50:$AV$76,MATCH(AO$166,$AR$51:$AR$76,0)+1,MATCH($Y184,$AS$50:$AV$50,0)+1)</f>
        <v>E VAdv - Long Range</v>
      </c>
      <c r="AP184" t="str" cm="1">
        <f t="array" ref="AP184">INDEX($AR$50:$AV$76,MATCH(AP$166,$AR$51:$AR$76,0)+1,MATCH($Y184,$AS$50:$AV$50,0)+1)</f>
        <v>E VAdv - Very High Yield</v>
      </c>
      <c r="AQ184" t="str" cm="1">
        <f t="array" ref="AQ184">INDEX($AR$50:$AV$76,MATCH(AQ$166,$AR$51:$AR$76,0)+1,MATCH($Y184,$AS$50:$AV$50,0)+1)</f>
        <v>P Prototype - Increased Size</v>
      </c>
      <c r="AR184" t="str" cm="1">
        <f t="array" ref="AR184">INDEX($AR$50:$AV$76,MATCH(AR$166,$AR$51:$AR$76,0)+1,MATCH($Y184,$AS$50:$AV$50,0)+1)</f>
        <v>P Prototype - Inaccurate</v>
      </c>
      <c r="AS184" t="str" cm="1">
        <f t="array" ref="AS184">INDEX($AR$50:$AV$76,MATCH(AS$166,$AR$51:$AR$76,0)+1,MATCH($Y184,$AS$50:$AV$50,0)+1)</f>
        <v>P Prototype - Energy Inefficient</v>
      </c>
      <c r="AT184" t="str" cm="1">
        <f t="array" ref="AT184">INDEX($AR$50:$AV$76,MATCH(AT$166,$AR$51:$AR$76,0)+1,MATCH($Y184,$AS$50:$AV$50,0)+1)</f>
        <v>R Early Prototype-Increased Size x2</v>
      </c>
      <c r="AU184" t="str" cm="1">
        <f t="array" ref="AU184">INDEX($AR$50:$AV$76,MATCH(AU$166,$AR$51:$AR$76,0)+1,MATCH($Y184,$AS$50:$AV$50,0)+1)</f>
        <v>R Early Prototype-Increased Size/Inefficient</v>
      </c>
      <c r="AV184" t="str" cm="1">
        <f t="array" ref="AV184">INDEX($AR$50:$AV$76,MATCH(AV$166,$AR$51:$AR$76,0)+1,MATCH($Y184,$AS$50:$AV$50,0)+1)</f>
        <v>R Early Prototype-Increased Size/Inaccurate</v>
      </c>
      <c r="AW184" t="str" cm="1">
        <f t="array" ref="AW184">INDEX($AR$50:$AV$76,MATCH(AW$166,$AR$51:$AR$76,0)+1,MATCH($Y184,$AS$50:$AV$50,0)+1)</f>
        <v>R Early Prototype-Inaccurate x2</v>
      </c>
      <c r="AX184" t="str" cm="1">
        <f t="array" ref="AX184">INDEX($AR$50:$AV$76,MATCH(AX$166,$AR$51:$AR$76,0)+1,MATCH($Y184,$AS$50:$AV$50,0)+1)</f>
        <v>R Early Prototype-Inaccurate/Inefficient</v>
      </c>
      <c r="AY184" t="str" cm="1">
        <f t="array" ref="AY184">INDEX($AR$50:$AV$76,MATCH(AY$166,$AR$51:$AR$76,0)+1,MATCH($Y184,$AS$50:$AV$50,0)+1)</f>
        <v>R Early Prototype-Energy Inefficient x2</v>
      </c>
    </row>
    <row r="185" spans="22:51" x14ac:dyDescent="0.3">
      <c r="V185" s="2">
        <v>19</v>
      </c>
      <c r="W185" s="2">
        <f>INDEX(Table1[[Hardpoints]:[Index]],MATCH(B30,Table1[Hardpoints],0),8)</f>
        <v>0</v>
      </c>
      <c r="X185" s="2">
        <f>INDEX(Table3[],MATCH(C30,Table3[Weapon],0),19)</f>
        <v>0</v>
      </c>
      <c r="Y185" t="str">
        <f t="shared" si="51"/>
        <v>Other</v>
      </c>
      <c r="Z185" t="str" cm="1">
        <f t="array" ref="Z185">INDEX($AR$50:$AV$76,MATCH(Z$166,$AR$51:$AR$76,0)+1,MATCH($Y185,$AS$50:$AV$50,0)+1)</f>
        <v/>
      </c>
      <c r="AA185" t="str" cm="1">
        <f t="array" ref="AA185">INDEX($AR$50:$AV$76,MATCH(AA$166,$AR$51:$AR$76,0)+1,MATCH($Y185,$AS$50:$AV$50,0)+1)</f>
        <v>A Standard</v>
      </c>
      <c r="AB185" t="str" cm="1">
        <f t="array" ref="AB185">INDEX($AR$50:$AV$76,MATCH(AB$166,$AR$51:$AR$76,0)+1,MATCH($Y185,$AS$50:$AV$50,0)+1)</f>
        <v>B Budget - Increased Size</v>
      </c>
      <c r="AC185" t="str" cm="1">
        <f t="array" ref="AC185">INDEX($AR$50:$AV$76,MATCH(AC$166,$AR$51:$AR$76,0)+1,MATCH($Y185,$AS$50:$AV$50,0)+1)</f>
        <v>B Budget - Inaccurate</v>
      </c>
      <c r="AD185" t="str" cm="1">
        <f t="array" ref="AD185">INDEX($AR$50:$AV$76,MATCH(AD$166,$AR$51:$AR$76,0)+1,MATCH($Y185,$AS$50:$AV$50,0)+1)</f>
        <v>B Budget - Energy Inefficient</v>
      </c>
      <c r="AE185" t="str" cm="1">
        <f t="array" ref="AE185">INDEX($AR$50:$AV$76,MATCH(AE$166,$AR$51:$AR$76,0)+1,MATCH($Y185,$AS$50:$AV$50,0)+1)</f>
        <v>C TL+1 Cost Reduction*</v>
      </c>
      <c r="AF185" t="str" cm="1">
        <f t="array" ref="AF185">INDEX($AR$50:$AV$76,MATCH(AF$166,$AR$51:$AR$76,0)+1,MATCH($Y185,$AS$50:$AV$50,0)+1)</f>
        <v>C TL+2 Cost Reduction*</v>
      </c>
      <c r="AG185" t="str" cm="1">
        <f t="array" ref="AG185">INDEX($AR$50:$AV$76,MATCH(AG$166,$AR$51:$AR$76,0)+1,MATCH($Y185,$AS$50:$AV$50,0)+1)</f>
        <v>C TL+3 Cost Reduction*</v>
      </c>
      <c r="AH185" t="str" cm="1">
        <f t="array" ref="AH185">INDEX($AR$50:$AV$76,MATCH(AH$166,$AR$51:$AR$76,0)+1,MATCH($Y185,$AS$50:$AV$50,0)+1)</f>
        <v>D Adv - Easy to Repair</v>
      </c>
      <c r="AI185" t="str" cm="1">
        <f t="array" ref="AI185">INDEX($AR$50:$AV$76,MATCH(AI$166,$AR$51:$AR$76,0)+1,MATCH($Y185,$AS$50:$AV$50,0)+1)</f>
        <v>D Adv - Energy Efficient</v>
      </c>
      <c r="AJ185" t="str" cm="1">
        <f t="array" ref="AJ185">INDEX($AR$50:$AV$76,MATCH(AJ$166,$AR$51:$AR$76,0)+1,MATCH($Y185,$AS$50:$AV$50,0)+1)</f>
        <v>D Adv - High Yield</v>
      </c>
      <c r="AK185" t="str" cm="1">
        <f t="array" ref="AK185">INDEX($AR$50:$AV$76,MATCH(AK$166,$AR$51:$AR$76,0)+1,MATCH($Y185,$AS$50:$AV$50,0)+1)</f>
        <v>D Adv - Resilient</v>
      </c>
      <c r="AL185" t="str" cm="1">
        <f t="array" ref="AL185">INDEX($AR$50:$AV$76,MATCH(AL$166,$AR$51:$AR$76,0)+1,MATCH($Y185,$AS$50:$AV$50,0)+1)</f>
        <v>D Adv - Size Reduction</v>
      </c>
      <c r="AM185" t="str" cm="1">
        <f t="array" ref="AM185">INDEX($AR$50:$AV$76,MATCH(AM$166,$AR$51:$AR$76,0)+1,MATCH($Y185,$AS$50:$AV$50,0)+1)</f>
        <v>E VAdv - Accurate</v>
      </c>
      <c r="AN185" t="str" cm="1">
        <f t="array" ref="AN185">INDEX($AR$50:$AV$76,MATCH(AN$166,$AR$51:$AR$76,0)+1,MATCH($Y185,$AS$50:$AV$50,0)+1)</f>
        <v>E VAdv - Intense Focus</v>
      </c>
      <c r="AO185" t="str" cm="1">
        <f t="array" ref="AO185">INDEX($AR$50:$AV$76,MATCH(AO$166,$AR$51:$AR$76,0)+1,MATCH($Y185,$AS$50:$AV$50,0)+1)</f>
        <v>E VAdv - Long Range</v>
      </c>
      <c r="AP185" t="str" cm="1">
        <f t="array" ref="AP185">INDEX($AR$50:$AV$76,MATCH(AP$166,$AR$51:$AR$76,0)+1,MATCH($Y185,$AS$50:$AV$50,0)+1)</f>
        <v>E VAdv - Very High Yield</v>
      </c>
      <c r="AQ185" t="str" cm="1">
        <f t="array" ref="AQ185">INDEX($AR$50:$AV$76,MATCH(AQ$166,$AR$51:$AR$76,0)+1,MATCH($Y185,$AS$50:$AV$50,0)+1)</f>
        <v>P Prototype - Increased Size</v>
      </c>
      <c r="AR185" t="str" cm="1">
        <f t="array" ref="AR185">INDEX($AR$50:$AV$76,MATCH(AR$166,$AR$51:$AR$76,0)+1,MATCH($Y185,$AS$50:$AV$50,0)+1)</f>
        <v>P Prototype - Inaccurate</v>
      </c>
      <c r="AS185" t="str" cm="1">
        <f t="array" ref="AS185">INDEX($AR$50:$AV$76,MATCH(AS$166,$AR$51:$AR$76,0)+1,MATCH($Y185,$AS$50:$AV$50,0)+1)</f>
        <v>P Prototype - Energy Inefficient</v>
      </c>
      <c r="AT185" t="str" cm="1">
        <f t="array" ref="AT185">INDEX($AR$50:$AV$76,MATCH(AT$166,$AR$51:$AR$76,0)+1,MATCH($Y185,$AS$50:$AV$50,0)+1)</f>
        <v>R Early Prototype-Increased Size x2</v>
      </c>
      <c r="AU185" t="str" cm="1">
        <f t="array" ref="AU185">INDEX($AR$50:$AV$76,MATCH(AU$166,$AR$51:$AR$76,0)+1,MATCH($Y185,$AS$50:$AV$50,0)+1)</f>
        <v>R Early Prototype-Increased Size/Inefficient</v>
      </c>
      <c r="AV185" t="str" cm="1">
        <f t="array" ref="AV185">INDEX($AR$50:$AV$76,MATCH(AV$166,$AR$51:$AR$76,0)+1,MATCH($Y185,$AS$50:$AV$50,0)+1)</f>
        <v>R Early Prototype-Increased Size/Inaccurate</v>
      </c>
      <c r="AW185" t="str" cm="1">
        <f t="array" ref="AW185">INDEX($AR$50:$AV$76,MATCH(AW$166,$AR$51:$AR$76,0)+1,MATCH($Y185,$AS$50:$AV$50,0)+1)</f>
        <v>R Early Prototype-Inaccurate x2</v>
      </c>
      <c r="AX185" t="str" cm="1">
        <f t="array" ref="AX185">INDEX($AR$50:$AV$76,MATCH(AX$166,$AR$51:$AR$76,0)+1,MATCH($Y185,$AS$50:$AV$50,0)+1)</f>
        <v>R Early Prototype-Inaccurate/Inefficient</v>
      </c>
      <c r="AY185" t="str" cm="1">
        <f t="array" ref="AY185">INDEX($AR$50:$AV$76,MATCH(AY$166,$AR$51:$AR$76,0)+1,MATCH($Y185,$AS$50:$AV$50,0)+1)</f>
        <v>R Early Prototype-Energy Inefficient x2</v>
      </c>
    </row>
    <row r="186" spans="22:51" x14ac:dyDescent="0.3">
      <c r="V186" s="2">
        <v>20</v>
      </c>
      <c r="W186" s="2">
        <f>INDEX(Table1[[Hardpoints]:[Index]],MATCH(B31,Table1[Hardpoints],0),8)</f>
        <v>0</v>
      </c>
      <c r="X186" s="2">
        <f>INDEX(Table3[],MATCH(C31,Table3[Weapon],0),19)</f>
        <v>0</v>
      </c>
      <c r="Y186" t="str">
        <f t="shared" si="51"/>
        <v>Other</v>
      </c>
      <c r="Z186" t="str" cm="1">
        <f t="array" ref="Z186">INDEX($AR$50:$AV$76,MATCH(Z$166,$AR$51:$AR$76,0)+1,MATCH($Y186,$AS$50:$AV$50,0)+1)</f>
        <v/>
      </c>
      <c r="AA186" t="str" cm="1">
        <f t="array" ref="AA186">INDEX($AR$50:$AV$76,MATCH(AA$166,$AR$51:$AR$76,0)+1,MATCH($Y186,$AS$50:$AV$50,0)+1)</f>
        <v>A Standard</v>
      </c>
      <c r="AB186" t="str" cm="1">
        <f t="array" ref="AB186">INDEX($AR$50:$AV$76,MATCH(AB$166,$AR$51:$AR$76,0)+1,MATCH($Y186,$AS$50:$AV$50,0)+1)</f>
        <v>B Budget - Increased Size</v>
      </c>
      <c r="AC186" t="str" cm="1">
        <f t="array" ref="AC186">INDEX($AR$50:$AV$76,MATCH(AC$166,$AR$51:$AR$76,0)+1,MATCH($Y186,$AS$50:$AV$50,0)+1)</f>
        <v>B Budget - Inaccurate</v>
      </c>
      <c r="AD186" t="str" cm="1">
        <f t="array" ref="AD186">INDEX($AR$50:$AV$76,MATCH(AD$166,$AR$51:$AR$76,0)+1,MATCH($Y186,$AS$50:$AV$50,0)+1)</f>
        <v>B Budget - Energy Inefficient</v>
      </c>
      <c r="AE186" t="str" cm="1">
        <f t="array" ref="AE186">INDEX($AR$50:$AV$76,MATCH(AE$166,$AR$51:$AR$76,0)+1,MATCH($Y186,$AS$50:$AV$50,0)+1)</f>
        <v>C TL+1 Cost Reduction*</v>
      </c>
      <c r="AF186" t="str" cm="1">
        <f t="array" ref="AF186">INDEX($AR$50:$AV$76,MATCH(AF$166,$AR$51:$AR$76,0)+1,MATCH($Y186,$AS$50:$AV$50,0)+1)</f>
        <v>C TL+2 Cost Reduction*</v>
      </c>
      <c r="AG186" t="str" cm="1">
        <f t="array" ref="AG186">INDEX($AR$50:$AV$76,MATCH(AG$166,$AR$51:$AR$76,0)+1,MATCH($Y186,$AS$50:$AV$50,0)+1)</f>
        <v>C TL+3 Cost Reduction*</v>
      </c>
      <c r="AH186" t="str" cm="1">
        <f t="array" ref="AH186">INDEX($AR$50:$AV$76,MATCH(AH$166,$AR$51:$AR$76,0)+1,MATCH($Y186,$AS$50:$AV$50,0)+1)</f>
        <v>D Adv - Easy to Repair</v>
      </c>
      <c r="AI186" t="str" cm="1">
        <f t="array" ref="AI186">INDEX($AR$50:$AV$76,MATCH(AI$166,$AR$51:$AR$76,0)+1,MATCH($Y186,$AS$50:$AV$50,0)+1)</f>
        <v>D Adv - Energy Efficient</v>
      </c>
      <c r="AJ186" t="str" cm="1">
        <f t="array" ref="AJ186">INDEX($AR$50:$AV$76,MATCH(AJ$166,$AR$51:$AR$76,0)+1,MATCH($Y186,$AS$50:$AV$50,0)+1)</f>
        <v>D Adv - High Yield</v>
      </c>
      <c r="AK186" t="str" cm="1">
        <f t="array" ref="AK186">INDEX($AR$50:$AV$76,MATCH(AK$166,$AR$51:$AR$76,0)+1,MATCH($Y186,$AS$50:$AV$50,0)+1)</f>
        <v>D Adv - Resilient</v>
      </c>
      <c r="AL186" t="str" cm="1">
        <f t="array" ref="AL186">INDEX($AR$50:$AV$76,MATCH(AL$166,$AR$51:$AR$76,0)+1,MATCH($Y186,$AS$50:$AV$50,0)+1)</f>
        <v>D Adv - Size Reduction</v>
      </c>
      <c r="AM186" t="str" cm="1">
        <f t="array" ref="AM186">INDEX($AR$50:$AV$76,MATCH(AM$166,$AR$51:$AR$76,0)+1,MATCH($Y186,$AS$50:$AV$50,0)+1)</f>
        <v>E VAdv - Accurate</v>
      </c>
      <c r="AN186" t="str" cm="1">
        <f t="array" ref="AN186">INDEX($AR$50:$AV$76,MATCH(AN$166,$AR$51:$AR$76,0)+1,MATCH($Y186,$AS$50:$AV$50,0)+1)</f>
        <v>E VAdv - Intense Focus</v>
      </c>
      <c r="AO186" t="str" cm="1">
        <f t="array" ref="AO186">INDEX($AR$50:$AV$76,MATCH(AO$166,$AR$51:$AR$76,0)+1,MATCH($Y186,$AS$50:$AV$50,0)+1)</f>
        <v>E VAdv - Long Range</v>
      </c>
      <c r="AP186" t="str" cm="1">
        <f t="array" ref="AP186">INDEX($AR$50:$AV$76,MATCH(AP$166,$AR$51:$AR$76,0)+1,MATCH($Y186,$AS$50:$AV$50,0)+1)</f>
        <v>E VAdv - Very High Yield</v>
      </c>
      <c r="AQ186" t="str" cm="1">
        <f t="array" ref="AQ186">INDEX($AR$50:$AV$76,MATCH(AQ$166,$AR$51:$AR$76,0)+1,MATCH($Y186,$AS$50:$AV$50,0)+1)</f>
        <v>P Prototype - Increased Size</v>
      </c>
      <c r="AR186" t="str" cm="1">
        <f t="array" ref="AR186">INDEX($AR$50:$AV$76,MATCH(AR$166,$AR$51:$AR$76,0)+1,MATCH($Y186,$AS$50:$AV$50,0)+1)</f>
        <v>P Prototype - Inaccurate</v>
      </c>
      <c r="AS186" t="str" cm="1">
        <f t="array" ref="AS186">INDEX($AR$50:$AV$76,MATCH(AS$166,$AR$51:$AR$76,0)+1,MATCH($Y186,$AS$50:$AV$50,0)+1)</f>
        <v>P Prototype - Energy Inefficient</v>
      </c>
      <c r="AT186" t="str" cm="1">
        <f t="array" ref="AT186">INDEX($AR$50:$AV$76,MATCH(AT$166,$AR$51:$AR$76,0)+1,MATCH($Y186,$AS$50:$AV$50,0)+1)</f>
        <v>R Early Prototype-Increased Size x2</v>
      </c>
      <c r="AU186" t="str" cm="1">
        <f t="array" ref="AU186">INDEX($AR$50:$AV$76,MATCH(AU$166,$AR$51:$AR$76,0)+1,MATCH($Y186,$AS$50:$AV$50,0)+1)</f>
        <v>R Early Prototype-Increased Size/Inefficient</v>
      </c>
      <c r="AV186" t="str" cm="1">
        <f t="array" ref="AV186">INDEX($AR$50:$AV$76,MATCH(AV$166,$AR$51:$AR$76,0)+1,MATCH($Y186,$AS$50:$AV$50,0)+1)</f>
        <v>R Early Prototype-Increased Size/Inaccurate</v>
      </c>
      <c r="AW186" t="str" cm="1">
        <f t="array" ref="AW186">INDEX($AR$50:$AV$76,MATCH(AW$166,$AR$51:$AR$76,0)+1,MATCH($Y186,$AS$50:$AV$50,0)+1)</f>
        <v>R Early Prototype-Inaccurate x2</v>
      </c>
      <c r="AX186" t="str" cm="1">
        <f t="array" ref="AX186">INDEX($AR$50:$AV$76,MATCH(AX$166,$AR$51:$AR$76,0)+1,MATCH($Y186,$AS$50:$AV$50,0)+1)</f>
        <v>R Early Prototype-Inaccurate/Inefficient</v>
      </c>
      <c r="AY186" t="str" cm="1">
        <f t="array" ref="AY186">INDEX($AR$50:$AV$76,MATCH(AY$166,$AR$51:$AR$76,0)+1,MATCH($Y186,$AS$50:$AV$50,0)+1)</f>
        <v>R Early Prototype-Energy Inefficient x2</v>
      </c>
    </row>
  </sheetData>
  <sheetProtection algorithmName="SHA-512" hashValue="seN9utvLbtkBJGHMwYUEuiGrxpeQmQHwUcrby7o0uGQnJhzKhaCH5i0WuQwxbVAqnY3VpJLEWV3I40SJFJ7T4Q==" saltValue="O+gcBpqOmmFzGoBhYkqocw==" spinCount="100000" sheet="1" selectLockedCells="1"/>
  <sortState xmlns:xlrd2="http://schemas.microsoft.com/office/spreadsheetml/2017/richdata2" ref="V63:V70">
    <sortCondition ref="V63:V70"/>
  </sortState>
  <mergeCells count="32">
    <mergeCell ref="A6:B10"/>
    <mergeCell ref="B5:C5"/>
    <mergeCell ref="R41:S41"/>
    <mergeCell ref="N4:O4"/>
    <mergeCell ref="Q4:R4"/>
    <mergeCell ref="R39:S39"/>
    <mergeCell ref="R40:S40"/>
    <mergeCell ref="E37:F37"/>
    <mergeCell ref="E3:E4"/>
    <mergeCell ref="F3:F4"/>
    <mergeCell ref="G3:G4"/>
    <mergeCell ref="A32:B33"/>
    <mergeCell ref="S36:S37"/>
    <mergeCell ref="B38:C38"/>
    <mergeCell ref="M45:O45"/>
    <mergeCell ref="M46:O46"/>
    <mergeCell ref="M47:O47"/>
    <mergeCell ref="J46:K46"/>
    <mergeCell ref="J47:K47"/>
    <mergeCell ref="M49:O49"/>
    <mergeCell ref="J50:K50"/>
    <mergeCell ref="M50:O50"/>
    <mergeCell ref="M52:O52"/>
    <mergeCell ref="J53:K53"/>
    <mergeCell ref="M53:O53"/>
    <mergeCell ref="P53:Q53"/>
    <mergeCell ref="P45:Q45"/>
    <mergeCell ref="P49:Q49"/>
    <mergeCell ref="P52:Q52"/>
    <mergeCell ref="P46:Q46"/>
    <mergeCell ref="P47:Q47"/>
    <mergeCell ref="P50:Q50"/>
  </mergeCells>
  <phoneticPr fontId="13" type="noConversion"/>
  <conditionalFormatting sqref="B5">
    <cfRule type="expression" dxfId="480" priority="46">
      <formula>SUM($AO$28:$AO$47)&gt;0</formula>
    </cfRule>
  </conditionalFormatting>
  <conditionalFormatting sqref="B12">
    <cfRule type="expression" dxfId="479" priority="100">
      <formula>AO28=1</formula>
    </cfRule>
  </conditionalFormatting>
  <conditionalFormatting sqref="B12:B14">
    <cfRule type="expression" dxfId="478" priority="4">
      <formula>$W$62=1</formula>
    </cfRule>
  </conditionalFormatting>
  <conditionalFormatting sqref="B13:B14">
    <cfRule type="expression" dxfId="477" priority="47">
      <formula>AO29&gt;0</formula>
    </cfRule>
  </conditionalFormatting>
  <conditionalFormatting sqref="B15">
    <cfRule type="expression" dxfId="476" priority="525">
      <formula>AND($A$15="N/A",$B$15&gt;$BB$2)</formula>
    </cfRule>
  </conditionalFormatting>
  <conditionalFormatting sqref="B16">
    <cfRule type="expression" dxfId="475" priority="526">
      <formula>AND($A$16="N/A",$B$16&gt;$BB$2)</formula>
    </cfRule>
  </conditionalFormatting>
  <conditionalFormatting sqref="B17">
    <cfRule type="expression" dxfId="474" priority="527">
      <formula>AND($A$17="N/A",$B$17&gt;$BB$2)</formula>
    </cfRule>
  </conditionalFormatting>
  <conditionalFormatting sqref="B18">
    <cfRule type="expression" dxfId="473" priority="528">
      <formula>AND($A$18="N/A",$B$18&gt;$BB$2)</formula>
    </cfRule>
  </conditionalFormatting>
  <conditionalFormatting sqref="B19">
    <cfRule type="expression" dxfId="472" priority="529">
      <formula>AND($A$19="N/A",$B$19&gt;$BB$2)</formula>
    </cfRule>
  </conditionalFormatting>
  <conditionalFormatting sqref="B20">
    <cfRule type="expression" dxfId="471" priority="530">
      <formula>AND($A$20="N/A",$B$20&gt;$BB$2)</formula>
    </cfRule>
  </conditionalFormatting>
  <conditionalFormatting sqref="B21">
    <cfRule type="expression" dxfId="470" priority="531">
      <formula>AND($A$21="N/A",$B$21&gt;$BB$2)</formula>
    </cfRule>
  </conditionalFormatting>
  <conditionalFormatting sqref="B22">
    <cfRule type="expression" dxfId="469" priority="532">
      <formula>AND($A$22="N/A",$B$22&gt;$BB$2)</formula>
    </cfRule>
  </conditionalFormatting>
  <conditionalFormatting sqref="B23">
    <cfRule type="expression" dxfId="468" priority="533">
      <formula>AND($A$23="N/A",$B$23&gt;$BB$2)</formula>
    </cfRule>
  </conditionalFormatting>
  <conditionalFormatting sqref="B24">
    <cfRule type="expression" dxfId="467" priority="534">
      <formula>AND($A$24="N/A",$B$24&gt;$BB$2)</formula>
    </cfRule>
  </conditionalFormatting>
  <conditionalFormatting sqref="B25">
    <cfRule type="expression" dxfId="466" priority="535">
      <formula>AND($A$25="N/A",$B$25&gt;$BB$2)</formula>
    </cfRule>
  </conditionalFormatting>
  <conditionalFormatting sqref="B26">
    <cfRule type="expression" dxfId="465" priority="536">
      <formula>AND($A$26="N/A",$B$26&gt;$BB$2)</formula>
    </cfRule>
  </conditionalFormatting>
  <conditionalFormatting sqref="B27">
    <cfRule type="expression" dxfId="464" priority="537">
      <formula>AND($A$27="N/A",$B$27&gt;$BB$2)</formula>
    </cfRule>
  </conditionalFormatting>
  <conditionalFormatting sqref="B28">
    <cfRule type="expression" dxfId="463" priority="538">
      <formula>AND($A$28="N/A",$B$28&gt;$BB$2)</formula>
    </cfRule>
  </conditionalFormatting>
  <conditionalFormatting sqref="B29">
    <cfRule type="expression" dxfId="462" priority="539">
      <formula>AND($A$29="N/A",$B$29&gt;$BB$2)</formula>
    </cfRule>
  </conditionalFormatting>
  <conditionalFormatting sqref="B30">
    <cfRule type="expression" dxfId="461" priority="540">
      <formula>AND($A$30="N/A",$B$30&gt;$BB$2)</formula>
    </cfRule>
  </conditionalFormatting>
  <conditionalFormatting sqref="B31">
    <cfRule type="expression" dxfId="460" priority="541">
      <formula>AND($A$31="N/A",$B$31&gt;$BB$2)</formula>
    </cfRule>
  </conditionalFormatting>
  <conditionalFormatting sqref="B38:C38">
    <cfRule type="cellIs" dxfId="459" priority="2" operator="equal">
      <formula>"Automate Spinal Mount Size Reduction"</formula>
    </cfRule>
  </conditionalFormatting>
  <conditionalFormatting sqref="C6">
    <cfRule type="expression" dxfId="458" priority="110">
      <formula>B4&lt;100</formula>
    </cfRule>
  </conditionalFormatting>
  <conditionalFormatting sqref="C7">
    <cfRule type="expression" dxfId="457" priority="107">
      <formula>B4&lt;100</formula>
    </cfRule>
  </conditionalFormatting>
  <conditionalFormatting sqref="C8">
    <cfRule type="expression" dxfId="456" priority="103">
      <formula>B4&lt;100</formula>
    </cfRule>
  </conditionalFormatting>
  <conditionalFormatting sqref="C12">
    <cfRule type="expression" dxfId="455" priority="933">
      <formula>$E$5="Yes"</formula>
    </cfRule>
    <cfRule type="expression" dxfId="454" priority="932">
      <formula>$BA$113&gt;0</formula>
    </cfRule>
  </conditionalFormatting>
  <conditionalFormatting sqref="C12:C31">
    <cfRule type="expression" dxfId="453" priority="934">
      <formula>$BA113&gt;0</formula>
    </cfRule>
  </conditionalFormatting>
  <conditionalFormatting sqref="C13">
    <cfRule type="expression" dxfId="452" priority="550">
      <formula>$F$5="Yes"</formula>
    </cfRule>
  </conditionalFormatting>
  <conditionalFormatting sqref="C14">
    <cfRule type="expression" dxfId="451" priority="554">
      <formula>$G$5="Yes"</formula>
    </cfRule>
  </conditionalFormatting>
  <conditionalFormatting sqref="C34:F34">
    <cfRule type="expression" dxfId="450" priority="9">
      <formula>$F$34&gt;$D$34</formula>
    </cfRule>
  </conditionalFormatting>
  <conditionalFormatting sqref="D12:D31">
    <cfRule type="expression" dxfId="449" priority="14">
      <formula>AND($B12&lt;&gt;$Z$2,$D12=0)</formula>
    </cfRule>
  </conditionalFormatting>
  <conditionalFormatting sqref="D33">
    <cfRule type="expression" dxfId="448" priority="12">
      <formula>AND($B$4&lt;50.1,$D$33&gt;0)</formula>
    </cfRule>
    <cfRule type="cellIs" dxfId="447" priority="19" operator="greaterThan">
      <formula>0</formula>
    </cfRule>
  </conditionalFormatting>
  <conditionalFormatting sqref="D33:D34 F34">
    <cfRule type="expression" dxfId="446" priority="13">
      <formula>$B$4&lt;50.01</formula>
    </cfRule>
  </conditionalFormatting>
  <conditionalFormatting sqref="D34 F34 D32">
    <cfRule type="cellIs" dxfId="445" priority="20" operator="greaterThan">
      <formula>0</formula>
    </cfRule>
  </conditionalFormatting>
  <conditionalFormatting sqref="D34">
    <cfRule type="expression" dxfId="444" priority="11">
      <formula>AND($B$4&lt;50.1,$D$34&gt;0)</formula>
    </cfRule>
  </conditionalFormatting>
  <conditionalFormatting sqref="D40">
    <cfRule type="cellIs" dxfId="443" priority="1" operator="equal">
      <formula>"No"</formula>
    </cfRule>
  </conditionalFormatting>
  <conditionalFormatting sqref="E5">
    <cfRule type="expression" dxfId="442" priority="109">
      <formula>B4&lt;100</formula>
    </cfRule>
    <cfRule type="expression" dxfId="441" priority="108" stopIfTrue="1">
      <formula>AND(E5="Yes",B4&lt;100)</formula>
    </cfRule>
  </conditionalFormatting>
  <conditionalFormatting sqref="E6">
    <cfRule type="expression" dxfId="440" priority="73">
      <formula>$U$6=0</formula>
    </cfRule>
  </conditionalFormatting>
  <conditionalFormatting sqref="E6:E9">
    <cfRule type="expression" dxfId="439" priority="544">
      <formula>$E$5="No"</formula>
    </cfRule>
  </conditionalFormatting>
  <conditionalFormatting sqref="E7">
    <cfRule type="expression" dxfId="438" priority="74">
      <formula>$U$6&lt;2</formula>
    </cfRule>
  </conditionalFormatting>
  <conditionalFormatting sqref="E8">
    <cfRule type="expression" dxfId="437" priority="72">
      <formula>$U$6&lt;3</formula>
    </cfRule>
  </conditionalFormatting>
  <conditionalFormatting sqref="E9">
    <cfRule type="expression" dxfId="436" priority="71">
      <formula>$U$6&lt;4</formula>
    </cfRule>
  </conditionalFormatting>
  <conditionalFormatting sqref="E10">
    <cfRule type="expression" dxfId="434" priority="6">
      <formula>$T$73</formula>
    </cfRule>
  </conditionalFormatting>
  <conditionalFormatting sqref="E37">
    <cfRule type="expression" dxfId="433" priority="15">
      <formula>$W$60&gt;0</formula>
    </cfRule>
  </conditionalFormatting>
  <conditionalFormatting sqref="E12:G12 E14:G14 E16:G16 E18:G18 E20:G20 E22:G22 E24:G24 E26:G26 E28:G28 E30:G30">
    <cfRule type="cellIs" dxfId="432" priority="54" operator="notEqual">
      <formula>"A Standard"</formula>
    </cfRule>
  </conditionalFormatting>
  <conditionalFormatting sqref="E12:G14">
    <cfRule type="expression" dxfId="431" priority="10">
      <formula>AND(Tonnage&lt;100,E12=$Z$66)</formula>
    </cfRule>
  </conditionalFormatting>
  <conditionalFormatting sqref="E13:G13 E36:G36 E15:G15 E17:G17 E19:G19 E21:G21 E23:G23 E25:G25 E27:G27 E29:G29 E31:G31">
    <cfRule type="cellIs" dxfId="430" priority="49" operator="notEqual">
      <formula>"A Standard"</formula>
    </cfRule>
  </conditionalFormatting>
  <conditionalFormatting sqref="E36:G36">
    <cfRule type="expression" dxfId="429" priority="3">
      <formula>$B$38="Automate Spinal Mount Size Reduction"</formula>
    </cfRule>
  </conditionalFormatting>
  <conditionalFormatting sqref="F5">
    <cfRule type="expression" dxfId="428" priority="106">
      <formula>B4&lt;100</formula>
    </cfRule>
    <cfRule type="expression" dxfId="427" priority="105" stopIfTrue="1">
      <formula>AND(F5="Yes",B4&lt;100)</formula>
    </cfRule>
  </conditionalFormatting>
  <conditionalFormatting sqref="F6">
    <cfRule type="expression" dxfId="426" priority="70">
      <formula>$U$7=0</formula>
    </cfRule>
  </conditionalFormatting>
  <conditionalFormatting sqref="F6:F9">
    <cfRule type="expression" dxfId="425" priority="549">
      <formula>$F$5="No"</formula>
    </cfRule>
  </conditionalFormatting>
  <conditionalFormatting sqref="F7">
    <cfRule type="expression" dxfId="424" priority="69">
      <formula>$U$7&lt;2</formula>
    </cfRule>
  </conditionalFormatting>
  <conditionalFormatting sqref="F8">
    <cfRule type="expression" dxfId="423" priority="68">
      <formula>$U$7&lt;3</formula>
    </cfRule>
  </conditionalFormatting>
  <conditionalFormatting sqref="F9">
    <cfRule type="expression" dxfId="422" priority="67">
      <formula>$U$7&lt;4</formula>
    </cfRule>
  </conditionalFormatting>
  <conditionalFormatting sqref="F10">
    <cfRule type="expression" dxfId="421" priority="62">
      <formula>$W$57&gt;0</formula>
    </cfRule>
  </conditionalFormatting>
  <conditionalFormatting sqref="F50 H50:L50">
    <cfRule type="cellIs" dxfId="420" priority="58" operator="greaterThan">
      <formula>0</formula>
    </cfRule>
  </conditionalFormatting>
  <conditionalFormatting sqref="F53 H53:L53">
    <cfRule type="cellIs" dxfId="419" priority="56" operator="greaterThan">
      <formula>0</formula>
    </cfRule>
  </conditionalFormatting>
  <conditionalFormatting sqref="G1">
    <cfRule type="expression" dxfId="418" priority="50">
      <formula>$W$71&gt;0</formula>
    </cfRule>
  </conditionalFormatting>
  <conditionalFormatting sqref="G5">
    <cfRule type="expression" dxfId="417" priority="101" stopIfTrue="1">
      <formula>AND(G5="Yes",B4&lt;100)</formula>
    </cfRule>
    <cfRule type="expression" dxfId="416" priority="102">
      <formula>B4&lt;100</formula>
    </cfRule>
  </conditionalFormatting>
  <conditionalFormatting sqref="G6">
    <cfRule type="expression" dxfId="415" priority="66">
      <formula>$U$8=0</formula>
    </cfRule>
  </conditionalFormatting>
  <conditionalFormatting sqref="G6:G9">
    <cfRule type="expression" dxfId="414" priority="553">
      <formula>$G$5="No"</formula>
    </cfRule>
  </conditionalFormatting>
  <conditionalFormatting sqref="G7">
    <cfRule type="expression" dxfId="413" priority="65">
      <formula>$U$8&lt;2</formula>
    </cfRule>
  </conditionalFormatting>
  <conditionalFormatting sqref="G8">
    <cfRule type="expression" dxfId="412" priority="64">
      <formula>$U$8&lt;3</formula>
    </cfRule>
  </conditionalFormatting>
  <conditionalFormatting sqref="G9">
    <cfRule type="expression" dxfId="411" priority="63">
      <formula>$U$8&lt;4</formula>
    </cfRule>
  </conditionalFormatting>
  <conditionalFormatting sqref="G46 G50 G53">
    <cfRule type="cellIs" dxfId="410" priority="52" operator="equal">
      <formula>$V$71</formula>
    </cfRule>
  </conditionalFormatting>
  <conditionalFormatting sqref="G46">
    <cfRule type="cellIs" dxfId="409" priority="59" operator="notEqual">
      <formula>$V$63</formula>
    </cfRule>
  </conditionalFormatting>
  <conditionalFormatting sqref="G50">
    <cfRule type="cellIs" dxfId="408" priority="57" operator="notEqual">
      <formula>$V$63</formula>
    </cfRule>
  </conditionalFormatting>
  <conditionalFormatting sqref="G53">
    <cfRule type="cellIs" dxfId="407" priority="55" operator="notEqual">
      <formula>$V$63</formula>
    </cfRule>
  </conditionalFormatting>
  <conditionalFormatting sqref="G55">
    <cfRule type="expression" dxfId="406" priority="51">
      <formula>$W$71&gt;0</formula>
    </cfRule>
  </conditionalFormatting>
  <conditionalFormatting sqref="G40:O40 F46 H46:L46">
    <cfRule type="cellIs" dxfId="405" priority="60" operator="greaterThan">
      <formula>0</formula>
    </cfRule>
  </conditionalFormatting>
  <conditionalFormatting sqref="H12:H31 H36">
    <cfRule type="cellIs" dxfId="404" priority="81" operator="greaterThan">
      <formula>3</formula>
    </cfRule>
  </conditionalFormatting>
  <conditionalFormatting sqref="I12:I31">
    <cfRule type="expression" dxfId="403" priority="23">
      <formula>Q12=0</formula>
    </cfRule>
  </conditionalFormatting>
  <conditionalFormatting sqref="I5:J8">
    <cfRule type="expression" dxfId="402" priority="61">
      <formula>$J$8&gt;$J$6</formula>
    </cfRule>
  </conditionalFormatting>
  <conditionalFormatting sqref="I12:J36">
    <cfRule type="cellIs" dxfId="401" priority="18" stopIfTrue="1" operator="equal">
      <formula>"Yes"</formula>
    </cfRule>
  </conditionalFormatting>
  <conditionalFormatting sqref="I36:J36">
    <cfRule type="expression" dxfId="400" priority="44">
      <formula>$D$36=0</formula>
    </cfRule>
  </conditionalFormatting>
  <conditionalFormatting sqref="J12">
    <cfRule type="expression" dxfId="399" priority="53">
      <formula>$N$12=0</formula>
    </cfRule>
  </conditionalFormatting>
  <conditionalFormatting sqref="J13">
    <cfRule type="expression" dxfId="398" priority="43">
      <formula>$N$13=0</formula>
    </cfRule>
  </conditionalFormatting>
  <conditionalFormatting sqref="J14">
    <cfRule type="expression" dxfId="397" priority="42">
      <formula>$N$14=0</formula>
    </cfRule>
  </conditionalFormatting>
  <conditionalFormatting sqref="J15">
    <cfRule type="expression" dxfId="396" priority="41">
      <formula>$N$15=0</formula>
    </cfRule>
  </conditionalFormatting>
  <conditionalFormatting sqref="J16">
    <cfRule type="expression" dxfId="395" priority="40">
      <formula>$N$16=0</formula>
    </cfRule>
  </conditionalFormatting>
  <conditionalFormatting sqref="J17">
    <cfRule type="expression" dxfId="394" priority="39">
      <formula>$N$17=0</formula>
    </cfRule>
  </conditionalFormatting>
  <conditionalFormatting sqref="J18">
    <cfRule type="expression" dxfId="393" priority="38">
      <formula>$N$18=0</formula>
    </cfRule>
  </conditionalFormatting>
  <conditionalFormatting sqref="J19">
    <cfRule type="expression" dxfId="392" priority="37">
      <formula>$N$19=0</formula>
    </cfRule>
  </conditionalFormatting>
  <conditionalFormatting sqref="J20">
    <cfRule type="expression" dxfId="391" priority="36">
      <formula>$N$20=0</formula>
    </cfRule>
  </conditionalFormatting>
  <conditionalFormatting sqref="J21">
    <cfRule type="expression" dxfId="390" priority="35">
      <formula>$N$21=0</formula>
    </cfRule>
  </conditionalFormatting>
  <conditionalFormatting sqref="J22">
    <cfRule type="expression" dxfId="389" priority="34">
      <formula>$N$22=0</formula>
    </cfRule>
  </conditionalFormatting>
  <conditionalFormatting sqref="J23">
    <cfRule type="expression" dxfId="388" priority="33">
      <formula>$N$23=0</formula>
    </cfRule>
  </conditionalFormatting>
  <conditionalFormatting sqref="J24">
    <cfRule type="expression" dxfId="387" priority="32">
      <formula>$N$24=0</formula>
    </cfRule>
  </conditionalFormatting>
  <conditionalFormatting sqref="J25">
    <cfRule type="expression" dxfId="386" priority="31">
      <formula>$N$25=0</formula>
    </cfRule>
  </conditionalFormatting>
  <conditionalFormatting sqref="J26">
    <cfRule type="expression" dxfId="385" priority="30">
      <formula>$N$26=0</formula>
    </cfRule>
  </conditionalFormatting>
  <conditionalFormatting sqref="J27">
    <cfRule type="expression" dxfId="384" priority="29">
      <formula>$N$27=0</formula>
    </cfRule>
  </conditionalFormatting>
  <conditionalFormatting sqref="J28">
    <cfRule type="expression" dxfId="383" priority="28">
      <formula>$N$28=0</formula>
    </cfRule>
  </conditionalFormatting>
  <conditionalFormatting sqref="J29">
    <cfRule type="expression" dxfId="382" priority="27">
      <formula>$N$29=0</formula>
    </cfRule>
  </conditionalFormatting>
  <conditionalFormatting sqref="J30">
    <cfRule type="expression" dxfId="381" priority="26">
      <formula>$N$30=0</formula>
    </cfRule>
  </conditionalFormatting>
  <conditionalFormatting sqref="J31">
    <cfRule type="expression" dxfId="380" priority="25">
      <formula>$N$31=0</formula>
    </cfRule>
  </conditionalFormatting>
  <conditionalFormatting sqref="J33">
    <cfRule type="expression" dxfId="379" priority="45">
      <formula>OR($D$33=0,$B$4&lt;50)</formula>
    </cfRule>
  </conditionalFormatting>
  <conditionalFormatting sqref="J33:J34">
    <cfRule type="cellIs" dxfId="378" priority="22" stopIfTrue="1" operator="equal">
      <formula>"Yes"</formula>
    </cfRule>
  </conditionalFormatting>
  <conditionalFormatting sqref="J34">
    <cfRule type="expression" dxfId="377" priority="24">
      <formula>OR($D$34=0,$B$4&lt;50)</formula>
    </cfRule>
  </conditionalFormatting>
  <conditionalFormatting sqref="K12:K31 K36">
    <cfRule type="cellIs" dxfId="376" priority="82" operator="greaterThan">
      <formula>TL</formula>
    </cfRule>
  </conditionalFormatting>
  <conditionalFormatting sqref="N6">
    <cfRule type="expression" dxfId="375" priority="113">
      <formula>$N$6&lt;0</formula>
    </cfRule>
  </conditionalFormatting>
  <conditionalFormatting sqref="Q6">
    <cfRule type="expression" dxfId="374" priority="112">
      <formula>$Q$6&lt;0</formula>
    </cfRule>
  </conditionalFormatting>
  <dataValidations count="64">
    <dataValidation type="list" allowBlank="1" showInputMessage="1" showErrorMessage="1" sqref="B12" xr:uid="{0C84B930-0803-40E5-828D-18BD57807C17}">
      <formula1>$AS$2:$AS$16</formula1>
    </dataValidation>
    <dataValidation type="list" allowBlank="1" showInputMessage="1" showErrorMessage="1" sqref="B13" xr:uid="{9BEB2254-B2DF-4B11-99F1-C6302D15FB5E}">
      <formula1>$AT$2:$AT$16</formula1>
    </dataValidation>
    <dataValidation type="list" allowBlank="1" showInputMessage="1" showErrorMessage="1" sqref="B14" xr:uid="{FBDB76A7-6FF2-476E-9887-1BF4BD6C95E6}">
      <formula1>$AU$2:$AU$16</formula1>
    </dataValidation>
    <dataValidation type="list" allowBlank="1" showInputMessage="1" showErrorMessage="1" sqref="B15:B31" xr:uid="{2D90D933-6223-4BFE-8A50-3B568D5AD70F}">
      <formula1>$AV$2:$AV$23</formula1>
    </dataValidation>
    <dataValidation type="list" allowBlank="1" showInputMessage="1" showErrorMessage="1" sqref="I12:J31 I36:J36 J33:J34" xr:uid="{749C10AC-A698-405A-81B7-F689DCEAE7E3}">
      <formula1>$U$1:$U$2</formula1>
    </dataValidation>
    <dataValidation type="whole" operator="greaterThanOrEqual" allowBlank="1" showInputMessage="1" showErrorMessage="1" sqref="D12:D31" xr:uid="{56904941-5238-4E4C-9A97-F3D6459CA978}">
      <formula1>0</formula1>
    </dataValidation>
    <dataValidation type="list" allowBlank="1" showInputMessage="1" showErrorMessage="1" sqref="C12 E6:E9" xr:uid="{5FAFA7BB-D4A8-4921-B62F-6CBDBE7215FD}">
      <formula1>$AA$78:$AO$78</formula1>
    </dataValidation>
    <dataValidation type="list" allowBlank="1" showInputMessage="1" showErrorMessage="1" sqref="C13 F6:F9" xr:uid="{78705A8A-E4D6-4FBC-BCEB-9E1C6FF2E9A6}">
      <formula1>$AA$79:$AO$79</formula1>
    </dataValidation>
    <dataValidation type="list" allowBlank="1" showInputMessage="1" showErrorMessage="1" sqref="C14 G6:G9" xr:uid="{A29EEB0B-3D24-4CE2-BF35-3D6724F5F694}">
      <formula1>$AA$80:$AO$80</formula1>
    </dataValidation>
    <dataValidation type="list" allowBlank="1" showInputMessage="1" showErrorMessage="1" sqref="C15" xr:uid="{62EE5772-CA72-40AD-A7CF-B79D3DE47544}">
      <formula1>$AA$81:$AZ$81</formula1>
    </dataValidation>
    <dataValidation type="list" allowBlank="1" showInputMessage="1" showErrorMessage="1" sqref="C16" xr:uid="{0FC66FB0-4DD6-40DA-8092-93ECB926C6BF}">
      <formula1>$AA$82:$AZ$82</formula1>
    </dataValidation>
    <dataValidation type="list" allowBlank="1" showInputMessage="1" showErrorMessage="1" sqref="C17" xr:uid="{E96D077A-C9A7-4152-A102-AE69C549A788}">
      <formula1>$AA$83:$AZ$83</formula1>
    </dataValidation>
    <dataValidation type="list" allowBlank="1" showInputMessage="1" showErrorMessage="1" sqref="C18" xr:uid="{691F6486-4708-4E29-95B0-C02F3244EA39}">
      <formula1>$AA$84:$AZ$84</formula1>
    </dataValidation>
    <dataValidation type="list" allowBlank="1" showInputMessage="1" showErrorMessage="1" sqref="C19" xr:uid="{00DD9527-3EC8-4F04-B9B5-4D1123733E1C}">
      <formula1>$AA$85:$AZ$85</formula1>
    </dataValidation>
    <dataValidation type="list" allowBlank="1" showInputMessage="1" showErrorMessage="1" sqref="C20" xr:uid="{EF94A85A-4BDA-4C61-AB04-F66276A05A53}">
      <formula1>$AA$86:$AZ$86</formula1>
    </dataValidation>
    <dataValidation type="list" allowBlank="1" showInputMessage="1" showErrorMessage="1" sqref="C21" xr:uid="{8896F188-3FE1-45B3-BA46-302013653EB5}">
      <formula1>$AA$87:$AZ$87</formula1>
    </dataValidation>
    <dataValidation type="list" allowBlank="1" showInputMessage="1" showErrorMessage="1" sqref="C22" xr:uid="{0BEB985F-7253-469C-9DE4-C8420EC8010F}">
      <formula1>$AA$88:$AZ$88</formula1>
    </dataValidation>
    <dataValidation type="list" allowBlank="1" showInputMessage="1" showErrorMessage="1" sqref="C23" xr:uid="{2CC4C028-9BF5-4849-A945-0186243BF9A5}">
      <formula1>$AA$89:$AZ$89</formula1>
    </dataValidation>
    <dataValidation type="list" allowBlank="1" showInputMessage="1" showErrorMessage="1" sqref="C24" xr:uid="{C36DBE63-F4E8-47E2-B260-A68C9A71AFB4}">
      <formula1>$AA$90:$AZ$90</formula1>
    </dataValidation>
    <dataValidation type="list" allowBlank="1" showInputMessage="1" showErrorMessage="1" sqref="C25" xr:uid="{DBF1E763-AAF6-4882-8563-0852411CA02F}">
      <formula1>$AA$91:$AZ$91</formula1>
    </dataValidation>
    <dataValidation type="list" allowBlank="1" showInputMessage="1" showErrorMessage="1" sqref="C26" xr:uid="{AD63E9B5-C1BB-41CC-81A6-B8EC8DE5F984}">
      <formula1>$AA$92:$AZ$92</formula1>
    </dataValidation>
    <dataValidation type="list" allowBlank="1" showInputMessage="1" showErrorMessage="1" sqref="C27" xr:uid="{DE92E252-7423-4ABD-8BB2-1AF050CE88F4}">
      <formula1>$AA$93:$AZ$93</formula1>
    </dataValidation>
    <dataValidation type="list" allowBlank="1" showInputMessage="1" showErrorMessage="1" sqref="C28" xr:uid="{CABD0DAC-D153-478D-B906-02CC3EFF275D}">
      <formula1>$AA$94:$AZ$94</formula1>
    </dataValidation>
    <dataValidation type="list" allowBlank="1" showInputMessage="1" showErrorMessage="1" sqref="C29" xr:uid="{438D8360-C237-4731-B166-B58B276E667A}">
      <formula1>$AA$95:$AZ$95</formula1>
    </dataValidation>
    <dataValidation type="list" allowBlank="1" showInputMessage="1" showErrorMessage="1" sqref="C30" xr:uid="{DCE3D23E-6B7F-49A8-B3F5-5BE33828E8A3}">
      <formula1>$AA$96:$AZ$96</formula1>
    </dataValidation>
    <dataValidation type="list" allowBlank="1" showInputMessage="1" showErrorMessage="1" sqref="C31" xr:uid="{F0595FB5-D682-4B72-9AD3-3C6608E6C72F}">
      <formula1>$AA$97:$AZ$97</formula1>
    </dataValidation>
    <dataValidation type="list" allowBlank="1" showInputMessage="1" showErrorMessage="1" sqref="E31:G31" xr:uid="{80875A90-32CB-4FE5-B0BF-A6A2B83AB85D}">
      <formula1>$AA$186:$AY$186</formula1>
    </dataValidation>
    <dataValidation type="decimal" operator="greaterThanOrEqual" allowBlank="1" showInputMessage="1" showErrorMessage="1" sqref="L40:M40 I40" xr:uid="{584A42E6-8CEA-4C85-A52E-EA49F135F651}">
      <formula1>0</formula1>
    </dataValidation>
    <dataValidation allowBlank="1" showInputMessage="1" showErrorMessage="1" prompt="Damage Added from multiple homogenous weapons in this hardpoint firing together." sqref="O40" xr:uid="{FFF83DD8-C0B3-44DA-A8B5-C9B0156B4B9B}"/>
    <dataValidation type="decimal" operator="greaterThanOrEqual" allowBlank="1" showInputMessage="1" showErrorMessage="1" prompt="How many weapons can be installed on a single hardpoint of this type?" sqref="N40" xr:uid="{2301387F-4636-4BCB-B570-1F0554671E89}">
      <formula1>0</formula1>
    </dataValidation>
    <dataValidation type="decimal" operator="greaterThanOrEqual" allowBlank="1" showInputMessage="1" showErrorMessage="1" prompt="Power needed to run the hardpoint only. Weapons are extra." sqref="K40" xr:uid="{EA79770E-C114-4123-8508-B54CCBFF90C7}">
      <formula1>0</formula1>
    </dataValidation>
    <dataValidation type="list" allowBlank="1" showInputMessage="1" showErrorMessage="1" sqref="G46 G50 G53" xr:uid="{6C7AFDC3-9CE8-4A3B-BCBD-3D9FA433B973}">
      <formula1>$V$63:$V$71</formula1>
    </dataValidation>
    <dataValidation type="list" allowBlank="1" showInputMessage="1" showErrorMessage="1" prompt="Which type of harpoint does this weapon fit in?" sqref="P53:Q53 P46:Q46 P50:Q50" xr:uid="{5AD00419-32E0-4F4B-A87B-38F8304785A0}">
      <formula1>$V$99:$V$107</formula1>
    </dataValidation>
    <dataValidation type="whole" operator="greaterThanOrEqual" allowBlank="1" showInputMessage="1" showErrorMessage="1" promptTitle="Number of Small Weapons Mounts" prompt="Use for weapons &lt;250kg. Larger non-ship weapons require a turret and are denoted in a Small Weapon Turret below. Small Weapons are sold separately." sqref="D33" xr:uid="{4F0790AF-F9B5-4DD9-AF49-6ED9FF7590B9}">
      <formula1>0</formula1>
    </dataValidation>
    <dataValidation allowBlank="1" showInputMessage="1" showErrorMessage="1" prompt="Quantity is multiples of the base unit" sqref="D36" xr:uid="{75442962-972E-4A29-8177-13899B4916A8}"/>
    <dataValidation type="whole" operator="greaterThanOrEqual" allowBlank="1" showInputMessage="1" showErrorMessage="1" promptTitle="Number of Small Weapons Turrets" prompt="Each turret can hold up to one ton of small weapons of 250kg or more. _x000a_Enter the number of small weapons turrets you need. (Determines small weapons tonnage)" sqref="D34" xr:uid="{695BE2BC-6A98-4079-9593-A1CFE33C8250}">
      <formula1>0</formula1>
    </dataValidation>
    <dataValidation type="decimal" operator="greaterThanOrEqual" allowBlank="1" showInputMessage="1" showErrorMessage="1" promptTitle="Tons of Fixed Mount Wpns &gt;.25 Dt" prompt="Add the tonnage of all Fixed Mount non-starship weapons for this row only._x000a_Multiply the spaces of small weapons to be installed in Turrets by 4 if mass is not listed in kg._x000a_Enter that number here._x000a_" sqref="F34" xr:uid="{C95B71EB-055F-4782-941A-589BC9072CB2}">
      <formula1>0</formula1>
    </dataValidation>
    <dataValidation type="whole" operator="greaterThanOrEqual" allowBlank="1" showInputMessage="1" showErrorMessage="1" promptTitle="Fixed Small Weapon Mounts" prompt="Weapons that will not fit in turrets or are mounted on craft smaller than 50 dTons must use these fixed mounts._x000a_Enter the number of spaces of weapons mounted on external fixed mounts. (See Vehicle Handbook or use Weapon Tonnage x 4, round up)" sqref="D32" xr:uid="{3F7ABC52-56A0-49BD-8914-8A96ACF6E1B6}">
      <formula1>0</formula1>
    </dataValidation>
    <dataValidation type="list" allowBlank="1" showInputMessage="1" showErrorMessage="1" sqref="E5:G5" xr:uid="{00153FB1-6524-4E92-BE55-F4E9609AE491}">
      <formula1>$T$1:$T$2</formula1>
    </dataValidation>
    <dataValidation type="list" allowBlank="1" showInputMessage="1" showErrorMessage="1" sqref="E36" xr:uid="{D4602F08-FB7F-420C-85FC-ED00CFECBED3}">
      <formula1>$V$125:$V$151</formula1>
    </dataValidation>
    <dataValidation type="list" allowBlank="1" showInputMessage="1" showErrorMessage="1" sqref="F36:G36" xr:uid="{A594B8F6-0598-4A11-BBBB-16A2C5CC9F9E}">
      <formula1>$X$125:$X$148</formula1>
    </dataValidation>
    <dataValidation type="list" allowBlank="1" showInputMessage="1" showErrorMessage="1" sqref="B36" xr:uid="{886D9FD5-DBE0-4718-BA8B-090DA757CA3C}">
      <formula1>$Z$113:$Z$122</formula1>
    </dataValidation>
    <dataValidation type="list" allowBlank="1" showInputMessage="1" showErrorMessage="1" sqref="E12:G12" xr:uid="{CA8A9638-0047-4271-8A10-9DC5C5D61260}">
      <formula1>$AA$167:$AY$167</formula1>
    </dataValidation>
    <dataValidation type="list" allowBlank="1" showInputMessage="1" showErrorMessage="1" sqref="E13:G13" xr:uid="{510ACD97-7429-49D4-92A0-BE399A5FFAB0}">
      <formula1>$AA$168:$AY$168</formula1>
    </dataValidation>
    <dataValidation type="list" allowBlank="1" showInputMessage="1" showErrorMessage="1" sqref="E14:G14" xr:uid="{74C413A7-A89D-41D0-9040-23D7D9FDDD22}">
      <formula1>$AA$169:$AY$169</formula1>
    </dataValidation>
    <dataValidation type="list" allowBlank="1" showInputMessage="1" showErrorMessage="1" sqref="E15:G15" xr:uid="{D7B6FA14-BED0-44B7-922C-58FB6A66E125}">
      <formula1>$AA$170:$AY$170</formula1>
    </dataValidation>
    <dataValidation type="list" allowBlank="1" showInputMessage="1" showErrorMessage="1" sqref="E16:G16" xr:uid="{4264C6A7-1DFB-41DA-845B-8E8CD6D8B767}">
      <formula1>$AA$171:$AY$171</formula1>
    </dataValidation>
    <dataValidation type="list" allowBlank="1" showInputMessage="1" showErrorMessage="1" sqref="E17:G17" xr:uid="{76DBDCA1-53FA-4D51-B2BF-75C97ADE9662}">
      <formula1>$AA$172:$AY$172</formula1>
    </dataValidation>
    <dataValidation type="list" allowBlank="1" showInputMessage="1" showErrorMessage="1" sqref="E18:G18" xr:uid="{860E4B8C-4C71-476E-AD3B-4F01C36D7875}">
      <formula1>$AA$173:$AY$173</formula1>
    </dataValidation>
    <dataValidation type="list" allowBlank="1" showInputMessage="1" showErrorMessage="1" sqref="E19:G19" xr:uid="{75282C23-ADA8-4AC1-B7E0-B636A29FB504}">
      <formula1>$AA$174:$AY$174</formula1>
    </dataValidation>
    <dataValidation type="list" allowBlank="1" showInputMessage="1" showErrorMessage="1" sqref="E20:G20" xr:uid="{99BEAB29-9C42-467E-89FB-078FA4E94554}">
      <formula1>$AA$175:$AY$175</formula1>
    </dataValidation>
    <dataValidation type="list" allowBlank="1" showInputMessage="1" showErrorMessage="1" sqref="E21:G21" xr:uid="{BA8B194F-27FE-441B-94CE-39CA5B15D27C}">
      <formula1>$AA$176:$AY$176</formula1>
    </dataValidation>
    <dataValidation type="list" allowBlank="1" showInputMessage="1" showErrorMessage="1" sqref="E22:G22" xr:uid="{238EA265-518F-4AC6-8F10-BF9187402AAE}">
      <formula1>$AA$177:$AY$177</formula1>
    </dataValidation>
    <dataValidation type="list" allowBlank="1" showInputMessage="1" showErrorMessage="1" sqref="E23:G23" xr:uid="{DA7C1D90-A3B8-4A74-B91F-0BB26FF52BE2}">
      <formula1>$AA$178:$AY$178</formula1>
    </dataValidation>
    <dataValidation type="list" allowBlank="1" showInputMessage="1" showErrorMessage="1" sqref="E24:G24" xr:uid="{10E211DB-A1D9-4905-B1D7-20F99D905F75}">
      <formula1>$AA$179:$AY$179</formula1>
    </dataValidation>
    <dataValidation type="list" allowBlank="1" showInputMessage="1" showErrorMessage="1" sqref="E25:G25" xr:uid="{F761FA6F-DF86-43E9-A1D3-D6C284CDFFA8}">
      <formula1>$AA$180:$AY$180</formula1>
    </dataValidation>
    <dataValidation type="list" allowBlank="1" showInputMessage="1" showErrorMessage="1" sqref="E26:G26" xr:uid="{FCF1A07A-CA6A-4784-8734-C64B75AB74DE}">
      <formula1>$AA$181:$AY$181</formula1>
    </dataValidation>
    <dataValidation type="list" allowBlank="1" showInputMessage="1" showErrorMessage="1" sqref="E27:G27" xr:uid="{5FBF77E3-72B0-45E4-88A9-F7C706479139}">
      <formula1>$AA$182:$AY$182</formula1>
    </dataValidation>
    <dataValidation type="list" allowBlank="1" showInputMessage="1" showErrorMessage="1" sqref="E28:G28" xr:uid="{34531A1A-6E95-421F-A843-1CAFC145E619}">
      <formula1>$AA$183:$AY$183</formula1>
    </dataValidation>
    <dataValidation type="list" allowBlank="1" showInputMessage="1" showErrorMessage="1" sqref="E29:G29" xr:uid="{57D3A1F0-ED99-4232-B7D7-998B1EF53283}">
      <formula1>$AA$184:$AY$184</formula1>
    </dataValidation>
    <dataValidation type="list" allowBlank="1" showInputMessage="1" showErrorMessage="1" sqref="E30:G30" xr:uid="{78B72A01-8F97-41DF-AA66-A46ED347F91D}">
      <formula1>$AA$185:$AY$185</formula1>
    </dataValidation>
    <dataValidation type="decimal" operator="greaterThanOrEqual" allowBlank="1" showInputMessage="1" showErrorMessage="1" prompt="How many Hardpoints does a weapons mount of this type use?_x000a_Ex: A large bay uses 5 harpoints per mount." sqref="J40" xr:uid="{D5F63C63-E15F-4B48-963D-7D555AE6540E}">
      <formula1>0</formula1>
    </dataValidation>
    <dataValidation type="list" allowBlank="1" showInputMessage="1" showErrorMessage="1" prompt="If set to automatic, each TL above minimum reduces the size and increases the cost of the mount. Unless overridden below, the maximum is three reductions. " sqref="B38:C38" xr:uid="{C3E8B3C1-2898-4E0D-96E4-C8348CD201BA}">
      <formula1>$T$119:$T$120</formula1>
    </dataValidation>
    <dataValidation type="list" allowBlank="1" showInputMessage="1" showErrorMessage="1" prompt="If set to No, there is no limit on size reductions for increased TL above minimum." sqref="D40" xr:uid="{07A55130-BB5D-499D-8FB9-366CDBDFFDD8}">
      <formula1>"Yes,No"</formula1>
    </dataValidation>
  </dataValidations>
  <pageMargins left="0.7" right="0.7" top="0.75" bottom="0.75" header="0.3" footer="0.3"/>
  <pageSetup orientation="portrait" r:id="rId1"/>
  <tableParts count="7">
    <tablePart r:id="rId2"/>
    <tablePart r:id="rId3"/>
    <tablePart r:id="rId4"/>
    <tablePart r:id="rId5"/>
    <tablePart r:id="rId6"/>
    <tablePart r:id="rId7"/>
    <tablePart r:id="rId8"/>
  </tableParts>
  <extLst>
    <ext xmlns:x14="http://schemas.microsoft.com/office/spreadsheetml/2009/9/main" uri="{78C0D931-6437-407d-A8EE-F0AAD7539E65}">
      <x14:conditionalFormattings>
        <x14:conditionalFormatting xmlns:xm="http://schemas.microsoft.com/office/excel/2006/main">
          <x14:cfRule type="expression" priority="5" id="{74AB572B-5B42-45B4-8948-B92D7016C8D1}">
            <xm:f>AND(SUM($D$11,$D$20,$D$26,$D$34,$D$43,$D$53)&gt;0,'Ship Info'!$F$6)</xm:f>
            <x14:dxf>
              <font>
                <color theme="1"/>
              </font>
              <fill>
                <patternFill>
                  <bgColor rgb="FFFF0000"/>
                </patternFill>
              </fill>
            </x14:dxf>
          </x14:cfRule>
          <xm:sqref>E10</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AC88-CBDD-4F6A-9E72-111908A08117}">
  <dimension ref="A1:AA74"/>
  <sheetViews>
    <sheetView workbookViewId="0">
      <selection activeCell="B9" sqref="B9"/>
    </sheetView>
  </sheetViews>
  <sheetFormatPr defaultRowHeight="14.4" x14ac:dyDescent="0.3"/>
  <cols>
    <col min="1" max="1" width="16.88671875" customWidth="1"/>
    <col min="2" max="2" width="24.109375" customWidth="1"/>
    <col min="3" max="3" width="32.109375" customWidth="1"/>
    <col min="6" max="6" width="18.109375" customWidth="1"/>
    <col min="8" max="8" width="11.44140625" customWidth="1"/>
    <col min="11" max="11" width="9.88671875" customWidth="1"/>
    <col min="12" max="12" width="10.109375" customWidth="1"/>
    <col min="13" max="13" width="26.5546875" customWidth="1"/>
    <col min="14" max="18" width="2.6640625" customWidth="1"/>
    <col min="19" max="19" width="27.44140625" hidden="1" customWidth="1"/>
    <col min="20" max="20" width="27.5546875" hidden="1" customWidth="1"/>
    <col min="21" max="21" width="29.44140625" hidden="1" customWidth="1"/>
    <col min="22" max="22" width="20.5546875" hidden="1" customWidth="1"/>
    <col min="23" max="23" width="20.44140625" hidden="1" customWidth="1"/>
    <col min="24" max="24" width="17.5546875" hidden="1" customWidth="1"/>
    <col min="25" max="26" width="18.44140625" hidden="1" customWidth="1"/>
    <col min="27" max="27" width="19" hidden="1" customWidth="1"/>
    <col min="28" max="34" width="9.109375" customWidth="1"/>
  </cols>
  <sheetData>
    <row r="1" spans="1:24" x14ac:dyDescent="0.3">
      <c r="A1" s="3" t="str">
        <f>'Ship Info'!A1</f>
        <v>Ship's Class Name</v>
      </c>
      <c r="B1">
        <f>'Ship Info'!B1</f>
        <v>0</v>
      </c>
      <c r="F1" s="1" t="s">
        <v>1</v>
      </c>
      <c r="S1" t="s">
        <v>92</v>
      </c>
      <c r="T1">
        <v>1</v>
      </c>
    </row>
    <row r="2" spans="1:24" x14ac:dyDescent="0.3">
      <c r="A2" s="3" t="s">
        <v>418</v>
      </c>
      <c r="B2">
        <f>'Ship Info'!B2</f>
        <v>0</v>
      </c>
      <c r="C2" s="3" t="s">
        <v>0</v>
      </c>
      <c r="D2" s="2">
        <f>'Ship Info'!F2</f>
        <v>12</v>
      </c>
      <c r="F2" s="10">
        <f>'Ship Info'!G2</f>
        <v>6177000</v>
      </c>
      <c r="S2" t="s">
        <v>93</v>
      </c>
      <c r="T2">
        <v>1.5</v>
      </c>
    </row>
    <row r="3" spans="1:24" x14ac:dyDescent="0.3">
      <c r="F3" s="10"/>
      <c r="G3" s="79"/>
      <c r="H3" s="482">
        <f>S44</f>
        <v>0</v>
      </c>
      <c r="I3" s="86"/>
      <c r="J3" s="79"/>
      <c r="K3" s="494">
        <f>S47</f>
        <v>0</v>
      </c>
      <c r="S3" t="s">
        <v>398</v>
      </c>
      <c r="T3">
        <v>15</v>
      </c>
      <c r="U3">
        <v>50</v>
      </c>
      <c r="V3">
        <v>30</v>
      </c>
      <c r="W3">
        <v>100000000</v>
      </c>
      <c r="X3">
        <f>50*(E40+'2-Drives'!H29+'2-Drives'!H32)</f>
        <v>0</v>
      </c>
    </row>
    <row r="4" spans="1:24" ht="15" thickBot="1" x14ac:dyDescent="0.35">
      <c r="F4" s="485" t="s">
        <v>44</v>
      </c>
      <c r="H4" s="760" t="s">
        <v>45</v>
      </c>
      <c r="I4" s="760"/>
      <c r="K4" s="760" t="s">
        <v>46</v>
      </c>
      <c r="L4" s="760"/>
      <c r="S4" t="s">
        <v>634</v>
      </c>
      <c r="T4">
        <v>20</v>
      </c>
      <c r="U4">
        <v>50</v>
      </c>
      <c r="V4">
        <v>100</v>
      </c>
      <c r="W4">
        <v>1000000000</v>
      </c>
    </row>
    <row r="5" spans="1:24" ht="15" thickBot="1" x14ac:dyDescent="0.35">
      <c r="C5" s="7" t="s">
        <v>2031</v>
      </c>
      <c r="D5" s="197" t="s">
        <v>93</v>
      </c>
      <c r="F5" s="483">
        <f>SUM(F8:F40)</f>
        <v>0</v>
      </c>
      <c r="H5" s="1" t="s">
        <v>390</v>
      </c>
      <c r="I5" s="1" t="s">
        <v>27</v>
      </c>
      <c r="K5" s="1" t="s">
        <v>390</v>
      </c>
      <c r="L5" s="1" t="s">
        <v>27</v>
      </c>
      <c r="S5">
        <f>B45</f>
        <v>0</v>
      </c>
      <c r="T5">
        <f>D45</f>
        <v>0</v>
      </c>
      <c r="U5">
        <f>H45</f>
        <v>0</v>
      </c>
      <c r="V5">
        <f>K45</f>
        <v>0</v>
      </c>
      <c r="W5" s="4">
        <f>F45</f>
        <v>0</v>
      </c>
    </row>
    <row r="6" spans="1:24" x14ac:dyDescent="0.3">
      <c r="F6" s="4"/>
      <c r="H6" s="10">
        <f>'Ship Info'!I3</f>
        <v>92.53</v>
      </c>
      <c r="I6" s="266">
        <f>'1-Hull'!B4</f>
        <v>100</v>
      </c>
      <c r="J6" s="2"/>
      <c r="K6" s="10">
        <f>'Ship Info'!L3</f>
        <v>0</v>
      </c>
      <c r="L6" s="266">
        <f>'3-Pwr Plant'!L6</f>
        <v>20</v>
      </c>
      <c r="S6" t="s">
        <v>362</v>
      </c>
      <c r="T6">
        <f>INDEX(S3:W5,MATCH(B39,S3:S5,0),2)</f>
        <v>15</v>
      </c>
      <c r="U6">
        <f>INDEX(S3:W5,MATCH(B39,S3:S5,0),3)</f>
        <v>50</v>
      </c>
      <c r="V6">
        <f>INDEX(S3:W5,MATCH(B39,S3:S5,0),4)</f>
        <v>30</v>
      </c>
      <c r="W6">
        <f>INDEX(S3:W5,MATCH(B39,S3:S5,0),5)</f>
        <v>100000000</v>
      </c>
    </row>
    <row r="7" spans="1:24" x14ac:dyDescent="0.3">
      <c r="B7" s="6" t="s">
        <v>395</v>
      </c>
      <c r="F7" s="4"/>
      <c r="K7" s="4"/>
      <c r="S7" t="s">
        <v>106</v>
      </c>
    </row>
    <row r="8" spans="1:24" ht="15" thickBot="1" x14ac:dyDescent="0.35">
      <c r="A8" s="3" t="s">
        <v>409</v>
      </c>
      <c r="B8" s="1" t="s">
        <v>1161</v>
      </c>
      <c r="C8" s="1" t="s">
        <v>363</v>
      </c>
      <c r="D8" s="1" t="s">
        <v>26</v>
      </c>
      <c r="E8" s="3" t="s">
        <v>296</v>
      </c>
      <c r="F8" s="4"/>
      <c r="K8" s="4"/>
      <c r="T8" t="s">
        <v>26</v>
      </c>
      <c r="U8" t="s">
        <v>110</v>
      </c>
      <c r="V8" t="s">
        <v>54</v>
      </c>
      <c r="W8" t="s">
        <v>1</v>
      </c>
    </row>
    <row r="9" spans="1:24" ht="15" thickBot="1" x14ac:dyDescent="0.35">
      <c r="A9" s="197" t="s">
        <v>92</v>
      </c>
      <c r="B9" s="226" t="s">
        <v>1020</v>
      </c>
      <c r="C9" s="197" t="s">
        <v>382</v>
      </c>
      <c r="D9" s="2">
        <f>INDEX($S$9:$W$15,MATCH(B9,$S$9:$S$15,0),2)+INDEX($S$19:$X$41,MATCH(C9,$S$19:$S$41,0),2)+INDEX($S$19:$X$41,MATCH(C10,$S$19:$S$41,0),2)+INDEX($S$19:$X$41,MATCH(C11,$S$19:$S$41,0),2)</f>
        <v>0</v>
      </c>
      <c r="E9" s="197">
        <v>0</v>
      </c>
      <c r="F9" s="4">
        <f>E9*INDEX($S$9:$W$15,MATCH(B9,$S$9:$S$15,0),5)*(1+IF(Z43=0,INDEX($V$43:$W$46,MATCH(B11,$V$43:$V$46,0),2),Z43))*INDEX($S$1:$T$2,MATCH(A9,$S$1:$S$2,0),2)+E9*(IF(A11="No",0,200000*0.1*H9/1.1))</f>
        <v>0</v>
      </c>
      <c r="H9" s="4">
        <f>E9*INDEX($S$9:$W$15,MATCH(B9,$S$9:$S$15,0),3)*(1+INDEX($S$19:$X$41,MATCH(C9,$S$19:$S$41,0),3)+INDEX($S$19:$X$41,MATCH(C10,$S$19:$S$41,0),3)+INDEX($S$19:$X$41,MATCH(C11,$S$19:$S$41,0),3))*IF(A11="No",1,1.1)</f>
        <v>0</v>
      </c>
      <c r="K9" s="4">
        <f>E9*INDEX($S$9:$W$15,MATCH(B9,$S$9:$S$15,0),4)*(1+INDEX($S$19:$X$41,MATCH(C9,$S$19:$S$41,0),4)+INDEX($S$19:$X$41,MATCH(C10,$S$19:$S$41,0),4)+INDEX($S$19:$X$41,MATCH(C11,$S$19:$S$41,0),4))</f>
        <v>0</v>
      </c>
      <c r="M9" t="str">
        <f>INDEX($S$19:$X$41,MATCH(C9,$S$19:$S$41,0),6)</f>
        <v xml:space="preserve"> </v>
      </c>
      <c r="S9" t="str">
        <f>""</f>
        <v/>
      </c>
      <c r="T9">
        <v>0</v>
      </c>
      <c r="U9">
        <v>0</v>
      </c>
      <c r="V9">
        <v>0</v>
      </c>
      <c r="W9">
        <v>0</v>
      </c>
    </row>
    <row r="10" spans="1:24" ht="15" thickBot="1" x14ac:dyDescent="0.35">
      <c r="A10" s="3" t="s">
        <v>998</v>
      </c>
      <c r="B10" s="231" t="s">
        <v>1081</v>
      </c>
      <c r="C10" s="197" t="s">
        <v>382</v>
      </c>
      <c r="K10" s="4"/>
      <c r="M10" t="str">
        <f>INDEX($S$19:$X$41,MATCH(C10,$S$19:$S$41,0),6)</f>
        <v xml:space="preserve"> </v>
      </c>
      <c r="S10" t="s">
        <v>396</v>
      </c>
      <c r="T10">
        <v>10</v>
      </c>
      <c r="U10">
        <v>5</v>
      </c>
      <c r="V10">
        <v>10</v>
      </c>
      <c r="W10">
        <v>5000000</v>
      </c>
    </row>
    <row r="11" spans="1:24" ht="15" thickBot="1" x14ac:dyDescent="0.35">
      <c r="A11" s="197" t="s">
        <v>92</v>
      </c>
      <c r="B11" s="2">
        <f>VLOOKUP(C9,$S$19:$Z$37,8)+VLOOKUP(C10,$S$19:$Z$37,8)+VLOOKUP(C11,$S$19:$Z$37,8)</f>
        <v>0</v>
      </c>
      <c r="C11" s="197" t="s">
        <v>382</v>
      </c>
      <c r="K11" s="4"/>
      <c r="M11" t="str">
        <f>INDEX($S$19:$X$41,MATCH(C11,$S$19:$S$41,0),6)</f>
        <v xml:space="preserve"> </v>
      </c>
      <c r="S11" t="s">
        <v>397</v>
      </c>
      <c r="T11">
        <v>14</v>
      </c>
      <c r="U11">
        <v>20</v>
      </c>
      <c r="V11">
        <v>50</v>
      </c>
      <c r="W11">
        <v>25000000</v>
      </c>
    </row>
    <row r="12" spans="1:24" x14ac:dyDescent="0.3">
      <c r="A12" s="229"/>
      <c r="B12" s="230"/>
      <c r="C12" s="229"/>
      <c r="D12" s="229"/>
      <c r="E12" s="229"/>
      <c r="F12" s="229"/>
      <c r="G12" s="229"/>
      <c r="H12" s="229"/>
      <c r="I12" s="229"/>
      <c r="J12" s="229"/>
      <c r="K12" s="517"/>
      <c r="L12" s="229"/>
      <c r="M12" s="229"/>
      <c r="S12" t="s">
        <v>2521</v>
      </c>
      <c r="T12">
        <v>16</v>
      </c>
      <c r="U12">
        <v>15</v>
      </c>
      <c r="V12">
        <v>75</v>
      </c>
      <c r="W12">
        <v>35000000</v>
      </c>
    </row>
    <row r="13" spans="1:24" ht="15" thickBot="1" x14ac:dyDescent="0.35">
      <c r="A13" s="3" t="s">
        <v>409</v>
      </c>
      <c r="B13" s="1" t="s">
        <v>1162</v>
      </c>
      <c r="C13" s="1" t="s">
        <v>363</v>
      </c>
      <c r="D13" s="1" t="s">
        <v>26</v>
      </c>
      <c r="E13" s="3" t="s">
        <v>296</v>
      </c>
      <c r="K13" s="4"/>
      <c r="S13" t="s">
        <v>2522</v>
      </c>
      <c r="T13">
        <v>18</v>
      </c>
      <c r="U13">
        <v>10</v>
      </c>
      <c r="V13">
        <v>100</v>
      </c>
      <c r="W13">
        <v>60000000</v>
      </c>
    </row>
    <row r="14" spans="1:24" ht="15" thickBot="1" x14ac:dyDescent="0.35">
      <c r="A14" s="197" t="s">
        <v>92</v>
      </c>
      <c r="B14" s="226" t="s">
        <v>1020</v>
      </c>
      <c r="C14" s="197" t="s">
        <v>382</v>
      </c>
      <c r="D14" s="2">
        <f>INDEX($S$9:$W$15,MATCH(B14,$S$9:$S$15,0),2)+INDEX($S$19:$X$41,MATCH(C14,$S$19:$S$41,0),2)+INDEX($S$19:$X$41,MATCH(C15,$S$19:$S$41,0),2)+INDEX($S$19:$X$41,MATCH(C16,$S$19:$S$41,0),2)</f>
        <v>0</v>
      </c>
      <c r="E14" s="197">
        <v>0</v>
      </c>
      <c r="F14" s="4">
        <f>E14*INDEX($S$9:$W$15,MATCH(B14,$S$9:$S$15,0),5)*(1+IF(Z44=0,INDEX($V$43:$W$46,MATCH(B16,$V$43:$V$46,0),2),Z44))*INDEX($S$1:$T$2,MATCH(A14,$S$1:$S$2,0),2)+E14*(IF(A16="No",0,200000*0.1*H14/1.1))</f>
        <v>0</v>
      </c>
      <c r="H14" s="4">
        <f>E14*INDEX($S$9:$W$15,MATCH(B14,$S$9:$S$15,0),3)*(1+INDEX($S$19:$X$41,MATCH(C14,$S$19:$S$41,0),3)+INDEX($S$19:$X$41,MATCH(C15,$S$19:$S$41,0),3)+INDEX($S$19:$X$41,MATCH(C16,$S$19:$S$41,0),3))*IF(A16="No",1,1.1)</f>
        <v>0</v>
      </c>
      <c r="K14" s="4">
        <f>E14*INDEX($S$9:$W$15,MATCH(B14,$S$9:$S$15,0),4)*(1+INDEX($S$19:$X$38,MATCH(C14,$S$19:$S$38,0),4)+INDEX($S$19:$X$38,MATCH(C15,$S$19:$S$38,0),4)+INDEX($S$19:$X$38,MATCH(C16,$S$19:$S$38,0),4))</f>
        <v>0</v>
      </c>
      <c r="M14" t="str">
        <f>INDEX($S$19:$X$41,MATCH(C14,$S$19:$S$41,0),6)</f>
        <v xml:space="preserve"> </v>
      </c>
      <c r="S14" t="s">
        <v>399</v>
      </c>
      <c r="T14">
        <v>13</v>
      </c>
      <c r="U14">
        <v>10</v>
      </c>
      <c r="V14">
        <v>30</v>
      </c>
      <c r="W14">
        <v>20000000</v>
      </c>
    </row>
    <row r="15" spans="1:24" ht="15" thickBot="1" x14ac:dyDescent="0.35">
      <c r="A15" s="3" t="s">
        <v>998</v>
      </c>
      <c r="B15" s="231" t="s">
        <v>1081</v>
      </c>
      <c r="C15" s="197" t="s">
        <v>382</v>
      </c>
      <c r="K15" s="4"/>
      <c r="M15" t="str">
        <f>INDEX($S$19:$X$41,MATCH(C15,$S$19:$S$41,0),6)</f>
        <v xml:space="preserve"> </v>
      </c>
      <c r="S15" t="s">
        <v>400</v>
      </c>
      <c r="T15">
        <v>12</v>
      </c>
      <c r="U15">
        <v>10</v>
      </c>
      <c r="V15">
        <v>20</v>
      </c>
      <c r="W15">
        <v>10000000</v>
      </c>
    </row>
    <row r="16" spans="1:24" ht="15" thickBot="1" x14ac:dyDescent="0.35">
      <c r="A16" s="197" t="s">
        <v>92</v>
      </c>
      <c r="B16" s="2">
        <f>VLOOKUP(C14,$S$19:$Z$37,8)+VLOOKUP(C15,$S$19:$Z$37,8)+VLOOKUP(C16,$S$19:$Z$37,8)</f>
        <v>0</v>
      </c>
      <c r="C16" s="197" t="s">
        <v>382</v>
      </c>
      <c r="K16" s="4"/>
      <c r="M16" t="str">
        <f>INDEX($S$19:$X$41,MATCH(C16,$S$19:$S$41,0),6)</f>
        <v xml:space="preserve"> </v>
      </c>
    </row>
    <row r="17" spans="1:27" x14ac:dyDescent="0.3">
      <c r="A17" s="229"/>
      <c r="B17" s="230"/>
      <c r="C17" s="229"/>
      <c r="D17" s="229"/>
      <c r="E17" s="229"/>
      <c r="F17" s="229"/>
      <c r="G17" s="229"/>
      <c r="H17" s="229"/>
      <c r="I17" s="229"/>
      <c r="J17" s="229"/>
      <c r="K17" s="517"/>
      <c r="L17" s="229"/>
      <c r="M17" s="229"/>
    </row>
    <row r="18" spans="1:27" ht="15" thickBot="1" x14ac:dyDescent="0.35">
      <c r="A18" s="3" t="s">
        <v>409</v>
      </c>
      <c r="B18" s="1" t="s">
        <v>1163</v>
      </c>
      <c r="C18" s="1" t="s">
        <v>363</v>
      </c>
      <c r="D18" s="1" t="s">
        <v>26</v>
      </c>
      <c r="E18" s="3" t="s">
        <v>296</v>
      </c>
      <c r="K18" s="4"/>
      <c r="T18" t="s">
        <v>26</v>
      </c>
      <c r="U18" t="s">
        <v>110</v>
      </c>
      <c r="V18" t="s">
        <v>310</v>
      </c>
      <c r="W18" t="s">
        <v>1</v>
      </c>
      <c r="X18" t="s">
        <v>164</v>
      </c>
      <c r="Y18" t="s">
        <v>672</v>
      </c>
      <c r="Z18" t="s">
        <v>1081</v>
      </c>
      <c r="AA18" t="s">
        <v>1160</v>
      </c>
    </row>
    <row r="19" spans="1:27" ht="15" thickBot="1" x14ac:dyDescent="0.35">
      <c r="A19" s="197" t="s">
        <v>92</v>
      </c>
      <c r="B19" s="226" t="s">
        <v>1020</v>
      </c>
      <c r="C19" s="197" t="s">
        <v>382</v>
      </c>
      <c r="D19" s="2">
        <f>INDEX($S$9:$W$15,MATCH(B19,$S$9:$S$15,0),2)+INDEX($S$19:$X$41,MATCH(C19,$S$19:$S$41,0),2)+INDEX($S$19:$X$41,MATCH(C20,$S$19:$S$41,0),2)+INDEX($S$19:$X$41,MATCH(C21,$S$19:$S$41,0),2)</f>
        <v>0</v>
      </c>
      <c r="E19" s="197">
        <v>0</v>
      </c>
      <c r="F19" s="4">
        <f>E19*INDEX($S$9:$W$15,MATCH(B19,$S$9:$S$15,0),5)*(1+IF(Z45=0,INDEX($V$43:$W$46,MATCH(B21,$V$43:$V$46,0),2),Z45))*INDEX($S$1:$T$2,MATCH(A19,$S$1:$S$2,0),2)+E19*(IF(A21="No",0,200000*0.1*H19/1.1))</f>
        <v>0</v>
      </c>
      <c r="H19" s="4">
        <f>E19*INDEX($S$9:$W$15,MATCH(B19,$S$9:$S$15,0),3)*(1+INDEX($S$19:$X$38,MATCH(C19,$S$19:$S$38,0),3)+INDEX($S$19:$X$38,MATCH(C20,$S$19:$S$38,0),3)+INDEX($S$19:$X$38,MATCH(C21,$S$19:$S$38,0),3))*IF(A21="No",1,1.1)</f>
        <v>0</v>
      </c>
      <c r="K19" s="4">
        <f>E19*INDEX($S$9:$W$15,MATCH(B19,$S$9:$S$15,0),4)*(1+INDEX($S$19:$X$38,MATCH(C19,$S$19:$S$38,0),4)+INDEX($S$19:$X$38,MATCH(C20,$S$19:$S$38,0),4)+INDEX($S$19:$X$38,MATCH(C21,$S$19:$S$38,0),4))</f>
        <v>0</v>
      </c>
      <c r="M19" t="str">
        <f>INDEX($S$19:$X$41,MATCH(C19,$S$19:$S$41,0),6)</f>
        <v xml:space="preserve"> </v>
      </c>
      <c r="S19" t="s">
        <v>382</v>
      </c>
      <c r="T19">
        <v>0</v>
      </c>
      <c r="U19">
        <v>0</v>
      </c>
      <c r="V19">
        <v>0</v>
      </c>
      <c r="W19">
        <v>0</v>
      </c>
      <c r="X19" t="s">
        <v>33</v>
      </c>
      <c r="Y19" t="str">
        <f>""</f>
        <v/>
      </c>
      <c r="Z19">
        <v>0</v>
      </c>
      <c r="AA19" t="s">
        <v>19</v>
      </c>
    </row>
    <row r="20" spans="1:27" ht="15" thickBot="1" x14ac:dyDescent="0.35">
      <c r="A20" s="3" t="s">
        <v>998</v>
      </c>
      <c r="B20" s="231" t="s">
        <v>1081</v>
      </c>
      <c r="C20" s="197" t="s">
        <v>382</v>
      </c>
      <c r="K20" s="4"/>
      <c r="M20" t="str">
        <f>INDEX($S$19:$X$41,MATCH(C20,$S$19:$S$41,0),6)</f>
        <v xml:space="preserve"> </v>
      </c>
      <c r="S20" t="s">
        <v>2044</v>
      </c>
      <c r="T20">
        <v>0</v>
      </c>
      <c r="U20">
        <v>0.2</v>
      </c>
      <c r="V20">
        <v>0</v>
      </c>
      <c r="W20">
        <v>-0.25</v>
      </c>
      <c r="X20" t="s">
        <v>406</v>
      </c>
      <c r="Y20" t="str">
        <f>""</f>
        <v/>
      </c>
      <c r="Z20">
        <v>3</v>
      </c>
      <c r="AA20" t="s">
        <v>2045</v>
      </c>
    </row>
    <row r="21" spans="1:27" ht="15" thickBot="1" x14ac:dyDescent="0.35">
      <c r="A21" s="197" t="s">
        <v>92</v>
      </c>
      <c r="B21" s="2">
        <f>VLOOKUP(C19,$S$19:$Z$37,8)+VLOOKUP(C20,$S$19:$Z$37,8)+VLOOKUP(C21,$S$19:$Z$37,8)</f>
        <v>0</v>
      </c>
      <c r="C21" s="197" t="s">
        <v>382</v>
      </c>
      <c r="K21" s="4"/>
      <c r="M21" t="str">
        <f>INDEX($S$19:$X$41,MATCH(C21,$S$19:$S$41,0),6)</f>
        <v xml:space="preserve"> </v>
      </c>
      <c r="S21" t="s">
        <v>2042</v>
      </c>
      <c r="T21">
        <v>0</v>
      </c>
      <c r="U21">
        <v>0</v>
      </c>
      <c r="V21">
        <v>0.3</v>
      </c>
      <c r="W21">
        <v>-0.25</v>
      </c>
      <c r="X21" t="s">
        <v>403</v>
      </c>
      <c r="Y21" t="str">
        <f>""</f>
        <v/>
      </c>
      <c r="Z21">
        <v>3</v>
      </c>
      <c r="AA21" t="s">
        <v>2043</v>
      </c>
    </row>
    <row r="22" spans="1:27" x14ac:dyDescent="0.3">
      <c r="A22" s="229"/>
      <c r="B22" s="230"/>
      <c r="C22" s="229"/>
      <c r="D22" s="229"/>
      <c r="E22" s="229"/>
      <c r="F22" s="229"/>
      <c r="G22" s="229"/>
      <c r="H22" s="229"/>
      <c r="I22" s="229"/>
      <c r="J22" s="229"/>
      <c r="K22" s="517"/>
      <c r="L22" s="229"/>
      <c r="M22" s="229"/>
      <c r="S22" t="s">
        <v>1012</v>
      </c>
      <c r="T22">
        <v>0</v>
      </c>
      <c r="U22">
        <v>0</v>
      </c>
      <c r="V22">
        <v>0</v>
      </c>
      <c r="W22">
        <v>-0.25</v>
      </c>
      <c r="X22" t="s">
        <v>1148</v>
      </c>
      <c r="Y22" t="s">
        <v>1177</v>
      </c>
      <c r="Z22">
        <v>3</v>
      </c>
      <c r="AA22" t="s">
        <v>620</v>
      </c>
    </row>
    <row r="23" spans="1:27" ht="15" thickBot="1" x14ac:dyDescent="0.35">
      <c r="A23" s="3" t="s">
        <v>409</v>
      </c>
      <c r="B23" s="1" t="s">
        <v>1164</v>
      </c>
      <c r="C23" s="1" t="s">
        <v>363</v>
      </c>
      <c r="D23" s="1" t="s">
        <v>26</v>
      </c>
      <c r="E23" s="3" t="s">
        <v>296</v>
      </c>
      <c r="K23" s="4"/>
      <c r="S23" t="s">
        <v>401</v>
      </c>
      <c r="T23">
        <v>1</v>
      </c>
      <c r="U23">
        <v>0</v>
      </c>
      <c r="V23">
        <v>0</v>
      </c>
      <c r="W23">
        <v>0</v>
      </c>
      <c r="X23" t="s">
        <v>402</v>
      </c>
      <c r="Y23" t="str">
        <f>""</f>
        <v/>
      </c>
      <c r="Z23">
        <v>1</v>
      </c>
      <c r="AA23" t="s">
        <v>915</v>
      </c>
    </row>
    <row r="24" spans="1:27" ht="15" thickBot="1" x14ac:dyDescent="0.35">
      <c r="A24" s="197" t="s">
        <v>92</v>
      </c>
      <c r="B24" s="226" t="s">
        <v>1020</v>
      </c>
      <c r="C24" s="197" t="s">
        <v>382</v>
      </c>
      <c r="D24" s="2">
        <f>INDEX($S$9:$W$15,MATCH(B24,$S$9:$S$15,0),2)+INDEX($S$19:$X$41,MATCH(C24,$S$19:$S$41,0),2)+INDEX($S$19:$X$41,MATCH(C25,$S$19:$S$41,0),2)+INDEX($S$19:$X$41,MATCH(C26,$S$19:$S$41,0),2)</f>
        <v>0</v>
      </c>
      <c r="E24" s="197">
        <v>0</v>
      </c>
      <c r="F24" s="4">
        <f>E24*INDEX($S$9:$W$15,MATCH(B24,$S$9:$S$15,0),5)*(1+IF(Z46=0,INDEX($V$43:$W$46,MATCH(B26,$V$43:$V$46,0),2),Z46))*INDEX($S$1:$T$2,MATCH(A24,$S$1:$S$2,0),2)+E24*(IF(A26="No",0,200000*0.1*H24/1.1))</f>
        <v>0</v>
      </c>
      <c r="H24" s="4">
        <f>E24*INDEX($S$9:$W$15,MATCH(B24,$S$9:$S$15,0),3)*(1+INDEX($S$19:$X$41,MATCH(C24,$S$19:$S$41,0),3)+INDEX($S$19:$X$41,MATCH(C25,$S$19:$S$41,0),3)+INDEX($S$19:$X$41,MATCH(C26,$S$19:$S$41,0),3))*IF(A26="No",1,1.1)</f>
        <v>0</v>
      </c>
      <c r="K24" s="4">
        <f>E24*INDEX($S$9:$W$15,MATCH(B24,$S$9:$S$15,0),4)*(1+INDEX($S$19:$X$38,MATCH(C24,$S$19:$S$38,0),4)+INDEX($S$19:$X$38,MATCH(C25,$S$19:$S$38,0),4)+INDEX($S$19:$X$38,MATCH(C26,$S$19:$S$38,0),4))</f>
        <v>0</v>
      </c>
      <c r="M24" t="str">
        <f>INDEX($S$19:$X$41,MATCH(C24,$S$19:$S$41,0),6)</f>
        <v xml:space="preserve"> </v>
      </c>
      <c r="S24" t="s">
        <v>404</v>
      </c>
      <c r="T24">
        <v>1</v>
      </c>
      <c r="U24">
        <v>0</v>
      </c>
      <c r="V24">
        <v>-0.25</v>
      </c>
      <c r="W24">
        <v>0</v>
      </c>
      <c r="X24" t="s">
        <v>405</v>
      </c>
      <c r="Y24" t="str">
        <f>""</f>
        <v/>
      </c>
      <c r="Z24">
        <v>1</v>
      </c>
      <c r="AA24" t="s">
        <v>1171</v>
      </c>
    </row>
    <row r="25" spans="1:27" ht="15" thickBot="1" x14ac:dyDescent="0.35">
      <c r="A25" s="3" t="s">
        <v>998</v>
      </c>
      <c r="B25" s="231" t="s">
        <v>1081</v>
      </c>
      <c r="C25" s="197" t="s">
        <v>382</v>
      </c>
      <c r="K25" s="4"/>
      <c r="M25" t="str">
        <f>INDEX($S$19:$X$41,MATCH(C25,$S$19:$S$41,0),6)</f>
        <v xml:space="preserve"> </v>
      </c>
      <c r="S25" t="s">
        <v>1149</v>
      </c>
      <c r="T25">
        <v>1</v>
      </c>
      <c r="U25">
        <v>0</v>
      </c>
      <c r="V25">
        <v>0</v>
      </c>
      <c r="W25">
        <v>0</v>
      </c>
      <c r="X25" t="s">
        <v>1150</v>
      </c>
      <c r="Y25" t="s">
        <v>1181</v>
      </c>
      <c r="Z25">
        <v>1</v>
      </c>
      <c r="AA25" t="s">
        <v>1172</v>
      </c>
    </row>
    <row r="26" spans="1:27" ht="15" thickBot="1" x14ac:dyDescent="0.35">
      <c r="A26" s="197" t="s">
        <v>92</v>
      </c>
      <c r="B26" s="2">
        <f>VLOOKUP(C24,$S$19:$Z$37,8)+VLOOKUP(C25,$S$19:$Z$37,8)+VLOOKUP(C26,$S$19:$Z$37,8)</f>
        <v>0</v>
      </c>
      <c r="C26" s="197" t="s">
        <v>382</v>
      </c>
      <c r="K26" s="4"/>
      <c r="M26" t="str">
        <f>INDEX($S$19:$X$41,MATCH(C26,$S$19:$S$41,0),6)</f>
        <v xml:space="preserve"> </v>
      </c>
      <c r="S26" t="s">
        <v>1174</v>
      </c>
      <c r="T26">
        <v>1</v>
      </c>
      <c r="U26">
        <v>0</v>
      </c>
      <c r="V26">
        <v>0</v>
      </c>
      <c r="W26">
        <v>0</v>
      </c>
      <c r="X26" t="s">
        <v>366</v>
      </c>
      <c r="Y26" t="s">
        <v>705</v>
      </c>
      <c r="Z26">
        <v>1</v>
      </c>
      <c r="AA26" t="s">
        <v>1173</v>
      </c>
    </row>
    <row r="27" spans="1:27" x14ac:dyDescent="0.3">
      <c r="A27" s="229"/>
      <c r="B27" s="230"/>
      <c r="C27" s="229"/>
      <c r="D27" s="229"/>
      <c r="E27" s="229"/>
      <c r="F27" s="229"/>
      <c r="G27" s="229"/>
      <c r="H27" s="229"/>
      <c r="I27" s="229"/>
      <c r="J27" s="229"/>
      <c r="K27" s="517"/>
      <c r="L27" s="229"/>
      <c r="M27" s="229"/>
      <c r="S27" t="s">
        <v>2120</v>
      </c>
      <c r="T27">
        <v>1</v>
      </c>
      <c r="U27">
        <v>-0.1</v>
      </c>
      <c r="V27">
        <v>0</v>
      </c>
      <c r="W27">
        <v>0</v>
      </c>
      <c r="X27" t="s">
        <v>371</v>
      </c>
      <c r="Y27" t="str">
        <f>""</f>
        <v/>
      </c>
      <c r="Z27">
        <v>1</v>
      </c>
      <c r="AA27" t="s">
        <v>2121</v>
      </c>
    </row>
    <row r="28" spans="1:27" ht="15" thickBot="1" x14ac:dyDescent="0.35">
      <c r="A28" s="3" t="s">
        <v>409</v>
      </c>
      <c r="B28" s="2"/>
      <c r="C28" s="1" t="s">
        <v>363</v>
      </c>
      <c r="D28" s="1" t="s">
        <v>26</v>
      </c>
      <c r="E28" s="3" t="s">
        <v>296</v>
      </c>
      <c r="K28" s="4"/>
      <c r="S28" t="s">
        <v>1151</v>
      </c>
      <c r="T28">
        <v>2</v>
      </c>
      <c r="U28">
        <v>0</v>
      </c>
      <c r="V28">
        <v>0</v>
      </c>
      <c r="W28">
        <v>0</v>
      </c>
      <c r="X28" t="s">
        <v>1152</v>
      </c>
      <c r="Y28" t="s">
        <v>1178</v>
      </c>
      <c r="Z28">
        <v>2</v>
      </c>
      <c r="AA28" t="s">
        <v>1175</v>
      </c>
    </row>
    <row r="29" spans="1:27" ht="15" thickBot="1" x14ac:dyDescent="0.35">
      <c r="A29" s="197" t="s">
        <v>92</v>
      </c>
      <c r="B29" s="93" t="s">
        <v>411</v>
      </c>
      <c r="C29" s="197" t="s">
        <v>382</v>
      </c>
      <c r="D29" s="2">
        <f>IF(E29&gt;0,12,0)+VLOOKUP(C29,$S$19:$X$41,2)+VLOOKUP(C30,$S$19:$X$41,2)+VLOOKUP(C31,$S$19:$X$41,2)</f>
        <v>0</v>
      </c>
      <c r="E29" s="197">
        <v>0</v>
      </c>
      <c r="F29" s="4">
        <f>W49*VLOOKUP(A29,S1:T2,2)*E29*(1+IF(Z47=0,VLOOKUP(B31,V43:W46,2),Z47))+IF(A31="No",0,200000*0.1*U49)</f>
        <v>0</v>
      </c>
      <c r="H29" s="4">
        <f>IF(E29&gt;0,U49,0)*E29*(1+INDEX(S19:U38,MATCH(C29,S19:S38,0),3)+INDEX(S19:U38,MATCH(C30,S19:S38,0),3)+INDEX(S19:U38,MATCH(C31,S19:S38,0),3))</f>
        <v>0</v>
      </c>
      <c r="K29" s="4">
        <f>V49*H29*(1+INDEX($S$19:$X$38,MATCH(C29,$S$19:$S$38,0),4)+INDEX($S$19:$X$38,MATCH(C30,$S$19:$S$38,0),4)+INDEX($S$19:$X$38,MATCH(C31,$S$19:$S$38,0),4))</f>
        <v>0</v>
      </c>
      <c r="M29" t="str">
        <f>INDEX($S$19:$X$41,MATCH(C29,$S$19:$S$41,0),6)</f>
        <v xml:space="preserve"> </v>
      </c>
      <c r="S29" t="s">
        <v>1154</v>
      </c>
      <c r="T29">
        <v>2</v>
      </c>
      <c r="U29">
        <v>0</v>
      </c>
      <c r="V29">
        <v>0</v>
      </c>
      <c r="W29">
        <v>0</v>
      </c>
      <c r="X29" t="s">
        <v>1153</v>
      </c>
      <c r="Y29" t="s">
        <v>1180</v>
      </c>
      <c r="Z29">
        <v>2</v>
      </c>
      <c r="AA29" t="s">
        <v>1176</v>
      </c>
    </row>
    <row r="30" spans="1:27" ht="15" thickBot="1" x14ac:dyDescent="0.35">
      <c r="A30" s="3" t="s">
        <v>998</v>
      </c>
      <c r="B30" s="231" t="s">
        <v>1081</v>
      </c>
      <c r="C30" s="197" t="s">
        <v>382</v>
      </c>
      <c r="E30" t="str">
        <f>IF(D5=S1,IF(E29=0,"",-1*E29),"")</f>
        <v/>
      </c>
      <c r="K30" s="4"/>
      <c r="M30" t="str">
        <f>INDEX($S$19:$X$41,MATCH(C30,$S$19:$S$41,0),6)</f>
        <v xml:space="preserve"> </v>
      </c>
      <c r="S30" t="s">
        <v>2050</v>
      </c>
      <c r="T30">
        <v>-1</v>
      </c>
      <c r="U30">
        <v>0.2</v>
      </c>
      <c r="V30">
        <v>0</v>
      </c>
      <c r="W30">
        <v>4</v>
      </c>
      <c r="X30" t="s">
        <v>406</v>
      </c>
      <c r="Y30" t="str">
        <f>""</f>
        <v/>
      </c>
      <c r="Z30">
        <v>3</v>
      </c>
      <c r="AA30" t="s">
        <v>2107</v>
      </c>
    </row>
    <row r="31" spans="1:27" ht="15" thickBot="1" x14ac:dyDescent="0.35">
      <c r="A31" s="197" t="s">
        <v>92</v>
      </c>
      <c r="B31" s="2">
        <f>VLOOKUP(C29,$S$19:$Z$37,8)+VLOOKUP(C30,$S$19:$Z$37,8)+VLOOKUP(C31,$S$19:$Z$37,8)</f>
        <v>0</v>
      </c>
      <c r="C31" s="197" t="s">
        <v>382</v>
      </c>
      <c r="K31" s="4"/>
      <c r="M31" t="str">
        <f>INDEX($S$19:$X$41,MATCH(C31,$S$19:$S$41,0),6)</f>
        <v xml:space="preserve"> </v>
      </c>
      <c r="S31" t="s">
        <v>2093</v>
      </c>
      <c r="T31">
        <v>-1</v>
      </c>
      <c r="U31">
        <v>0</v>
      </c>
      <c r="V31">
        <v>0.3</v>
      </c>
      <c r="W31">
        <v>4</v>
      </c>
      <c r="X31" t="s">
        <v>403</v>
      </c>
      <c r="Y31" t="str">
        <f>""</f>
        <v/>
      </c>
      <c r="Z31">
        <v>3</v>
      </c>
      <c r="AA31" t="s">
        <v>2113</v>
      </c>
    </row>
    <row r="32" spans="1:27" x14ac:dyDescent="0.3">
      <c r="A32" s="229"/>
      <c r="B32" s="230"/>
      <c r="C32" s="229"/>
      <c r="D32" s="229"/>
      <c r="E32" s="229"/>
      <c r="F32" s="229"/>
      <c r="G32" s="229"/>
      <c r="H32" s="229"/>
      <c r="I32" s="229"/>
      <c r="J32" s="229"/>
      <c r="K32" s="517"/>
      <c r="L32" s="229"/>
      <c r="M32" s="229"/>
      <c r="S32" t="s">
        <v>952</v>
      </c>
      <c r="T32">
        <v>-1</v>
      </c>
      <c r="U32">
        <v>0</v>
      </c>
      <c r="V32">
        <v>0</v>
      </c>
      <c r="W32">
        <v>4</v>
      </c>
      <c r="X32" t="s">
        <v>1148</v>
      </c>
      <c r="Y32" t="s">
        <v>1182</v>
      </c>
      <c r="Z32">
        <v>3</v>
      </c>
      <c r="AA32" t="s">
        <v>2110</v>
      </c>
    </row>
    <row r="33" spans="1:27" ht="15" thickBot="1" x14ac:dyDescent="0.35">
      <c r="A33" s="3" t="s">
        <v>409</v>
      </c>
      <c r="B33" s="2"/>
      <c r="C33" s="1" t="s">
        <v>363</v>
      </c>
      <c r="D33" s="1" t="s">
        <v>26</v>
      </c>
      <c r="E33" s="3"/>
      <c r="K33" s="4"/>
      <c r="S33" t="s">
        <v>2105</v>
      </c>
      <c r="T33">
        <v>-2</v>
      </c>
      <c r="U33">
        <v>1.4</v>
      </c>
      <c r="V33">
        <v>0</v>
      </c>
      <c r="W33">
        <v>9</v>
      </c>
      <c r="X33" t="s">
        <v>1114</v>
      </c>
      <c r="Y33" t="str">
        <f>""</f>
        <v/>
      </c>
      <c r="Z33">
        <v>3</v>
      </c>
      <c r="AA33" t="s">
        <v>2106</v>
      </c>
    </row>
    <row r="34" spans="1:27" ht="15" thickBot="1" x14ac:dyDescent="0.35">
      <c r="A34" s="197" t="s">
        <v>92</v>
      </c>
      <c r="B34" s="226" t="s">
        <v>1922</v>
      </c>
      <c r="C34" s="197" t="s">
        <v>382</v>
      </c>
      <c r="D34" s="2">
        <f>INDEX(S68:T74,MATCH(B34,S68:S74,0),2)+INDEX(S19:T38,MATCH(C34,S19:S38,0),2)+INDEX(S19:T38,MATCH(C35,S19:S38,0),2)+INDEX(S19:T38,MATCH(C36,S19:S38,0),2)</f>
        <v>0</v>
      </c>
      <c r="E34" s="2">
        <f>IF(D34&lt;10,0,1)</f>
        <v>0</v>
      </c>
      <c r="F34" s="4">
        <f>IF(D34=0,0,INDEX(S68:U74,MATCH(B34,S68:S74,0),3))*(1+INDEX(S19:W38,MATCH(C34,S19:S38,0),5)+INDEX(S19:W38,MATCH(C35,S19:S38,0),5)+INDEX(S19:W38,MATCH(C36,S19:S38,0),5))</f>
        <v>0</v>
      </c>
      <c r="H34" s="4">
        <f>IF(D34&gt;10,0.5*Tonnage/5,0)*(1+INDEX(S19:U38,MATCH(C34,S19:S38,0),3)+INDEX(S19:U38,MATCH(C35,S19:S38,0),3)+INDEX(S19:U38,MATCH(C36,S19:S38,0),3))</f>
        <v>0</v>
      </c>
      <c r="K34" s="4">
        <f>IF(D34&lt;10,0,Tonnage/5)</f>
        <v>0</v>
      </c>
      <c r="M34" t="str">
        <f>INDEX($S$19:$X$41,MATCH(C34,$S$19:$S$41,0),6)</f>
        <v xml:space="preserve"> </v>
      </c>
      <c r="S34" t="s">
        <v>2114</v>
      </c>
      <c r="T34">
        <v>-2</v>
      </c>
      <c r="U34">
        <v>1.2</v>
      </c>
      <c r="V34">
        <v>0.3</v>
      </c>
      <c r="W34">
        <v>9</v>
      </c>
      <c r="X34" t="s">
        <v>1157</v>
      </c>
      <c r="Y34" t="str">
        <f>""</f>
        <v/>
      </c>
      <c r="Z34">
        <v>3</v>
      </c>
      <c r="AA34" t="s">
        <v>2117</v>
      </c>
    </row>
    <row r="35" spans="1:27" ht="15" thickBot="1" x14ac:dyDescent="0.35">
      <c r="A35" s="3" t="s">
        <v>998</v>
      </c>
      <c r="B35" s="231" t="s">
        <v>1081</v>
      </c>
      <c r="C35" s="197" t="s">
        <v>382</v>
      </c>
      <c r="K35" s="4"/>
      <c r="M35" t="str">
        <f>INDEX($S$19:$X$41,MATCH(C35,$S$19:$S$41,0),6)</f>
        <v xml:space="preserve"> </v>
      </c>
      <c r="S35" t="s">
        <v>2108</v>
      </c>
      <c r="T35">
        <v>-2</v>
      </c>
      <c r="U35">
        <v>1.2</v>
      </c>
      <c r="V35">
        <v>0</v>
      </c>
      <c r="W35">
        <v>9</v>
      </c>
      <c r="X35" t="s">
        <v>1158</v>
      </c>
      <c r="Y35" t="s">
        <v>1182</v>
      </c>
      <c r="Z35">
        <v>3</v>
      </c>
      <c r="AA35" t="s">
        <v>2111</v>
      </c>
    </row>
    <row r="36" spans="1:27" ht="15" thickBot="1" x14ac:dyDescent="0.35">
      <c r="A36" s="197" t="s">
        <v>92</v>
      </c>
      <c r="B36" s="2">
        <f>VLOOKUP(C34,$S$19:$Z$37,8)+VLOOKUP(C35,$S$19:$Z$37,8)+VLOOKUP(C36,$S$19:$Z$37,8)</f>
        <v>0</v>
      </c>
      <c r="C36" s="197" t="s">
        <v>382</v>
      </c>
      <c r="K36" s="4"/>
      <c r="M36" t="str">
        <f>INDEX($S$19:$X$41,MATCH(C36,$S$19:$S$41,0),6)</f>
        <v xml:space="preserve"> </v>
      </c>
      <c r="S36" t="s">
        <v>2115</v>
      </c>
      <c r="T36">
        <v>-2</v>
      </c>
      <c r="U36">
        <v>1.2</v>
      </c>
      <c r="V36">
        <v>0.6</v>
      </c>
      <c r="W36">
        <v>9</v>
      </c>
      <c r="X36" t="s">
        <v>1156</v>
      </c>
      <c r="Y36" t="str">
        <f>""</f>
        <v/>
      </c>
      <c r="Z36">
        <v>3</v>
      </c>
      <c r="AA36" t="s">
        <v>2118</v>
      </c>
    </row>
    <row r="37" spans="1:27" x14ac:dyDescent="0.3">
      <c r="A37" s="229"/>
      <c r="B37" s="229"/>
      <c r="C37" s="229"/>
      <c r="D37" s="229"/>
      <c r="E37" s="229"/>
      <c r="F37" s="229"/>
      <c r="G37" s="229"/>
      <c r="H37" s="229"/>
      <c r="I37" s="229"/>
      <c r="J37" s="229"/>
      <c r="K37" s="517"/>
      <c r="L37" s="229"/>
      <c r="M37" s="229"/>
      <c r="S37" t="s">
        <v>2109</v>
      </c>
      <c r="T37">
        <v>-2</v>
      </c>
      <c r="U37">
        <v>1.2</v>
      </c>
      <c r="V37">
        <v>0</v>
      </c>
      <c r="W37">
        <v>9</v>
      </c>
      <c r="X37" t="s">
        <v>1155</v>
      </c>
      <c r="Y37" t="s">
        <v>1179</v>
      </c>
      <c r="Z37">
        <v>3</v>
      </c>
      <c r="AA37" t="s">
        <v>2112</v>
      </c>
    </row>
    <row r="38" spans="1:27" ht="15" thickBot="1" x14ac:dyDescent="0.35">
      <c r="A38" s="3" t="s">
        <v>409</v>
      </c>
      <c r="D38" s="1" t="s">
        <v>26</v>
      </c>
      <c r="E38" s="3" t="s">
        <v>296</v>
      </c>
      <c r="K38" s="4"/>
      <c r="S38" t="s">
        <v>2116</v>
      </c>
      <c r="T38">
        <v>-2</v>
      </c>
      <c r="U38">
        <v>1.2</v>
      </c>
      <c r="V38">
        <v>0.3</v>
      </c>
      <c r="W38">
        <v>9</v>
      </c>
      <c r="X38" t="s">
        <v>1159</v>
      </c>
      <c r="Y38" t="s">
        <v>1182</v>
      </c>
      <c r="Z38">
        <v>3</v>
      </c>
      <c r="AA38" t="s">
        <v>2119</v>
      </c>
    </row>
    <row r="39" spans="1:27" ht="15" thickBot="1" x14ac:dyDescent="0.35">
      <c r="A39" s="197" t="s">
        <v>92</v>
      </c>
      <c r="B39" s="226" t="s">
        <v>398</v>
      </c>
      <c r="C39" s="197" t="s">
        <v>362</v>
      </c>
      <c r="D39" s="2">
        <f>IF(C39=S7,T6,0)</f>
        <v>0</v>
      </c>
      <c r="E39" s="2">
        <f>IF(C39="Installed",1,0)</f>
        <v>0</v>
      </c>
      <c r="F39" s="4">
        <f>IF(C39=S7,W6,0)*VLOOKUP(A39,S1:T2,2)</f>
        <v>0</v>
      </c>
      <c r="H39" s="4">
        <f>IF(C39=S7,U6,0)</f>
        <v>0</v>
      </c>
      <c r="K39" s="4">
        <f>IF(C39=S7,V6,0)</f>
        <v>0</v>
      </c>
    </row>
    <row r="40" spans="1:27" ht="15" thickBot="1" x14ac:dyDescent="0.35">
      <c r="A40" s="3" t="s">
        <v>998</v>
      </c>
      <c r="D40" s="7" t="s">
        <v>407</v>
      </c>
      <c r="E40" s="197">
        <v>0</v>
      </c>
      <c r="F40" s="4">
        <f>3000000*E40</f>
        <v>0</v>
      </c>
      <c r="H40" s="4">
        <f>E40</f>
        <v>0</v>
      </c>
      <c r="K40" s="4"/>
    </row>
    <row r="41" spans="1:27" ht="15" thickBot="1" x14ac:dyDescent="0.35">
      <c r="A41" s="197" t="s">
        <v>92</v>
      </c>
      <c r="H41" s="4"/>
      <c r="K41" s="4"/>
    </row>
    <row r="42" spans="1:27" x14ac:dyDescent="0.3">
      <c r="C42" s="7" t="s">
        <v>408</v>
      </c>
      <c r="D42" s="266">
        <f>IF(C39=S7,X3,0)</f>
        <v>0</v>
      </c>
      <c r="H42" s="4"/>
      <c r="K42" s="4"/>
      <c r="V42" t="s">
        <v>116</v>
      </c>
      <c r="Y42" t="s">
        <v>1169</v>
      </c>
    </row>
    <row r="43" spans="1:27" x14ac:dyDescent="0.3">
      <c r="A43" t="s">
        <v>2151</v>
      </c>
      <c r="E43" s="2"/>
      <c r="H43" s="4"/>
      <c r="K43" s="4"/>
      <c r="S43" t="s">
        <v>386</v>
      </c>
      <c r="V43">
        <v>0</v>
      </c>
      <c r="W43">
        <v>0</v>
      </c>
      <c r="Y43" t="s">
        <v>1165</v>
      </c>
      <c r="Z43">
        <f>VLOOKUP(C9,S19:X41,5)+VLOOKUP(C10,S19:X41,5)+VLOOKUP(C11,S19:X41,5)</f>
        <v>0</v>
      </c>
    </row>
    <row r="44" spans="1:27" ht="15" thickBot="1" x14ac:dyDescent="0.35">
      <c r="B44" s="1" t="s">
        <v>1123</v>
      </c>
      <c r="C44" s="1" t="s">
        <v>164</v>
      </c>
      <c r="D44" s="1" t="s">
        <v>26</v>
      </c>
      <c r="E44" s="1"/>
      <c r="F44" s="1" t="s">
        <v>1</v>
      </c>
      <c r="G44" s="1"/>
      <c r="H44" s="284" t="s">
        <v>2</v>
      </c>
      <c r="I44" s="1"/>
      <c r="J44" s="1"/>
      <c r="K44" s="284" t="s">
        <v>54</v>
      </c>
      <c r="S44" s="260">
        <f>SUM(H9:H40)</f>
        <v>0</v>
      </c>
      <c r="V44">
        <v>1</v>
      </c>
      <c r="W44">
        <v>0.1</v>
      </c>
      <c r="Y44" t="s">
        <v>1166</v>
      </c>
      <c r="Z44">
        <f>VLOOKUP(C14,S19:X41,5)+VLOOKUP(C15,S19:X41,5)+VLOOKUP(C16,S19:X41,5)</f>
        <v>0</v>
      </c>
    </row>
    <row r="45" spans="1:27" ht="15" thickBot="1" x14ac:dyDescent="0.35">
      <c r="B45" s="196"/>
      <c r="C45" s="196"/>
      <c r="D45" s="197">
        <v>0</v>
      </c>
      <c r="F45" s="219">
        <v>0</v>
      </c>
      <c r="H45" s="219">
        <v>0</v>
      </c>
      <c r="K45" s="219">
        <v>0</v>
      </c>
      <c r="V45">
        <v>2</v>
      </c>
      <c r="W45">
        <v>0.25</v>
      </c>
      <c r="Y45" t="s">
        <v>1167</v>
      </c>
      <c r="Z45">
        <f>VLOOKUP(C19,S19:X41,5)+VLOOKUP(C20,S19:X41,5)+VLOOKUP(C21,S19:X41,5)</f>
        <v>0</v>
      </c>
    </row>
    <row r="46" spans="1:27" x14ac:dyDescent="0.3">
      <c r="B46" t="s">
        <v>2000</v>
      </c>
      <c r="S46" t="s">
        <v>387</v>
      </c>
      <c r="V46">
        <v>3</v>
      </c>
      <c r="W46">
        <v>0.5</v>
      </c>
      <c r="Y46" t="s">
        <v>1168</v>
      </c>
      <c r="Z46">
        <f>VLOOKUP(C24,S19:X41,5)+VLOOKUP(C25,S19:X41,5)+VLOOKUP(C26,S19:X41,5)</f>
        <v>0</v>
      </c>
    </row>
    <row r="47" spans="1:27" x14ac:dyDescent="0.3">
      <c r="S47" s="260">
        <f>SUM(K9:K39)</f>
        <v>0</v>
      </c>
      <c r="Y47" t="s">
        <v>1170</v>
      </c>
      <c r="Z47">
        <f>VLOOKUP(C29,S19:X41,5)+VLOOKUP(C30,S19:X41,5)+VLOOKUP(C31,S19:X41,5)</f>
        <v>0</v>
      </c>
    </row>
    <row r="48" spans="1:27" x14ac:dyDescent="0.3">
      <c r="T48" t="s">
        <v>26</v>
      </c>
      <c r="U48" t="s">
        <v>110</v>
      </c>
      <c r="V48" t="s">
        <v>310</v>
      </c>
      <c r="W48" t="s">
        <v>1</v>
      </c>
    </row>
    <row r="49" spans="19:27" x14ac:dyDescent="0.3">
      <c r="S49" t="s">
        <v>411</v>
      </c>
      <c r="T49">
        <v>12</v>
      </c>
      <c r="U49">
        <f>ROUNDUP('1-Hull'!B4/200,0)</f>
        <v>1</v>
      </c>
      <c r="V49">
        <v>2</v>
      </c>
      <c r="W49">
        <f>U49*1000000</f>
        <v>1000000</v>
      </c>
    </row>
    <row r="50" spans="19:27" x14ac:dyDescent="0.3">
      <c r="Y50" t="s">
        <v>1170</v>
      </c>
    </row>
    <row r="51" spans="19:27" x14ac:dyDescent="0.3">
      <c r="Y51" t="str">
        <f>IF(INDEX($S$19:$AA$38,MATCH(C29,$S$19:$S$38,0),9)=$AA$19,"",INDEX($S$19:$AA$38,MATCH(C29,$S$19:$S$38,0),9))</f>
        <v/>
      </c>
      <c r="Z51" t="str">
        <f>IF(Y51="","",IF(AND(Y52=Y51,Y53=Y51),Y51&amp;" x3",IF(OR(Y52=Y51,Y53=Y51),Y51&amp;" x2",Y51)))</f>
        <v/>
      </c>
    </row>
    <row r="52" spans="19:27" x14ac:dyDescent="0.3">
      <c r="S52" t="s">
        <v>764</v>
      </c>
      <c r="T52">
        <f>SUM(T53:T55)</f>
        <v>0</v>
      </c>
      <c r="Y52" t="str">
        <f>IF(INDEX($S$19:$AA$38,MATCH(C30,$S$19:$S$38,0),9)=$AA$19,"",INDEX($S$19:$AA$38,MATCH(C30,$S$19:$S$38,0),9))</f>
        <v/>
      </c>
      <c r="Z52" t="str">
        <f>IF(OR(Y52="",Y52=Y51),"",IF(Y51="","",", ")&amp;IF(Y52=Y53,Y52&amp;" x2",Y52))</f>
        <v/>
      </c>
    </row>
    <row r="53" spans="19:27" x14ac:dyDescent="0.3">
      <c r="S53" t="s">
        <v>779</v>
      </c>
      <c r="T53">
        <f>IF(MAX(D9:D39)&gt;D2,1,0)</f>
        <v>0</v>
      </c>
      <c r="Y53" t="str">
        <f>IF(INDEX($S$19:$AA$38,MATCH(C31,$S$19:$S$38,0),9)=$AA$19,"",INDEX($S$19:$AA$38,MATCH(C31,$S$19:$S$38,0),9))</f>
        <v/>
      </c>
      <c r="Z53" t="str">
        <f>IF(OR(Y53="",Y53=Y51,Y53=Y52),"",IF(AND(Y51="",Y52=""),"",", ")&amp;Y53)</f>
        <v/>
      </c>
    </row>
    <row r="54" spans="19:27" x14ac:dyDescent="0.3">
      <c r="S54" t="s">
        <v>1081</v>
      </c>
      <c r="T54">
        <f>IF(OR(B11&gt;3,B16&gt;3,B21&gt;3,B26&gt;3,B31&gt;3),1,0)</f>
        <v>0</v>
      </c>
      <c r="Y54" s="3" t="s">
        <v>1109</v>
      </c>
    </row>
    <row r="55" spans="19:27" x14ac:dyDescent="0.3">
      <c r="S55" t="s">
        <v>557</v>
      </c>
      <c r="T55">
        <v>0</v>
      </c>
      <c r="Y55" s="229" t="str">
        <f>Z51&amp;Z52&amp;Z53</f>
        <v/>
      </c>
    </row>
    <row r="56" spans="19:27" x14ac:dyDescent="0.3">
      <c r="X56" s="7" t="s">
        <v>672</v>
      </c>
      <c r="Y56" s="229" t="str">
        <f>INDEX($S$19:$AA$38,MATCH(C29,$S$19:$S$38,0),7)&amp;" "&amp;INDEX($S$19:$AA$38,MATCH(C30,$S$19:$S$38,0),7)&amp;" "&amp;INDEX($S$19:$AA$38,MATCH(C31,$S$19:$S$38,0),7)</f>
        <v xml:space="preserve">  </v>
      </c>
    </row>
    <row r="57" spans="19:27" x14ac:dyDescent="0.3">
      <c r="T57" t="s">
        <v>1161</v>
      </c>
      <c r="V57" t="s">
        <v>1162</v>
      </c>
      <c r="X57" t="s">
        <v>1163</v>
      </c>
      <c r="Z57" t="s">
        <v>1164</v>
      </c>
    </row>
    <row r="58" spans="19:27" x14ac:dyDescent="0.3">
      <c r="T58" t="str">
        <f>IF(INDEX($S$19:$AA$38,MATCH(C9,$S$19:$S$38,0),9)=$AA$19,"",INDEX($S$19:$AA$38,MATCH(C9,$S$19:$S$38,0),9))</f>
        <v/>
      </c>
      <c r="U58" t="str">
        <f>IF(T58="","",IF(AND(T59=T58,T60=T58),T58&amp;" x3",IF(OR(T59=T58,T60=T58),T58&amp;" x2",T58)))</f>
        <v/>
      </c>
      <c r="V58" t="str">
        <f>IF(INDEX($S$19:$AA$38,MATCH(C14,$S$19:$S$38,0),9)=$AA$19,"",INDEX($S$19:$AA$38,MATCH(C14,$S$19:$S$38,0),9))</f>
        <v/>
      </c>
      <c r="W58" t="str">
        <f>IF(V58="","",IF(AND(V59=V58,V60=V58),V58&amp;" x3",IF(OR(V59=V58,V60=V58),V58&amp;" x2",V58)))</f>
        <v/>
      </c>
      <c r="X58" t="str">
        <f>IF(INDEX($S$19:$AA$38,MATCH(C19,$S$19:$S$38,0),9)=$AA$19,"",INDEX($S$19:$AA$38,MATCH(C19,$S$19:$S$38,0),9))</f>
        <v/>
      </c>
      <c r="Y58" t="str">
        <f>IF(X58="","",IF(AND(X59=X58,X60=X58),X58&amp;" x3",IF(OR(X59=X58,X60=X58),X58&amp;" x2",X58)))</f>
        <v/>
      </c>
      <c r="Z58" t="str">
        <f>IF(INDEX($S$19:$AA$38,MATCH(C24,$S$19:$S$38,0),9)=$AA$19,"",INDEX($S$19:$AA$38,MATCH(C24,$S$19:$S$38,0),9))</f>
        <v/>
      </c>
      <c r="AA58" t="str">
        <f>IF(Z58="","",IF(AND(Z59=Z58,Z60=Z58),Z58&amp;" x3",IF(OR(Z59=Z58,Z60=Z58),Z58&amp;" x2",Z58)))</f>
        <v/>
      </c>
    </row>
    <row r="59" spans="19:27" x14ac:dyDescent="0.3">
      <c r="T59" t="str">
        <f>IF(INDEX($S$19:$AA$38,MATCH(C10,$S$19:$S$38,0),9)=$AA$19,"",INDEX($S$19:$AA$38,MATCH(C10,$S$19:$S$38,0),9))</f>
        <v/>
      </c>
      <c r="U59" t="str">
        <f>IF(OR(T59="",T59=T58),"",IF(T58="","",", ")&amp;IF(T59=T60,T59&amp;" x2",T59))</f>
        <v/>
      </c>
      <c r="V59" t="str">
        <f>IF(INDEX($S$19:$AA$38,MATCH(C15,$S$19:$S$38,0),9)=$AA$19,"",INDEX($S$19:$AA$38,MATCH(C15,$S$19:$S$38,0),9))</f>
        <v/>
      </c>
      <c r="W59" t="str">
        <f>IF(OR(V59="",V59=V58),"",IF(V58="","",", ")&amp;IF(V59=V60,V59&amp;" x2",V59))</f>
        <v/>
      </c>
      <c r="X59" t="str">
        <f>IF(INDEX($S$19:$AA$38,MATCH(C20,$S$19:$S$38,0),9)=$AA$19,"",INDEX($S$19:$AA$38,MATCH(C20,$S$19:$S$38,0),9))</f>
        <v/>
      </c>
      <c r="Y59" t="str">
        <f>IF(OR(X59="",X59=X58),"",IF(X58="","",", ")&amp;IF(X59=X60,X59&amp;" x2",X59))</f>
        <v/>
      </c>
      <c r="Z59" t="str">
        <f>IF(INDEX($S$19:$AA$38,MATCH(C25,$S$19:$S$38,0),9)=$AA$19,"",INDEX($S$19:$AA$38,MATCH(C25,$S$19:$S$38,0),9))</f>
        <v/>
      </c>
      <c r="AA59" t="str">
        <f>IF(OR(Z59="",Z59=Z58),"",IF(Z58="","",", ")&amp;IF(Z59=Z60,Z59&amp;" x2",Z59))</f>
        <v/>
      </c>
    </row>
    <row r="60" spans="19:27" x14ac:dyDescent="0.3">
      <c r="T60" t="str">
        <f>IF(INDEX($S$19:$AA$38,MATCH(C11,$S$19:$S$38,0),9)=$AA$19,"",INDEX($S$19:$AA$38,MATCH(C11,$S$19:$S$38,0),9))</f>
        <v/>
      </c>
      <c r="U60" t="str">
        <f>IF(OR(T60="",T60=T58,T60=T59),"",IF(AND(T58="",T59=""),"",", ")&amp;T60)</f>
        <v/>
      </c>
      <c r="V60" t="str">
        <f>IF(INDEX($S$19:$AA$38,MATCH(C16,$S$19:$S$38,0),9)=$AA$19,"",INDEX($S$19:$AA$38,MATCH(C16,$S$19:$S$38,0),9))</f>
        <v/>
      </c>
      <c r="W60" t="str">
        <f>IF(OR(V60="",V60=V58,V60=V59),"",IF(AND(V58="",V59=""),"",", ")&amp;V60)</f>
        <v/>
      </c>
      <c r="X60" t="str">
        <f>IF(INDEX($S$19:$AA$38,MATCH(C21,$S$19:$S$38,0),9)=$AA$19,"",INDEX($S$19:$AA$38,MATCH(C21,$S$19:$S$38,0),9))</f>
        <v/>
      </c>
      <c r="Y60" t="str">
        <f>IF(OR(X60="",X60=X58,X60=X59),"",IF(AND(X58="",X59=""),"",", ")&amp;X60)</f>
        <v/>
      </c>
      <c r="Z60" t="str">
        <f>IF(INDEX($S$19:$AA$38,MATCH(C26,$S$19:$S$38,0),9)=$AA$19,"",INDEX($S$19:$AA$38,MATCH(C26,$S$19:$S$38,0),9))</f>
        <v/>
      </c>
      <c r="AA60" t="str">
        <f>IF(OR(Z60="",Z60=Z58,Z60=Z59),"",IF(AND(Z58="",Z59=""),"",", ")&amp;Z60)</f>
        <v/>
      </c>
    </row>
    <row r="61" spans="19:27" x14ac:dyDescent="0.3">
      <c r="T61" s="3" t="s">
        <v>1109</v>
      </c>
      <c r="V61" s="3" t="s">
        <v>1109</v>
      </c>
      <c r="X61" s="3" t="s">
        <v>1109</v>
      </c>
      <c r="Z61" s="3" t="s">
        <v>1109</v>
      </c>
    </row>
    <row r="62" spans="19:27" x14ac:dyDescent="0.3">
      <c r="T62" s="229" t="str">
        <f>U58&amp;U59&amp;U60</f>
        <v/>
      </c>
      <c r="V62" s="229" t="str">
        <f>W58&amp;W59&amp;W60</f>
        <v/>
      </c>
      <c r="X62" s="229" t="str">
        <f>Y58&amp;Y59&amp;Y60</f>
        <v/>
      </c>
      <c r="Z62" s="229" t="str">
        <f>AA58&amp;AA59&amp;AA60</f>
        <v/>
      </c>
    </row>
    <row r="63" spans="19:27" x14ac:dyDescent="0.3">
      <c r="T63" s="3" t="s">
        <v>672</v>
      </c>
      <c r="V63" s="3" t="s">
        <v>672</v>
      </c>
      <c r="X63" s="3" t="s">
        <v>672</v>
      </c>
      <c r="Z63" s="3" t="s">
        <v>672</v>
      </c>
    </row>
    <row r="64" spans="19:27" x14ac:dyDescent="0.3">
      <c r="T64" s="229" t="str">
        <f>INDEX($S$19:$AA$38,MATCH(C9,$S$19:$S$38,0),7)&amp;" "&amp;INDEX($S$19:$AA$38,MATCH(C10,$S$19:$S$38,0),7)&amp;" "&amp;INDEX($S$19:$AA$38,MATCH(C11,$S$19:$S$38,0),7)</f>
        <v xml:space="preserve">  </v>
      </c>
      <c r="V64" s="229" t="str">
        <f>INDEX($S$19:$AA$38,MATCH(C14,$S$19:$S$38,0),7)&amp;" "&amp;INDEX($S$19:$AA$38,MATCH(C15,$S$19:$S$38,0),7)&amp;" "&amp;INDEX($S$19:$AA$38,MATCH(C16,$S$19:$S$38,0),7)</f>
        <v xml:space="preserve">  </v>
      </c>
      <c r="X64" s="229" t="str">
        <f>INDEX($S$19:$AA$38,MATCH(C19,$S$19:$S$38,0),7)&amp;" "&amp;INDEX($S$19:$AA$38,MATCH(C20,$S$19:$S$38,0),7)&amp;" "&amp;INDEX($S$19:$AA$38,MATCH(C21,$S$19:$S$38,0),7)</f>
        <v xml:space="preserve">  </v>
      </c>
      <c r="Z64" s="229" t="str">
        <f>INDEX($S$19:$AA$38,MATCH(C24,$S$19:$S$38,0),7)&amp;" "&amp;INDEX($S$19:$AA$38,MATCH(C25,$S$19:$S$38,0),7)&amp;" "&amp;INDEX($S$19:$AA$38,MATCH(C26,$S$19:$S$38,0),7)</f>
        <v xml:space="preserve">  </v>
      </c>
    </row>
    <row r="67" spans="19:24" x14ac:dyDescent="0.3">
      <c r="T67" t="s">
        <v>26</v>
      </c>
      <c r="U67" t="s">
        <v>1</v>
      </c>
    </row>
    <row r="68" spans="19:24" x14ac:dyDescent="0.3">
      <c r="S68" t="s">
        <v>1922</v>
      </c>
      <c r="T68">
        <v>0</v>
      </c>
      <c r="U68">
        <v>0</v>
      </c>
      <c r="V68" t="str">
        <f>""</f>
        <v/>
      </c>
      <c r="W68" t="s">
        <v>1935</v>
      </c>
    </row>
    <row r="69" spans="19:24" x14ac:dyDescent="0.3">
      <c r="S69" t="s">
        <v>1923</v>
      </c>
      <c r="T69">
        <v>16</v>
      </c>
      <c r="U69" s="260">
        <v>2500000</v>
      </c>
      <c r="V69" t="s">
        <v>1929</v>
      </c>
      <c r="W69" t="str">
        <f>IF(INDEX($S$19:$AA$38,MATCH(C34,$S$19:$S$38,0),9)=$AA$19,"",INDEX($S$19:$AA$38,MATCH(C34,$S$19:$S$38,0),9))</f>
        <v/>
      </c>
      <c r="X69" t="str">
        <f>IF(W69="","",IF(AND(W70=W69,W71=W69),W69&amp;" x3",IF(OR(W70=W69,W71=W69),W69&amp;" x2",W69)))</f>
        <v/>
      </c>
    </row>
    <row r="70" spans="19:24" x14ac:dyDescent="0.3">
      <c r="S70" t="s">
        <v>1924</v>
      </c>
      <c r="T70">
        <v>17</v>
      </c>
      <c r="U70" s="260">
        <v>5000000</v>
      </c>
      <c r="V70" t="s">
        <v>1930</v>
      </c>
      <c r="W70" t="str">
        <f>IF(INDEX($S$19:$AA$38,MATCH(C35,$S$19:$S$38,0),9)=$AA$19,"",INDEX($S$19:$AA$38,MATCH(C35,$S$19:$S$38,0),9))</f>
        <v/>
      </c>
      <c r="X70" t="str">
        <f>IF(OR(W70="",W70=W69),"",IF(W69="","",", ")&amp;IF(W70=W71,W70&amp;" x2",W70))</f>
        <v/>
      </c>
    </row>
    <row r="71" spans="19:24" x14ac:dyDescent="0.3">
      <c r="S71" t="s">
        <v>1925</v>
      </c>
      <c r="T71">
        <v>18</v>
      </c>
      <c r="U71" s="260">
        <v>10000000</v>
      </c>
      <c r="V71" t="s">
        <v>1931</v>
      </c>
      <c r="W71" t="str">
        <f>IF(INDEX($S$19:$AA$38,MATCH(C36,$S$19:$S$38,0),9)=$AA$19,"",INDEX($S$19:$AA$38,MATCH(C36,$S$19:$S$38,0),9))</f>
        <v/>
      </c>
      <c r="X71" t="str">
        <f>IF(OR(W71="",W71=W69,W71=W70),"",IF(AND(W69="",W70=""),"",", ")&amp;W71)</f>
        <v/>
      </c>
    </row>
    <row r="72" spans="19:24" x14ac:dyDescent="0.3">
      <c r="S72" t="s">
        <v>1926</v>
      </c>
      <c r="T72">
        <v>19</v>
      </c>
      <c r="U72" s="260">
        <v>15000000</v>
      </c>
      <c r="V72" t="s">
        <v>1932</v>
      </c>
      <c r="W72" s="3" t="s">
        <v>1109</v>
      </c>
    </row>
    <row r="73" spans="19:24" x14ac:dyDescent="0.3">
      <c r="S73" t="s">
        <v>1927</v>
      </c>
      <c r="T73">
        <v>20</v>
      </c>
      <c r="U73" s="260">
        <v>20000000</v>
      </c>
      <c r="V73" t="s">
        <v>1933</v>
      </c>
      <c r="W73" s="229" t="str">
        <f>X69&amp;X70&amp;X71</f>
        <v/>
      </c>
    </row>
    <row r="74" spans="19:24" x14ac:dyDescent="0.3">
      <c r="S74" t="s">
        <v>1928</v>
      </c>
      <c r="T74">
        <v>21</v>
      </c>
      <c r="U74" s="260">
        <v>25000000</v>
      </c>
      <c r="V74" t="s">
        <v>1934</v>
      </c>
    </row>
  </sheetData>
  <sheetProtection algorithmName="SHA-512" hashValue="X/niXV41AiMUu3SyYDUFZwRQWNiE4EqkbijbiLMDAelT/oHtzy8wYdyzirmlhe3MpPNRx4XFrrAA9D7dfpedPA==" saltValue="t+In9xA/2aLDcoJ/qNPqEw==" spinCount="100000" sheet="1" selectLockedCells="1"/>
  <sortState xmlns:xlrd2="http://schemas.microsoft.com/office/spreadsheetml/2017/richdata2" ref="S19:X41">
    <sortCondition ref="S19:S41"/>
  </sortState>
  <mergeCells count="2">
    <mergeCell ref="H4:I4"/>
    <mergeCell ref="K4:L4"/>
  </mergeCells>
  <conditionalFormatting sqref="A9 E9 C9:C11 A11">
    <cfRule type="expression" dxfId="373" priority="1387">
      <formula>$B$9=$S$9</formula>
    </cfRule>
  </conditionalFormatting>
  <conditionalFormatting sqref="A14 E14 C14:C16 A16">
    <cfRule type="expression" dxfId="372" priority="1391">
      <formula>$B$14=$S$9</formula>
    </cfRule>
  </conditionalFormatting>
  <conditionalFormatting sqref="A19 E19 C19:C21 A21">
    <cfRule type="expression" dxfId="371" priority="1395">
      <formula>$B$19=$S$9</formula>
    </cfRule>
  </conditionalFormatting>
  <conditionalFormatting sqref="A24 E24 C24:C26 A26">
    <cfRule type="expression" dxfId="370" priority="1405">
      <formula>$B$24=$S$9</formula>
    </cfRule>
  </conditionalFormatting>
  <conditionalFormatting sqref="A29 C29:C31 A31">
    <cfRule type="expression" dxfId="369" priority="16">
      <formula>$E$29=0</formula>
    </cfRule>
  </conditionalFormatting>
  <conditionalFormatting sqref="A34 C34:C36 A36">
    <cfRule type="expression" dxfId="368" priority="3">
      <formula>$D$34&lt;10</formula>
    </cfRule>
  </conditionalFormatting>
  <conditionalFormatting sqref="A39 E40 A41">
    <cfRule type="expression" dxfId="367" priority="1399">
      <formula>$C$39=$S$6</formula>
    </cfRule>
  </conditionalFormatting>
  <conditionalFormatting sqref="B11 B16 B21 B26 B31">
    <cfRule type="cellIs" dxfId="366" priority="10" operator="greaterThan">
      <formula>3</formula>
    </cfRule>
  </conditionalFormatting>
  <conditionalFormatting sqref="B36">
    <cfRule type="cellIs" dxfId="365" priority="2" operator="greaterThan">
      <formula>3</formula>
    </cfRule>
  </conditionalFormatting>
  <conditionalFormatting sqref="D9 D14 D19 D24 D29 D39">
    <cfRule type="cellIs" dxfId="364" priority="4" operator="greaterThan">
      <formula>$D$2</formula>
    </cfRule>
  </conditionalFormatting>
  <conditionalFormatting sqref="D34">
    <cfRule type="cellIs" dxfId="363" priority="1" operator="greaterThan">
      <formula>$D$2</formula>
    </cfRule>
  </conditionalFormatting>
  <conditionalFormatting sqref="E9">
    <cfRule type="expression" dxfId="362" priority="1402">
      <formula>AND(B9&lt;&gt;S9,E9=0)</formula>
    </cfRule>
  </conditionalFormatting>
  <conditionalFormatting sqref="E14">
    <cfRule type="expression" dxfId="361" priority="1403">
      <formula>AND(B14&lt;&gt;S9,E14=0)</formula>
    </cfRule>
  </conditionalFormatting>
  <conditionalFormatting sqref="E19">
    <cfRule type="expression" dxfId="360" priority="1404">
      <formula>AND(B19&lt;&gt;S9,E19=0)</formula>
    </cfRule>
  </conditionalFormatting>
  <conditionalFormatting sqref="E24">
    <cfRule type="expression" dxfId="359" priority="1409">
      <formula>AND($B$24&lt;&gt;$S$9,$E$24=0)</formula>
    </cfRule>
  </conditionalFormatting>
  <conditionalFormatting sqref="H6">
    <cfRule type="expression" dxfId="358" priority="26">
      <formula>$H$6&lt;0</formula>
    </cfRule>
  </conditionalFormatting>
  <conditionalFormatting sqref="K6">
    <cfRule type="expression" dxfId="357" priority="25">
      <formula>$K$6&lt;0</formula>
    </cfRule>
  </conditionalFormatting>
  <dataValidations count="7">
    <dataValidation type="whole" operator="greaterThanOrEqual" allowBlank="1" showInputMessage="1" showErrorMessage="1" sqref="E40 E9 E14 E24 E19 E29 E34" xr:uid="{072CA588-38DB-4DB4-8065-79EC67A8ED3A}">
      <formula1>0</formula1>
    </dataValidation>
    <dataValidation type="list" allowBlank="1" showInputMessage="1" showErrorMessage="1" sqref="A41 A9 A11 A14 A16 A24 A19 A21 A26 A29 A39 A31 A34 A36 D5" xr:uid="{0AAAA079-55AE-49EF-AB7E-BA03B0792715}">
      <formula1>$S$1:$S$2</formula1>
    </dataValidation>
    <dataValidation type="list" allowBlank="1" showInputMessage="1" showErrorMessage="1" sqref="B39" xr:uid="{5439E81F-0156-4AB4-9A8E-7AD78DD17426}">
      <formula1>$S$3:$S$5</formula1>
    </dataValidation>
    <dataValidation type="list" allowBlank="1" showInputMessage="1" showErrorMessage="1" sqref="C39" xr:uid="{4082868F-408D-4082-B0C2-FE6828FB5594}">
      <formula1>$S$6:$S$7</formula1>
    </dataValidation>
    <dataValidation type="list" allowBlank="1" showInputMessage="1" showErrorMessage="1" sqref="C9:C11 C14:C16 C19:C21 C24:C26 C29:C31 C34:C36" xr:uid="{2B6B91EA-5F91-48E5-B7E3-7D75B4CB7B1B}">
      <formula1>$S$19:$S$38</formula1>
    </dataValidation>
    <dataValidation type="list" allowBlank="1" showInputMessage="1" showErrorMessage="1" sqref="B34" xr:uid="{9365F4D4-6BA1-4AB5-9C6F-9BFA6973ECF4}">
      <formula1>$S$68:$S$74</formula1>
    </dataValidation>
    <dataValidation type="list" allowBlank="1" showInputMessage="1" showErrorMessage="1" sqref="B9 B19 B24 B14" xr:uid="{70D22843-3FED-4D70-922F-055BAFF5DBC5}">
      <formula1>$S$9:$S$15</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151F2-9279-4EB0-A840-A6FA7F17728B}">
  <dimension ref="A1:BO760"/>
  <sheetViews>
    <sheetView topLeftCell="A16" zoomScaleNormal="100" workbookViewId="0">
      <selection activeCell="O27" sqref="O27"/>
    </sheetView>
  </sheetViews>
  <sheetFormatPr defaultRowHeight="14.4" x14ac:dyDescent="0.3"/>
  <cols>
    <col min="1" max="1" width="26.33203125" customWidth="1"/>
    <col min="2" max="2" width="32.109375" customWidth="1"/>
    <col min="3" max="3" width="13.44140625" customWidth="1"/>
    <col min="4" max="4" width="17.109375" customWidth="1"/>
    <col min="5" max="5" width="3.6640625" customWidth="1"/>
    <col min="6" max="6" width="18" customWidth="1"/>
    <col min="8" max="8" width="12" customWidth="1"/>
    <col min="9" max="9" width="9.6640625" customWidth="1"/>
    <col min="11" max="11" width="10.109375" customWidth="1"/>
    <col min="12" max="12" width="9.6640625" customWidth="1"/>
    <col min="13" max="13" width="39.44140625" customWidth="1"/>
    <col min="14" max="14" width="18.33203125" customWidth="1"/>
    <col min="15" max="15" width="18.109375" customWidth="1"/>
    <col min="17" max="17" width="28.44140625" customWidth="1"/>
    <col min="18" max="32" width="9.109375" customWidth="1"/>
    <col min="33" max="33" width="19.5546875" customWidth="1"/>
    <col min="34" max="40" width="9.109375" customWidth="1"/>
    <col min="41" max="41" width="45.88671875" customWidth="1"/>
    <col min="42" max="42" width="18.5546875" style="4" customWidth="1"/>
    <col min="43" max="43" width="17.33203125" customWidth="1"/>
    <col min="44" max="63" width="9.109375" customWidth="1"/>
    <col min="64" max="64" width="40.33203125" customWidth="1"/>
    <col min="65" max="65" width="9.109375" customWidth="1"/>
    <col min="66" max="66" width="36.88671875" customWidth="1"/>
    <col min="67" max="67" width="18" customWidth="1"/>
  </cols>
  <sheetData>
    <row r="1" spans="1:67" ht="15" thickBot="1" x14ac:dyDescent="0.35">
      <c r="A1" s="3" t="str">
        <f>'Ship Info'!A1</f>
        <v>Ship's Class Name</v>
      </c>
      <c r="B1">
        <f>'Ship Info'!B1</f>
        <v>0</v>
      </c>
      <c r="F1" s="1" t="s">
        <v>1</v>
      </c>
      <c r="AI1" t="s">
        <v>1676</v>
      </c>
      <c r="AM1" s="2" t="s">
        <v>360</v>
      </c>
      <c r="AN1" s="2" t="s">
        <v>26</v>
      </c>
      <c r="AO1" s="2" t="s">
        <v>1597</v>
      </c>
      <c r="AP1" s="10" t="s">
        <v>1600</v>
      </c>
      <c r="AQ1" s="2" t="s">
        <v>521</v>
      </c>
      <c r="AR1" s="2" t="s">
        <v>1639</v>
      </c>
      <c r="AS1" s="2" t="s">
        <v>1632</v>
      </c>
      <c r="AT1" s="2" t="s">
        <v>1611</v>
      </c>
      <c r="AU1" s="2" t="s">
        <v>1612</v>
      </c>
      <c r="AV1" s="2" t="s">
        <v>1614</v>
      </c>
      <c r="AW1" s="2" t="s">
        <v>1634</v>
      </c>
      <c r="AX1" s="2" t="s">
        <v>1663</v>
      </c>
      <c r="AY1" s="2" t="s">
        <v>1664</v>
      </c>
      <c r="AZ1" s="2" t="s">
        <v>1665</v>
      </c>
      <c r="BA1" s="2" t="s">
        <v>1666</v>
      </c>
      <c r="BB1" s="2" t="s">
        <v>1668</v>
      </c>
      <c r="BC1" s="2" t="s">
        <v>1667</v>
      </c>
      <c r="BD1" s="2" t="s">
        <v>1674</v>
      </c>
      <c r="BE1" s="2" t="s">
        <v>1704</v>
      </c>
      <c r="BF1" s="2" t="s">
        <v>1863</v>
      </c>
      <c r="BG1" s="2" t="s">
        <v>1636</v>
      </c>
      <c r="BH1" s="2" t="s">
        <v>1637</v>
      </c>
      <c r="BI1" s="2" t="s">
        <v>1638</v>
      </c>
      <c r="BJ1" s="2" t="s">
        <v>26</v>
      </c>
      <c r="BK1" s="432">
        <v>758</v>
      </c>
      <c r="BL1" s="93" t="s">
        <v>1645</v>
      </c>
      <c r="BN1" s="2" t="s">
        <v>1656</v>
      </c>
      <c r="BO1" s="2" t="s">
        <v>1</v>
      </c>
    </row>
    <row r="2" spans="1:67" x14ac:dyDescent="0.3">
      <c r="A2" s="3" t="s">
        <v>418</v>
      </c>
      <c r="B2">
        <f>'Ship Info'!B2</f>
        <v>0</v>
      </c>
      <c r="D2" s="3" t="s">
        <v>0</v>
      </c>
      <c r="E2" s="2">
        <f>'Ship Info'!F2</f>
        <v>12</v>
      </c>
      <c r="F2" s="10">
        <f>'Ship Info'!G2</f>
        <v>6177000</v>
      </c>
      <c r="AG2" t="s">
        <v>106</v>
      </c>
      <c r="AH2" t="s">
        <v>92</v>
      </c>
      <c r="AI2" t="s">
        <v>92</v>
      </c>
      <c r="AM2">
        <v>1</v>
      </c>
      <c r="AO2" t="str">
        <f>""</f>
        <v/>
      </c>
      <c r="AP2" s="4">
        <v>0</v>
      </c>
      <c r="AQ2">
        <v>0</v>
      </c>
      <c r="BK2" s="200">
        <v>1</v>
      </c>
      <c r="BL2" s="200" t="str">
        <f>INDEX($AM$2:$AO$328,MATCH(BK2,$AM$2:$AM$328,0),3)</f>
        <v/>
      </c>
      <c r="BM2">
        <v>1</v>
      </c>
      <c r="BN2" t="str">
        <f t="shared" ref="BN2:BN31" si="0">IF(OR(M27="",P27=0),"",M27&amp;" x"&amp;P27&amp;" ("&amp;TEXT(P27*O27,"#,###")&amp;" tons)")</f>
        <v/>
      </c>
      <c r="BO2" s="4">
        <f t="shared" ref="BO2:BO31" si="1">Q27</f>
        <v>0</v>
      </c>
    </row>
    <row r="3" spans="1:67" x14ac:dyDescent="0.3">
      <c r="F3" s="10"/>
      <c r="G3" s="79"/>
      <c r="H3" s="483">
        <f>AG29</f>
        <v>0</v>
      </c>
      <c r="I3" s="86"/>
      <c r="J3" s="79"/>
      <c r="K3" s="484">
        <f>AG32</f>
        <v>0</v>
      </c>
      <c r="AG3" t="s">
        <v>276</v>
      </c>
      <c r="AH3" t="s">
        <v>93</v>
      </c>
      <c r="AI3" t="str">
        <f>IF(OR(H17=0,H18=0),"No","Yes")</f>
        <v>No</v>
      </c>
      <c r="AL3">
        <f>SUM(AR3:BJ3)</f>
        <v>4</v>
      </c>
      <c r="AM3">
        <f>IF(AL3&gt;0,AM2+1,AM2)</f>
        <v>2</v>
      </c>
      <c r="AN3">
        <v>7</v>
      </c>
      <c r="AO3" t="s">
        <v>2759</v>
      </c>
      <c r="AP3" s="4">
        <v>1696000</v>
      </c>
      <c r="AQ3" s="471">
        <v>20</v>
      </c>
      <c r="AR3">
        <f t="shared" ref="AR3:AR10" si="2">IF($N$62="No",-20,1)</f>
        <v>1</v>
      </c>
      <c r="AV3">
        <f>IF($N$69="No",-20,1)</f>
        <v>1</v>
      </c>
      <c r="BG3">
        <f t="shared" ref="BG3:BG10" si="3">IF($P$62=0,1,IF(AQ3&lt;=$P$62,1,-20))</f>
        <v>1</v>
      </c>
      <c r="BJ3">
        <f t="shared" ref="BJ3:BJ34" si="4">IF($N$61="Yes",1,IF(AN3&gt;TL,-20,1))</f>
        <v>1</v>
      </c>
      <c r="BK3" s="57">
        <f>BK2+1</f>
        <v>2</v>
      </c>
      <c r="BL3" s="57" t="str">
        <f>IF(BK3&gt;$BK$1,"",INDEX($AM$2:$AO$495,MATCH(BK3,$AM$2:$AM$495,0),3))</f>
        <v>"Maggie" Train/Tunneller (JTAS Vol. 18)</v>
      </c>
      <c r="BM3">
        <v>2</v>
      </c>
      <c r="BN3" t="str">
        <f t="shared" si="0"/>
        <v/>
      </c>
      <c r="BO3" s="4">
        <f t="shared" si="1"/>
        <v>0</v>
      </c>
    </row>
    <row r="4" spans="1:67" x14ac:dyDescent="0.3">
      <c r="F4" s="485" t="s">
        <v>44</v>
      </c>
      <c r="H4" s="760" t="s">
        <v>45</v>
      </c>
      <c r="I4" s="760"/>
      <c r="K4" s="760" t="s">
        <v>46</v>
      </c>
      <c r="L4" s="760"/>
      <c r="AL4">
        <f t="shared" ref="AL4:AL67" si="5">SUM(AR4:BJ4)</f>
        <v>4</v>
      </c>
      <c r="AM4">
        <f t="shared" ref="AM4:AM67" si="6">IF(AL4&gt;0,AM3+1,AM3)</f>
        <v>3</v>
      </c>
      <c r="AN4">
        <v>15</v>
      </c>
      <c r="AO4" t="s">
        <v>2760</v>
      </c>
      <c r="AP4" s="4">
        <v>5270000</v>
      </c>
      <c r="AQ4">
        <v>8</v>
      </c>
      <c r="AR4">
        <f t="shared" si="2"/>
        <v>1</v>
      </c>
      <c r="BF4">
        <f>IF($N$79="No",-20,1)</f>
        <v>1</v>
      </c>
      <c r="BG4">
        <f t="shared" si="3"/>
        <v>1</v>
      </c>
      <c r="BJ4">
        <f t="shared" si="4"/>
        <v>1</v>
      </c>
      <c r="BK4" s="57">
        <f t="shared" ref="BK4:BK67" si="7">BK3+1</f>
        <v>3</v>
      </c>
      <c r="BL4" s="57" t="str">
        <f>IF(BK4&gt;$BK$1,"",INDEX($AM$2:$AO$495,MATCH(BK4,$AM$2:$AM$495,0),3))</f>
        <v>Abel Thermospheric Reconnaissance Drone (Vehicle Handbook)</v>
      </c>
      <c r="BM4">
        <v>3</v>
      </c>
      <c r="BN4" t="str">
        <f t="shared" si="0"/>
        <v/>
      </c>
      <c r="BO4" s="4">
        <f t="shared" si="1"/>
        <v>0</v>
      </c>
    </row>
    <row r="5" spans="1:67" x14ac:dyDescent="0.3">
      <c r="F5" s="483">
        <f>SUM(F10:F67)+IF(N58="No",0,SUM(Q27:Q46))</f>
        <v>0</v>
      </c>
      <c r="H5" s="1" t="s">
        <v>390</v>
      </c>
      <c r="I5" s="1" t="s">
        <v>27</v>
      </c>
      <c r="K5" s="1" t="s">
        <v>390</v>
      </c>
      <c r="L5" s="1" t="s">
        <v>27</v>
      </c>
      <c r="AG5" t="s">
        <v>424</v>
      </c>
      <c r="AL5">
        <f t="shared" si="5"/>
        <v>4</v>
      </c>
      <c r="AM5">
        <f t="shared" si="6"/>
        <v>4</v>
      </c>
      <c r="AN5">
        <v>9</v>
      </c>
      <c r="AO5" t="s">
        <v>2761</v>
      </c>
      <c r="AP5" s="4">
        <v>26280000</v>
      </c>
      <c r="AQ5">
        <v>1750</v>
      </c>
      <c r="AR5">
        <f t="shared" si="2"/>
        <v>1</v>
      </c>
      <c r="BF5">
        <f>IF($N$79="No",-20,1)</f>
        <v>1</v>
      </c>
      <c r="BG5">
        <f t="shared" si="3"/>
        <v>1</v>
      </c>
      <c r="BJ5">
        <f t="shared" si="4"/>
        <v>1</v>
      </c>
      <c r="BK5" s="57">
        <f t="shared" si="7"/>
        <v>4</v>
      </c>
      <c r="BL5" s="57" t="str">
        <f t="shared" ref="BL5:BL68" si="8">IF(BK5&gt;$BK$1,"",INDEX($AM$2:$AO$495,MATCH(BK5,$AM$2:$AM$495,0),3))</f>
        <v>Achilles Frigate (Vehicle Handbook)</v>
      </c>
      <c r="BM5">
        <v>4</v>
      </c>
      <c r="BN5" t="str">
        <f t="shared" si="0"/>
        <v/>
      </c>
      <c r="BO5" s="4">
        <f t="shared" si="1"/>
        <v>0</v>
      </c>
    </row>
    <row r="6" spans="1:67" x14ac:dyDescent="0.3">
      <c r="G6" s="2"/>
      <c r="H6" s="10">
        <f>'Ship Info'!I3</f>
        <v>92.53</v>
      </c>
      <c r="I6" s="266">
        <f>'Ship Info'!J3</f>
        <v>100</v>
      </c>
      <c r="J6" s="2"/>
      <c r="K6" s="326">
        <f>'Ship Info'!L3</f>
        <v>0</v>
      </c>
      <c r="L6" s="266">
        <f>'Ship Info'!M3</f>
        <v>20</v>
      </c>
      <c r="AG6" t="s">
        <v>276</v>
      </c>
      <c r="AH6" t="s">
        <v>33</v>
      </c>
      <c r="AL6">
        <f t="shared" si="5"/>
        <v>4</v>
      </c>
      <c r="AM6">
        <f t="shared" si="6"/>
        <v>5</v>
      </c>
      <c r="AN6">
        <v>9</v>
      </c>
      <c r="AO6" t="s">
        <v>2762</v>
      </c>
      <c r="AP6" s="4">
        <v>946000</v>
      </c>
      <c r="AQ6">
        <v>9</v>
      </c>
      <c r="AR6">
        <f t="shared" si="2"/>
        <v>1</v>
      </c>
      <c r="BF6">
        <f>IF($N$79="No",-20,1)</f>
        <v>1</v>
      </c>
      <c r="BG6">
        <f t="shared" si="3"/>
        <v>1</v>
      </c>
      <c r="BJ6">
        <f t="shared" si="4"/>
        <v>1</v>
      </c>
      <c r="BK6" s="57">
        <f t="shared" si="7"/>
        <v>5</v>
      </c>
      <c r="BL6" s="57" t="str">
        <f t="shared" si="8"/>
        <v>ACV-3 Martinique IFV (Vehicle Handbook)</v>
      </c>
      <c r="BM6">
        <v>5</v>
      </c>
      <c r="BN6" t="str">
        <f t="shared" si="0"/>
        <v/>
      </c>
      <c r="BO6" s="4">
        <f t="shared" si="1"/>
        <v>0</v>
      </c>
    </row>
    <row r="7" spans="1:67" ht="15.6" x14ac:dyDescent="0.3">
      <c r="A7" s="22"/>
      <c r="B7" s="22"/>
      <c r="C7" s="22"/>
      <c r="D7" s="22"/>
      <c r="E7" s="22"/>
      <c r="F7" s="22"/>
      <c r="G7" s="22"/>
      <c r="H7" s="22"/>
      <c r="I7" s="22"/>
      <c r="J7" s="22"/>
      <c r="K7" s="516"/>
      <c r="L7" s="22"/>
      <c r="AG7" t="s">
        <v>429</v>
      </c>
      <c r="AH7" s="25" t="s">
        <v>445</v>
      </c>
      <c r="AJ7">
        <v>1</v>
      </c>
      <c r="AK7">
        <v>500000</v>
      </c>
      <c r="AL7">
        <f t="shared" si="5"/>
        <v>4</v>
      </c>
      <c r="AM7">
        <f t="shared" si="6"/>
        <v>6</v>
      </c>
      <c r="AN7" s="437">
        <v>8</v>
      </c>
      <c r="AO7" s="437" t="s">
        <v>1856</v>
      </c>
      <c r="AP7" s="438">
        <v>391400</v>
      </c>
      <c r="AQ7" s="439">
        <v>20</v>
      </c>
      <c r="AR7">
        <f t="shared" si="2"/>
        <v>1</v>
      </c>
      <c r="BF7">
        <f>IF($N$79="No",-20,1)</f>
        <v>1</v>
      </c>
      <c r="BG7">
        <f t="shared" si="3"/>
        <v>1</v>
      </c>
      <c r="BJ7">
        <f t="shared" si="4"/>
        <v>1</v>
      </c>
      <c r="BK7" s="57">
        <f t="shared" si="7"/>
        <v>6</v>
      </c>
      <c r="BL7" s="57" t="str">
        <f t="shared" si="8"/>
        <v>ADB-511 Strike Hydrofoil (JTAS Vol. 6)</v>
      </c>
      <c r="BM7">
        <v>6</v>
      </c>
      <c r="BN7" t="str">
        <f t="shared" si="0"/>
        <v/>
      </c>
      <c r="BO7" s="4">
        <f t="shared" si="1"/>
        <v>0</v>
      </c>
    </row>
    <row r="8" spans="1:67" ht="15.6" x14ac:dyDescent="0.3">
      <c r="A8" s="3" t="s">
        <v>412</v>
      </c>
      <c r="K8" s="440"/>
      <c r="AG8" t="s">
        <v>430</v>
      </c>
      <c r="AH8" s="25" t="s">
        <v>446</v>
      </c>
      <c r="AJ8">
        <v>5</v>
      </c>
      <c r="AK8">
        <v>1000000</v>
      </c>
      <c r="AL8">
        <f t="shared" si="5"/>
        <v>4</v>
      </c>
      <c r="AM8">
        <f t="shared" si="6"/>
        <v>7</v>
      </c>
      <c r="AN8" s="437">
        <v>8</v>
      </c>
      <c r="AO8" s="437" t="s">
        <v>1855</v>
      </c>
      <c r="AP8" s="438">
        <v>166500</v>
      </c>
      <c r="AQ8" s="439">
        <v>20</v>
      </c>
      <c r="AR8">
        <f t="shared" si="2"/>
        <v>1</v>
      </c>
      <c r="BF8">
        <f>IF($N$79="No",-20,1)</f>
        <v>1</v>
      </c>
      <c r="BG8">
        <f t="shared" si="3"/>
        <v>1</v>
      </c>
      <c r="BJ8">
        <f t="shared" si="4"/>
        <v>1</v>
      </c>
      <c r="BK8" s="57">
        <f t="shared" si="7"/>
        <v>7</v>
      </c>
      <c r="BL8" s="57" t="str">
        <f t="shared" si="8"/>
        <v>ADB-602 Coastal Patrol Cutter (JTAS Vol. 6)</v>
      </c>
      <c r="BM8">
        <v>7</v>
      </c>
      <c r="BN8" t="str">
        <f t="shared" si="0"/>
        <v/>
      </c>
      <c r="BO8" s="4">
        <f t="shared" si="1"/>
        <v>0</v>
      </c>
    </row>
    <row r="9" spans="1:67" ht="16.2" thickBot="1" x14ac:dyDescent="0.35">
      <c r="B9" s="2"/>
      <c r="C9" s="1" t="s">
        <v>296</v>
      </c>
      <c r="D9" s="1" t="s">
        <v>419</v>
      </c>
      <c r="E9" s="3" t="s">
        <v>26</v>
      </c>
      <c r="K9" s="440"/>
      <c r="AG9" t="s">
        <v>431</v>
      </c>
      <c r="AH9" s="25" t="s">
        <v>447</v>
      </c>
      <c r="AJ9">
        <v>10</v>
      </c>
      <c r="AK9">
        <v>2000000</v>
      </c>
      <c r="AL9">
        <f t="shared" si="5"/>
        <v>4</v>
      </c>
      <c r="AM9">
        <f t="shared" si="6"/>
        <v>8</v>
      </c>
      <c r="AN9" s="437">
        <v>9</v>
      </c>
      <c r="AO9" s="437" t="s">
        <v>1847</v>
      </c>
      <c r="AP9" s="438">
        <v>321500</v>
      </c>
      <c r="AQ9" s="439">
        <v>20</v>
      </c>
      <c r="AR9">
        <f t="shared" si="2"/>
        <v>1</v>
      </c>
      <c r="AW9">
        <f>IF($N$70="No",-20,1)</f>
        <v>1</v>
      </c>
      <c r="BG9">
        <f t="shared" si="3"/>
        <v>1</v>
      </c>
      <c r="BJ9">
        <f t="shared" si="4"/>
        <v>1</v>
      </c>
      <c r="BK9" s="57">
        <f t="shared" si="7"/>
        <v>8</v>
      </c>
      <c r="BL9" s="57" t="str">
        <f t="shared" si="8"/>
        <v>Advanced Fire Engine (JTAS Vol. 5)</v>
      </c>
      <c r="BM9">
        <v>8</v>
      </c>
      <c r="BN9" t="str">
        <f t="shared" si="0"/>
        <v/>
      </c>
      <c r="BO9" s="4">
        <f t="shared" si="1"/>
        <v>0</v>
      </c>
    </row>
    <row r="10" spans="1:67" ht="15" thickBot="1" x14ac:dyDescent="0.35">
      <c r="A10" t="s">
        <v>413</v>
      </c>
      <c r="B10" s="251" t="s">
        <v>276</v>
      </c>
      <c r="C10" s="232">
        <v>0</v>
      </c>
      <c r="D10" s="2" t="str">
        <f>IF(H10&gt;0,TEXT(C10*5,"#,###") &amp;" Probes","0 Probes ")</f>
        <v xml:space="preserve">0 Probes </v>
      </c>
      <c r="E10" s="2">
        <f>IF(B10="Installed",9,0)</f>
        <v>0</v>
      </c>
      <c r="F10" s="4">
        <f>H10*500000</f>
        <v>0</v>
      </c>
      <c r="H10" s="10">
        <f>IF(B10=AG2,C10,0)</f>
        <v>0</v>
      </c>
      <c r="K10" s="326">
        <v>0</v>
      </c>
      <c r="AG10" t="s">
        <v>432</v>
      </c>
      <c r="AH10" s="25" t="s">
        <v>448</v>
      </c>
      <c r="AJ10">
        <v>20</v>
      </c>
      <c r="AK10">
        <v>4000000</v>
      </c>
      <c r="AL10">
        <f t="shared" si="5"/>
        <v>4</v>
      </c>
      <c r="AM10">
        <f t="shared" si="6"/>
        <v>9</v>
      </c>
      <c r="AN10">
        <v>10</v>
      </c>
      <c r="AO10" t="s">
        <v>2763</v>
      </c>
      <c r="AP10" s="4">
        <v>2880000</v>
      </c>
      <c r="AQ10">
        <v>10</v>
      </c>
      <c r="AR10">
        <f t="shared" si="2"/>
        <v>1</v>
      </c>
      <c r="BF10">
        <f>IF($N$79="No",-20,1)</f>
        <v>1</v>
      </c>
      <c r="BG10">
        <f t="shared" si="3"/>
        <v>1</v>
      </c>
      <c r="BJ10">
        <f t="shared" si="4"/>
        <v>1</v>
      </c>
      <c r="BK10" s="57">
        <f t="shared" si="7"/>
        <v>9</v>
      </c>
      <c r="BL10" s="57" t="str">
        <f t="shared" si="8"/>
        <v>Advertising Boat (SCC)</v>
      </c>
      <c r="BM10">
        <v>9</v>
      </c>
      <c r="BN10" t="str">
        <f t="shared" si="0"/>
        <v/>
      </c>
      <c r="BO10" s="4">
        <f t="shared" si="1"/>
        <v>0</v>
      </c>
    </row>
    <row r="11" spans="1:67" ht="15" thickBot="1" x14ac:dyDescent="0.35">
      <c r="A11" t="s">
        <v>414</v>
      </c>
      <c r="B11" s="251" t="s">
        <v>276</v>
      </c>
      <c r="C11" s="232">
        <v>0</v>
      </c>
      <c r="D11" s="2" t="str">
        <f>IF(H11&gt;0,TEXT(C11*5,"#,###") &amp;" Probes","0 Probes")</f>
        <v>0 Probes</v>
      </c>
      <c r="E11" s="2">
        <f>IF(B11="Installed",12,0)</f>
        <v>0</v>
      </c>
      <c r="F11" s="4">
        <f>H11*800000</f>
        <v>0</v>
      </c>
      <c r="H11" s="10">
        <f>IF(B11=AG2,C11,0)</f>
        <v>0</v>
      </c>
      <c r="K11" s="326">
        <v>0</v>
      </c>
      <c r="AG11" t="s">
        <v>433</v>
      </c>
      <c r="AH11" s="25" t="s">
        <v>449</v>
      </c>
      <c r="AJ11">
        <v>50</v>
      </c>
      <c r="AK11">
        <v>8000000</v>
      </c>
      <c r="AL11">
        <f t="shared" si="5"/>
        <v>5</v>
      </c>
      <c r="AM11">
        <f t="shared" si="6"/>
        <v>10</v>
      </c>
      <c r="AN11">
        <v>12</v>
      </c>
      <c r="AO11" t="s">
        <v>1870</v>
      </c>
      <c r="AP11" s="4">
        <v>89150</v>
      </c>
      <c r="AQ11" s="471">
        <v>0.5</v>
      </c>
      <c r="AR11">
        <f>IF($N$63="No",-20,1)</f>
        <v>1</v>
      </c>
      <c r="AS11">
        <f>IF($N$64="No",-20,1)</f>
        <v>1</v>
      </c>
      <c r="BE11">
        <f>IF($N$78="No",-20,1)</f>
        <v>1</v>
      </c>
      <c r="BH11">
        <f>IF($P$63=0,1,IF(AQ11&lt;=$P$63,1,-20))</f>
        <v>1</v>
      </c>
      <c r="BJ11">
        <f t="shared" si="4"/>
        <v>1</v>
      </c>
      <c r="BK11" s="57">
        <f t="shared" si="7"/>
        <v>10</v>
      </c>
      <c r="BL11" s="57" t="str">
        <f t="shared" si="8"/>
        <v>Aeon Flyer Stinger SZ-100 G/Bike (JTAS Vol. 8)</v>
      </c>
      <c r="BM11">
        <v>10</v>
      </c>
      <c r="BN11" t="str">
        <f t="shared" si="0"/>
        <v/>
      </c>
      <c r="BO11" s="4">
        <f t="shared" si="1"/>
        <v>0</v>
      </c>
    </row>
    <row r="12" spans="1:67" ht="15" thickBot="1" x14ac:dyDescent="0.35">
      <c r="A12" t="s">
        <v>415</v>
      </c>
      <c r="B12" s="251" t="s">
        <v>276</v>
      </c>
      <c r="C12" s="232">
        <v>0</v>
      </c>
      <c r="D12" s="2" t="str">
        <f>IF(H12&gt;0,TEXT(C12*5,"#,###") &amp;"D Tons/Day","0 Tons/Day")</f>
        <v>0 Tons/Day</v>
      </c>
      <c r="E12" s="2">
        <f>IF(B12="Installed",8,0)</f>
        <v>0</v>
      </c>
      <c r="F12" s="4">
        <f>H12*100000</f>
        <v>0</v>
      </c>
      <c r="H12" s="10">
        <f>IF(B12=AG2,C12*10,0)</f>
        <v>0</v>
      </c>
      <c r="K12" s="326">
        <v>0</v>
      </c>
      <c r="AL12">
        <f t="shared" si="5"/>
        <v>4</v>
      </c>
      <c r="AM12">
        <f t="shared" si="6"/>
        <v>11</v>
      </c>
      <c r="AN12">
        <v>13</v>
      </c>
      <c r="AO12" t="s">
        <v>1871</v>
      </c>
      <c r="AP12" s="4">
        <v>202750</v>
      </c>
      <c r="AQ12" s="471">
        <v>0.5</v>
      </c>
      <c r="AR12">
        <f>IF($N$65="No",-20,1)</f>
        <v>1</v>
      </c>
      <c r="BE12">
        <f>IF($N$78="No",-20,1)</f>
        <v>1</v>
      </c>
      <c r="BI12">
        <f>IF($P$65=0,1,IF(AQ12&lt;=$P$65,1,-20))</f>
        <v>1</v>
      </c>
      <c r="BJ12">
        <f t="shared" si="4"/>
        <v>1</v>
      </c>
      <c r="BK12" s="57">
        <f t="shared" si="7"/>
        <v>11</v>
      </c>
      <c r="BL12" s="57" t="str">
        <f t="shared" si="8"/>
        <v>Aeon Flyer Stinger SZ-580Z G/Bike (JTAS Vol. 8)</v>
      </c>
      <c r="BM12">
        <v>11</v>
      </c>
      <c r="BN12" t="str">
        <f t="shared" si="0"/>
        <v/>
      </c>
      <c r="BO12" s="4">
        <f t="shared" si="1"/>
        <v>0</v>
      </c>
    </row>
    <row r="13" spans="1:67" ht="15" thickBot="1" x14ac:dyDescent="0.35">
      <c r="A13" t="s">
        <v>416</v>
      </c>
      <c r="B13" s="251" t="s">
        <v>276</v>
      </c>
      <c r="C13" s="2"/>
      <c r="D13" s="2" t="s">
        <v>1449</v>
      </c>
      <c r="E13" s="2">
        <f>IF(B13="Installed",8,0)</f>
        <v>0</v>
      </c>
      <c r="F13" s="4">
        <f>H13*200000</f>
        <v>0</v>
      </c>
      <c r="H13" s="10">
        <f>IF(B13=AG2,MAX(1,0.01*I6),0)</f>
        <v>0</v>
      </c>
      <c r="K13" s="326">
        <v>0</v>
      </c>
      <c r="AG13" t="s">
        <v>434</v>
      </c>
      <c r="AL13">
        <f t="shared" si="5"/>
        <v>4</v>
      </c>
      <c r="AM13">
        <f t="shared" si="6"/>
        <v>12</v>
      </c>
      <c r="AN13">
        <v>12</v>
      </c>
      <c r="AO13" t="s">
        <v>2764</v>
      </c>
      <c r="AP13" s="4">
        <v>198000</v>
      </c>
      <c r="AQ13" s="431">
        <v>10</v>
      </c>
      <c r="AR13">
        <f>IF($N$62="No",-20,1)</f>
        <v>1</v>
      </c>
      <c r="BE13">
        <f>IF($N$78="No",-20,1)</f>
        <v>1</v>
      </c>
      <c r="BG13">
        <f>IF($P$62=0,1,IF(AQ13&lt;=$P$62,1,-20))</f>
        <v>1</v>
      </c>
      <c r="BJ13">
        <f t="shared" si="4"/>
        <v>1</v>
      </c>
      <c r="BK13" s="57">
        <f t="shared" si="7"/>
        <v>12</v>
      </c>
      <c r="BL13" s="57" t="str">
        <f t="shared" si="8"/>
        <v>AFV (Vehicle Handbook)</v>
      </c>
      <c r="BM13">
        <v>12</v>
      </c>
      <c r="BN13" t="str">
        <f t="shared" si="0"/>
        <v/>
      </c>
      <c r="BO13" s="4">
        <f t="shared" si="1"/>
        <v>0</v>
      </c>
    </row>
    <row r="14" spans="1:67" x14ac:dyDescent="0.3">
      <c r="A14" s="22"/>
      <c r="B14" s="22"/>
      <c r="C14" s="22"/>
      <c r="D14" s="22"/>
      <c r="E14" s="27"/>
      <c r="F14" s="22"/>
      <c r="G14" s="22"/>
      <c r="H14" s="23"/>
      <c r="I14" s="22"/>
      <c r="J14" s="22"/>
      <c r="K14" s="516"/>
      <c r="L14" s="22"/>
      <c r="AG14" t="s">
        <v>438</v>
      </c>
      <c r="AH14">
        <v>0</v>
      </c>
      <c r="AI14" t="s">
        <v>33</v>
      </c>
      <c r="AL14">
        <f t="shared" si="5"/>
        <v>3</v>
      </c>
      <c r="AM14">
        <f t="shared" si="6"/>
        <v>13</v>
      </c>
      <c r="AN14">
        <v>9</v>
      </c>
      <c r="AO14" t="s">
        <v>2765</v>
      </c>
      <c r="AP14" s="4">
        <v>221000</v>
      </c>
      <c r="AQ14">
        <v>3</v>
      </c>
      <c r="AR14">
        <f>IF($N$63="No",-20,1)</f>
        <v>1</v>
      </c>
      <c r="BH14">
        <f>IF($P$63=0,1,IF(AQ14&lt;=$P$63,1,-20))</f>
        <v>1</v>
      </c>
      <c r="BJ14">
        <f t="shared" si="4"/>
        <v>1</v>
      </c>
      <c r="BK14" s="57">
        <f t="shared" si="7"/>
        <v>13</v>
      </c>
      <c r="BL14" s="57" t="str">
        <f t="shared" si="8"/>
        <v>Aigle Aerial Scout/Attack UAV (Vehicle Handbook)</v>
      </c>
      <c r="BM14">
        <v>13</v>
      </c>
      <c r="BN14" t="str">
        <f t="shared" si="0"/>
        <v/>
      </c>
      <c r="BO14" s="4">
        <f t="shared" si="1"/>
        <v>0</v>
      </c>
    </row>
    <row r="15" spans="1:67" x14ac:dyDescent="0.3">
      <c r="A15" s="3" t="s">
        <v>422</v>
      </c>
      <c r="E15" s="2"/>
      <c r="H15" s="4"/>
      <c r="K15" s="440"/>
      <c r="AG15" t="s">
        <v>439</v>
      </c>
      <c r="AH15">
        <v>7</v>
      </c>
      <c r="AI15" t="s">
        <v>441</v>
      </c>
      <c r="AJ15">
        <v>50000</v>
      </c>
      <c r="AL15">
        <f t="shared" si="5"/>
        <v>4</v>
      </c>
      <c r="AM15">
        <f t="shared" si="6"/>
        <v>14</v>
      </c>
      <c r="AN15">
        <v>8</v>
      </c>
      <c r="AO15" t="s">
        <v>2766</v>
      </c>
      <c r="AP15" s="4">
        <v>250000</v>
      </c>
      <c r="AQ15">
        <v>4</v>
      </c>
      <c r="AR15">
        <f t="shared" ref="AR15:AR21" si="9">IF($N$62="No",-20,1)</f>
        <v>1</v>
      </c>
      <c r="BF15">
        <f>IF($N$79="No",-20,1)</f>
        <v>1</v>
      </c>
      <c r="BG15">
        <f t="shared" ref="BG15:BG21" si="10">IF($P$62=0,1,IF(AQ15&lt;=$P$62,1,-20))</f>
        <v>1</v>
      </c>
      <c r="BJ15">
        <f t="shared" si="4"/>
        <v>1</v>
      </c>
      <c r="BK15" s="57">
        <f t="shared" si="7"/>
        <v>14</v>
      </c>
      <c r="BL15" s="57" t="str">
        <f t="shared" si="8"/>
        <v>Air/Raft (Core'24)</v>
      </c>
      <c r="BM15">
        <v>14</v>
      </c>
      <c r="BN15" t="str">
        <f t="shared" si="0"/>
        <v/>
      </c>
      <c r="BO15" s="4">
        <f t="shared" si="1"/>
        <v>0</v>
      </c>
    </row>
    <row r="16" spans="1:67" ht="15" thickBot="1" x14ac:dyDescent="0.35">
      <c r="C16" s="1" t="s">
        <v>462</v>
      </c>
      <c r="D16" s="1" t="s">
        <v>164</v>
      </c>
      <c r="E16" s="3" t="s">
        <v>26</v>
      </c>
      <c r="H16" s="10"/>
      <c r="I16" s="2"/>
      <c r="J16" s="2"/>
      <c r="K16" s="326"/>
      <c r="L16" s="2"/>
      <c r="R16" s="738" t="s">
        <v>2541</v>
      </c>
      <c r="S16" s="738"/>
      <c r="T16" s="738"/>
      <c r="U16" s="738"/>
      <c r="V16" s="738"/>
      <c r="W16" s="738"/>
      <c r="X16" s="738"/>
      <c r="Y16" s="738"/>
      <c r="Z16" s="738"/>
      <c r="AA16" s="738"/>
      <c r="AB16" s="738"/>
      <c r="AC16" s="738"/>
      <c r="AD16" s="738"/>
      <c r="AE16" s="738"/>
      <c r="AG16" t="s">
        <v>440</v>
      </c>
      <c r="AH16">
        <v>9</v>
      </c>
      <c r="AI16" t="s">
        <v>442</v>
      </c>
      <c r="AJ16">
        <v>75000</v>
      </c>
      <c r="AL16">
        <f t="shared" si="5"/>
        <v>4</v>
      </c>
      <c r="AM16">
        <f t="shared" si="6"/>
        <v>15</v>
      </c>
      <c r="AN16">
        <v>10</v>
      </c>
      <c r="AO16" t="s">
        <v>2767</v>
      </c>
      <c r="AP16" s="4">
        <v>321300</v>
      </c>
      <c r="AQ16" s="471">
        <v>4</v>
      </c>
      <c r="AR16">
        <f t="shared" si="9"/>
        <v>1</v>
      </c>
      <c r="BE16">
        <f>IF($N$78="No",-20,1)</f>
        <v>1</v>
      </c>
      <c r="BG16">
        <f t="shared" si="10"/>
        <v>1</v>
      </c>
      <c r="BJ16">
        <f t="shared" si="4"/>
        <v>1</v>
      </c>
      <c r="BK16" s="57">
        <f t="shared" si="7"/>
        <v>15</v>
      </c>
      <c r="BL16" s="57" t="str">
        <f t="shared" si="8"/>
        <v>Air/Raft w/Fusion+ (JTAS Vol. 16)</v>
      </c>
      <c r="BM16">
        <v>15</v>
      </c>
      <c r="BN16" t="str">
        <f t="shared" si="0"/>
        <v/>
      </c>
      <c r="BO16" s="4">
        <f t="shared" si="1"/>
        <v>0</v>
      </c>
    </row>
    <row r="17" spans="1:67" ht="16.2" thickBot="1" x14ac:dyDescent="0.35">
      <c r="A17" t="s">
        <v>423</v>
      </c>
      <c r="B17" s="251" t="s">
        <v>276</v>
      </c>
      <c r="C17" s="232">
        <v>0</v>
      </c>
      <c r="D17" s="2" t="str">
        <f>IF(B17=AG2,"DM +1 to Boarding"," ")</f>
        <v xml:space="preserve"> </v>
      </c>
      <c r="E17" s="2"/>
      <c r="F17" s="26">
        <f>IF(H17&gt;0,3000000*C17,0)</f>
        <v>0</v>
      </c>
      <c r="G17" s="2"/>
      <c r="H17" s="10">
        <f>IF(B17=AG2,3*C17,0)</f>
        <v>0</v>
      </c>
      <c r="I17" s="2"/>
      <c r="J17" s="2"/>
      <c r="K17" s="326"/>
      <c r="L17" s="2"/>
      <c r="R17" s="738" t="s">
        <v>2542</v>
      </c>
      <c r="S17" s="738"/>
      <c r="T17" s="738"/>
      <c r="U17" s="738"/>
      <c r="V17" s="738"/>
      <c r="W17" s="738"/>
      <c r="X17" s="738"/>
      <c r="Y17" s="738"/>
      <c r="Z17" s="738"/>
      <c r="AA17" s="738"/>
      <c r="AB17" s="738"/>
      <c r="AC17" s="738"/>
      <c r="AD17" s="738"/>
      <c r="AE17" s="738"/>
      <c r="AG17" t="s">
        <v>435</v>
      </c>
      <c r="AH17">
        <v>12</v>
      </c>
      <c r="AI17" t="s">
        <v>443</v>
      </c>
      <c r="AJ17">
        <v>100000</v>
      </c>
      <c r="AL17">
        <f t="shared" si="5"/>
        <v>3</v>
      </c>
      <c r="AM17">
        <f t="shared" si="6"/>
        <v>16</v>
      </c>
      <c r="AN17" s="437">
        <v>9</v>
      </c>
      <c r="AO17" s="437" t="s">
        <v>1694</v>
      </c>
      <c r="AP17" s="438">
        <v>503000</v>
      </c>
      <c r="AQ17" s="439">
        <v>8</v>
      </c>
      <c r="AR17">
        <f t="shared" si="9"/>
        <v>1</v>
      </c>
      <c r="BG17">
        <f t="shared" si="10"/>
        <v>1</v>
      </c>
      <c r="BJ17">
        <f t="shared" si="4"/>
        <v>1</v>
      </c>
      <c r="BK17" s="57">
        <f t="shared" si="7"/>
        <v>16</v>
      </c>
      <c r="BL17" s="57" t="str">
        <f t="shared" si="8"/>
        <v>Alikaia Aerospace Strike Fighter (DR:RT)</v>
      </c>
      <c r="BM17">
        <v>16</v>
      </c>
      <c r="BN17" t="str">
        <f t="shared" si="0"/>
        <v/>
      </c>
      <c r="BO17" s="4">
        <f t="shared" si="1"/>
        <v>0</v>
      </c>
    </row>
    <row r="18" spans="1:67" ht="16.2" thickBot="1" x14ac:dyDescent="0.35">
      <c r="A18" t="s">
        <v>425</v>
      </c>
      <c r="B18" s="251" t="s">
        <v>438</v>
      </c>
      <c r="C18" s="232">
        <v>0</v>
      </c>
      <c r="D18" s="2" t="str">
        <f>VLOOKUP(B18,AG14:AI18,3)</f>
        <v xml:space="preserve"> </v>
      </c>
      <c r="E18" s="2">
        <f>VLOOKUP(B18,AG14:AH18,2)</f>
        <v>0</v>
      </c>
      <c r="F18" s="26">
        <f>IF(H18&gt;0,VLOOKUP(B18,AG14:AJ18,4)*C18,0)</f>
        <v>0</v>
      </c>
      <c r="G18" s="2"/>
      <c r="H18" s="10">
        <f>IF(B18=AG14,0,2*C18)</f>
        <v>0</v>
      </c>
      <c r="I18" s="2"/>
      <c r="J18" s="2"/>
      <c r="K18" s="326"/>
      <c r="L18" s="2"/>
      <c r="R18" s="851" t="s">
        <v>2420</v>
      </c>
      <c r="S18" s="851" t="s">
        <v>729</v>
      </c>
      <c r="T18" s="851" t="s">
        <v>880</v>
      </c>
      <c r="U18" s="851" t="s">
        <v>2422</v>
      </c>
      <c r="V18" s="851" t="s">
        <v>2442</v>
      </c>
      <c r="W18" s="851" t="s">
        <v>2423</v>
      </c>
      <c r="X18" s="851" t="s">
        <v>2426</v>
      </c>
      <c r="Y18" s="851" t="s">
        <v>2424</v>
      </c>
      <c r="Z18" s="851" t="s">
        <v>2425</v>
      </c>
      <c r="AA18" s="852" t="s">
        <v>2693</v>
      </c>
      <c r="AB18" s="852" t="s">
        <v>2691</v>
      </c>
      <c r="AC18" s="852" t="s">
        <v>2687</v>
      </c>
      <c r="AD18" s="851" t="str">
        <f>'11-Staterooms'!B54</f>
        <v/>
      </c>
      <c r="AE18" s="851" t="str">
        <f>'11-Staterooms'!B55</f>
        <v/>
      </c>
      <c r="AG18" t="s">
        <v>436</v>
      </c>
      <c r="AH18">
        <v>15</v>
      </c>
      <c r="AI18" t="s">
        <v>444</v>
      </c>
      <c r="AJ18">
        <v>500000</v>
      </c>
      <c r="AL18">
        <f t="shared" si="5"/>
        <v>3</v>
      </c>
      <c r="AM18">
        <f t="shared" si="6"/>
        <v>17</v>
      </c>
      <c r="AN18" s="437">
        <v>9</v>
      </c>
      <c r="AO18" s="437" t="s">
        <v>1695</v>
      </c>
      <c r="AP18" s="438">
        <v>7980260000</v>
      </c>
      <c r="AQ18" s="439">
        <v>3800</v>
      </c>
      <c r="AR18">
        <f t="shared" si="9"/>
        <v>1</v>
      </c>
      <c r="BG18">
        <f t="shared" si="10"/>
        <v>1</v>
      </c>
      <c r="BJ18">
        <f t="shared" si="4"/>
        <v>1</v>
      </c>
      <c r="BK18" s="57">
        <f t="shared" si="7"/>
        <v>17</v>
      </c>
      <c r="BL18" s="57" t="str">
        <f t="shared" si="8"/>
        <v>Alikaia Exploration Ship (DR:RT)</v>
      </c>
      <c r="BM18">
        <v>17</v>
      </c>
      <c r="BN18" t="str">
        <f t="shared" si="0"/>
        <v/>
      </c>
      <c r="BO18" s="4">
        <f t="shared" si="1"/>
        <v>0</v>
      </c>
    </row>
    <row r="19" spans="1:67" ht="16.2" thickBot="1" x14ac:dyDescent="0.35">
      <c r="B19" s="7" t="s">
        <v>437</v>
      </c>
      <c r="C19" s="197" t="s">
        <v>92</v>
      </c>
      <c r="D19" s="2"/>
      <c r="E19" s="2"/>
      <c r="F19" s="26"/>
      <c r="G19" s="2"/>
      <c r="H19" s="10"/>
      <c r="I19" s="2"/>
      <c r="J19" s="2"/>
      <c r="K19" s="326"/>
      <c r="L19" s="2"/>
      <c r="R19" s="851"/>
      <c r="S19" s="851"/>
      <c r="T19" s="851"/>
      <c r="U19" s="851"/>
      <c r="V19" s="851"/>
      <c r="W19" s="851"/>
      <c r="X19" s="851"/>
      <c r="Y19" s="851"/>
      <c r="Z19" s="851"/>
      <c r="AA19" s="853"/>
      <c r="AB19" s="853"/>
      <c r="AC19" s="853"/>
      <c r="AD19" s="851"/>
      <c r="AE19" s="851"/>
      <c r="AL19">
        <f t="shared" si="5"/>
        <v>4</v>
      </c>
      <c r="AM19">
        <f t="shared" si="6"/>
        <v>18</v>
      </c>
      <c r="AN19" s="437">
        <v>9</v>
      </c>
      <c r="AO19" s="437" t="s">
        <v>1693</v>
      </c>
      <c r="AP19" s="438">
        <v>27000</v>
      </c>
      <c r="AQ19" s="439">
        <v>4.5</v>
      </c>
      <c r="AR19">
        <f t="shared" si="9"/>
        <v>1</v>
      </c>
      <c r="AV19">
        <f>IF($N$69="No",-20,1)</f>
        <v>1</v>
      </c>
      <c r="BG19">
        <f t="shared" si="10"/>
        <v>1</v>
      </c>
      <c r="BJ19">
        <f t="shared" si="4"/>
        <v>1</v>
      </c>
      <c r="BK19" s="57">
        <f t="shared" si="7"/>
        <v>18</v>
      </c>
      <c r="BL19" s="57" t="str">
        <f t="shared" si="8"/>
        <v>Alikaia Light Combat Vehicle (DR:RT)</v>
      </c>
      <c r="BM19">
        <v>18</v>
      </c>
      <c r="BN19" t="str">
        <f t="shared" si="0"/>
        <v/>
      </c>
      <c r="BO19" s="4">
        <f t="shared" si="1"/>
        <v>0</v>
      </c>
    </row>
    <row r="20" spans="1:67" ht="15" thickBot="1" x14ac:dyDescent="0.35">
      <c r="A20" t="s">
        <v>426</v>
      </c>
      <c r="B20" s="251" t="s">
        <v>276</v>
      </c>
      <c r="C20" s="232">
        <v>0</v>
      </c>
      <c r="D20" s="2" t="str">
        <f>IF(B20=AG2,"Move "&amp;2*C20&amp;" tons"," ")</f>
        <v xml:space="preserve"> </v>
      </c>
      <c r="E20" s="2"/>
      <c r="F20" s="26">
        <f>IF(H20&gt;0,1000000*C20,0)</f>
        <v>0</v>
      </c>
      <c r="G20" s="2"/>
      <c r="H20" s="10">
        <f>IF(B20=AG2,C20*2,0)</f>
        <v>0</v>
      </c>
      <c r="I20" s="2"/>
      <c r="J20" s="2"/>
      <c r="K20" s="326"/>
      <c r="L20" s="2"/>
      <c r="R20" s="851"/>
      <c r="S20" s="851"/>
      <c r="T20" s="851"/>
      <c r="U20" s="851"/>
      <c r="V20" s="851"/>
      <c r="W20" s="851"/>
      <c r="X20" s="851"/>
      <c r="Y20" s="851"/>
      <c r="Z20" s="851"/>
      <c r="AA20" s="853"/>
      <c r="AB20" s="853"/>
      <c r="AC20" s="853"/>
      <c r="AD20" s="851"/>
      <c r="AE20" s="851"/>
      <c r="AG20" t="s">
        <v>362</v>
      </c>
      <c r="AI20">
        <v>0</v>
      </c>
      <c r="AL20">
        <f t="shared" si="5"/>
        <v>4</v>
      </c>
      <c r="AM20">
        <f t="shared" si="6"/>
        <v>19</v>
      </c>
      <c r="AN20">
        <v>12</v>
      </c>
      <c r="AO20" t="s">
        <v>2768</v>
      </c>
      <c r="AP20" s="4">
        <v>16522000</v>
      </c>
      <c r="AQ20" s="471">
        <v>20</v>
      </c>
      <c r="AR20">
        <f t="shared" si="9"/>
        <v>1</v>
      </c>
      <c r="BC20">
        <f>IF($N$76="No",-20,1)</f>
        <v>1</v>
      </c>
      <c r="BG20">
        <f t="shared" si="10"/>
        <v>1</v>
      </c>
      <c r="BJ20">
        <f t="shared" si="4"/>
        <v>1</v>
      </c>
      <c r="BK20" s="57">
        <f t="shared" si="7"/>
        <v>19</v>
      </c>
      <c r="BL20" s="57" t="str">
        <f t="shared" si="8"/>
        <v>Alligator Grav Gunship (Armies of the 5FW)</v>
      </c>
      <c r="BM20">
        <v>19</v>
      </c>
      <c r="BN20" t="str">
        <f t="shared" si="0"/>
        <v/>
      </c>
      <c r="BO20" s="4">
        <f t="shared" si="1"/>
        <v>0</v>
      </c>
    </row>
    <row r="21" spans="1:67" ht="16.2" thickBot="1" x14ac:dyDescent="0.35">
      <c r="A21" t="s">
        <v>427</v>
      </c>
      <c r="B21" s="251" t="s">
        <v>276</v>
      </c>
      <c r="C21" s="232">
        <v>0</v>
      </c>
      <c r="D21" s="2" t="str">
        <f>IF(B21=AG2,"Move "&amp;10*C21&amp;" tons"," ")</f>
        <v xml:space="preserve"> </v>
      </c>
      <c r="E21" s="2"/>
      <c r="F21" s="26">
        <f>IF(H21&gt;0,3000000*C21,0)</f>
        <v>0</v>
      </c>
      <c r="G21" s="2"/>
      <c r="H21" s="10">
        <f>IF(B21=AG2,C21*6,0)</f>
        <v>0</v>
      </c>
      <c r="I21" s="2"/>
      <c r="J21" s="2"/>
      <c r="K21" s="326"/>
      <c r="L21" s="2"/>
      <c r="R21" s="851"/>
      <c r="S21" s="851"/>
      <c r="T21" s="851"/>
      <c r="U21" s="851"/>
      <c r="V21" s="851"/>
      <c r="W21" s="851"/>
      <c r="X21" s="851"/>
      <c r="Y21" s="851"/>
      <c r="Z21" s="851"/>
      <c r="AA21" s="853"/>
      <c r="AB21" s="853"/>
      <c r="AC21" s="853"/>
      <c r="AD21" s="851"/>
      <c r="AE21" s="851"/>
      <c r="AG21" t="s">
        <v>106</v>
      </c>
      <c r="AI21">
        <v>0</v>
      </c>
      <c r="AL21">
        <f t="shared" si="5"/>
        <v>3</v>
      </c>
      <c r="AM21">
        <f t="shared" si="6"/>
        <v>20</v>
      </c>
      <c r="AN21" s="437">
        <v>12</v>
      </c>
      <c r="AO21" s="437" t="s">
        <v>1982</v>
      </c>
      <c r="AP21" s="438">
        <v>21580000</v>
      </c>
      <c r="AQ21" s="439">
        <v>60</v>
      </c>
      <c r="AR21">
        <f t="shared" si="9"/>
        <v>1</v>
      </c>
      <c r="BG21">
        <f t="shared" si="10"/>
        <v>1</v>
      </c>
      <c r="BJ21">
        <f t="shared" si="4"/>
        <v>1</v>
      </c>
      <c r="BK21" s="57">
        <f t="shared" si="7"/>
        <v>20</v>
      </c>
      <c r="BL21" s="57" t="str">
        <f t="shared" si="8"/>
        <v>AM-20 Mining Craft (Solomani Adventure 1)</v>
      </c>
      <c r="BM21">
        <v>20</v>
      </c>
      <c r="BN21" t="str">
        <f t="shared" si="0"/>
        <v/>
      </c>
      <c r="BO21" s="4">
        <f t="shared" si="1"/>
        <v>0</v>
      </c>
    </row>
    <row r="22" spans="1:67" ht="15" thickBot="1" x14ac:dyDescent="0.35">
      <c r="A22" t="s">
        <v>428</v>
      </c>
      <c r="B22" s="251" t="s">
        <v>276</v>
      </c>
      <c r="C22" s="436">
        <f>IF(B22="Installed",1,0)</f>
        <v>0</v>
      </c>
      <c r="D22" s="2"/>
      <c r="E22" s="2"/>
      <c r="F22" s="26">
        <f>H22*5000</f>
        <v>0</v>
      </c>
      <c r="G22" s="2"/>
      <c r="H22" s="10">
        <f>IF(B22=AG2,0.01*I6,0)</f>
        <v>0</v>
      </c>
      <c r="I22" s="2"/>
      <c r="J22" s="2"/>
      <c r="K22" s="326"/>
      <c r="L22" s="2"/>
      <c r="M22" s="3" t="s">
        <v>1654</v>
      </c>
      <c r="R22" s="851"/>
      <c r="S22" s="851"/>
      <c r="T22" s="851"/>
      <c r="U22" s="851"/>
      <c r="V22" s="851"/>
      <c r="W22" s="851"/>
      <c r="X22" s="851"/>
      <c r="Y22" s="851"/>
      <c r="Z22" s="851"/>
      <c r="AA22" s="853"/>
      <c r="AB22" s="853"/>
      <c r="AC22" s="853"/>
      <c r="AD22" s="851"/>
      <c r="AE22" s="851"/>
      <c r="AG22" t="s">
        <v>452</v>
      </c>
      <c r="AH22">
        <v>6</v>
      </c>
      <c r="AI22">
        <v>100000</v>
      </c>
      <c r="AL22">
        <f t="shared" si="5"/>
        <v>4</v>
      </c>
      <c r="AM22">
        <f t="shared" si="6"/>
        <v>21</v>
      </c>
      <c r="AN22">
        <v>12</v>
      </c>
      <c r="AO22" t="s">
        <v>2769</v>
      </c>
      <c r="AP22" s="4">
        <v>327250</v>
      </c>
      <c r="AQ22" s="471">
        <v>5</v>
      </c>
      <c r="AR22">
        <f>IF($N$63="No",-20,1)</f>
        <v>1</v>
      </c>
      <c r="AU22">
        <f>IF($N$68="No",-20,1)</f>
        <v>1</v>
      </c>
      <c r="BH22">
        <f>IF($P$63=0,1,IF(AQ22&lt;=$P$63,1,-20))</f>
        <v>1</v>
      </c>
      <c r="BJ22">
        <f t="shared" si="4"/>
        <v>1</v>
      </c>
      <c r="BK22" s="57">
        <f t="shared" si="7"/>
        <v>21</v>
      </c>
      <c r="BL22" s="57" t="str">
        <f t="shared" si="8"/>
        <v>Amindii Carrier (JTAS Vol. 18)</v>
      </c>
      <c r="BM22">
        <v>21</v>
      </c>
      <c r="BN22" t="str">
        <f t="shared" si="0"/>
        <v/>
      </c>
      <c r="BO22" s="4">
        <f t="shared" si="1"/>
        <v>0</v>
      </c>
    </row>
    <row r="23" spans="1:67" ht="15" thickBot="1" x14ac:dyDescent="0.35">
      <c r="A23" t="s">
        <v>461</v>
      </c>
      <c r="B23" s="251" t="s">
        <v>276</v>
      </c>
      <c r="C23" s="507">
        <v>0</v>
      </c>
      <c r="D23" s="16" t="str">
        <f>IF(H23&gt;0,"Xfer "&amp;TEXT(20*H23,"#,###")&amp;" tons/hour"," ")</f>
        <v xml:space="preserve"> </v>
      </c>
      <c r="F23" s="4">
        <f>500000*H23</f>
        <v>0</v>
      </c>
      <c r="H23" s="10">
        <f>IF(B23="Installed",C23,0)</f>
        <v>0</v>
      </c>
      <c r="I23" s="2"/>
      <c r="J23" s="2"/>
      <c r="K23" s="326">
        <f>H23</f>
        <v>0</v>
      </c>
      <c r="L23" s="2"/>
      <c r="M23" s="3" t="s">
        <v>1655</v>
      </c>
      <c r="R23" s="851"/>
      <c r="S23" s="851"/>
      <c r="T23" s="851"/>
      <c r="U23" s="851"/>
      <c r="V23" s="851"/>
      <c r="W23" s="851"/>
      <c r="X23" s="851"/>
      <c r="Y23" s="851"/>
      <c r="Z23" s="851"/>
      <c r="AA23" s="853"/>
      <c r="AB23" s="853"/>
      <c r="AC23" s="853"/>
      <c r="AD23" s="851"/>
      <c r="AE23" s="851"/>
      <c r="AG23" t="s">
        <v>453</v>
      </c>
      <c r="AH23">
        <v>8</v>
      </c>
      <c r="AI23">
        <v>300000</v>
      </c>
      <c r="AL23">
        <f t="shared" si="5"/>
        <v>4</v>
      </c>
      <c r="AM23">
        <f t="shared" si="6"/>
        <v>22</v>
      </c>
      <c r="AN23">
        <v>12</v>
      </c>
      <c r="AO23" t="s">
        <v>2770</v>
      </c>
      <c r="AP23" s="4">
        <v>188000</v>
      </c>
      <c r="AQ23" s="471">
        <v>1.5</v>
      </c>
      <c r="AR23">
        <f>IF($N$62="No",-20,1)</f>
        <v>1</v>
      </c>
      <c r="AX23">
        <f>IF($N$71="No",-20,1)</f>
        <v>1</v>
      </c>
      <c r="BG23">
        <f>IF($P$62=0,1,IF(AQ23&lt;=$P$62,1,-20))</f>
        <v>1</v>
      </c>
      <c r="BJ23">
        <f t="shared" si="4"/>
        <v>1</v>
      </c>
      <c r="BK23" s="57">
        <f t="shared" si="7"/>
        <v>22</v>
      </c>
      <c r="BL23" s="57" t="str">
        <f t="shared" si="8"/>
        <v>Amindii Extended Grav Bike (JTAS Vol. 18)</v>
      </c>
      <c r="BM23">
        <v>22</v>
      </c>
      <c r="BN23" t="str">
        <f t="shared" si="0"/>
        <v/>
      </c>
      <c r="BO23" s="4">
        <f t="shared" si="1"/>
        <v>0</v>
      </c>
    </row>
    <row r="24" spans="1:67" ht="15" thickBot="1" x14ac:dyDescent="0.35">
      <c r="A24" t="s">
        <v>1484</v>
      </c>
      <c r="B24" s="197" t="s">
        <v>1020</v>
      </c>
      <c r="C24" s="507">
        <v>0</v>
      </c>
      <c r="D24" s="2" t="str">
        <f>IF(AND(B24="GP Mass Driver Added Capacity",C24&gt;0),50*AI66+(0.5*C24)&amp;" ton cap","")</f>
        <v/>
      </c>
      <c r="F24" s="4">
        <f>75000*H24</f>
        <v>0</v>
      </c>
      <c r="H24" s="10">
        <f>IF(B24="",0,C24)</f>
        <v>0</v>
      </c>
      <c r="I24" s="2"/>
      <c r="J24" s="2"/>
      <c r="K24" s="326">
        <f>H24*3</f>
        <v>0</v>
      </c>
      <c r="L24" s="2"/>
      <c r="R24" s="851"/>
      <c r="S24" s="851"/>
      <c r="T24" s="851"/>
      <c r="U24" s="851"/>
      <c r="V24" s="851"/>
      <c r="W24" s="851"/>
      <c r="X24" s="851"/>
      <c r="Y24" s="851"/>
      <c r="Z24" s="851"/>
      <c r="AA24" s="853"/>
      <c r="AB24" s="853"/>
      <c r="AC24" s="853"/>
      <c r="AD24" s="851"/>
      <c r="AE24" s="851"/>
      <c r="AG24" t="s">
        <v>454</v>
      </c>
      <c r="AH24">
        <v>10</v>
      </c>
      <c r="AI24">
        <v>500000</v>
      </c>
      <c r="AL24">
        <f t="shared" si="5"/>
        <v>4</v>
      </c>
      <c r="AM24">
        <f t="shared" si="6"/>
        <v>23</v>
      </c>
      <c r="AN24">
        <v>5</v>
      </c>
      <c r="AO24" t="s">
        <v>2771</v>
      </c>
      <c r="AP24" s="4">
        <v>46965000</v>
      </c>
      <c r="AQ24" s="431">
        <v>30</v>
      </c>
      <c r="AR24">
        <f>IF($N$62="No",-20,1)</f>
        <v>1</v>
      </c>
      <c r="AX24">
        <f>IF($N$71="No",-20,1)</f>
        <v>1</v>
      </c>
      <c r="BG24">
        <f>IF($P$62=0,1,IF(AQ24&lt;=$P$62,1,-20))</f>
        <v>1</v>
      </c>
      <c r="BJ24">
        <f t="shared" si="4"/>
        <v>1</v>
      </c>
      <c r="BK24" s="57">
        <f t="shared" si="7"/>
        <v>23</v>
      </c>
      <c r="BL24" s="57" t="str">
        <f t="shared" si="8"/>
        <v>Angliar Planetary Landing Shuttle (Great Rifts Book 1)</v>
      </c>
      <c r="BM24">
        <v>23</v>
      </c>
      <c r="BN24" t="str">
        <f t="shared" si="0"/>
        <v/>
      </c>
      <c r="BO24" s="4">
        <f t="shared" si="1"/>
        <v>0</v>
      </c>
    </row>
    <row r="25" spans="1:67" ht="16.2" thickBot="1" x14ac:dyDescent="0.35">
      <c r="A25" t="s">
        <v>2569</v>
      </c>
      <c r="B25" s="197" t="s">
        <v>276</v>
      </c>
      <c r="C25" s="507">
        <v>0</v>
      </c>
      <c r="D25" t="str">
        <f>IF(B25=AG69,"",INDEX(AG70:AJ71,MATCH(B25,AG70:AG71,0),4)&amp;" Protection")</f>
        <v/>
      </c>
      <c r="F25" s="26">
        <f>INDEX(AG69:AI71,MATCH(B25,AG69:AG71,0),3)</f>
        <v>0</v>
      </c>
      <c r="H25" s="10">
        <f>INDEX(AG69:AH71,MATCH(B25,AG69:AG71,0),2)</f>
        <v>0</v>
      </c>
      <c r="M25" s="3" t="s">
        <v>1596</v>
      </c>
      <c r="R25" s="851"/>
      <c r="S25" s="851"/>
      <c r="T25" s="851"/>
      <c r="U25" s="851"/>
      <c r="V25" s="851"/>
      <c r="W25" s="851"/>
      <c r="X25" s="851"/>
      <c r="Y25" s="851"/>
      <c r="Z25" s="851"/>
      <c r="AA25" s="853"/>
      <c r="AB25" s="853"/>
      <c r="AC25" s="853"/>
      <c r="AD25" s="851"/>
      <c r="AE25" s="851"/>
      <c r="AG25" t="s">
        <v>455</v>
      </c>
      <c r="AH25">
        <v>12</v>
      </c>
      <c r="AI25">
        <v>1000000</v>
      </c>
      <c r="AL25">
        <f t="shared" si="5"/>
        <v>4</v>
      </c>
      <c r="AM25">
        <f t="shared" si="6"/>
        <v>24</v>
      </c>
      <c r="AN25" s="437">
        <v>12</v>
      </c>
      <c r="AO25" s="437" t="s">
        <v>2772</v>
      </c>
      <c r="AP25" s="438">
        <v>68030000</v>
      </c>
      <c r="AQ25" s="439">
        <v>200</v>
      </c>
      <c r="AR25">
        <f>IF($N$62="No",-20,1)</f>
        <v>1</v>
      </c>
      <c r="AX25">
        <f>IF($N$71="No",-20,1)</f>
        <v>1</v>
      </c>
      <c r="BG25">
        <f>IF($P$62=0,1,IF(AQ25&lt;=$P$62,1,-20))</f>
        <v>1</v>
      </c>
      <c r="BJ25">
        <f t="shared" si="4"/>
        <v>1</v>
      </c>
      <c r="BK25" s="57">
        <f t="shared" si="7"/>
        <v>24</v>
      </c>
      <c r="BL25" s="57" t="str">
        <f t="shared" si="8"/>
        <v>Animal Type K Safari Ship (HG'22)</v>
      </c>
      <c r="BM25">
        <v>24</v>
      </c>
      <c r="BN25" t="str">
        <f t="shared" si="0"/>
        <v/>
      </c>
      <c r="BO25" s="4">
        <f t="shared" si="1"/>
        <v>0</v>
      </c>
    </row>
    <row r="26" spans="1:67" ht="16.2" thickBot="1" x14ac:dyDescent="0.35">
      <c r="A26" s="22"/>
      <c r="B26" s="22"/>
      <c r="C26" s="22"/>
      <c r="D26" s="22"/>
      <c r="E26" s="22"/>
      <c r="F26" s="22"/>
      <c r="G26" s="22"/>
      <c r="H26" s="23"/>
      <c r="I26" s="22"/>
      <c r="J26" s="22"/>
      <c r="K26" s="516"/>
      <c r="L26" s="22"/>
      <c r="M26" s="406" t="s">
        <v>1597</v>
      </c>
      <c r="N26" s="407" t="s">
        <v>1599</v>
      </c>
      <c r="O26" s="408" t="s">
        <v>110</v>
      </c>
      <c r="P26" s="408" t="s">
        <v>982</v>
      </c>
      <c r="Q26" s="643" t="s">
        <v>1</v>
      </c>
      <c r="R26" s="852"/>
      <c r="S26" s="852"/>
      <c r="T26" s="852"/>
      <c r="U26" s="852"/>
      <c r="V26" s="852"/>
      <c r="W26" s="852"/>
      <c r="X26" s="852"/>
      <c r="Y26" s="852"/>
      <c r="Z26" s="852"/>
      <c r="AA26" s="854"/>
      <c r="AB26" s="854"/>
      <c r="AC26" s="854"/>
      <c r="AD26" s="852"/>
      <c r="AE26" s="852"/>
      <c r="AL26">
        <f t="shared" si="5"/>
        <v>5</v>
      </c>
      <c r="AM26">
        <f t="shared" si="6"/>
        <v>25</v>
      </c>
      <c r="AN26" s="437">
        <v>12</v>
      </c>
      <c r="AO26" s="437" t="s">
        <v>1829</v>
      </c>
      <c r="AP26" s="438">
        <v>1099075</v>
      </c>
      <c r="AQ26" s="439">
        <v>20</v>
      </c>
      <c r="AR26">
        <f>IF($N$63="No",-20,1)</f>
        <v>1</v>
      </c>
      <c r="AS26">
        <f>IF($N$64="No",-20,1)</f>
        <v>1</v>
      </c>
      <c r="AU26">
        <f>IF($N$68="No",-20,1)</f>
        <v>1</v>
      </c>
      <c r="BH26">
        <f>IF($P$63=0,1,IF(AQ26&lt;=$P$63,1,-20))</f>
        <v>1</v>
      </c>
      <c r="BJ26">
        <f t="shared" si="4"/>
        <v>1</v>
      </c>
      <c r="BK26" s="57">
        <f t="shared" si="7"/>
        <v>25</v>
      </c>
      <c r="BL26" s="57" t="str">
        <f t="shared" si="8"/>
        <v>Aquatic ATV (JTAS Vol. 1)</v>
      </c>
      <c r="BM26">
        <v>25</v>
      </c>
      <c r="BN26" t="str">
        <f t="shared" si="0"/>
        <v/>
      </c>
      <c r="BO26" s="4">
        <f t="shared" si="1"/>
        <v>0</v>
      </c>
    </row>
    <row r="27" spans="1:67" ht="16.2" thickBot="1" x14ac:dyDescent="0.35">
      <c r="A27" s="3" t="s">
        <v>460</v>
      </c>
      <c r="F27" s="4"/>
      <c r="H27" s="10"/>
      <c r="K27" s="440"/>
      <c r="L27" s="428"/>
      <c r="M27" s="420" t="s">
        <v>1020</v>
      </c>
      <c r="N27" s="433">
        <f>INDEX($AO$2:$AQ$759,MATCH(M27,$AO$2:$AO$759,0),2)</f>
        <v>0</v>
      </c>
      <c r="O27" s="434">
        <f>INDEX($AO$2:$AQ$759,MATCH(M27,$AO$2:$AO$759,0),3)</f>
        <v>0</v>
      </c>
      <c r="P27" s="398">
        <v>0</v>
      </c>
      <c r="Q27" s="644">
        <f>P27*N27</f>
        <v>0</v>
      </c>
      <c r="R27" s="374">
        <v>0</v>
      </c>
      <c r="S27" s="398">
        <v>0</v>
      </c>
      <c r="T27" s="398">
        <v>0</v>
      </c>
      <c r="U27" s="398">
        <v>0</v>
      </c>
      <c r="V27" s="398">
        <v>0</v>
      </c>
      <c r="W27" s="398">
        <v>0</v>
      </c>
      <c r="X27" s="398">
        <v>0</v>
      </c>
      <c r="Y27" s="398">
        <v>0</v>
      </c>
      <c r="Z27" s="398">
        <v>0</v>
      </c>
      <c r="AA27" s="398">
        <v>0</v>
      </c>
      <c r="AB27" s="398">
        <v>0</v>
      </c>
      <c r="AC27" s="398">
        <v>0</v>
      </c>
      <c r="AD27" s="398">
        <v>0</v>
      </c>
      <c r="AE27" s="398">
        <v>0</v>
      </c>
      <c r="AL27">
        <f t="shared" si="5"/>
        <v>4</v>
      </c>
      <c r="AM27">
        <f t="shared" si="6"/>
        <v>26</v>
      </c>
      <c r="AN27" s="437">
        <v>15</v>
      </c>
      <c r="AO27" s="437" t="s">
        <v>2773</v>
      </c>
      <c r="AP27" s="438">
        <v>34066600000</v>
      </c>
      <c r="AQ27" s="439">
        <v>50000</v>
      </c>
      <c r="AR27">
        <f>IF($N$62="No",-20,1)</f>
        <v>1</v>
      </c>
      <c r="AX27">
        <f>IF($N$71="No",-20,1)</f>
        <v>1</v>
      </c>
      <c r="BG27">
        <f>IF($P$62=0,1,IF(AQ27&lt;=$P$62,1,-20))</f>
        <v>1</v>
      </c>
      <c r="BJ27">
        <f t="shared" si="4"/>
        <v>1</v>
      </c>
      <c r="BK27" s="57">
        <f t="shared" si="7"/>
        <v>26</v>
      </c>
      <c r="BL27" s="57" t="str">
        <f t="shared" si="8"/>
        <v>Arakoine Strike Cruiser (HG'22)</v>
      </c>
      <c r="BM27">
        <v>26</v>
      </c>
      <c r="BN27" t="str">
        <f t="shared" si="0"/>
        <v/>
      </c>
      <c r="BO27" s="4">
        <f t="shared" si="1"/>
        <v>0</v>
      </c>
    </row>
    <row r="28" spans="1:67" ht="15" thickBot="1" x14ac:dyDescent="0.35">
      <c r="C28" s="1" t="s">
        <v>296</v>
      </c>
      <c r="D28" s="1" t="s">
        <v>73</v>
      </c>
      <c r="F28" s="4"/>
      <c r="H28" s="10"/>
      <c r="I28" s="409" t="s">
        <v>2005</v>
      </c>
      <c r="J28" s="409"/>
      <c r="K28" s="440"/>
      <c r="L28" s="429" t="s">
        <v>612</v>
      </c>
      <c r="M28" s="421" t="s">
        <v>1020</v>
      </c>
      <c r="N28" s="433">
        <f t="shared" ref="N28:N36" si="11">INDEX($AO$2:$AQ$759,MATCH(M28,$AO$2:$AO$759,0),2)</f>
        <v>0</v>
      </c>
      <c r="O28" s="434">
        <f t="shared" ref="O28:O36" si="12">INDEX($AO$2:$AQ$759,MATCH(M28,$AO$2:$AO$759,0),3)</f>
        <v>0</v>
      </c>
      <c r="P28" s="422">
        <v>0</v>
      </c>
      <c r="Q28" s="645">
        <f t="shared" ref="Q28:Q45" si="13">P28*N28</f>
        <v>0</v>
      </c>
      <c r="R28" s="641">
        <v>0</v>
      </c>
      <c r="S28" s="422">
        <v>0</v>
      </c>
      <c r="T28" s="422">
        <v>0</v>
      </c>
      <c r="U28" s="422">
        <v>0</v>
      </c>
      <c r="V28" s="422">
        <v>0</v>
      </c>
      <c r="W28" s="422">
        <v>0</v>
      </c>
      <c r="X28" s="422">
        <v>0</v>
      </c>
      <c r="Y28" s="422">
        <v>0</v>
      </c>
      <c r="Z28" s="422">
        <v>0</v>
      </c>
      <c r="AA28" s="422">
        <v>0</v>
      </c>
      <c r="AB28" s="422">
        <v>0</v>
      </c>
      <c r="AC28" s="422">
        <v>0</v>
      </c>
      <c r="AD28" s="422">
        <v>0</v>
      </c>
      <c r="AE28" s="422">
        <v>0</v>
      </c>
      <c r="AG28" t="s">
        <v>386</v>
      </c>
      <c r="AI28" t="s">
        <v>764</v>
      </c>
      <c r="AJ28">
        <f>SUM(AJ29:AJ32)</f>
        <v>0</v>
      </c>
      <c r="AL28">
        <f t="shared" si="5"/>
        <v>5</v>
      </c>
      <c r="AM28">
        <f t="shared" si="6"/>
        <v>27</v>
      </c>
      <c r="AN28">
        <v>11</v>
      </c>
      <c r="AO28" t="s">
        <v>2774</v>
      </c>
      <c r="AP28" s="4">
        <v>455000</v>
      </c>
      <c r="AQ28">
        <v>20</v>
      </c>
      <c r="AR28">
        <f>IF($N$63="No",-20,1)</f>
        <v>1</v>
      </c>
      <c r="AS28">
        <f>IF($N$64="No",-20,1)</f>
        <v>1</v>
      </c>
      <c r="AU28">
        <f>IF($N$68="No",-20,1)</f>
        <v>1</v>
      </c>
      <c r="BH28">
        <f>IF($P$63=0,1,IF(AQ28&lt;=$P$63,1,-20))</f>
        <v>1</v>
      </c>
      <c r="BJ28">
        <f t="shared" si="4"/>
        <v>1</v>
      </c>
      <c r="BK28" s="57">
        <f t="shared" si="7"/>
        <v>27</v>
      </c>
      <c r="BL28" s="57" t="str">
        <f t="shared" si="8"/>
        <v>Architeuthis Biotech Airship (Vehicle Handbook)</v>
      </c>
      <c r="BM28">
        <v>27</v>
      </c>
      <c r="BN28" t="str">
        <f t="shared" si="0"/>
        <v/>
      </c>
      <c r="BO28" s="4">
        <f t="shared" si="1"/>
        <v>0</v>
      </c>
    </row>
    <row r="29" spans="1:67" ht="16.2" thickBot="1" x14ac:dyDescent="0.35">
      <c r="A29" t="s">
        <v>941</v>
      </c>
      <c r="B29" s="251" t="s">
        <v>106</v>
      </c>
      <c r="C29" s="232">
        <v>1</v>
      </c>
      <c r="D29" s="266">
        <v>2</v>
      </c>
      <c r="E29">
        <f>VLOOKUP(B29,AG20:AH25,2)</f>
        <v>0</v>
      </c>
      <c r="F29" s="4">
        <f>VLOOKUP(B29,AG20:AI25,3)*C29</f>
        <v>0</v>
      </c>
      <c r="H29" s="10">
        <v>0</v>
      </c>
      <c r="I29" s="634"/>
      <c r="J29" s="655"/>
      <c r="K29" s="440"/>
      <c r="L29" s="429" t="s">
        <v>1646</v>
      </c>
      <c r="M29" s="420" t="s">
        <v>1020</v>
      </c>
      <c r="N29" s="433">
        <f t="shared" si="11"/>
        <v>0</v>
      </c>
      <c r="O29" s="434">
        <f t="shared" si="12"/>
        <v>0</v>
      </c>
      <c r="P29" s="398">
        <v>0</v>
      </c>
      <c r="Q29" s="644">
        <f t="shared" si="13"/>
        <v>0</v>
      </c>
      <c r="R29" s="374">
        <v>0</v>
      </c>
      <c r="S29" s="398">
        <v>0</v>
      </c>
      <c r="T29" s="398">
        <v>0</v>
      </c>
      <c r="U29" s="398">
        <v>0</v>
      </c>
      <c r="V29" s="398">
        <v>0</v>
      </c>
      <c r="W29" s="398">
        <v>0</v>
      </c>
      <c r="X29" s="398">
        <v>0</v>
      </c>
      <c r="Y29" s="398">
        <v>0</v>
      </c>
      <c r="Z29" s="398">
        <v>0</v>
      </c>
      <c r="AA29" s="398">
        <v>0</v>
      </c>
      <c r="AB29" s="398">
        <v>0</v>
      </c>
      <c r="AC29" s="398">
        <v>0</v>
      </c>
      <c r="AD29" s="398">
        <v>0</v>
      </c>
      <c r="AE29" s="398">
        <v>0</v>
      </c>
      <c r="AG29">
        <f>SUM(H10:H65)</f>
        <v>0</v>
      </c>
      <c r="AI29" t="s">
        <v>864</v>
      </c>
      <c r="AJ29">
        <f>IF(MAX(E10:E13,E18,E29:E34)&gt;E2,1,0)</f>
        <v>0</v>
      </c>
      <c r="AL29">
        <f t="shared" si="5"/>
        <v>4</v>
      </c>
      <c r="AM29">
        <f t="shared" si="6"/>
        <v>28</v>
      </c>
      <c r="AN29" s="437">
        <v>15</v>
      </c>
      <c r="AO29" s="437" t="s">
        <v>1688</v>
      </c>
      <c r="AP29" s="438">
        <v>2800000</v>
      </c>
      <c r="AQ29" s="439">
        <v>18</v>
      </c>
      <c r="AR29">
        <f>IF($N$65="No",-20,1)</f>
        <v>1</v>
      </c>
      <c r="AX29">
        <f>IF($N$71="No",-20,1)</f>
        <v>1</v>
      </c>
      <c r="BI29">
        <f>IF($P$65=0,1,IF(AQ29&lt;=$P$65,1,-20))</f>
        <v>1</v>
      </c>
      <c r="BJ29">
        <f t="shared" si="4"/>
        <v>1</v>
      </c>
      <c r="BK29" s="57">
        <f t="shared" si="7"/>
        <v>28</v>
      </c>
      <c r="BL29" s="57" t="str">
        <f t="shared" si="8"/>
        <v>Ardent (DR:CG)</v>
      </c>
      <c r="BM29">
        <v>28</v>
      </c>
      <c r="BN29" t="str">
        <f t="shared" si="0"/>
        <v/>
      </c>
      <c r="BO29" s="4">
        <f t="shared" si="1"/>
        <v>0</v>
      </c>
    </row>
    <row r="30" spans="1:67" ht="15" thickBot="1" x14ac:dyDescent="0.35">
      <c r="A30" t="s">
        <v>451</v>
      </c>
      <c r="B30" s="251" t="s">
        <v>362</v>
      </c>
      <c r="C30" s="232">
        <v>0</v>
      </c>
      <c r="D30" s="232">
        <v>0</v>
      </c>
      <c r="E30">
        <f>VLOOKUP(B30,AG20:AH25,2)</f>
        <v>0</v>
      </c>
      <c r="F30" s="4">
        <f>H30*100000+(VLOOKUP(B30,AG20:AI25,3)*C30)</f>
        <v>0</v>
      </c>
      <c r="H30" s="10">
        <f>IF(B30=AG20,0,D30*C30)</f>
        <v>0</v>
      </c>
      <c r="I30" s="634"/>
      <c r="J30" s="655"/>
      <c r="K30" s="440"/>
      <c r="L30" s="429" t="s">
        <v>1647</v>
      </c>
      <c r="M30" s="421" t="s">
        <v>1020</v>
      </c>
      <c r="N30" s="433">
        <f t="shared" si="11"/>
        <v>0</v>
      </c>
      <c r="O30" s="434">
        <f t="shared" si="12"/>
        <v>0</v>
      </c>
      <c r="P30" s="422">
        <v>0</v>
      </c>
      <c r="Q30" s="645">
        <f t="shared" si="13"/>
        <v>0</v>
      </c>
      <c r="R30" s="641">
        <v>0</v>
      </c>
      <c r="S30" s="422">
        <v>0</v>
      </c>
      <c r="T30" s="422">
        <v>0</v>
      </c>
      <c r="U30" s="422">
        <v>0</v>
      </c>
      <c r="V30" s="422">
        <v>0</v>
      </c>
      <c r="W30" s="422">
        <v>0</v>
      </c>
      <c r="X30" s="422">
        <v>0</v>
      </c>
      <c r="Y30" s="422">
        <v>0</v>
      </c>
      <c r="Z30" s="422">
        <v>0</v>
      </c>
      <c r="AA30" s="422">
        <v>0</v>
      </c>
      <c r="AB30" s="422">
        <v>0</v>
      </c>
      <c r="AC30" s="422">
        <v>0</v>
      </c>
      <c r="AD30" s="422">
        <v>0</v>
      </c>
      <c r="AE30" s="422">
        <v>0</v>
      </c>
      <c r="AI30" t="s">
        <v>942</v>
      </c>
      <c r="AJ30">
        <f>IF(AND(C29&gt;0,'1-Hull'!B4&lt;100),1,0)</f>
        <v>0</v>
      </c>
      <c r="AL30">
        <f t="shared" si="5"/>
        <v>3</v>
      </c>
      <c r="AM30">
        <f t="shared" si="6"/>
        <v>29</v>
      </c>
      <c r="AN30">
        <v>12</v>
      </c>
      <c r="AO30" t="s">
        <v>2775</v>
      </c>
      <c r="AP30" s="4">
        <v>7825000</v>
      </c>
      <c r="AQ30" s="431">
        <v>60</v>
      </c>
      <c r="AR30">
        <f>IF($N$65="No",-20,1)</f>
        <v>1</v>
      </c>
      <c r="BI30">
        <f>IF($P$65=0,1,IF(AQ30&lt;=$P$65,1,-20))</f>
        <v>1</v>
      </c>
      <c r="BJ30">
        <f t="shared" si="4"/>
        <v>1</v>
      </c>
      <c r="BK30" s="57">
        <f t="shared" si="7"/>
        <v>29</v>
      </c>
      <c r="BL30" s="57" t="str">
        <f t="shared" si="8"/>
        <v>Arladu Utility Boat (Great Rifts Book 2)</v>
      </c>
      <c r="BM30">
        <v>29</v>
      </c>
      <c r="BN30" t="str">
        <f t="shared" si="0"/>
        <v/>
      </c>
      <c r="BO30" s="4">
        <f t="shared" si="1"/>
        <v>0</v>
      </c>
    </row>
    <row r="31" spans="1:67" ht="15" thickBot="1" x14ac:dyDescent="0.35">
      <c r="A31" t="s">
        <v>451</v>
      </c>
      <c r="B31" s="251" t="s">
        <v>362</v>
      </c>
      <c r="C31" s="232">
        <v>0</v>
      </c>
      <c r="D31" s="232">
        <v>0</v>
      </c>
      <c r="E31">
        <f>VLOOKUP(B31,AG20:AH25,2)</f>
        <v>0</v>
      </c>
      <c r="F31" s="4">
        <f>H31*100000+(VLOOKUP(B31,AG20:AI25,3)*C31)</f>
        <v>0</v>
      </c>
      <c r="H31" s="10">
        <f>IF(B31=AG20,0,D31*C31)</f>
        <v>0</v>
      </c>
      <c r="I31" s="634"/>
      <c r="J31" s="655"/>
      <c r="K31" s="440"/>
      <c r="L31" s="429" t="s">
        <v>1648</v>
      </c>
      <c r="M31" s="420" t="s">
        <v>1020</v>
      </c>
      <c r="N31" s="433">
        <f t="shared" si="11"/>
        <v>0</v>
      </c>
      <c r="O31" s="434">
        <f t="shared" si="12"/>
        <v>0</v>
      </c>
      <c r="P31" s="398">
        <v>0</v>
      </c>
      <c r="Q31" s="644">
        <f t="shared" si="13"/>
        <v>0</v>
      </c>
      <c r="R31" s="374">
        <v>0</v>
      </c>
      <c r="S31" s="398">
        <v>0</v>
      </c>
      <c r="T31" s="398">
        <v>0</v>
      </c>
      <c r="U31" s="398">
        <v>0</v>
      </c>
      <c r="V31" s="398">
        <v>0</v>
      </c>
      <c r="W31" s="398">
        <v>0</v>
      </c>
      <c r="X31" s="398">
        <v>0</v>
      </c>
      <c r="Y31" s="398">
        <v>0</v>
      </c>
      <c r="Z31" s="398">
        <v>0</v>
      </c>
      <c r="AA31" s="398">
        <v>0</v>
      </c>
      <c r="AB31" s="398">
        <v>0</v>
      </c>
      <c r="AC31" s="398">
        <v>0</v>
      </c>
      <c r="AD31" s="398">
        <v>0</v>
      </c>
      <c r="AE31" s="398">
        <v>0</v>
      </c>
      <c r="AG31" t="s">
        <v>387</v>
      </c>
      <c r="AI31" t="s">
        <v>943</v>
      </c>
      <c r="AJ31">
        <f>IF(C29&gt;ROUNDUP('1-Hull'!B4/100,0),1,0)</f>
        <v>0</v>
      </c>
      <c r="AL31">
        <f t="shared" si="5"/>
        <v>4</v>
      </c>
      <c r="AM31">
        <f t="shared" si="6"/>
        <v>30</v>
      </c>
      <c r="AN31">
        <v>9</v>
      </c>
      <c r="AO31" t="s">
        <v>2776</v>
      </c>
      <c r="AP31" s="4">
        <v>278500</v>
      </c>
      <c r="AQ31" s="471">
        <v>4</v>
      </c>
      <c r="AR31">
        <f>IF($N$65="No",-20,1)</f>
        <v>1</v>
      </c>
      <c r="AX31">
        <f>IF($N$71="No",-20,1)</f>
        <v>1</v>
      </c>
      <c r="BI31">
        <f>IF($P$65=0,1,IF(AQ31&lt;=$P$65,1,-20))</f>
        <v>1</v>
      </c>
      <c r="BJ31">
        <f t="shared" si="4"/>
        <v>1</v>
      </c>
      <c r="BK31" s="57">
        <f t="shared" si="7"/>
        <v>30</v>
      </c>
      <c r="BL31" s="57" t="str">
        <f t="shared" si="8"/>
        <v>Armed Air/Raft (The Riverlands)</v>
      </c>
      <c r="BM31">
        <v>30</v>
      </c>
      <c r="BN31" t="str">
        <f t="shared" si="0"/>
        <v/>
      </c>
      <c r="BO31" s="4">
        <f t="shared" si="1"/>
        <v>0</v>
      </c>
    </row>
    <row r="32" spans="1:67" ht="16.2" thickBot="1" x14ac:dyDescent="0.35">
      <c r="A32" t="s">
        <v>451</v>
      </c>
      <c r="B32" s="251" t="s">
        <v>362</v>
      </c>
      <c r="C32" s="232">
        <v>0</v>
      </c>
      <c r="D32" s="232">
        <v>0</v>
      </c>
      <c r="E32">
        <f>VLOOKUP(B32,AG20:AH25,2)</f>
        <v>0</v>
      </c>
      <c r="F32" s="4">
        <f>H32*100000+(VLOOKUP(B32,AG20:AI25,3)*C32)</f>
        <v>0</v>
      </c>
      <c r="H32" s="10">
        <f>IF(B32=AG20,0,D32*C32)</f>
        <v>0</v>
      </c>
      <c r="I32" s="634"/>
      <c r="J32" s="655"/>
      <c r="K32" s="440"/>
      <c r="L32" s="429" t="s">
        <v>1649</v>
      </c>
      <c r="M32" s="421" t="s">
        <v>1020</v>
      </c>
      <c r="N32" s="433">
        <f t="shared" si="11"/>
        <v>0</v>
      </c>
      <c r="O32" s="434">
        <f t="shared" si="12"/>
        <v>0</v>
      </c>
      <c r="P32" s="422">
        <v>0</v>
      </c>
      <c r="Q32" s="645">
        <f t="shared" si="13"/>
        <v>0</v>
      </c>
      <c r="R32" s="641">
        <v>0</v>
      </c>
      <c r="S32" s="422">
        <v>0</v>
      </c>
      <c r="T32" s="422">
        <v>0</v>
      </c>
      <c r="U32" s="422">
        <v>0</v>
      </c>
      <c r="V32" s="422">
        <v>0</v>
      </c>
      <c r="W32" s="422">
        <v>0</v>
      </c>
      <c r="X32" s="422">
        <v>0</v>
      </c>
      <c r="Y32" s="422">
        <v>0</v>
      </c>
      <c r="Z32" s="422">
        <v>0</v>
      </c>
      <c r="AA32" s="422">
        <v>0</v>
      </c>
      <c r="AB32" s="422">
        <v>0</v>
      </c>
      <c r="AC32" s="422">
        <v>0</v>
      </c>
      <c r="AD32" s="422">
        <v>0</v>
      </c>
      <c r="AE32" s="422">
        <v>0</v>
      </c>
      <c r="AG32">
        <f>SUM(K10:K65)</f>
        <v>0</v>
      </c>
      <c r="AI32" t="s">
        <v>1960</v>
      </c>
      <c r="AJ32">
        <f>IF(AND(B24&lt;&gt;"",AI66=0),1,0)</f>
        <v>0</v>
      </c>
      <c r="AL32">
        <f t="shared" si="5"/>
        <v>3</v>
      </c>
      <c r="AM32">
        <f t="shared" si="6"/>
        <v>31</v>
      </c>
      <c r="AN32" s="437">
        <v>9</v>
      </c>
      <c r="AO32" s="437" t="s">
        <v>1748</v>
      </c>
      <c r="AP32" s="438">
        <v>25300</v>
      </c>
      <c r="AQ32" s="439">
        <v>3.5</v>
      </c>
      <c r="AR32">
        <f>IF($N$65="No",-20,1)</f>
        <v>1</v>
      </c>
      <c r="BI32">
        <f>IF($P$65=0,1,IF(AQ32&lt;=$P$65,1,-20))</f>
        <v>1</v>
      </c>
      <c r="BJ32">
        <f t="shared" si="4"/>
        <v>1</v>
      </c>
      <c r="BK32" s="57">
        <f t="shared" si="7"/>
        <v>31</v>
      </c>
      <c r="BL32" s="57" t="str">
        <f t="shared" si="8"/>
        <v>Armored Car (DC)</v>
      </c>
    </row>
    <row r="33" spans="1:66" ht="15" thickBot="1" x14ac:dyDescent="0.35">
      <c r="A33" t="s">
        <v>451</v>
      </c>
      <c r="B33" s="251" t="s">
        <v>362</v>
      </c>
      <c r="C33" s="232">
        <v>0</v>
      </c>
      <c r="D33" s="232">
        <v>0</v>
      </c>
      <c r="E33">
        <f>VLOOKUP(B33,AG20:AH25,2)</f>
        <v>0</v>
      </c>
      <c r="F33" s="4">
        <f>H33*100000+(VLOOKUP(B33,AG20:AI25,3)*C33)</f>
        <v>0</v>
      </c>
      <c r="H33" s="10">
        <f>IF(B33=AG20,0,D33*C33)</f>
        <v>0</v>
      </c>
      <c r="I33" s="634"/>
      <c r="J33" s="655"/>
      <c r="K33" s="440"/>
      <c r="L33" s="429" t="s">
        <v>1647</v>
      </c>
      <c r="M33" s="420" t="s">
        <v>1020</v>
      </c>
      <c r="N33" s="433">
        <f t="shared" si="11"/>
        <v>0</v>
      </c>
      <c r="O33" s="434">
        <f t="shared" si="12"/>
        <v>0</v>
      </c>
      <c r="P33" s="398">
        <v>0</v>
      </c>
      <c r="Q33" s="644">
        <f t="shared" si="13"/>
        <v>0</v>
      </c>
      <c r="R33" s="374">
        <v>0</v>
      </c>
      <c r="S33" s="398">
        <v>0</v>
      </c>
      <c r="T33" s="398">
        <v>0</v>
      </c>
      <c r="U33" s="398">
        <v>0</v>
      </c>
      <c r="V33" s="398">
        <v>0</v>
      </c>
      <c r="W33" s="398">
        <v>0</v>
      </c>
      <c r="X33" s="398">
        <v>0</v>
      </c>
      <c r="Y33" s="398">
        <v>0</v>
      </c>
      <c r="Z33" s="398">
        <v>0</v>
      </c>
      <c r="AA33" s="398">
        <v>0</v>
      </c>
      <c r="AB33" s="398">
        <v>0</v>
      </c>
      <c r="AC33" s="398">
        <v>0</v>
      </c>
      <c r="AD33" s="398">
        <v>0</v>
      </c>
      <c r="AE33" s="398">
        <v>0</v>
      </c>
      <c r="AG33" s="3" t="s">
        <v>615</v>
      </c>
      <c r="AH33">
        <f>IF(OR('Ship Info'!F6,'Ship Info'!F7),'9a-Optional'!AJ33,AI33)</f>
        <v>1</v>
      </c>
      <c r="AI33">
        <f>IF('1-Hull'!B4&lt;100,0,ROUNDUP('1-Hull'!B4/100,0))</f>
        <v>1</v>
      </c>
      <c r="AJ33">
        <f>IF('1-Hull'!B4&lt;100,0,ROUNDUP('1-Hull'!B4/500,0))</f>
        <v>1</v>
      </c>
      <c r="AL33">
        <f t="shared" si="5"/>
        <v>4</v>
      </c>
      <c r="AM33">
        <f t="shared" si="6"/>
        <v>32</v>
      </c>
      <c r="AN33">
        <v>12</v>
      </c>
      <c r="AO33" t="s">
        <v>2777</v>
      </c>
      <c r="AP33" s="4">
        <v>198000</v>
      </c>
      <c r="AQ33">
        <v>10</v>
      </c>
      <c r="AR33">
        <f>IF($N$63="No",-20,1)</f>
        <v>1</v>
      </c>
      <c r="AU33">
        <f>IF($N$68="No",-20,1)</f>
        <v>1</v>
      </c>
      <c r="BH33">
        <f>IF($P$63=0,1,IF(AQ33&lt;=$P$63,1,-20))</f>
        <v>1</v>
      </c>
      <c r="BJ33">
        <f t="shared" si="4"/>
        <v>1</v>
      </c>
      <c r="BK33" s="57">
        <f t="shared" si="7"/>
        <v>32</v>
      </c>
      <c r="BL33" s="57" t="str">
        <f t="shared" si="8"/>
        <v>Armored Fighting Vehicle (Vehicle Handbook)</v>
      </c>
    </row>
    <row r="34" spans="1:66" ht="15" thickBot="1" x14ac:dyDescent="0.35">
      <c r="A34" t="s">
        <v>451</v>
      </c>
      <c r="B34" s="251" t="s">
        <v>362</v>
      </c>
      <c r="C34" s="232">
        <v>0</v>
      </c>
      <c r="D34" s="232">
        <v>0</v>
      </c>
      <c r="E34">
        <f>VLOOKUP(B34,AG20:AH25,2)</f>
        <v>0</v>
      </c>
      <c r="F34" s="4">
        <f>H34*100000+(VLOOKUP(B34,AG20:AI25,3)*C34)</f>
        <v>0</v>
      </c>
      <c r="H34" s="10">
        <f>IF(B34=AG20,0,D34*C34)</f>
        <v>0</v>
      </c>
      <c r="I34" s="634"/>
      <c r="J34" s="655"/>
      <c r="K34" s="440"/>
      <c r="L34" s="429" t="s">
        <v>1650</v>
      </c>
      <c r="M34" s="421" t="s">
        <v>1020</v>
      </c>
      <c r="N34" s="433">
        <f t="shared" si="11"/>
        <v>0</v>
      </c>
      <c r="O34" s="434">
        <f t="shared" si="12"/>
        <v>0</v>
      </c>
      <c r="P34" s="422">
        <v>0</v>
      </c>
      <c r="Q34" s="645">
        <f t="shared" si="13"/>
        <v>0</v>
      </c>
      <c r="R34" s="641">
        <v>0</v>
      </c>
      <c r="S34" s="422">
        <v>0</v>
      </c>
      <c r="T34" s="422">
        <v>0</v>
      </c>
      <c r="U34" s="422">
        <v>0</v>
      </c>
      <c r="V34" s="422">
        <v>0</v>
      </c>
      <c r="W34" s="422">
        <v>0</v>
      </c>
      <c r="X34" s="422">
        <v>0</v>
      </c>
      <c r="Y34" s="422">
        <v>0</v>
      </c>
      <c r="Z34" s="422">
        <v>0</v>
      </c>
      <c r="AA34" s="422">
        <v>0</v>
      </c>
      <c r="AB34" s="422">
        <v>0</v>
      </c>
      <c r="AC34" s="422">
        <v>0</v>
      </c>
      <c r="AD34" s="422">
        <v>0</v>
      </c>
      <c r="AE34" s="422">
        <v>0</v>
      </c>
      <c r="AG34" t="str">
        <f>IF(B29=AG20,"",C29&amp;"x "&amp;A29&amp;": "&amp;D29&amp;" tons"&amp;IF(B29=AG21,"",", "&amp;B29))&amp;""&amp;IF(B30=AG20,"",IF(B30=AG21,", "&amp;C30&amp;"x "&amp;D30&amp;" ton "&amp;A30,", "&amp;C30&amp;"x "&amp;D30&amp;" ton "&amp;A30&amp;", "&amp;B30))&amp;""&amp;IF(B31=AG20,"",IF(B31=AG21,", "&amp;C31&amp;"x "&amp;D31&amp;" ton "&amp;A31,", "&amp;C31&amp;"x "&amp;D31&amp;" ton "&amp;A31&amp;", "&amp;B31))&amp;""&amp;IF(B32=AG20,"",IF(B32=AG21,", "&amp;C32&amp;"x "&amp;D32&amp;" ton "&amp;A32,", "&amp;C32&amp;"x "&amp;D32&amp;" ton "&amp;A32&amp;", "&amp;B32))&amp;""&amp;IF(B33=AG20,"",IF(B33=AG21,", "&amp;C33&amp;"x "&amp;D33&amp;" ton "&amp;A33,", "&amp;C33&amp;"x "&amp;D33&amp;" ton "&amp;A33&amp;", "&amp;B33))&amp;""&amp;IF(B34=AG20,"",IF(B34=AG21,", "&amp;C34&amp;"x "&amp;D34&amp;" ton "&amp;A34,", "&amp;C34&amp;"x "&amp;D34&amp;" ton "&amp;A34&amp;", "&amp;B34))&amp;""</f>
        <v>1x Included Airlock(s): 2 tons</v>
      </c>
      <c r="AL34">
        <f t="shared" si="5"/>
        <v>5</v>
      </c>
      <c r="AM34">
        <f t="shared" si="6"/>
        <v>33</v>
      </c>
      <c r="AN34">
        <v>12</v>
      </c>
      <c r="AO34" t="s">
        <v>2777</v>
      </c>
      <c r="AP34" s="4">
        <v>198000</v>
      </c>
      <c r="AQ34">
        <v>10</v>
      </c>
      <c r="AR34">
        <f>IF($N$63="No",-20,1)</f>
        <v>1</v>
      </c>
      <c r="AS34">
        <f>IF($N$64="No",-20,1)</f>
        <v>1</v>
      </c>
      <c r="AU34">
        <f>IF($N$68="No",-20,1)</f>
        <v>1</v>
      </c>
      <c r="BH34">
        <f>IF($P$63=0,1,IF(AQ34&lt;=$P$63,1,-20))</f>
        <v>1</v>
      </c>
      <c r="BJ34">
        <f t="shared" si="4"/>
        <v>1</v>
      </c>
      <c r="BK34" s="57">
        <f t="shared" si="7"/>
        <v>33</v>
      </c>
      <c r="BL34" s="57" t="str">
        <f t="shared" si="8"/>
        <v>Armored Fighting Vehicle (Vehicle Handbook)</v>
      </c>
      <c r="BN34" t="s">
        <v>2188</v>
      </c>
    </row>
    <row r="35" spans="1:66" ht="15" thickBot="1" x14ac:dyDescent="0.35">
      <c r="A35" s="5" t="s">
        <v>1800</v>
      </c>
      <c r="B35" s="2"/>
      <c r="C35" s="2"/>
      <c r="D35" s="2"/>
      <c r="F35" s="4"/>
      <c r="H35" s="10"/>
      <c r="K35" s="440"/>
      <c r="L35" s="429" t="s">
        <v>1649</v>
      </c>
      <c r="M35" s="420" t="s">
        <v>1020</v>
      </c>
      <c r="N35" s="433">
        <f t="shared" si="11"/>
        <v>0</v>
      </c>
      <c r="O35" s="434">
        <f t="shared" si="12"/>
        <v>0</v>
      </c>
      <c r="P35" s="398">
        <v>0</v>
      </c>
      <c r="Q35" s="644">
        <f t="shared" si="13"/>
        <v>0</v>
      </c>
      <c r="R35" s="374">
        <v>0</v>
      </c>
      <c r="S35" s="398">
        <v>0</v>
      </c>
      <c r="T35" s="398">
        <v>0</v>
      </c>
      <c r="U35" s="398">
        <v>0</v>
      </c>
      <c r="V35" s="398">
        <v>0</v>
      </c>
      <c r="W35" s="398">
        <v>0</v>
      </c>
      <c r="X35" s="398">
        <v>0</v>
      </c>
      <c r="Y35" s="398">
        <v>0</v>
      </c>
      <c r="Z35" s="398">
        <v>0</v>
      </c>
      <c r="AA35" s="398">
        <v>0</v>
      </c>
      <c r="AB35" s="398">
        <v>0</v>
      </c>
      <c r="AC35" s="398">
        <v>0</v>
      </c>
      <c r="AD35" s="398">
        <v>0</v>
      </c>
      <c r="AE35" s="398">
        <v>0</v>
      </c>
      <c r="AG35" s="3" t="s">
        <v>412</v>
      </c>
      <c r="AL35">
        <f t="shared" si="5"/>
        <v>3</v>
      </c>
      <c r="AM35">
        <f t="shared" si="6"/>
        <v>34</v>
      </c>
      <c r="AN35">
        <v>12</v>
      </c>
      <c r="AO35" t="s">
        <v>2778</v>
      </c>
      <c r="AP35" s="4">
        <v>652225</v>
      </c>
      <c r="AQ35" s="431">
        <v>8</v>
      </c>
      <c r="AR35">
        <f>IF($N$62="No",-20,1)</f>
        <v>1</v>
      </c>
      <c r="BG35">
        <f>IF($P$62=0,1,IF(AQ35&lt;=$P$62,1,-20))</f>
        <v>1</v>
      </c>
      <c r="BJ35">
        <f t="shared" ref="BJ35:BJ66" si="14">IF($N$61="Yes",1,IF(AN35&gt;TL,-20,1))</f>
        <v>1</v>
      </c>
      <c r="BK35" s="57">
        <f t="shared" si="7"/>
        <v>34</v>
      </c>
      <c r="BL35" s="57" t="str">
        <f t="shared" si="8"/>
        <v>Armored G/Car (Bounty Hunter)</v>
      </c>
    </row>
    <row r="36" spans="1:66" ht="15" thickBot="1" x14ac:dyDescent="0.35">
      <c r="A36" s="251" t="s">
        <v>456</v>
      </c>
      <c r="B36" s="251"/>
      <c r="C36" s="327">
        <v>0</v>
      </c>
      <c r="D36" s="327">
        <v>0</v>
      </c>
      <c r="F36" s="4">
        <f t="shared" ref="F36:F41" si="15">IF(H36&gt;0,H36*250000,0)*IF(A36=$AG$55,1,2)</f>
        <v>0</v>
      </c>
      <c r="H36" s="10">
        <f t="shared" ref="H36:H41" si="16">ROUNDUP(C36*D36*1.1,0)</f>
        <v>0</v>
      </c>
      <c r="K36" s="440"/>
      <c r="L36" s="430"/>
      <c r="M36" s="423" t="s">
        <v>1020</v>
      </c>
      <c r="N36" s="433">
        <f t="shared" si="11"/>
        <v>0</v>
      </c>
      <c r="O36" s="434">
        <f t="shared" si="12"/>
        <v>0</v>
      </c>
      <c r="P36" s="424">
        <v>0</v>
      </c>
      <c r="Q36" s="645">
        <f t="shared" si="13"/>
        <v>0</v>
      </c>
      <c r="R36" s="642">
        <v>0</v>
      </c>
      <c r="S36" s="424">
        <v>0</v>
      </c>
      <c r="T36" s="424">
        <v>0</v>
      </c>
      <c r="U36" s="424">
        <v>0</v>
      </c>
      <c r="V36" s="424">
        <v>0</v>
      </c>
      <c r="W36" s="424">
        <v>0</v>
      </c>
      <c r="X36" s="424">
        <v>0</v>
      </c>
      <c r="Y36" s="424">
        <v>0</v>
      </c>
      <c r="Z36" s="424">
        <v>0</v>
      </c>
      <c r="AA36" s="424">
        <v>0</v>
      </c>
      <c r="AB36" s="424">
        <v>0</v>
      </c>
      <c r="AC36" s="424">
        <v>0</v>
      </c>
      <c r="AD36" s="424">
        <v>0</v>
      </c>
      <c r="AE36" s="424">
        <v>0</v>
      </c>
      <c r="AG36" t="str">
        <f>IF(B10=AG3,"",", "&amp;A10&amp;": "&amp;D10)&amp;""&amp;IF(B11=AG3,"",", "&amp;A11&amp;": "&amp;D11)&amp;""&amp;IF(B12=AG3,"",", "&amp;A12&amp;": "&amp;D12)&amp;""&amp;IF(B13=AG3,"",", "&amp;A13)</f>
        <v/>
      </c>
      <c r="AL36">
        <f t="shared" si="5"/>
        <v>4</v>
      </c>
      <c r="AM36">
        <f t="shared" si="6"/>
        <v>35</v>
      </c>
      <c r="AN36">
        <v>8</v>
      </c>
      <c r="AO36" t="s">
        <v>2779</v>
      </c>
      <c r="AP36" s="4">
        <v>10000</v>
      </c>
      <c r="AQ36">
        <v>5</v>
      </c>
      <c r="AR36">
        <f>IF($N$62="No",-20,1)</f>
        <v>1</v>
      </c>
      <c r="BF36">
        <f>IF($N$79="No",-20,1)</f>
        <v>1</v>
      </c>
      <c r="BG36">
        <f>IF($P$62=0,1,IF(AQ36&lt;=$P$62,1,-20))</f>
        <v>1</v>
      </c>
      <c r="BJ36">
        <f t="shared" si="14"/>
        <v>1</v>
      </c>
      <c r="BK36" s="57">
        <f t="shared" si="7"/>
        <v>35</v>
      </c>
      <c r="BL36" s="57" t="str">
        <f t="shared" si="8"/>
        <v>Armored Van (Vehicle Handbook)</v>
      </c>
    </row>
    <row r="37" spans="1:66" ht="15.6" thickTop="1" thickBot="1" x14ac:dyDescent="0.35">
      <c r="A37" s="251" t="s">
        <v>456</v>
      </c>
      <c r="B37" s="251"/>
      <c r="C37" s="327">
        <v>0</v>
      </c>
      <c r="D37" s="327">
        <v>0</v>
      </c>
      <c r="F37" s="4">
        <f t="shared" si="15"/>
        <v>0</v>
      </c>
      <c r="H37" s="10">
        <f t="shared" si="16"/>
        <v>0</v>
      </c>
      <c r="K37" s="440"/>
      <c r="L37" s="425"/>
      <c r="M37" s="418"/>
      <c r="N37" s="435"/>
      <c r="O37" s="435"/>
      <c r="P37" s="419">
        <v>0</v>
      </c>
      <c r="Q37" s="644">
        <f t="shared" si="13"/>
        <v>0</v>
      </c>
      <c r="R37" s="402">
        <v>0</v>
      </c>
      <c r="S37" s="419">
        <v>0</v>
      </c>
      <c r="T37" s="419">
        <v>0</v>
      </c>
      <c r="U37" s="419">
        <v>0</v>
      </c>
      <c r="V37" s="419">
        <v>0</v>
      </c>
      <c r="W37" s="419">
        <v>0</v>
      </c>
      <c r="X37" s="419">
        <v>0</v>
      </c>
      <c r="Y37" s="419">
        <v>0</v>
      </c>
      <c r="Z37" s="419">
        <v>0</v>
      </c>
      <c r="AA37" s="419">
        <v>0</v>
      </c>
      <c r="AB37" s="419">
        <v>0</v>
      </c>
      <c r="AC37" s="419">
        <v>0</v>
      </c>
      <c r="AD37" s="419">
        <v>0</v>
      </c>
      <c r="AE37" s="419">
        <v>0</v>
      </c>
      <c r="AG37" s="3" t="s">
        <v>422</v>
      </c>
      <c r="AL37">
        <f t="shared" si="5"/>
        <v>4</v>
      </c>
      <c r="AM37">
        <f t="shared" si="6"/>
        <v>36</v>
      </c>
      <c r="AN37">
        <v>7</v>
      </c>
      <c r="AO37" t="s">
        <v>2234</v>
      </c>
      <c r="AP37" s="4">
        <v>61000</v>
      </c>
      <c r="AQ37" s="471">
        <v>1.5</v>
      </c>
      <c r="AR37">
        <f>IF($N$62="No",-20,1)</f>
        <v>1</v>
      </c>
      <c r="AW37">
        <f>IF($N$70="No",-20,1)</f>
        <v>1</v>
      </c>
      <c r="BG37">
        <f>IF($P$62=0,1,IF(AQ37&lt;=$P$62,1,-20))</f>
        <v>1</v>
      </c>
      <c r="BJ37">
        <f t="shared" si="14"/>
        <v>1</v>
      </c>
      <c r="BK37" s="57">
        <f t="shared" si="7"/>
        <v>36</v>
      </c>
      <c r="BL37" s="57" t="str">
        <f t="shared" si="8"/>
        <v>Armoured Ground Car  (Reach Adventure #9)</v>
      </c>
    </row>
    <row r="38" spans="1:66" ht="15" thickBot="1" x14ac:dyDescent="0.35">
      <c r="A38" s="251" t="s">
        <v>456</v>
      </c>
      <c r="B38" s="251"/>
      <c r="C38" s="327">
        <v>0</v>
      </c>
      <c r="D38" s="327">
        <v>0</v>
      </c>
      <c r="F38" s="4">
        <f t="shared" si="15"/>
        <v>0</v>
      </c>
      <c r="H38" s="10">
        <f t="shared" si="16"/>
        <v>0</v>
      </c>
      <c r="K38" s="440"/>
      <c r="L38" s="426"/>
      <c r="M38" s="196"/>
      <c r="N38" s="285"/>
      <c r="O38" s="285"/>
      <c r="P38" s="285">
        <v>0</v>
      </c>
      <c r="Q38" s="391">
        <f t="shared" si="13"/>
        <v>0</v>
      </c>
      <c r="R38" s="219">
        <v>0</v>
      </c>
      <c r="S38" s="285">
        <v>0</v>
      </c>
      <c r="T38" s="285">
        <v>0</v>
      </c>
      <c r="U38" s="285">
        <v>0</v>
      </c>
      <c r="V38" s="285">
        <v>0</v>
      </c>
      <c r="W38" s="285">
        <v>0</v>
      </c>
      <c r="X38" s="285">
        <v>0</v>
      </c>
      <c r="Y38" s="285">
        <v>0</v>
      </c>
      <c r="Z38" s="285">
        <v>0</v>
      </c>
      <c r="AA38" s="285">
        <v>0</v>
      </c>
      <c r="AB38" s="285">
        <v>0</v>
      </c>
      <c r="AC38" s="285">
        <v>0</v>
      </c>
      <c r="AD38" s="285">
        <v>0</v>
      </c>
      <c r="AE38" s="285">
        <v>0</v>
      </c>
      <c r="AG38" t="str">
        <f>IF(B17=AG3,"",", "&amp;C17&amp;"x "&amp;A17)&amp;""&amp;IF(C19=AH2,""," combined with")&amp;""&amp;IF(B18=AG14,"",", "&amp;C18&amp;"x "&amp;B18&amp;" "&amp;A18)&amp;""&amp;IF(B20=AG3,"",", "&amp;C20&amp;"x "&amp;A20)&amp;""&amp;IF(B21=AG3,"",", "&amp;C21&amp;"x "&amp;A21)&amp;""&amp;IF(B22=AG3,"",", "&amp;A22)&amp;""&amp;IF(B23=AG3,"",", "&amp;A23&amp;": "&amp;C23&amp;" tons")&amp;IF(B43=AG20,"",", "&amp;C43&amp;"x "&amp;A43)&amp;IF(B44=AG20,"",", "&amp;C44&amp;"x "&amp;A44)&amp;IF(B45=AG20,"",", "&amp;C45&amp;"x "&amp;A45)&amp;IF(B46=AG20,"",", "&amp;C46&amp;"x "&amp;A46)&amp;IF(B47=AG20,"",", "&amp;C47&amp;"x "&amp;A47)</f>
        <v>, 0x Docking Clamp Type I, 0x Docking Clamp Type II, 0x Docking Clamp Type III, 0x Docking Clamp Type IV, 0x Docking Clamp Type V</v>
      </c>
      <c r="AL38">
        <f t="shared" si="5"/>
        <v>4</v>
      </c>
      <c r="AM38">
        <f t="shared" si="6"/>
        <v>37</v>
      </c>
      <c r="AN38">
        <v>11</v>
      </c>
      <c r="AO38" t="s">
        <v>2780</v>
      </c>
      <c r="AP38" s="4">
        <v>235000</v>
      </c>
      <c r="AQ38">
        <v>10</v>
      </c>
      <c r="AR38">
        <f>IF($N$62="No",-20,1)</f>
        <v>1</v>
      </c>
      <c r="BF38">
        <f>IF($N$79="No",-20,1)</f>
        <v>1</v>
      </c>
      <c r="BG38">
        <f>IF($P$62=0,1,IF(AQ38&lt;=$P$62,1,-20))</f>
        <v>1</v>
      </c>
      <c r="BJ38">
        <f t="shared" si="14"/>
        <v>1</v>
      </c>
      <c r="BK38" s="57">
        <f t="shared" si="7"/>
        <v>37</v>
      </c>
      <c r="BL38" s="57" t="str">
        <f t="shared" si="8"/>
        <v>Arthur Mining Robot (Vehicle Handbook)</v>
      </c>
    </row>
    <row r="39" spans="1:66" ht="15" thickBot="1" x14ac:dyDescent="0.35">
      <c r="A39" s="251" t="s">
        <v>456</v>
      </c>
      <c r="B39" s="251"/>
      <c r="C39" s="327">
        <v>0</v>
      </c>
      <c r="D39" s="327">
        <v>0</v>
      </c>
      <c r="F39" s="4">
        <f t="shared" si="15"/>
        <v>0</v>
      </c>
      <c r="H39" s="10">
        <f t="shared" si="16"/>
        <v>0</v>
      </c>
      <c r="K39" s="440"/>
      <c r="L39" s="426"/>
      <c r="M39" s="204"/>
      <c r="N39" s="398"/>
      <c r="O39" s="398"/>
      <c r="P39" s="398">
        <v>0</v>
      </c>
      <c r="Q39" s="644">
        <f t="shared" si="13"/>
        <v>0</v>
      </c>
      <c r="R39" s="374">
        <v>0</v>
      </c>
      <c r="S39" s="398">
        <v>0</v>
      </c>
      <c r="T39" s="398">
        <v>0</v>
      </c>
      <c r="U39" s="398">
        <v>0</v>
      </c>
      <c r="V39" s="398">
        <v>0</v>
      </c>
      <c r="W39" s="398">
        <v>0</v>
      </c>
      <c r="X39" s="398">
        <v>0</v>
      </c>
      <c r="Y39" s="398">
        <v>0</v>
      </c>
      <c r="Z39" s="398">
        <v>0</v>
      </c>
      <c r="AA39" s="398">
        <v>0</v>
      </c>
      <c r="AB39" s="398">
        <v>0</v>
      </c>
      <c r="AC39" s="398">
        <v>0</v>
      </c>
      <c r="AD39" s="398">
        <v>0</v>
      </c>
      <c r="AE39" s="398">
        <v>0</v>
      </c>
      <c r="AG39" s="3" t="s">
        <v>616</v>
      </c>
      <c r="AH39">
        <f>ROUNDUP(SUM(H36:H41)/1.1,0)</f>
        <v>0</v>
      </c>
      <c r="AL39">
        <f t="shared" si="5"/>
        <v>3</v>
      </c>
      <c r="AM39">
        <f t="shared" si="6"/>
        <v>38</v>
      </c>
      <c r="AN39">
        <v>12</v>
      </c>
      <c r="AO39" t="s">
        <v>2781</v>
      </c>
      <c r="AP39" s="4">
        <v>17948250</v>
      </c>
      <c r="AQ39" s="431">
        <v>80</v>
      </c>
      <c r="AR39">
        <f>IF($N$62="No",-20,1)</f>
        <v>1</v>
      </c>
      <c r="BG39">
        <f>IF($P$62=0,1,IF(AQ39&lt;=$P$62,1,-20))</f>
        <v>1</v>
      </c>
      <c r="BJ39">
        <f t="shared" si="14"/>
        <v>1</v>
      </c>
      <c r="BK39" s="57">
        <f t="shared" si="7"/>
        <v>38</v>
      </c>
      <c r="BL39" s="57" t="str">
        <f t="shared" si="8"/>
        <v>Aslan Akhoilaw Shrine Ship (SCC)</v>
      </c>
    </row>
    <row r="40" spans="1:66" ht="15" thickBot="1" x14ac:dyDescent="0.35">
      <c r="A40" s="251" t="s">
        <v>456</v>
      </c>
      <c r="B40" s="251"/>
      <c r="C40" s="327">
        <v>0</v>
      </c>
      <c r="D40" s="327">
        <v>0</v>
      </c>
      <c r="F40" s="4">
        <f t="shared" si="15"/>
        <v>0</v>
      </c>
      <c r="H40" s="10">
        <f t="shared" si="16"/>
        <v>0</v>
      </c>
      <c r="K40" s="440"/>
      <c r="L40" s="426"/>
      <c r="M40" s="196"/>
      <c r="N40" s="285"/>
      <c r="O40" s="285"/>
      <c r="P40" s="285">
        <v>0</v>
      </c>
      <c r="Q40" s="391">
        <f t="shared" si="13"/>
        <v>0</v>
      </c>
      <c r="R40" s="219">
        <v>0</v>
      </c>
      <c r="S40" s="285">
        <v>0</v>
      </c>
      <c r="T40" s="285">
        <v>0</v>
      </c>
      <c r="U40" s="285">
        <v>0</v>
      </c>
      <c r="V40" s="285">
        <v>0</v>
      </c>
      <c r="W40" s="285">
        <v>0</v>
      </c>
      <c r="X40" s="285">
        <v>0</v>
      </c>
      <c r="Y40" s="285">
        <v>0</v>
      </c>
      <c r="Z40" s="285">
        <v>0</v>
      </c>
      <c r="AA40" s="285">
        <v>0</v>
      </c>
      <c r="AB40" s="285">
        <v>0</v>
      </c>
      <c r="AC40" s="285">
        <v>0</v>
      </c>
      <c r="AD40" s="285">
        <v>0</v>
      </c>
      <c r="AE40" s="285">
        <v>0</v>
      </c>
      <c r="AG40" t="str">
        <f>IF(B36=AG53,"",", "&amp;C36&amp;"x "&amp;D36&amp;" ton "&amp;A36)&amp;""&amp;IF(B37=AG53,"",", "&amp;C37&amp;"x "&amp;D37&amp;" ton "&amp;A37)&amp;""&amp;IF(B38=AG53,"",", "&amp;C38&amp;"x "&amp;D38&amp;" ton "&amp;A38)&amp;""&amp;IF(B39=AG53,"",", "&amp;C39&amp;"x "&amp;D39&amp;" ton "&amp;A39)&amp;""&amp;IF(B40=AG53,"",", "&amp;C40&amp;"x "&amp;D40&amp;" ton "&amp;A40)&amp;""&amp;IF(B41=AG53,"",", "&amp;C41&amp;"x "&amp;D41&amp;" ton "&amp;A41)</f>
        <v>, 0x 0 ton Internal Docking Space, 0x 0 ton Internal Docking Space, 0x 0 ton Internal Docking Space, 0x 0 ton Internal Docking Space, 0x 0 ton Internal Docking Space, 0x 0 ton Internal Docking Space</v>
      </c>
      <c r="AL40">
        <f t="shared" si="5"/>
        <v>4</v>
      </c>
      <c r="AM40">
        <f t="shared" si="6"/>
        <v>39</v>
      </c>
      <c r="AN40">
        <v>14</v>
      </c>
      <c r="AO40" t="s">
        <v>2782</v>
      </c>
      <c r="AP40" s="4">
        <v>31800000</v>
      </c>
      <c r="AQ40" s="431">
        <v>30</v>
      </c>
      <c r="AR40">
        <f>IF($N$63="No",-20,1)</f>
        <v>1</v>
      </c>
      <c r="AU40">
        <f>IF($N$68="No",-20,1)</f>
        <v>1</v>
      </c>
      <c r="BH40">
        <f>IF($P$63=0,1,IF(AQ40&lt;=$P$63,1,-20))</f>
        <v>1</v>
      </c>
      <c r="BJ40">
        <f t="shared" si="14"/>
        <v>1</v>
      </c>
      <c r="BK40" s="57">
        <f t="shared" si="7"/>
        <v>39</v>
      </c>
      <c r="BL40" s="57" t="str">
        <f t="shared" si="8"/>
        <v>Aslan Assault Grav Tank (AoCS1)</v>
      </c>
    </row>
    <row r="41" spans="1:66" ht="15" thickBot="1" x14ac:dyDescent="0.35">
      <c r="A41" s="251" t="s">
        <v>456</v>
      </c>
      <c r="B41" s="251"/>
      <c r="C41" s="327">
        <v>0</v>
      </c>
      <c r="D41" s="327">
        <v>0</v>
      </c>
      <c r="F41" s="4">
        <f t="shared" si="15"/>
        <v>0</v>
      </c>
      <c r="H41" s="10">
        <f t="shared" si="16"/>
        <v>0</v>
      </c>
      <c r="K41" s="440"/>
      <c r="L41" s="426"/>
      <c r="M41" s="204"/>
      <c r="N41" s="398"/>
      <c r="O41" s="398"/>
      <c r="P41" s="398">
        <v>0</v>
      </c>
      <c r="Q41" s="644">
        <f t="shared" si="13"/>
        <v>0</v>
      </c>
      <c r="R41" s="374">
        <v>0</v>
      </c>
      <c r="S41" s="398">
        <v>0</v>
      </c>
      <c r="T41" s="398">
        <v>0</v>
      </c>
      <c r="U41" s="398">
        <v>0</v>
      </c>
      <c r="V41" s="398">
        <v>0</v>
      </c>
      <c r="W41" s="398">
        <v>0</v>
      </c>
      <c r="X41" s="398">
        <v>0</v>
      </c>
      <c r="Y41" s="398">
        <v>0</v>
      </c>
      <c r="Z41" s="398">
        <v>0</v>
      </c>
      <c r="AA41" s="398">
        <v>0</v>
      </c>
      <c r="AB41" s="398">
        <v>0</v>
      </c>
      <c r="AC41" s="398">
        <v>0</v>
      </c>
      <c r="AD41" s="398">
        <v>0</v>
      </c>
      <c r="AE41" s="398">
        <v>0</v>
      </c>
      <c r="AG41" s="3" t="s">
        <v>617</v>
      </c>
      <c r="AH41">
        <f>ROUNDUP(SUM(H49:H53)/2,0)</f>
        <v>0</v>
      </c>
      <c r="AL41">
        <f t="shared" si="5"/>
        <v>4</v>
      </c>
      <c r="AM41">
        <f t="shared" si="6"/>
        <v>40</v>
      </c>
      <c r="AN41">
        <v>7</v>
      </c>
      <c r="AO41" t="s">
        <v>2783</v>
      </c>
      <c r="AP41" s="4">
        <v>7800</v>
      </c>
      <c r="AQ41" s="431">
        <v>1</v>
      </c>
      <c r="AR41">
        <f>IF($N$62="No",-20,1)</f>
        <v>1</v>
      </c>
      <c r="BF41">
        <f>IF($N$79="No",-20,1)</f>
        <v>1</v>
      </c>
      <c r="BG41">
        <f>IF($P$62=0,1,IF(AQ41&lt;=$P$62,1,-20))</f>
        <v>1</v>
      </c>
      <c r="BJ41">
        <f t="shared" si="14"/>
        <v>1</v>
      </c>
      <c r="BK41" s="57">
        <f t="shared" si="7"/>
        <v>40</v>
      </c>
      <c r="BL41" s="57" t="str">
        <f t="shared" si="8"/>
        <v>Aslan Clawbike (AoCS1)</v>
      </c>
    </row>
    <row r="42" spans="1:66" ht="15" thickBot="1" x14ac:dyDescent="0.35">
      <c r="H42" s="10"/>
      <c r="K42" s="440"/>
      <c r="L42" s="426"/>
      <c r="M42" s="196"/>
      <c r="N42" s="285"/>
      <c r="O42" s="285"/>
      <c r="P42" s="285">
        <v>0</v>
      </c>
      <c r="Q42" s="391">
        <f t="shared" si="13"/>
        <v>0</v>
      </c>
      <c r="R42" s="219">
        <v>0</v>
      </c>
      <c r="S42" s="285">
        <v>0</v>
      </c>
      <c r="T42" s="285">
        <v>0</v>
      </c>
      <c r="U42" s="285">
        <v>0</v>
      </c>
      <c r="V42" s="285">
        <v>0</v>
      </c>
      <c r="W42" s="285">
        <v>0</v>
      </c>
      <c r="X42" s="285">
        <v>0</v>
      </c>
      <c r="Y42" s="285">
        <v>0</v>
      </c>
      <c r="Z42" s="285">
        <v>0</v>
      </c>
      <c r="AA42" s="285">
        <v>0</v>
      </c>
      <c r="AB42" s="285">
        <v>0</v>
      </c>
      <c r="AC42" s="285">
        <v>0</v>
      </c>
      <c r="AD42" s="285">
        <v>0</v>
      </c>
      <c r="AE42" s="285">
        <v>0</v>
      </c>
      <c r="AG42" t="str">
        <f>IF(B49=AG53,"",", "&amp;C49&amp;"x "&amp;D49&amp;" ton cap "&amp;A49)&amp;""&amp;IF(B50=AG53,"",", "&amp;C50&amp;"x "&amp;D50&amp;" ton cap "&amp;A50)&amp;""&amp;IF(B51=AG53,"",", "&amp;C51&amp;"x "&amp;D51&amp;" ton cap "&amp;A51)&amp;""&amp;IF(B52=AG53,"",", "&amp;C52&amp;"x "&amp;D52&amp;" ton cap "&amp;A52)&amp;""&amp;IF(B53=AG53,"",", "&amp;C53&amp;"x "&amp;D53&amp;" ton cap "&amp;A53)</f>
        <v>, 0x 0 ton cap Full Hangar Bay, 0x 0 ton cap Full Hangar Bay, 0x 0 ton cap Full Hangar Bay, 0x 0 ton cap Full Hangar Bay, 0x 0 ton cap Full Hangar Bay</v>
      </c>
      <c r="AL42">
        <f t="shared" si="5"/>
        <v>3</v>
      </c>
      <c r="AM42">
        <f t="shared" si="6"/>
        <v>41</v>
      </c>
      <c r="AN42">
        <v>10</v>
      </c>
      <c r="AO42" t="s">
        <v>2784</v>
      </c>
      <c r="AP42" s="4">
        <v>285000</v>
      </c>
      <c r="AQ42" s="431">
        <v>15</v>
      </c>
      <c r="AR42">
        <f>IF($N$62="No",-20,1)</f>
        <v>1</v>
      </c>
      <c r="BG42">
        <f>IF($P$62=0,1,IF(AQ42&lt;=$P$62,1,-20))</f>
        <v>1</v>
      </c>
      <c r="BJ42">
        <f t="shared" si="14"/>
        <v>1</v>
      </c>
      <c r="BK42" s="57">
        <f t="shared" si="7"/>
        <v>41</v>
      </c>
      <c r="BL42" s="57" t="str">
        <f t="shared" si="8"/>
        <v>Aslan Crawler (AoCS1)</v>
      </c>
    </row>
    <row r="43" spans="1:66" ht="15" thickBot="1" x14ac:dyDescent="0.35">
      <c r="A43" t="s">
        <v>789</v>
      </c>
      <c r="B43" s="251"/>
      <c r="C43" s="327">
        <v>0</v>
      </c>
      <c r="D43" s="21" t="s">
        <v>445</v>
      </c>
      <c r="F43" s="4">
        <f>IF(H43=0,0,C43*AK7)</f>
        <v>0</v>
      </c>
      <c r="H43" s="10">
        <f>C43*AJ7</f>
        <v>0</v>
      </c>
      <c r="K43" s="440"/>
      <c r="L43" s="426" t="s">
        <v>611</v>
      </c>
      <c r="M43" s="204"/>
      <c r="N43" s="398"/>
      <c r="O43" s="398"/>
      <c r="P43" s="398">
        <v>0</v>
      </c>
      <c r="Q43" s="644">
        <f t="shared" si="13"/>
        <v>0</v>
      </c>
      <c r="R43" s="374">
        <v>0</v>
      </c>
      <c r="S43" s="398">
        <v>0</v>
      </c>
      <c r="T43" s="398">
        <v>0</v>
      </c>
      <c r="U43" s="398">
        <v>0</v>
      </c>
      <c r="V43" s="398">
        <v>0</v>
      </c>
      <c r="W43" s="398">
        <v>0</v>
      </c>
      <c r="X43" s="398">
        <v>0</v>
      </c>
      <c r="Y43" s="398">
        <v>0</v>
      </c>
      <c r="Z43" s="398">
        <v>0</v>
      </c>
      <c r="AA43" s="398">
        <v>0</v>
      </c>
      <c r="AB43" s="398">
        <v>0</v>
      </c>
      <c r="AC43" s="398">
        <v>0</v>
      </c>
      <c r="AD43" s="398">
        <v>0</v>
      </c>
      <c r="AE43" s="398">
        <v>0</v>
      </c>
      <c r="AG43" s="3" t="s">
        <v>458</v>
      </c>
      <c r="AL43">
        <f t="shared" si="5"/>
        <v>4</v>
      </c>
      <c r="AM43">
        <f t="shared" si="6"/>
        <v>42</v>
      </c>
      <c r="AN43">
        <v>13</v>
      </c>
      <c r="AO43" t="s">
        <v>2785</v>
      </c>
      <c r="AP43" s="4">
        <v>29025000</v>
      </c>
      <c r="AQ43" s="431">
        <v>90</v>
      </c>
      <c r="AR43">
        <f>IF($N$63="No",-20,1)</f>
        <v>1</v>
      </c>
      <c r="AU43">
        <f>IF($N$68="No",-20,1)</f>
        <v>1</v>
      </c>
      <c r="BH43">
        <f>IF($P$63=0,1,IF(AQ43&lt;=$P$63,1,-20))</f>
        <v>1</v>
      </c>
      <c r="BJ43">
        <f t="shared" si="14"/>
        <v>1</v>
      </c>
      <c r="BK43" s="57">
        <f t="shared" si="7"/>
        <v>42</v>
      </c>
      <c r="BL43" s="57" t="str">
        <f t="shared" si="8"/>
        <v>Aslan Faiyh Assault Craft (SCC)</v>
      </c>
    </row>
    <row r="44" spans="1:66" ht="15" thickBot="1" x14ac:dyDescent="0.35">
      <c r="A44" t="s">
        <v>790</v>
      </c>
      <c r="B44" s="251"/>
      <c r="C44" s="327">
        <v>0</v>
      </c>
      <c r="D44" s="53" t="s">
        <v>446</v>
      </c>
      <c r="F44" s="4">
        <f>IF(H44=0,0,C44*AK8)</f>
        <v>0</v>
      </c>
      <c r="H44" s="10">
        <f>C44*AJ8</f>
        <v>0</v>
      </c>
      <c r="K44" s="440"/>
      <c r="L44" s="426" t="s">
        <v>1651</v>
      </c>
      <c r="M44" s="196"/>
      <c r="N44" s="285"/>
      <c r="O44" s="285"/>
      <c r="P44" s="285">
        <v>0</v>
      </c>
      <c r="Q44" s="391">
        <f t="shared" si="13"/>
        <v>0</v>
      </c>
      <c r="R44" s="219">
        <v>0</v>
      </c>
      <c r="S44" s="285">
        <v>0</v>
      </c>
      <c r="T44" s="285">
        <v>0</v>
      </c>
      <c r="U44" s="285">
        <v>0</v>
      </c>
      <c r="V44" s="285">
        <v>0</v>
      </c>
      <c r="W44" s="285">
        <v>0</v>
      </c>
      <c r="X44" s="285">
        <v>0</v>
      </c>
      <c r="Y44" s="285">
        <v>0</v>
      </c>
      <c r="Z44" s="285">
        <v>0</v>
      </c>
      <c r="AA44" s="285">
        <v>0</v>
      </c>
      <c r="AB44" s="285">
        <v>0</v>
      </c>
      <c r="AC44" s="285">
        <v>0</v>
      </c>
      <c r="AD44" s="285">
        <v>0</v>
      </c>
      <c r="AE44" s="285">
        <v>0</v>
      </c>
      <c r="AG44" t="str">
        <f>IF(B55=AG53,"",", "&amp;C55&amp;"x "&amp;D55&amp;" ton cap "&amp;A55)&amp;""&amp;IF(B56=AG53,"",", "&amp;C56&amp;"x "&amp;D56&amp;" ton cap "&amp;A56)&amp;""&amp;IF(B57=AG53,"",", "&amp;C57&amp;"x "&amp;D57&amp;" ton cap "&amp;A57)&amp;""&amp;IF(B58=AG53,"",", "&amp;C58&amp;"x "&amp;D58&amp;" ton cap "&amp;A58)&amp;""&amp;IF(B59=AG53,"",", "&amp;C59&amp;"x "&amp;D59&amp;" ton cap "&amp;A59)</f>
        <v>, 0x 0 ton cap Launch Tubes, 0x 0 ton cap Launch Tubes, 0x 0 ton cap Launch Tubes, 0x 0 ton cap Launch Tubes, 0x 0 ton cap Launch Tubes</v>
      </c>
      <c r="AL44">
        <f t="shared" si="5"/>
        <v>3</v>
      </c>
      <c r="AM44">
        <f t="shared" si="6"/>
        <v>43</v>
      </c>
      <c r="AN44">
        <v>13</v>
      </c>
      <c r="AO44" t="s">
        <v>2786</v>
      </c>
      <c r="AP44" s="4">
        <v>27043000</v>
      </c>
      <c r="AQ44" s="431">
        <v>36</v>
      </c>
      <c r="AR44">
        <f>IF($N$62="No",-20,1)</f>
        <v>1</v>
      </c>
      <c r="BG44">
        <f>IF($P$62=0,1,IF(AQ44&lt;=$P$62,1,-20))</f>
        <v>1</v>
      </c>
      <c r="BJ44">
        <f t="shared" si="14"/>
        <v>1</v>
      </c>
      <c r="BK44" s="57">
        <f t="shared" si="7"/>
        <v>43</v>
      </c>
      <c r="BL44" s="57" t="str">
        <f t="shared" si="8"/>
        <v>Aslan Fyalraiea Pinnace (Spinward Extents)</v>
      </c>
    </row>
    <row r="45" spans="1:66" ht="15" thickBot="1" x14ac:dyDescent="0.35">
      <c r="A45" t="s">
        <v>791</v>
      </c>
      <c r="B45" s="251"/>
      <c r="C45" s="327">
        <v>0</v>
      </c>
      <c r="D45" s="21" t="s">
        <v>447</v>
      </c>
      <c r="F45" s="4">
        <f>IF(H45=0,0,C45*AK9)</f>
        <v>0</v>
      </c>
      <c r="H45" s="10">
        <f>C45*AJ9</f>
        <v>0</v>
      </c>
      <c r="K45" s="440"/>
      <c r="L45" s="426" t="s">
        <v>612</v>
      </c>
      <c r="M45" s="204"/>
      <c r="N45" s="398"/>
      <c r="O45" s="398"/>
      <c r="P45" s="398">
        <v>0</v>
      </c>
      <c r="Q45" s="644">
        <f t="shared" si="13"/>
        <v>0</v>
      </c>
      <c r="R45" s="374">
        <v>0</v>
      </c>
      <c r="S45" s="398">
        <v>0</v>
      </c>
      <c r="T45" s="398">
        <v>0</v>
      </c>
      <c r="U45" s="398">
        <v>0</v>
      </c>
      <c r="V45" s="398">
        <v>0</v>
      </c>
      <c r="W45" s="398">
        <v>0</v>
      </c>
      <c r="X45" s="398">
        <v>0</v>
      </c>
      <c r="Y45" s="398">
        <v>0</v>
      </c>
      <c r="Z45" s="398">
        <v>0</v>
      </c>
      <c r="AA45" s="398">
        <v>0</v>
      </c>
      <c r="AB45" s="398">
        <v>0</v>
      </c>
      <c r="AC45" s="398">
        <v>0</v>
      </c>
      <c r="AD45" s="398">
        <v>0</v>
      </c>
      <c r="AE45" s="398">
        <v>0</v>
      </c>
      <c r="AG45" s="3" t="s">
        <v>459</v>
      </c>
      <c r="AL45">
        <f t="shared" si="5"/>
        <v>4</v>
      </c>
      <c r="AM45">
        <f t="shared" si="6"/>
        <v>44</v>
      </c>
      <c r="AN45">
        <v>12</v>
      </c>
      <c r="AO45" t="s">
        <v>2787</v>
      </c>
      <c r="AP45" s="4">
        <v>47400000</v>
      </c>
      <c r="AQ45" s="431">
        <v>125</v>
      </c>
      <c r="AR45">
        <f>IF($N$63="No",-20,1)</f>
        <v>1</v>
      </c>
      <c r="AU45">
        <f>IF($N$68="No",-20,1)</f>
        <v>1</v>
      </c>
      <c r="BH45">
        <f>IF($P$63=0,1,IF(AQ45&lt;=$P$63,1,-20))</f>
        <v>1</v>
      </c>
      <c r="BJ45">
        <f t="shared" si="14"/>
        <v>1</v>
      </c>
      <c r="BK45" s="57">
        <f t="shared" si="7"/>
        <v>44</v>
      </c>
      <c r="BL45" s="57" t="str">
        <f t="shared" si="8"/>
        <v>Aslan Grav Barge (AoCS1)</v>
      </c>
    </row>
    <row r="46" spans="1:66" ht="15" thickBot="1" x14ac:dyDescent="0.35">
      <c r="A46" t="s">
        <v>792</v>
      </c>
      <c r="B46" s="251"/>
      <c r="C46" s="327">
        <v>0</v>
      </c>
      <c r="D46" s="53" t="s">
        <v>2160</v>
      </c>
      <c r="F46" s="4">
        <f>IF(H46=0,0,C46*AK10)</f>
        <v>0</v>
      </c>
      <c r="H46" s="10">
        <f>C46*AJ10</f>
        <v>0</v>
      </c>
      <c r="K46" s="440"/>
      <c r="L46" s="426" t="s">
        <v>1646</v>
      </c>
      <c r="M46" s="196"/>
      <c r="N46" s="285"/>
      <c r="O46" s="285"/>
      <c r="P46" s="285">
        <v>0</v>
      </c>
      <c r="Q46" s="646">
        <f>P46*N46</f>
        <v>0</v>
      </c>
      <c r="R46" s="219">
        <v>0</v>
      </c>
      <c r="S46" s="285">
        <v>0</v>
      </c>
      <c r="T46" s="285">
        <v>0</v>
      </c>
      <c r="U46" s="285">
        <v>0</v>
      </c>
      <c r="V46" s="285">
        <v>0</v>
      </c>
      <c r="W46" s="285">
        <v>0</v>
      </c>
      <c r="X46" s="285">
        <v>0</v>
      </c>
      <c r="Y46" s="285">
        <v>0</v>
      </c>
      <c r="Z46" s="285">
        <v>0</v>
      </c>
      <c r="AA46" s="285">
        <v>0</v>
      </c>
      <c r="AB46" s="285">
        <v>0</v>
      </c>
      <c r="AC46" s="285">
        <v>0</v>
      </c>
      <c r="AD46" s="285">
        <v>0</v>
      </c>
      <c r="AE46" s="285">
        <v>0</v>
      </c>
      <c r="AG46" t="str">
        <f>IF(B61=AG53,"",", "&amp;C61&amp;"x "&amp;D61&amp;" ton cap "&amp;A61)&amp;""&amp;IF(B62=AG53,"",", "&amp;C62&amp;"x "&amp;D62&amp;" ton cap "&amp;A62)&amp;""&amp;IF(B63=AG53,"",", "&amp;C63&amp;"x "&amp;D63&amp;" ton cap "&amp;A63)&amp;""&amp;IF(B64=AG53,"",", "&amp;C64&amp;"x "&amp;D64&amp;" ton cap "&amp;A64)&amp;""&amp;IF(B65=AG53,"",", "&amp;C65&amp;"x "&amp;D65&amp;" ton cap "&amp;A65)</f>
        <v>, 0x 0 ton cap Recovery Deck, 0x 0 ton cap Recovery Deck, 0x 0 ton cap Recovery Deck, 0x 0 ton cap Recovery Deck, 0x 0 ton cap Recovery Deck</v>
      </c>
      <c r="AL46">
        <f t="shared" si="5"/>
        <v>4</v>
      </c>
      <c r="AM46">
        <f t="shared" si="6"/>
        <v>45</v>
      </c>
      <c r="AN46">
        <v>11</v>
      </c>
      <c r="AO46" t="s">
        <v>2788</v>
      </c>
      <c r="AP46" s="4">
        <v>175610000</v>
      </c>
      <c r="AQ46" s="471">
        <v>400</v>
      </c>
      <c r="AR46">
        <f>IF($N$62="No",-20,1)</f>
        <v>1</v>
      </c>
      <c r="BF46">
        <f>IF($N$79="No",-20,1)</f>
        <v>1</v>
      </c>
      <c r="BG46">
        <f>IF($P$62=0,1,IF(AQ46&lt;=$P$62,1,-20))</f>
        <v>1</v>
      </c>
      <c r="BJ46">
        <f t="shared" si="14"/>
        <v>1</v>
      </c>
      <c r="BK46" s="57">
        <f t="shared" si="7"/>
        <v>45</v>
      </c>
      <c r="BL46" s="57" t="str">
        <f t="shared" si="8"/>
        <v>Aslan Hleakakhea System Defense Boat (Clans of the Aslan)</v>
      </c>
    </row>
    <row r="47" spans="1:66" ht="16.2" thickBot="1" x14ac:dyDescent="0.35">
      <c r="A47" t="s">
        <v>793</v>
      </c>
      <c r="B47" s="251"/>
      <c r="C47" s="327">
        <v>0</v>
      </c>
      <c r="D47" s="21" t="s">
        <v>2161</v>
      </c>
      <c r="F47" s="4">
        <f>IF(H47=0,0,C47*AK11)</f>
        <v>0</v>
      </c>
      <c r="H47" s="10">
        <f>C47*AJ11</f>
        <v>0</v>
      </c>
      <c r="K47" s="440"/>
      <c r="L47" s="426" t="s">
        <v>1652</v>
      </c>
      <c r="M47" s="204"/>
      <c r="N47" s="398"/>
      <c r="O47" s="398"/>
      <c r="P47" s="398">
        <v>0</v>
      </c>
      <c r="Q47" s="647">
        <f t="shared" ref="Q47:Q55" si="17">P47*N47</f>
        <v>0</v>
      </c>
      <c r="R47" s="374">
        <v>0</v>
      </c>
      <c r="S47" s="398">
        <v>0</v>
      </c>
      <c r="T47" s="398">
        <v>0</v>
      </c>
      <c r="U47" s="398">
        <v>0</v>
      </c>
      <c r="V47" s="398">
        <v>0</v>
      </c>
      <c r="W47" s="398">
        <v>0</v>
      </c>
      <c r="X47" s="398">
        <v>0</v>
      </c>
      <c r="Y47" s="398">
        <v>0</v>
      </c>
      <c r="Z47" s="398">
        <v>0</v>
      </c>
      <c r="AA47" s="398">
        <v>0</v>
      </c>
      <c r="AB47" s="398">
        <v>0</v>
      </c>
      <c r="AC47" s="398">
        <v>0</v>
      </c>
      <c r="AD47" s="398">
        <v>0</v>
      </c>
      <c r="AE47" s="398">
        <v>0</v>
      </c>
      <c r="AG47" s="3" t="s">
        <v>618</v>
      </c>
      <c r="AL47">
        <f t="shared" si="5"/>
        <v>4</v>
      </c>
      <c r="AM47">
        <f t="shared" si="6"/>
        <v>46</v>
      </c>
      <c r="AN47" s="437">
        <v>12</v>
      </c>
      <c r="AO47" s="437" t="s">
        <v>2789</v>
      </c>
      <c r="AP47" s="438">
        <v>36940000</v>
      </c>
      <c r="AQ47" s="439">
        <v>100</v>
      </c>
      <c r="AR47">
        <f>IF($N$62="No",-20,1)</f>
        <v>1</v>
      </c>
      <c r="AV47">
        <f>IF($N$69="No",-20,1)</f>
        <v>1</v>
      </c>
      <c r="BG47">
        <f>IF($P$62=0,1,IF(AQ47&lt;=$P$62,1,-20))</f>
        <v>1</v>
      </c>
      <c r="BJ47">
        <f t="shared" si="14"/>
        <v>1</v>
      </c>
      <c r="BK47" s="57">
        <f t="shared" si="7"/>
        <v>46</v>
      </c>
      <c r="BL47" s="57" t="str">
        <f t="shared" si="8"/>
        <v>Aslan Hoeywea Troop Carrier (Traders &amp; Gunboats)</v>
      </c>
    </row>
    <row r="48" spans="1:66" ht="16.2" thickBot="1" x14ac:dyDescent="0.35">
      <c r="A48" s="5" t="s">
        <v>1800</v>
      </c>
      <c r="H48" s="4"/>
      <c r="K48" s="440"/>
      <c r="L48" s="426" t="s">
        <v>1653</v>
      </c>
      <c r="M48" s="196"/>
      <c r="N48" s="285"/>
      <c r="O48" s="285"/>
      <c r="P48" s="285">
        <v>0</v>
      </c>
      <c r="Q48" s="391">
        <f t="shared" si="17"/>
        <v>0</v>
      </c>
      <c r="R48" s="219">
        <v>0</v>
      </c>
      <c r="S48" s="285">
        <v>0</v>
      </c>
      <c r="T48" s="285">
        <v>0</v>
      </c>
      <c r="U48" s="285">
        <v>0</v>
      </c>
      <c r="V48" s="285">
        <v>0</v>
      </c>
      <c r="W48" s="285">
        <v>0</v>
      </c>
      <c r="X48" s="285">
        <v>0</v>
      </c>
      <c r="Y48" s="285">
        <v>0</v>
      </c>
      <c r="Z48" s="285">
        <v>0</v>
      </c>
      <c r="AA48" s="285">
        <v>0</v>
      </c>
      <c r="AB48" s="285">
        <v>0</v>
      </c>
      <c r="AC48" s="285">
        <v>0</v>
      </c>
      <c r="AD48" s="285">
        <v>0</v>
      </c>
      <c r="AE48" s="285">
        <v>0</v>
      </c>
      <c r="AG48" t="str">
        <f>IF(C67=AH3,", EM Hardened","")</f>
        <v/>
      </c>
      <c r="AL48">
        <f t="shared" si="5"/>
        <v>4</v>
      </c>
      <c r="AM48">
        <f t="shared" si="6"/>
        <v>47</v>
      </c>
      <c r="AN48" s="437">
        <v>13</v>
      </c>
      <c r="AO48" s="437" t="s">
        <v>1823</v>
      </c>
      <c r="AP48" s="438">
        <v>35140500</v>
      </c>
      <c r="AQ48" s="439">
        <v>100</v>
      </c>
      <c r="AR48">
        <f>IF($N$62="No",-20,1)</f>
        <v>1</v>
      </c>
      <c r="AW48">
        <f>IF($N$70="No",-20,1)</f>
        <v>1</v>
      </c>
      <c r="BG48">
        <f>IF($P$62=0,1,IF(AQ48&lt;=$P$62,1,-20))</f>
        <v>1</v>
      </c>
      <c r="BJ48">
        <f t="shared" si="14"/>
        <v>1</v>
      </c>
      <c r="BK48" s="57">
        <f t="shared" si="7"/>
        <v>47</v>
      </c>
      <c r="BL48" s="57" t="str">
        <f t="shared" si="8"/>
        <v>Aslan Hraye-Class Scout (High Guard: Aslan)</v>
      </c>
    </row>
    <row r="49" spans="1:64" ht="15" thickBot="1" x14ac:dyDescent="0.35">
      <c r="A49" s="251" t="s">
        <v>457</v>
      </c>
      <c r="B49" s="251"/>
      <c r="C49" s="327">
        <v>0</v>
      </c>
      <c r="D49" s="327">
        <v>0</v>
      </c>
      <c r="F49" s="4">
        <f>IF(H49&gt;0,H49*200000,0)*IF(A49=$AG$57,1,2)</f>
        <v>0</v>
      </c>
      <c r="H49" s="10">
        <f>C49*D49*2</f>
        <v>0</v>
      </c>
      <c r="K49" s="440"/>
      <c r="L49" s="426"/>
      <c r="M49" s="204"/>
      <c r="N49" s="398"/>
      <c r="O49" s="398"/>
      <c r="P49" s="398">
        <v>0</v>
      </c>
      <c r="Q49" s="644">
        <f t="shared" si="17"/>
        <v>0</v>
      </c>
      <c r="R49" s="374">
        <v>0</v>
      </c>
      <c r="S49" s="398">
        <v>0</v>
      </c>
      <c r="T49" s="398">
        <v>0</v>
      </c>
      <c r="U49" s="398">
        <v>0</v>
      </c>
      <c r="V49" s="398">
        <v>0</v>
      </c>
      <c r="W49" s="398">
        <v>0</v>
      </c>
      <c r="X49" s="398">
        <v>0</v>
      </c>
      <c r="Y49" s="398">
        <v>0</v>
      </c>
      <c r="Z49" s="398">
        <v>0</v>
      </c>
      <c r="AA49" s="398">
        <v>0</v>
      </c>
      <c r="AB49" s="398">
        <v>0</v>
      </c>
      <c r="AC49" s="398">
        <v>0</v>
      </c>
      <c r="AD49" s="398">
        <v>0</v>
      </c>
      <c r="AE49" s="398">
        <v>0</v>
      </c>
      <c r="AL49">
        <f t="shared" si="5"/>
        <v>4</v>
      </c>
      <c r="AM49">
        <f t="shared" si="6"/>
        <v>48</v>
      </c>
      <c r="AN49">
        <v>10</v>
      </c>
      <c r="AO49" t="s">
        <v>2790</v>
      </c>
      <c r="AP49" s="4">
        <v>10720000</v>
      </c>
      <c r="AQ49" s="471">
        <v>35</v>
      </c>
      <c r="AR49">
        <f>IF($N$63="No",-20,1)</f>
        <v>1</v>
      </c>
      <c r="BC49">
        <f>IF($N$76="No",-20,1)</f>
        <v>1</v>
      </c>
      <c r="BH49">
        <f>IF($P$63=0,1,IF(AQ49&lt;=$P$63,1,-20))</f>
        <v>1</v>
      </c>
      <c r="BJ49">
        <f t="shared" si="14"/>
        <v>1</v>
      </c>
      <c r="BK49" s="57">
        <f t="shared" si="7"/>
        <v>48</v>
      </c>
      <c r="BL49" s="57" t="str">
        <f t="shared" si="8"/>
        <v>Aslan Ifteaa Orbital Defense Fighter (Traders &amp; Gunboats)</v>
      </c>
    </row>
    <row r="50" spans="1:64" ht="16.2" thickBot="1" x14ac:dyDescent="0.35">
      <c r="A50" s="251" t="s">
        <v>457</v>
      </c>
      <c r="B50" s="251"/>
      <c r="C50" s="327">
        <v>0</v>
      </c>
      <c r="D50" s="327">
        <v>0</v>
      </c>
      <c r="F50" s="4">
        <f>IF(H50&gt;0,H50*200000,0)*IF(A50=$AG$57,1,2)</f>
        <v>0</v>
      </c>
      <c r="H50" s="10">
        <f>C50*D50*2</f>
        <v>0</v>
      </c>
      <c r="K50" s="440"/>
      <c r="L50" s="426"/>
      <c r="M50" s="196"/>
      <c r="N50" s="285"/>
      <c r="O50" s="285"/>
      <c r="P50" s="285">
        <v>0</v>
      </c>
      <c r="Q50" s="391">
        <f t="shared" si="17"/>
        <v>0</v>
      </c>
      <c r="R50" s="219">
        <v>0</v>
      </c>
      <c r="S50" s="285">
        <v>0</v>
      </c>
      <c r="T50" s="285">
        <v>0</v>
      </c>
      <c r="U50" s="285">
        <v>0</v>
      </c>
      <c r="V50" s="285">
        <v>0</v>
      </c>
      <c r="W50" s="285">
        <v>0</v>
      </c>
      <c r="X50" s="285">
        <v>0</v>
      </c>
      <c r="Y50" s="285">
        <v>0</v>
      </c>
      <c r="Z50" s="285">
        <v>0</v>
      </c>
      <c r="AA50" s="285">
        <v>0</v>
      </c>
      <c r="AB50" s="285">
        <v>0</v>
      </c>
      <c r="AC50" s="285">
        <v>0</v>
      </c>
      <c r="AD50" s="285">
        <v>0</v>
      </c>
      <c r="AE50" s="285">
        <v>0</v>
      </c>
      <c r="AL50">
        <f t="shared" si="5"/>
        <v>4</v>
      </c>
      <c r="AM50">
        <f t="shared" si="6"/>
        <v>49</v>
      </c>
      <c r="AN50" s="437">
        <v>13</v>
      </c>
      <c r="AO50" s="437" t="s">
        <v>1824</v>
      </c>
      <c r="AP50" s="438">
        <v>52200000</v>
      </c>
      <c r="AQ50" s="439">
        <v>100</v>
      </c>
      <c r="AR50">
        <f>IF($N$62="No",-20,1)</f>
        <v>1</v>
      </c>
      <c r="BF50">
        <f>IF($N$79="No",-20,1)</f>
        <v>1</v>
      </c>
      <c r="BG50">
        <f>IF($P$62=0,1,IF(AQ50&lt;=$P$62,1,-20))</f>
        <v>1</v>
      </c>
      <c r="BJ50">
        <f t="shared" si="14"/>
        <v>1</v>
      </c>
      <c r="BK50" s="57">
        <f t="shared" si="7"/>
        <v>49</v>
      </c>
      <c r="BL50" s="57" t="str">
        <f t="shared" si="8"/>
        <v>Aslan Ihateisho-Class Scout (High Guard: Aslan)</v>
      </c>
    </row>
    <row r="51" spans="1:64" ht="15" thickBot="1" x14ac:dyDescent="0.35">
      <c r="A51" s="251" t="s">
        <v>457</v>
      </c>
      <c r="B51" s="251"/>
      <c r="C51" s="327">
        <v>0</v>
      </c>
      <c r="D51" s="327">
        <v>0</v>
      </c>
      <c r="F51" s="4">
        <f>IF(H51&gt;0,H51*200000,0)*IF(A51=$AG$57,1,2)</f>
        <v>0</v>
      </c>
      <c r="H51" s="10">
        <f>C51*D51*2</f>
        <v>0</v>
      </c>
      <c r="K51" s="440"/>
      <c r="L51" s="426"/>
      <c r="M51" s="204"/>
      <c r="N51" s="398"/>
      <c r="O51" s="398"/>
      <c r="P51" s="398">
        <v>0</v>
      </c>
      <c r="Q51" s="644">
        <f t="shared" si="17"/>
        <v>0</v>
      </c>
      <c r="R51" s="374">
        <v>0</v>
      </c>
      <c r="S51" s="398">
        <v>0</v>
      </c>
      <c r="T51" s="398">
        <v>0</v>
      </c>
      <c r="U51" s="398">
        <v>0</v>
      </c>
      <c r="V51" s="398">
        <v>0</v>
      </c>
      <c r="W51" s="398">
        <v>0</v>
      </c>
      <c r="X51" s="398">
        <v>0</v>
      </c>
      <c r="Y51" s="398">
        <v>0</v>
      </c>
      <c r="Z51" s="398">
        <v>0</v>
      </c>
      <c r="AA51" s="398">
        <v>0</v>
      </c>
      <c r="AB51" s="398">
        <v>0</v>
      </c>
      <c r="AC51" s="398">
        <v>0</v>
      </c>
      <c r="AD51" s="398">
        <v>0</v>
      </c>
      <c r="AE51" s="398">
        <v>0</v>
      </c>
      <c r="AL51">
        <f t="shared" si="5"/>
        <v>4</v>
      </c>
      <c r="AM51">
        <f t="shared" si="6"/>
        <v>50</v>
      </c>
      <c r="AN51">
        <v>12</v>
      </c>
      <c r="AO51" t="s">
        <v>2791</v>
      </c>
      <c r="AP51" s="4">
        <v>10720000</v>
      </c>
      <c r="AQ51" s="471">
        <v>12</v>
      </c>
      <c r="AR51">
        <f>IF($N$62="No",-20,1)</f>
        <v>1</v>
      </c>
      <c r="AZ51">
        <f t="shared" ref="AZ51:AZ63" si="18">IF($N$73="No",-20,1)</f>
        <v>1</v>
      </c>
      <c r="BG51">
        <f>IF($P$62=0,1,IF(AQ51&lt;=$P$62,1,-20))</f>
        <v>1</v>
      </c>
      <c r="BJ51">
        <f t="shared" si="14"/>
        <v>1</v>
      </c>
      <c r="BK51" s="57">
        <f t="shared" si="7"/>
        <v>50</v>
      </c>
      <c r="BL51" s="57" t="str">
        <f t="shared" si="8"/>
        <v>Aslan Iysa Light Fighter (Traders &amp; Gunboats)</v>
      </c>
    </row>
    <row r="52" spans="1:64" ht="15" thickBot="1" x14ac:dyDescent="0.35">
      <c r="A52" s="251" t="s">
        <v>457</v>
      </c>
      <c r="B52" s="251"/>
      <c r="C52" s="327">
        <v>0</v>
      </c>
      <c r="D52" s="327">
        <v>0</v>
      </c>
      <c r="F52" s="4">
        <f>IF(H52&gt;0,H52*200000,0)*IF(A52=$AG$57,1,2)</f>
        <v>0</v>
      </c>
      <c r="H52" s="10">
        <f>C52*D52*2</f>
        <v>0</v>
      </c>
      <c r="K52" s="440"/>
      <c r="L52" s="426"/>
      <c r="M52" s="196"/>
      <c r="N52" s="285"/>
      <c r="O52" s="285"/>
      <c r="P52" s="285">
        <v>0</v>
      </c>
      <c r="Q52" s="391">
        <f t="shared" si="17"/>
        <v>0</v>
      </c>
      <c r="R52" s="219">
        <v>0</v>
      </c>
      <c r="S52" s="285">
        <v>0</v>
      </c>
      <c r="T52" s="285">
        <v>0</v>
      </c>
      <c r="U52" s="285">
        <v>0</v>
      </c>
      <c r="V52" s="285">
        <v>0</v>
      </c>
      <c r="W52" s="285">
        <v>0</v>
      </c>
      <c r="X52" s="285">
        <v>0</v>
      </c>
      <c r="Y52" s="285">
        <v>0</v>
      </c>
      <c r="Z52" s="285">
        <v>0</v>
      </c>
      <c r="AA52" s="285">
        <v>0</v>
      </c>
      <c r="AB52" s="285">
        <v>0</v>
      </c>
      <c r="AC52" s="285">
        <v>0</v>
      </c>
      <c r="AD52" s="285">
        <v>0</v>
      </c>
      <c r="AE52" s="285">
        <v>0</v>
      </c>
      <c r="AG52" t="s">
        <v>106</v>
      </c>
      <c r="AL52">
        <f t="shared" si="5"/>
        <v>5</v>
      </c>
      <c r="AM52">
        <f t="shared" si="6"/>
        <v>51</v>
      </c>
      <c r="AN52">
        <v>14</v>
      </c>
      <c r="AO52" t="s">
        <v>2792</v>
      </c>
      <c r="AP52" s="4">
        <v>395040000</v>
      </c>
      <c r="AQ52" s="431">
        <v>200</v>
      </c>
      <c r="AR52">
        <f>IF($N$63="No",-20,1)</f>
        <v>1</v>
      </c>
      <c r="AS52">
        <f>IF($N$64="No",-20,1)</f>
        <v>1</v>
      </c>
      <c r="AZ52">
        <f t="shared" si="18"/>
        <v>1</v>
      </c>
      <c r="BH52">
        <f>IF($P$63=0,1,IF(AQ52&lt;=$P$63,1,-20))</f>
        <v>1</v>
      </c>
      <c r="BJ52">
        <f t="shared" si="14"/>
        <v>1</v>
      </c>
      <c r="BK52" s="57">
        <f t="shared" si="7"/>
        <v>51</v>
      </c>
      <c r="BL52" s="57" t="str">
        <f t="shared" si="8"/>
        <v>Aslan Khtesiai Spy Ship (Spinward Extents)</v>
      </c>
    </row>
    <row r="53" spans="1:64" ht="15" thickBot="1" x14ac:dyDescent="0.35">
      <c r="A53" s="251" t="s">
        <v>457</v>
      </c>
      <c r="B53" s="251"/>
      <c r="C53" s="327">
        <v>0</v>
      </c>
      <c r="D53" s="327">
        <v>0</v>
      </c>
      <c r="F53" s="4">
        <f>IF(H53&gt;0,H53*200000,0)*IF(A53=$AG$57,1,2)</f>
        <v>0</v>
      </c>
      <c r="H53" s="10">
        <f>C53*D53*2</f>
        <v>0</v>
      </c>
      <c r="K53" s="440"/>
      <c r="L53" s="426"/>
      <c r="M53" s="204"/>
      <c r="N53" s="398"/>
      <c r="O53" s="398"/>
      <c r="P53" s="398">
        <v>0</v>
      </c>
      <c r="Q53" s="644">
        <f t="shared" si="17"/>
        <v>0</v>
      </c>
      <c r="R53" s="374">
        <v>0</v>
      </c>
      <c r="S53" s="398">
        <v>0</v>
      </c>
      <c r="T53" s="398">
        <v>0</v>
      </c>
      <c r="U53" s="398">
        <v>0</v>
      </c>
      <c r="V53" s="398">
        <v>0</v>
      </c>
      <c r="W53" s="398">
        <v>0</v>
      </c>
      <c r="X53" s="398">
        <v>0</v>
      </c>
      <c r="Y53" s="398">
        <v>0</v>
      </c>
      <c r="Z53" s="398">
        <v>0</v>
      </c>
      <c r="AA53" s="398">
        <v>0</v>
      </c>
      <c r="AB53" s="398">
        <v>0</v>
      </c>
      <c r="AC53" s="398">
        <v>0</v>
      </c>
      <c r="AD53" s="398">
        <v>0</v>
      </c>
      <c r="AE53" s="398">
        <v>0</v>
      </c>
      <c r="AG53" t="s">
        <v>362</v>
      </c>
      <c r="AL53">
        <f t="shared" si="5"/>
        <v>4</v>
      </c>
      <c r="AM53">
        <f t="shared" si="6"/>
        <v>52</v>
      </c>
      <c r="AN53">
        <v>13</v>
      </c>
      <c r="AO53" t="s">
        <v>2793</v>
      </c>
      <c r="AP53" s="4">
        <v>10017000</v>
      </c>
      <c r="AQ53" s="431">
        <v>10</v>
      </c>
      <c r="AR53">
        <f>IF($N$62="No",-20,1)</f>
        <v>1</v>
      </c>
      <c r="AZ53">
        <f t="shared" si="18"/>
        <v>1</v>
      </c>
      <c r="BG53">
        <f>IF($P$62=0,1,IF(AQ53&lt;=$P$62,1,-20))</f>
        <v>1</v>
      </c>
      <c r="BJ53">
        <f t="shared" si="14"/>
        <v>1</v>
      </c>
      <c r="BK53" s="57">
        <f t="shared" si="7"/>
        <v>52</v>
      </c>
      <c r="BL53" s="57" t="str">
        <f t="shared" si="8"/>
        <v>Aslan Khuilrakh Light fighter (SCC)</v>
      </c>
    </row>
    <row r="54" spans="1:64" ht="15" thickBot="1" x14ac:dyDescent="0.35">
      <c r="D54" s="2"/>
      <c r="F54" s="4"/>
      <c r="H54" s="10"/>
      <c r="K54" s="440"/>
      <c r="L54" s="426"/>
      <c r="M54" s="196"/>
      <c r="N54" s="285"/>
      <c r="O54" s="285"/>
      <c r="P54" s="285">
        <v>0</v>
      </c>
      <c r="Q54" s="391">
        <f t="shared" si="17"/>
        <v>0</v>
      </c>
      <c r="R54" s="219">
        <v>0</v>
      </c>
      <c r="S54" s="285">
        <v>0</v>
      </c>
      <c r="T54" s="285">
        <v>0</v>
      </c>
      <c r="U54" s="285">
        <v>0</v>
      </c>
      <c r="V54" s="285">
        <v>0</v>
      </c>
      <c r="W54" s="285">
        <v>0</v>
      </c>
      <c r="X54" s="285">
        <v>0</v>
      </c>
      <c r="Y54" s="285">
        <v>0</v>
      </c>
      <c r="Z54" s="285">
        <v>0</v>
      </c>
      <c r="AA54" s="285">
        <v>0</v>
      </c>
      <c r="AB54" s="285">
        <v>0</v>
      </c>
      <c r="AC54" s="285">
        <v>0</v>
      </c>
      <c r="AD54" s="285">
        <v>0</v>
      </c>
      <c r="AE54" s="285">
        <v>0</v>
      </c>
      <c r="AL54">
        <f t="shared" si="5"/>
        <v>4</v>
      </c>
      <c r="AM54">
        <f t="shared" si="6"/>
        <v>53</v>
      </c>
      <c r="AN54">
        <v>10</v>
      </c>
      <c r="AO54" t="s">
        <v>2794</v>
      </c>
      <c r="AP54" s="4">
        <v>4150000</v>
      </c>
      <c r="AQ54" s="471">
        <v>24</v>
      </c>
      <c r="AR54">
        <f>IF($N$62="No",-20,1)</f>
        <v>1</v>
      </c>
      <c r="AZ54">
        <f t="shared" si="18"/>
        <v>1</v>
      </c>
      <c r="BG54">
        <f>IF($P$62=0,1,IF(AQ54&lt;=$P$62,1,-20))</f>
        <v>1</v>
      </c>
      <c r="BJ54">
        <f t="shared" si="14"/>
        <v>1</v>
      </c>
      <c r="BK54" s="57">
        <f t="shared" si="7"/>
        <v>53</v>
      </c>
      <c r="BL54" s="57" t="str">
        <f t="shared" si="8"/>
        <v>Aslan Sakhal Launch (Traders &amp; Gunboats)</v>
      </c>
    </row>
    <row r="55" spans="1:64" ht="15" thickBot="1" x14ac:dyDescent="0.35">
      <c r="A55" t="s">
        <v>458</v>
      </c>
      <c r="B55" s="251"/>
      <c r="C55" s="327">
        <v>0</v>
      </c>
      <c r="D55" s="327">
        <v>0</v>
      </c>
      <c r="F55" s="4">
        <f>IF(H55&gt;0,H55*500000,0)</f>
        <v>0</v>
      </c>
      <c r="H55" s="10">
        <f>C55*D55*10</f>
        <v>0</v>
      </c>
      <c r="K55" s="440">
        <f>H55</f>
        <v>0</v>
      </c>
      <c r="L55" s="426"/>
      <c r="M55" s="204"/>
      <c r="N55" s="398"/>
      <c r="O55" s="398"/>
      <c r="P55" s="398">
        <v>0</v>
      </c>
      <c r="Q55" s="644">
        <f t="shared" si="17"/>
        <v>0</v>
      </c>
      <c r="R55" s="374">
        <v>0</v>
      </c>
      <c r="S55" s="398">
        <v>0</v>
      </c>
      <c r="T55" s="398">
        <v>0</v>
      </c>
      <c r="U55" s="398">
        <v>0</v>
      </c>
      <c r="V55" s="398">
        <v>0</v>
      </c>
      <c r="W55" s="398">
        <v>0</v>
      </c>
      <c r="X55" s="398">
        <v>0</v>
      </c>
      <c r="Y55" s="398">
        <v>0</v>
      </c>
      <c r="Z55" s="398">
        <v>0</v>
      </c>
      <c r="AA55" s="398">
        <v>0</v>
      </c>
      <c r="AB55" s="398">
        <v>0</v>
      </c>
      <c r="AC55" s="398">
        <v>0</v>
      </c>
      <c r="AD55" s="398">
        <v>0</v>
      </c>
      <c r="AE55" s="398">
        <v>0</v>
      </c>
      <c r="AG55" t="s">
        <v>456</v>
      </c>
      <c r="AL55">
        <f t="shared" si="5"/>
        <v>4</v>
      </c>
      <c r="AM55">
        <f t="shared" si="6"/>
        <v>54</v>
      </c>
      <c r="AN55">
        <v>13</v>
      </c>
      <c r="AO55" t="s">
        <v>2795</v>
      </c>
      <c r="AP55" s="4">
        <v>11513000</v>
      </c>
      <c r="AQ55" s="431">
        <v>10</v>
      </c>
      <c r="AR55">
        <f>IF($N$65="No",-20,1)</f>
        <v>1</v>
      </c>
      <c r="AZ55">
        <f t="shared" si="18"/>
        <v>1</v>
      </c>
      <c r="BI55">
        <f>IF($P$65=0,1,IF(AQ55&lt;=$P$65,1,-20))</f>
        <v>1</v>
      </c>
      <c r="BJ55">
        <f t="shared" si="14"/>
        <v>1</v>
      </c>
      <c r="BK55" s="57">
        <f t="shared" si="7"/>
        <v>54</v>
      </c>
      <c r="BL55" s="57" t="str">
        <f t="shared" si="8"/>
        <v>Aslan Taleryushi Light Fighter (Spinward Extents)</v>
      </c>
    </row>
    <row r="56" spans="1:64" ht="15" thickBot="1" x14ac:dyDescent="0.35">
      <c r="A56" t="s">
        <v>458</v>
      </c>
      <c r="B56" s="251"/>
      <c r="C56" s="327">
        <v>0</v>
      </c>
      <c r="D56" s="327">
        <v>0</v>
      </c>
      <c r="F56" s="4">
        <f>IF(H56&gt;0,H56*500000,0)</f>
        <v>0</v>
      </c>
      <c r="H56" s="10">
        <f>C56*D56*10</f>
        <v>0</v>
      </c>
      <c r="K56" s="440">
        <f>H56</f>
        <v>0</v>
      </c>
      <c r="L56" s="427"/>
      <c r="M56" s="196"/>
      <c r="N56" s="285"/>
      <c r="O56" s="285"/>
      <c r="P56" s="285">
        <v>0</v>
      </c>
      <c r="Q56" s="648">
        <f>P56*N56</f>
        <v>0</v>
      </c>
      <c r="R56" s="219">
        <v>0</v>
      </c>
      <c r="S56" s="285">
        <v>0</v>
      </c>
      <c r="T56" s="285">
        <v>0</v>
      </c>
      <c r="U56" s="285">
        <v>0</v>
      </c>
      <c r="V56" s="285">
        <v>0</v>
      </c>
      <c r="W56" s="285">
        <v>0</v>
      </c>
      <c r="X56" s="285">
        <v>0</v>
      </c>
      <c r="Y56" s="285">
        <v>0</v>
      </c>
      <c r="Z56" s="285">
        <v>0</v>
      </c>
      <c r="AA56" s="285">
        <v>0</v>
      </c>
      <c r="AB56" s="285">
        <v>0</v>
      </c>
      <c r="AC56" s="285">
        <v>0</v>
      </c>
      <c r="AD56" s="285">
        <v>0</v>
      </c>
      <c r="AE56" s="285">
        <v>0</v>
      </c>
      <c r="AG56" t="s">
        <v>1798</v>
      </c>
      <c r="AL56">
        <f t="shared" si="5"/>
        <v>4</v>
      </c>
      <c r="AM56">
        <f t="shared" si="6"/>
        <v>55</v>
      </c>
      <c r="AN56">
        <v>12</v>
      </c>
      <c r="AO56" t="s">
        <v>2796</v>
      </c>
      <c r="AP56" s="4">
        <v>62640000</v>
      </c>
      <c r="AQ56" s="431">
        <v>400</v>
      </c>
      <c r="AR56">
        <f>IF($N$65="No",-20,1)</f>
        <v>1</v>
      </c>
      <c r="AZ56">
        <f t="shared" si="18"/>
        <v>1</v>
      </c>
      <c r="BI56">
        <f>IF($P$65=0,1,IF(AQ56&lt;=$P$65,1,-20))</f>
        <v>1</v>
      </c>
      <c r="BJ56">
        <f t="shared" si="14"/>
        <v>1</v>
      </c>
      <c r="BK56" s="57">
        <f t="shared" si="7"/>
        <v>55</v>
      </c>
      <c r="BL56" s="57" t="str">
        <f t="shared" si="8"/>
        <v>Aslan Taorl  Passenger Pod (Clans of the Aslan)</v>
      </c>
    </row>
    <row r="57" spans="1:64" ht="15" thickBot="1" x14ac:dyDescent="0.35">
      <c r="A57" t="s">
        <v>458</v>
      </c>
      <c r="B57" s="251"/>
      <c r="C57" s="327">
        <v>0</v>
      </c>
      <c r="D57" s="327">
        <v>0</v>
      </c>
      <c r="F57" s="4">
        <f>IF(H57&gt;0,H57*500000,0)</f>
        <v>0</v>
      </c>
      <c r="H57" s="10">
        <f>C57*D57*10</f>
        <v>0</v>
      </c>
      <c r="K57" s="440">
        <f>H57</f>
        <v>0</v>
      </c>
      <c r="O57" s="859" t="str">
        <f>SUM(O27*P27,O28*P28,O29*P29,O30*P30,O31*P31,O32*P32,O33*P33,O34*P34,O35*P35,O36*P36,O37*P37,O38*P38,O39*P39,O40*P40,O41*P41,O42*P42,O43*P43,O44*P44,O45*P45,O46*P46,O47*P47,O48*P48,O49*P49,O50*P50,O51*P51,O52*P52,O53*P53,O54*P54,O55*P55,O56*P56)&amp;" Tons of carried Craft"</f>
        <v>0 Tons of carried Craft</v>
      </c>
      <c r="P57" s="860"/>
      <c r="Q57" s="861"/>
      <c r="AG57" t="s">
        <v>457</v>
      </c>
      <c r="AL57">
        <f t="shared" si="5"/>
        <v>4</v>
      </c>
      <c r="AM57">
        <f t="shared" si="6"/>
        <v>56</v>
      </c>
      <c r="AN57">
        <v>12</v>
      </c>
      <c r="AO57" t="s">
        <v>2797</v>
      </c>
      <c r="AP57" s="4">
        <v>22500000</v>
      </c>
      <c r="AQ57" s="431">
        <v>400</v>
      </c>
      <c r="AR57">
        <f t="shared" ref="AR57:AR62" si="19">IF($N$62="No",-20,1)</f>
        <v>1</v>
      </c>
      <c r="AZ57">
        <f t="shared" si="18"/>
        <v>1</v>
      </c>
      <c r="BG57">
        <f t="shared" ref="BG57:BG62" si="20">IF($P$62=0,1,IF(AQ57&lt;=$P$62,1,-20))</f>
        <v>1</v>
      </c>
      <c r="BJ57">
        <f t="shared" si="14"/>
        <v>1</v>
      </c>
      <c r="BK57" s="57">
        <f t="shared" si="7"/>
        <v>56</v>
      </c>
      <c r="BL57" s="57" t="str">
        <f t="shared" si="8"/>
        <v>Aslan Taorl Cargo Pod (Clans of the Aslan)</v>
      </c>
    </row>
    <row r="58" spans="1:64" ht="15" thickBot="1" x14ac:dyDescent="0.35">
      <c r="A58" t="s">
        <v>458</v>
      </c>
      <c r="B58" s="251"/>
      <c r="C58" s="327">
        <v>0</v>
      </c>
      <c r="D58" s="327">
        <v>0</v>
      </c>
      <c r="F58" s="4">
        <f>IF(H58&gt;0,H58*500000,0)</f>
        <v>0</v>
      </c>
      <c r="H58" s="10">
        <f>C58*D58*10</f>
        <v>0</v>
      </c>
      <c r="K58" s="440">
        <f>H58</f>
        <v>0</v>
      </c>
      <c r="M58" s="7" t="s">
        <v>1598</v>
      </c>
      <c r="N58" s="197" t="s">
        <v>93</v>
      </c>
      <c r="AG58" t="s">
        <v>1799</v>
      </c>
      <c r="AL58">
        <f t="shared" si="5"/>
        <v>4</v>
      </c>
      <c r="AM58">
        <f t="shared" si="6"/>
        <v>57</v>
      </c>
      <c r="AN58">
        <v>8</v>
      </c>
      <c r="AO58" t="s">
        <v>2798</v>
      </c>
      <c r="AP58" s="4">
        <v>18000000</v>
      </c>
      <c r="AQ58" s="431">
        <v>400</v>
      </c>
      <c r="AR58">
        <f t="shared" si="19"/>
        <v>1</v>
      </c>
      <c r="AZ58">
        <f t="shared" si="18"/>
        <v>1</v>
      </c>
      <c r="BG58">
        <f t="shared" si="20"/>
        <v>1</v>
      </c>
      <c r="BJ58">
        <f t="shared" si="14"/>
        <v>1</v>
      </c>
      <c r="BK58" s="57">
        <f t="shared" si="7"/>
        <v>57</v>
      </c>
      <c r="BL58" s="57" t="str">
        <f t="shared" si="8"/>
        <v>Aslan Taorl Fuel Pod (Clans of the Aslan)</v>
      </c>
    </row>
    <row r="59" spans="1:64" ht="15" thickBot="1" x14ac:dyDescent="0.35">
      <c r="A59" t="s">
        <v>458</v>
      </c>
      <c r="B59" s="251"/>
      <c r="C59" s="327">
        <v>0</v>
      </c>
      <c r="D59" s="327">
        <v>0</v>
      </c>
      <c r="F59" s="4">
        <f>IF(H59&gt;0,H59*500000,0)</f>
        <v>0</v>
      </c>
      <c r="H59" s="10">
        <f>C59*D59*10</f>
        <v>0</v>
      </c>
      <c r="K59" s="440">
        <f>H59</f>
        <v>0</v>
      </c>
      <c r="AL59">
        <f t="shared" si="5"/>
        <v>4</v>
      </c>
      <c r="AM59">
        <f t="shared" si="6"/>
        <v>58</v>
      </c>
      <c r="AN59">
        <v>12</v>
      </c>
      <c r="AO59" t="s">
        <v>2799</v>
      </c>
      <c r="AP59" s="4">
        <v>93870000</v>
      </c>
      <c r="AQ59" s="431">
        <v>400</v>
      </c>
      <c r="AR59">
        <f t="shared" si="19"/>
        <v>1</v>
      </c>
      <c r="AZ59">
        <f t="shared" si="18"/>
        <v>1</v>
      </c>
      <c r="BG59">
        <f t="shared" si="20"/>
        <v>1</v>
      </c>
      <c r="BJ59">
        <f t="shared" si="14"/>
        <v>1</v>
      </c>
      <c r="BK59" s="57">
        <f t="shared" si="7"/>
        <v>58</v>
      </c>
      <c r="BL59" s="57" t="str">
        <f t="shared" si="8"/>
        <v>Aslan Taorl Low Pod (Clans of the Aslan)</v>
      </c>
    </row>
    <row r="60" spans="1:64" ht="15" thickBot="1" x14ac:dyDescent="0.35">
      <c r="F60" s="4"/>
      <c r="H60" s="10"/>
      <c r="K60" s="440"/>
      <c r="M60" s="411" t="s">
        <v>1601</v>
      </c>
      <c r="N60" s="412"/>
      <c r="O60" s="412"/>
      <c r="P60" s="412"/>
      <c r="Q60" s="413"/>
      <c r="AG60">
        <f>SUM(H55:H65)</f>
        <v>0</v>
      </c>
      <c r="AL60">
        <f t="shared" si="5"/>
        <v>4</v>
      </c>
      <c r="AM60">
        <f t="shared" si="6"/>
        <v>59</v>
      </c>
      <c r="AN60">
        <v>13</v>
      </c>
      <c r="AO60" t="s">
        <v>2800</v>
      </c>
      <c r="AP60" s="4">
        <v>27234000</v>
      </c>
      <c r="AQ60" s="431">
        <v>60</v>
      </c>
      <c r="AR60">
        <f t="shared" si="19"/>
        <v>1</v>
      </c>
      <c r="AZ60">
        <f t="shared" si="18"/>
        <v>1</v>
      </c>
      <c r="BG60">
        <f t="shared" si="20"/>
        <v>1</v>
      </c>
      <c r="BJ60">
        <f t="shared" si="14"/>
        <v>1</v>
      </c>
      <c r="BK60" s="57">
        <f t="shared" si="7"/>
        <v>59</v>
      </c>
      <c r="BL60" s="57" t="str">
        <f t="shared" si="8"/>
        <v>Aslan Yaeai Reconnaissance Pinnace (SCC)</v>
      </c>
    </row>
    <row r="61" spans="1:64" ht="15" thickBot="1" x14ac:dyDescent="0.35">
      <c r="A61" t="s">
        <v>459</v>
      </c>
      <c r="B61" s="251"/>
      <c r="C61" s="327">
        <v>0</v>
      </c>
      <c r="D61" s="327">
        <v>0</v>
      </c>
      <c r="F61" s="4">
        <f>IF(H61&gt;0,H61*500000,0)</f>
        <v>0</v>
      </c>
      <c r="H61" s="10">
        <f>C61*D61*10</f>
        <v>0</v>
      </c>
      <c r="K61" s="440">
        <f>H61</f>
        <v>0</v>
      </c>
      <c r="M61" s="7" t="s">
        <v>1602</v>
      </c>
      <c r="N61" s="410" t="s">
        <v>93</v>
      </c>
      <c r="O61" s="9"/>
      <c r="P61" s="409" t="s">
        <v>1605</v>
      </c>
      <c r="Q61" s="409"/>
      <c r="AL61">
        <f t="shared" si="5"/>
        <v>4</v>
      </c>
      <c r="AM61">
        <f t="shared" si="6"/>
        <v>60</v>
      </c>
      <c r="AN61">
        <v>11</v>
      </c>
      <c r="AO61" t="s">
        <v>2801</v>
      </c>
      <c r="AP61" s="4">
        <v>6561000</v>
      </c>
      <c r="AQ61" s="431">
        <v>8</v>
      </c>
      <c r="AR61">
        <f t="shared" si="19"/>
        <v>1</v>
      </c>
      <c r="AZ61">
        <f t="shared" si="18"/>
        <v>1</v>
      </c>
      <c r="BG61">
        <f t="shared" si="20"/>
        <v>1</v>
      </c>
      <c r="BJ61">
        <f t="shared" si="14"/>
        <v>1</v>
      </c>
      <c r="BK61" s="57">
        <f t="shared" si="7"/>
        <v>60</v>
      </c>
      <c r="BL61" s="57" t="str">
        <f t="shared" si="8"/>
        <v>Aslan Yeawel Light Fighter (SCC)</v>
      </c>
    </row>
    <row r="62" spans="1:64" ht="15" thickBot="1" x14ac:dyDescent="0.35">
      <c r="A62" t="s">
        <v>459</v>
      </c>
      <c r="B62" s="251"/>
      <c r="C62" s="327">
        <v>0</v>
      </c>
      <c r="D62" s="327">
        <v>0</v>
      </c>
      <c r="F62" s="4">
        <f>IF(H62&gt;0,H62*500000,0)</f>
        <v>0</v>
      </c>
      <c r="H62" s="10">
        <f>C62*D62*10</f>
        <v>0</v>
      </c>
      <c r="K62" s="440">
        <f>H62</f>
        <v>0</v>
      </c>
      <c r="M62" s="7" t="s">
        <v>1608</v>
      </c>
      <c r="N62" s="197" t="s">
        <v>93</v>
      </c>
      <c r="O62" s="7" t="s">
        <v>1603</v>
      </c>
      <c r="P62" s="857">
        <v>0</v>
      </c>
      <c r="Q62" s="858"/>
      <c r="AL62">
        <f t="shared" si="5"/>
        <v>4</v>
      </c>
      <c r="AM62">
        <f t="shared" si="6"/>
        <v>61</v>
      </c>
      <c r="AN62">
        <v>10</v>
      </c>
      <c r="AO62" t="s">
        <v>2802</v>
      </c>
      <c r="AP62" s="4">
        <v>20000</v>
      </c>
      <c r="AQ62">
        <v>1</v>
      </c>
      <c r="AR62">
        <f t="shared" si="19"/>
        <v>1</v>
      </c>
      <c r="AZ62">
        <f t="shared" si="18"/>
        <v>1</v>
      </c>
      <c r="BG62">
        <f t="shared" si="20"/>
        <v>1</v>
      </c>
      <c r="BJ62">
        <f t="shared" si="14"/>
        <v>1</v>
      </c>
      <c r="BK62" s="57">
        <f t="shared" si="7"/>
        <v>61</v>
      </c>
      <c r="BL62" s="57" t="str">
        <f t="shared" si="8"/>
        <v>Assault Cycle (Vehicle Handbook)</v>
      </c>
    </row>
    <row r="63" spans="1:64" ht="16.2" thickBot="1" x14ac:dyDescent="0.35">
      <c r="A63" t="s">
        <v>459</v>
      </c>
      <c r="B63" s="251"/>
      <c r="C63" s="327">
        <v>0</v>
      </c>
      <c r="D63" s="327">
        <v>0</v>
      </c>
      <c r="F63" s="4">
        <f>IF(H63&gt;0,H63*500000,0)</f>
        <v>0</v>
      </c>
      <c r="H63" s="10">
        <f>C63*D63*10</f>
        <v>0</v>
      </c>
      <c r="K63" s="440">
        <f>H63</f>
        <v>0</v>
      </c>
      <c r="M63" s="7" t="s">
        <v>1609</v>
      </c>
      <c r="N63" s="197" t="s">
        <v>93</v>
      </c>
      <c r="O63" s="7" t="s">
        <v>1603</v>
      </c>
      <c r="P63" s="857">
        <v>0</v>
      </c>
      <c r="Q63" s="858"/>
      <c r="AL63">
        <f t="shared" si="5"/>
        <v>4</v>
      </c>
      <c r="AM63">
        <f t="shared" si="6"/>
        <v>62</v>
      </c>
      <c r="AN63" s="437">
        <v>15</v>
      </c>
      <c r="AO63" s="437" t="s">
        <v>2803</v>
      </c>
      <c r="AP63" s="438"/>
      <c r="AQ63" s="439"/>
      <c r="AR63">
        <f>IF($N$65="No",-20,1)</f>
        <v>1</v>
      </c>
      <c r="AZ63">
        <f t="shared" si="18"/>
        <v>1</v>
      </c>
      <c r="BI63">
        <f>IF($P$65=0,1,IF(AQ63&lt;=$P$65,1,-20))</f>
        <v>1</v>
      </c>
      <c r="BJ63">
        <f t="shared" si="14"/>
        <v>1</v>
      </c>
      <c r="BK63" s="57">
        <f t="shared" si="7"/>
        <v>62</v>
      </c>
      <c r="BL63" s="57" t="str">
        <f t="shared" si="8"/>
        <v>Asteroid Projectile (Sylean Dream)</v>
      </c>
    </row>
    <row r="64" spans="1:64" ht="15" thickBot="1" x14ac:dyDescent="0.35">
      <c r="A64" t="s">
        <v>459</v>
      </c>
      <c r="B64" s="251"/>
      <c r="C64" s="327">
        <v>0</v>
      </c>
      <c r="D64" s="327">
        <v>0</v>
      </c>
      <c r="F64" s="4">
        <f>IF(H64&gt;0,H64*500000,0)</f>
        <v>0</v>
      </c>
      <c r="H64" s="10">
        <f>C64*D64*10</f>
        <v>0</v>
      </c>
      <c r="K64" s="440">
        <f>H64</f>
        <v>0</v>
      </c>
      <c r="M64" s="7" t="s">
        <v>1633</v>
      </c>
      <c r="N64" s="197" t="s">
        <v>93</v>
      </c>
      <c r="O64" s="7"/>
      <c r="P64" s="417"/>
      <c r="Q64" s="417"/>
      <c r="AL64">
        <f t="shared" si="5"/>
        <v>4</v>
      </c>
      <c r="AM64">
        <f t="shared" si="6"/>
        <v>63</v>
      </c>
      <c r="AN64">
        <v>14</v>
      </c>
      <c r="AO64" t="s">
        <v>2804</v>
      </c>
      <c r="AP64" s="4">
        <v>20250000</v>
      </c>
      <c r="AQ64" s="431">
        <v>20</v>
      </c>
      <c r="AR64">
        <f>IF($N$62="No",-20,1)</f>
        <v>1</v>
      </c>
      <c r="BF64">
        <f>IF($N$79="No",-20,1)</f>
        <v>1</v>
      </c>
      <c r="BG64">
        <f>IF($P$62=0,1,IF(AQ64&lt;=$P$62,1,-20))</f>
        <v>1</v>
      </c>
      <c r="BJ64">
        <f t="shared" si="14"/>
        <v>1</v>
      </c>
      <c r="BK64" s="57">
        <f t="shared" si="7"/>
        <v>63</v>
      </c>
      <c r="BL64" s="57" t="str">
        <f t="shared" si="8"/>
        <v>Astrin Grav APC (TTI)</v>
      </c>
    </row>
    <row r="65" spans="1:64" ht="16.2" thickBot="1" x14ac:dyDescent="0.35">
      <c r="A65" t="s">
        <v>459</v>
      </c>
      <c r="B65" s="251"/>
      <c r="C65" s="327">
        <v>0</v>
      </c>
      <c r="D65" s="327">
        <v>0</v>
      </c>
      <c r="F65" s="4">
        <f>IF(H65&gt;0,H65*500000,0)</f>
        <v>0</v>
      </c>
      <c r="H65" s="10">
        <f>C65*D65*10</f>
        <v>0</v>
      </c>
      <c r="K65" s="440">
        <f>H65</f>
        <v>0</v>
      </c>
      <c r="M65" s="102" t="s">
        <v>1610</v>
      </c>
      <c r="N65" s="203" t="s">
        <v>93</v>
      </c>
      <c r="O65" s="102" t="s">
        <v>1604</v>
      </c>
      <c r="P65" s="855">
        <v>0</v>
      </c>
      <c r="Q65" s="856"/>
      <c r="AG65" s="3" t="s">
        <v>1484</v>
      </c>
      <c r="AI65" t="s">
        <v>1959</v>
      </c>
      <c r="AL65">
        <f t="shared" si="5"/>
        <v>3</v>
      </c>
      <c r="AM65">
        <f t="shared" si="6"/>
        <v>64</v>
      </c>
      <c r="AN65" s="437">
        <v>8</v>
      </c>
      <c r="AO65" s="437" t="s">
        <v>1844</v>
      </c>
      <c r="AP65" s="438">
        <v>153000</v>
      </c>
      <c r="AQ65" s="439">
        <v>10</v>
      </c>
      <c r="AR65">
        <f>IF($N$63="No",-20,1)</f>
        <v>1</v>
      </c>
      <c r="BH65">
        <f>IF($P$63=0,1,IF(AQ65&lt;=$P$63,1,-20))</f>
        <v>1</v>
      </c>
      <c r="BJ65">
        <f t="shared" si="14"/>
        <v>1</v>
      </c>
      <c r="BK65" s="57">
        <f t="shared" si="7"/>
        <v>64</v>
      </c>
      <c r="BL65" s="57" t="str">
        <f t="shared" si="8"/>
        <v>AT-4 Rough Terrain Snowmobile (JTAS Vol. 5)</v>
      </c>
    </row>
    <row r="66" spans="1:64" ht="15" thickBot="1" x14ac:dyDescent="0.35">
      <c r="M66" s="22"/>
      <c r="N66" s="22"/>
      <c r="O66" s="102" t="s">
        <v>1603</v>
      </c>
      <c r="P66" s="855">
        <v>0</v>
      </c>
      <c r="Q66" s="856"/>
      <c r="AG66" s="120" t="str">
        <f>""</f>
        <v/>
      </c>
      <c r="AI66">
        <f>SUMIF('8a-Weapons'!AB31:AB47,'9a-Optional'!AG65,'8a-Weapons'!AA31:AA47)</f>
        <v>0</v>
      </c>
      <c r="AL66">
        <f t="shared" si="5"/>
        <v>4</v>
      </c>
      <c r="AM66">
        <f t="shared" si="6"/>
        <v>65</v>
      </c>
      <c r="AN66">
        <v>12</v>
      </c>
      <c r="AO66" t="s">
        <v>2805</v>
      </c>
      <c r="AP66" s="4">
        <v>155000</v>
      </c>
      <c r="AQ66">
        <v>10</v>
      </c>
      <c r="AR66">
        <f>IF($N$62="No",-20,1)</f>
        <v>1</v>
      </c>
      <c r="AW66">
        <f>IF($N$70="No",-20,1)</f>
        <v>1</v>
      </c>
      <c r="BG66">
        <f>IF($P$62=0,1,IF(AQ66&lt;=$P$62,1,-20))</f>
        <v>1</v>
      </c>
      <c r="BJ66">
        <f t="shared" si="14"/>
        <v>1</v>
      </c>
      <c r="BK66" s="57">
        <f t="shared" si="7"/>
        <v>65</v>
      </c>
      <c r="BL66" s="57" t="str">
        <f t="shared" si="8"/>
        <v>ATV (Core'24)</v>
      </c>
    </row>
    <row r="67" spans="1:64" ht="15" thickBot="1" x14ac:dyDescent="0.35">
      <c r="B67" s="1" t="s">
        <v>473</v>
      </c>
      <c r="C67" s="197" t="s">
        <v>92</v>
      </c>
      <c r="F67" s="4">
        <f>IF(C67="Yes",0.5*SUM(F55:F65),0)</f>
        <v>0</v>
      </c>
      <c r="M67" s="7" t="s">
        <v>1606</v>
      </c>
      <c r="N67" s="197" t="s">
        <v>93</v>
      </c>
      <c r="AG67" s="121" t="str">
        <f>IF(AI66=0,"","GP Mass Driver Added Capacity")</f>
        <v/>
      </c>
      <c r="AH67">
        <v>75000</v>
      </c>
      <c r="AI67">
        <v>3</v>
      </c>
      <c r="AL67">
        <f t="shared" si="5"/>
        <v>4</v>
      </c>
      <c r="AM67">
        <f t="shared" si="6"/>
        <v>66</v>
      </c>
      <c r="AN67">
        <v>10</v>
      </c>
      <c r="AO67" t="s">
        <v>1900</v>
      </c>
      <c r="AP67" s="4">
        <v>370900</v>
      </c>
      <c r="AQ67" s="471">
        <v>10</v>
      </c>
      <c r="AR67">
        <f>IF($N$65="No",-20,1)</f>
        <v>1</v>
      </c>
      <c r="BB67">
        <f>IF($N$75="No",-20,1)</f>
        <v>1</v>
      </c>
      <c r="BI67">
        <f>IF($P$65=0,1,IF(AQ67&lt;=$P$65,1,-20))</f>
        <v>1</v>
      </c>
      <c r="BJ67">
        <f t="shared" ref="BJ67:BJ98" si="21">IF($N$61="Yes",1,IF(AN67&gt;TL,-20,1))</f>
        <v>1</v>
      </c>
      <c r="BK67" s="57">
        <f t="shared" si="7"/>
        <v>66</v>
      </c>
      <c r="BL67" s="57" t="str">
        <f t="shared" si="8"/>
        <v>ATV w/Fusion+ (JTAS Vol. 15)</v>
      </c>
    </row>
    <row r="68" spans="1:64" ht="16.2" thickBot="1" x14ac:dyDescent="0.35">
      <c r="M68" s="7" t="s">
        <v>1607</v>
      </c>
      <c r="N68" s="197" t="s">
        <v>93</v>
      </c>
      <c r="AG68" s="3" t="s">
        <v>2570</v>
      </c>
      <c r="AL68">
        <f t="shared" ref="AL68:AL131" si="22">SUM(AR68:BJ68)</f>
        <v>4</v>
      </c>
      <c r="AM68">
        <f t="shared" ref="AM68:AM131" si="23">IF(AL68&gt;0,AM67+1,AM67)</f>
        <v>67</v>
      </c>
      <c r="AN68" s="437">
        <v>8</v>
      </c>
      <c r="AO68" s="437" t="s">
        <v>1971</v>
      </c>
      <c r="AP68" s="438">
        <v>249000</v>
      </c>
      <c r="AQ68" s="439">
        <v>8</v>
      </c>
      <c r="AR68">
        <f>IF($N$63="No",-20,1)</f>
        <v>1</v>
      </c>
      <c r="AU68">
        <f>IF($N$68="No",-20,1)</f>
        <v>1</v>
      </c>
      <c r="BH68">
        <f>IF($P$63=0,1,IF(AQ68&lt;=$P$63,1,-20))</f>
        <v>1</v>
      </c>
      <c r="BJ68">
        <f t="shared" si="21"/>
        <v>1</v>
      </c>
      <c r="BK68" s="57">
        <f t="shared" ref="BK68:BK131" si="24">BK67+1</f>
        <v>67</v>
      </c>
      <c r="BL68" s="57" t="str">
        <f t="shared" si="8"/>
        <v>Ausiyr Assualt Helicopter (Reach Adventure 6)</v>
      </c>
    </row>
    <row r="69" spans="1:64" ht="15" thickBot="1" x14ac:dyDescent="0.35">
      <c r="M69" s="7" t="s">
        <v>1613</v>
      </c>
      <c r="N69" s="197" t="s">
        <v>93</v>
      </c>
      <c r="AG69" t="s">
        <v>276</v>
      </c>
      <c r="AH69">
        <v>0</v>
      </c>
      <c r="AI69">
        <v>0</v>
      </c>
      <c r="AJ69">
        <v>0</v>
      </c>
      <c r="AK69">
        <f>0.1*Tonnage</f>
        <v>10</v>
      </c>
      <c r="AL69">
        <f t="shared" si="22"/>
        <v>4</v>
      </c>
      <c r="AM69">
        <f t="shared" si="23"/>
        <v>68</v>
      </c>
      <c r="AN69">
        <v>10</v>
      </c>
      <c r="AO69" t="s">
        <v>2806</v>
      </c>
      <c r="AP69" s="4">
        <v>1458000</v>
      </c>
      <c r="AQ69">
        <v>5</v>
      </c>
      <c r="AR69">
        <f>IF($N$62="No",-20,1)</f>
        <v>1</v>
      </c>
      <c r="BF69">
        <f>IF($N$79="No",-20,1)</f>
        <v>1</v>
      </c>
      <c r="BG69">
        <f>IF($P$62=0,1,IF(AQ69&lt;=$P$62,1,-20))</f>
        <v>1</v>
      </c>
      <c r="BJ69">
        <f t="shared" si="21"/>
        <v>1</v>
      </c>
      <c r="BK69" s="57">
        <f t="shared" si="24"/>
        <v>68</v>
      </c>
      <c r="BL69" s="57" t="str">
        <f t="shared" ref="BL69:BL132" si="25">IF(BK69&gt;$BK$1,"",INDEX($AM$2:$AO$495,MATCH(BK69,$AM$2:$AM$495,0),3))</f>
        <v>Automated Lifeboat (SCC)</v>
      </c>
    </row>
    <row r="70" spans="1:64" ht="15" thickBot="1" x14ac:dyDescent="0.35">
      <c r="M70" s="7" t="s">
        <v>1635</v>
      </c>
      <c r="N70" s="197" t="s">
        <v>93</v>
      </c>
      <c r="AG70" t="s">
        <v>19</v>
      </c>
      <c r="AH70">
        <f>C25/25</f>
        <v>0</v>
      </c>
      <c r="AI70">
        <v>100000</v>
      </c>
      <c r="AJ70" t="str">
        <f>"+6 "</f>
        <v xml:space="preserve">+6 </v>
      </c>
      <c r="AL70">
        <f t="shared" si="22"/>
        <v>3</v>
      </c>
      <c r="AM70">
        <f t="shared" si="23"/>
        <v>69</v>
      </c>
      <c r="AN70">
        <v>9</v>
      </c>
      <c r="AO70" t="s">
        <v>2807</v>
      </c>
      <c r="AP70" s="4">
        <v>1118900</v>
      </c>
      <c r="AQ70" s="471">
        <v>100</v>
      </c>
      <c r="AR70">
        <f>IF($N$62="No",-20,1)</f>
        <v>1</v>
      </c>
      <c r="BG70">
        <f>IF($P$62=0,1,IF(AQ70&lt;=$P$62,1,-20))</f>
        <v>1</v>
      </c>
      <c r="BJ70">
        <f t="shared" si="21"/>
        <v>1</v>
      </c>
      <c r="BK70" s="57">
        <f t="shared" si="24"/>
        <v>69</v>
      </c>
      <c r="BL70" s="57" t="str">
        <f t="shared" si="25"/>
        <v>Automated Refinery Drone (JTAS Vol. 12)</v>
      </c>
    </row>
    <row r="71" spans="1:64" ht="15" thickBot="1" x14ac:dyDescent="0.35">
      <c r="M71" s="7" t="s">
        <v>1658</v>
      </c>
      <c r="N71" s="197" t="s">
        <v>93</v>
      </c>
      <c r="AG71" t="s">
        <v>2396</v>
      </c>
      <c r="AH71">
        <f>1.5*C25/25</f>
        <v>0</v>
      </c>
      <c r="AI71">
        <v>200000</v>
      </c>
      <c r="AJ71" t="str">
        <f>"+24 "</f>
        <v xml:space="preserve">+24 </v>
      </c>
      <c r="AL71">
        <f t="shared" si="22"/>
        <v>4</v>
      </c>
      <c r="AM71">
        <f t="shared" si="23"/>
        <v>70</v>
      </c>
      <c r="AN71">
        <v>10</v>
      </c>
      <c r="AO71" t="s">
        <v>2808</v>
      </c>
      <c r="AP71" s="4">
        <v>15900000</v>
      </c>
      <c r="AQ71">
        <v>33</v>
      </c>
      <c r="AR71">
        <f>IF($N$63="No",-20,1)</f>
        <v>1</v>
      </c>
      <c r="AU71">
        <f>IF($N$68="No",-20,1)</f>
        <v>1</v>
      </c>
      <c r="BH71">
        <f>IF($P$63=0,1,IF(AQ71&lt;=$P$63,1,-20))</f>
        <v>1</v>
      </c>
      <c r="BJ71">
        <f t="shared" si="21"/>
        <v>1</v>
      </c>
      <c r="BK71" s="57">
        <f t="shared" si="24"/>
        <v>70</v>
      </c>
      <c r="BL71" s="57" t="str">
        <f t="shared" si="25"/>
        <v>Avante Jet Fighter (Vehicle Handbook)</v>
      </c>
    </row>
    <row r="72" spans="1:64" ht="15" thickBot="1" x14ac:dyDescent="0.35">
      <c r="M72" s="7" t="s">
        <v>1659</v>
      </c>
      <c r="N72" s="197" t="s">
        <v>93</v>
      </c>
      <c r="AL72">
        <f t="shared" si="22"/>
        <v>4</v>
      </c>
      <c r="AM72">
        <f t="shared" si="23"/>
        <v>71</v>
      </c>
      <c r="AN72">
        <v>14</v>
      </c>
      <c r="AO72" t="s">
        <v>2809</v>
      </c>
      <c r="AP72" s="4">
        <v>30441050000</v>
      </c>
      <c r="AQ72">
        <v>60000</v>
      </c>
      <c r="AR72">
        <f>IF($N$63="No",-20,1)</f>
        <v>1</v>
      </c>
      <c r="AU72">
        <f>IF($N$68="No",-20,1)</f>
        <v>1</v>
      </c>
      <c r="BH72">
        <f>IF($P$63=0,1,IF(AQ72&lt;=$P$63,1,-20))</f>
        <v>1</v>
      </c>
      <c r="BJ72">
        <f t="shared" si="21"/>
        <v>1</v>
      </c>
      <c r="BK72" s="57">
        <f t="shared" si="24"/>
        <v>71</v>
      </c>
      <c r="BL72" s="57" t="str">
        <f t="shared" si="25"/>
        <v>Azhanti High-Lightning Frontier Cruiser (HG'22)</v>
      </c>
    </row>
    <row r="73" spans="1:64" ht="15" thickBot="1" x14ac:dyDescent="0.35">
      <c r="M73" s="7" t="s">
        <v>1660</v>
      </c>
      <c r="N73" s="197" t="s">
        <v>93</v>
      </c>
      <c r="AL73">
        <f t="shared" si="22"/>
        <v>3</v>
      </c>
      <c r="AM73">
        <f t="shared" si="23"/>
        <v>72</v>
      </c>
      <c r="AN73">
        <v>7</v>
      </c>
      <c r="AO73" t="s">
        <v>2810</v>
      </c>
      <c r="AP73" s="4">
        <v>3000000</v>
      </c>
      <c r="AQ73" s="431">
        <v>6</v>
      </c>
      <c r="AR73">
        <f>IF($N$65="No",-20,1)</f>
        <v>1</v>
      </c>
      <c r="BI73">
        <f>IF($P$65=0,1,IF(AQ73&lt;=$P$65,1,-20))</f>
        <v>1</v>
      </c>
      <c r="BJ73">
        <f t="shared" si="21"/>
        <v>1</v>
      </c>
      <c r="BK73" s="57">
        <f t="shared" si="24"/>
        <v>72</v>
      </c>
      <c r="BL73" s="57" t="str">
        <f t="shared" si="25"/>
        <v>Barnacle Deep Sea Submersiable (PoD Book 1)</v>
      </c>
    </row>
    <row r="74" spans="1:64" ht="15" thickBot="1" x14ac:dyDescent="0.35">
      <c r="M74" s="7" t="s">
        <v>1661</v>
      </c>
      <c r="N74" s="197" t="s">
        <v>93</v>
      </c>
      <c r="AL74">
        <f t="shared" si="22"/>
        <v>3</v>
      </c>
      <c r="AM74">
        <f t="shared" si="23"/>
        <v>73</v>
      </c>
      <c r="AN74">
        <v>9</v>
      </c>
      <c r="AO74" t="s">
        <v>1872</v>
      </c>
      <c r="AP74" s="4">
        <v>534000</v>
      </c>
      <c r="AQ74" s="471">
        <v>30</v>
      </c>
      <c r="AR74">
        <f>IF($N$65="No",-20,1)</f>
        <v>1</v>
      </c>
      <c r="BI74">
        <f>IF($P$65=0,1,IF(AQ74&lt;=$P$65,1,-20))</f>
        <v>1</v>
      </c>
      <c r="BJ74">
        <f t="shared" si="21"/>
        <v>1</v>
      </c>
      <c r="BK74" s="57">
        <f t="shared" si="24"/>
        <v>73</v>
      </c>
      <c r="BL74" s="57" t="str">
        <f t="shared" si="25"/>
        <v>BB-2 Nuclear Powered Bus (JTAS Vol. 8)</v>
      </c>
    </row>
    <row r="75" spans="1:64" ht="15" thickBot="1" x14ac:dyDescent="0.35">
      <c r="M75" s="7" t="s">
        <v>1662</v>
      </c>
      <c r="N75" s="197" t="s">
        <v>93</v>
      </c>
      <c r="AL75">
        <f t="shared" si="22"/>
        <v>3</v>
      </c>
      <c r="AM75">
        <f t="shared" si="23"/>
        <v>74</v>
      </c>
      <c r="AN75">
        <v>7</v>
      </c>
      <c r="AO75" t="s">
        <v>2811</v>
      </c>
      <c r="AP75" s="4">
        <v>3760000</v>
      </c>
      <c r="AQ75">
        <v>75</v>
      </c>
      <c r="AR75">
        <f>IF($N$62="No",-20,1)</f>
        <v>1</v>
      </c>
      <c r="BG75">
        <f>IF($P$62=0,1,IF(AQ75&lt;=$P$62,1,-20))</f>
        <v>1</v>
      </c>
      <c r="BJ75">
        <f t="shared" si="21"/>
        <v>1</v>
      </c>
      <c r="BK75" s="57">
        <f t="shared" si="24"/>
        <v>74</v>
      </c>
      <c r="BL75" s="57" t="str">
        <f t="shared" si="25"/>
        <v>Behemoth Transport Helicopter (Vehicle Handbook)</v>
      </c>
    </row>
    <row r="76" spans="1:64" ht="16.2" thickBot="1" x14ac:dyDescent="0.35">
      <c r="M76" s="7" t="s">
        <v>1714</v>
      </c>
      <c r="N76" s="197" t="s">
        <v>93</v>
      </c>
      <c r="AL76">
        <f t="shared" si="22"/>
        <v>3</v>
      </c>
      <c r="AM76">
        <f t="shared" si="23"/>
        <v>75</v>
      </c>
      <c r="AN76" s="437">
        <v>15</v>
      </c>
      <c r="AO76" s="437" t="s">
        <v>1678</v>
      </c>
      <c r="AP76" s="438">
        <v>915000</v>
      </c>
      <c r="AQ76" s="439">
        <v>6</v>
      </c>
      <c r="AR76">
        <f>IF($N$62="No",-20,1)</f>
        <v>1</v>
      </c>
      <c r="BG76">
        <f>IF($P$62=0,1,IF(AQ76&lt;=$P$62,1,-20))</f>
        <v>1</v>
      </c>
      <c r="BJ76">
        <f t="shared" si="21"/>
        <v>1</v>
      </c>
      <c r="BK76" s="57">
        <f t="shared" si="24"/>
        <v>75</v>
      </c>
      <c r="BL76" s="57" t="str">
        <f t="shared" si="25"/>
        <v>Behrait Transport Vehicle (B&amp;ESG)</v>
      </c>
    </row>
    <row r="77" spans="1:64" ht="15" thickBot="1" x14ac:dyDescent="0.35">
      <c r="M77" s="7" t="s">
        <v>1675</v>
      </c>
      <c r="N77" s="197" t="s">
        <v>93</v>
      </c>
      <c r="AL77">
        <f t="shared" si="22"/>
        <v>4</v>
      </c>
      <c r="AM77">
        <f t="shared" si="23"/>
        <v>76</v>
      </c>
      <c r="AN77">
        <v>9</v>
      </c>
      <c r="AO77" t="s">
        <v>2812</v>
      </c>
      <c r="AP77" s="4">
        <v>5472000</v>
      </c>
      <c r="AQ77">
        <v>20</v>
      </c>
      <c r="AR77">
        <f>IF($N$63="No",-20,1)</f>
        <v>1</v>
      </c>
      <c r="AU77">
        <f>IF($N$68="No",-20,1)</f>
        <v>1</v>
      </c>
      <c r="BH77">
        <f>IF($P$63=0,1,IF(AQ77&lt;=$P$63,1,-20))</f>
        <v>1</v>
      </c>
      <c r="BJ77">
        <f t="shared" si="21"/>
        <v>1</v>
      </c>
      <c r="BK77" s="57">
        <f t="shared" si="24"/>
        <v>76</v>
      </c>
      <c r="BL77" s="57" t="str">
        <f t="shared" si="25"/>
        <v>Belter Launch (SCC)</v>
      </c>
    </row>
    <row r="78" spans="1:64" ht="15" thickBot="1" x14ac:dyDescent="0.35">
      <c r="M78" s="7" t="s">
        <v>1703</v>
      </c>
      <c r="N78" s="197" t="s">
        <v>93</v>
      </c>
      <c r="AL78">
        <f t="shared" si="22"/>
        <v>5</v>
      </c>
      <c r="AM78">
        <f t="shared" si="23"/>
        <v>77</v>
      </c>
      <c r="AN78">
        <v>12</v>
      </c>
      <c r="AO78" t="s">
        <v>2813</v>
      </c>
      <c r="AP78" s="4">
        <v>51380000</v>
      </c>
      <c r="AQ78">
        <v>200</v>
      </c>
      <c r="AR78">
        <f>IF($N$63="No",-20,1)</f>
        <v>1</v>
      </c>
      <c r="AS78">
        <f>IF($N$64="No",-20,1)</f>
        <v>1</v>
      </c>
      <c r="BE78">
        <f>IF($N$78="No",-20,1)</f>
        <v>1</v>
      </c>
      <c r="BH78">
        <f>IF($P$63=0,1,IF(AQ78&lt;=$P$63,1,-20))</f>
        <v>1</v>
      </c>
      <c r="BJ78">
        <f t="shared" si="21"/>
        <v>1</v>
      </c>
      <c r="BK78" s="57">
        <f t="shared" si="24"/>
        <v>77</v>
      </c>
      <c r="BL78" s="57" t="str">
        <f t="shared" si="25"/>
        <v>Beowulf Type A Free Trader (HG'22)</v>
      </c>
    </row>
    <row r="79" spans="1:64" ht="15" thickBot="1" x14ac:dyDescent="0.35">
      <c r="M79" s="7" t="s">
        <v>1864</v>
      </c>
      <c r="N79" s="197" t="s">
        <v>93</v>
      </c>
      <c r="AL79">
        <f t="shared" si="22"/>
        <v>4</v>
      </c>
      <c r="AM79">
        <f t="shared" si="23"/>
        <v>78</v>
      </c>
      <c r="AN79">
        <v>15</v>
      </c>
      <c r="AO79" t="s">
        <v>2814</v>
      </c>
      <c r="AP79" s="4">
        <v>28800000</v>
      </c>
      <c r="AQ79" s="471">
        <v>20</v>
      </c>
      <c r="AR79">
        <f>IF($N$63="No",-20,1)</f>
        <v>1</v>
      </c>
      <c r="BE79">
        <f>IF($N$78="No",-20,1)</f>
        <v>1</v>
      </c>
      <c r="BH79">
        <f>IF($P$63=0,1,IF(AQ79&lt;=$P$63,1,-20))</f>
        <v>1</v>
      </c>
      <c r="BJ79">
        <f t="shared" si="21"/>
        <v>1</v>
      </c>
      <c r="BK79" s="57">
        <f t="shared" si="24"/>
        <v>78</v>
      </c>
      <c r="BL79" s="57" t="str">
        <f t="shared" si="25"/>
        <v>Bergstrom Light Grav Tank (Armies of the 5FW)</v>
      </c>
    </row>
    <row r="80" spans="1:64" ht="15.6" x14ac:dyDescent="0.3">
      <c r="AL80">
        <f t="shared" si="22"/>
        <v>3</v>
      </c>
      <c r="AM80">
        <f t="shared" si="23"/>
        <v>79</v>
      </c>
      <c r="AN80" s="437">
        <v>15</v>
      </c>
      <c r="AO80" s="437" t="s">
        <v>1679</v>
      </c>
      <c r="AP80" s="438">
        <v>2830000</v>
      </c>
      <c r="AQ80" s="439">
        <v>30</v>
      </c>
      <c r="AR80">
        <f>IF($N$62="No",-20,1)</f>
        <v>1</v>
      </c>
      <c r="BG80">
        <f>IF($P$62=0,1,IF(AQ80&lt;=$P$62,1,-20))</f>
        <v>1</v>
      </c>
      <c r="BJ80">
        <f t="shared" si="21"/>
        <v>1</v>
      </c>
      <c r="BK80" s="57">
        <f t="shared" si="24"/>
        <v>79</v>
      </c>
      <c r="BL80" s="57" t="str">
        <f t="shared" si="25"/>
        <v>Bestia AFV (B&amp;ESG)</v>
      </c>
    </row>
    <row r="81" spans="38:64" x14ac:dyDescent="0.3">
      <c r="AL81">
        <f t="shared" si="22"/>
        <v>4</v>
      </c>
      <c r="AM81">
        <f t="shared" si="23"/>
        <v>80</v>
      </c>
      <c r="AN81">
        <v>11</v>
      </c>
      <c r="AO81" t="s">
        <v>2815</v>
      </c>
      <c r="AP81" s="4">
        <v>2750000</v>
      </c>
      <c r="AQ81">
        <v>7</v>
      </c>
      <c r="AR81">
        <f>IF($N$63="No",-20,1)</f>
        <v>1</v>
      </c>
      <c r="AU81">
        <f>IF($N$68="No",-20,1)</f>
        <v>1</v>
      </c>
      <c r="BH81">
        <f>IF($P$63=0,1,IF(AQ81&lt;=$P$63,1,-20))</f>
        <v>1</v>
      </c>
      <c r="BJ81">
        <f t="shared" si="21"/>
        <v>1</v>
      </c>
      <c r="BK81" s="57">
        <f t="shared" si="24"/>
        <v>80</v>
      </c>
      <c r="BL81" s="57" t="str">
        <f t="shared" si="25"/>
        <v>Birdseye Reconnaissance Aircraft (Vehicle Handbook)</v>
      </c>
    </row>
    <row r="82" spans="38:64" x14ac:dyDescent="0.3">
      <c r="AL82">
        <f t="shared" si="22"/>
        <v>4</v>
      </c>
      <c r="AM82">
        <f t="shared" si="23"/>
        <v>81</v>
      </c>
      <c r="AN82">
        <v>15</v>
      </c>
      <c r="AO82" t="s">
        <v>2816</v>
      </c>
      <c r="AP82" s="4">
        <v>40207500</v>
      </c>
      <c r="AQ82">
        <v>60</v>
      </c>
      <c r="AR82">
        <f>IF($N$62="No",-20,1)</f>
        <v>1</v>
      </c>
      <c r="BC82">
        <f>IF($N$76="No",-20,1)</f>
        <v>1</v>
      </c>
      <c r="BG82">
        <f>IF($P$62=0,1,IF(AQ82&lt;=$P$62,1,-20))</f>
        <v>1</v>
      </c>
      <c r="BJ82">
        <f t="shared" si="21"/>
        <v>1</v>
      </c>
      <c r="BK82" s="57">
        <f t="shared" si="24"/>
        <v>81</v>
      </c>
      <c r="BL82" s="57" t="str">
        <f t="shared" si="25"/>
        <v>Boarding Shuttle (SCC)</v>
      </c>
    </row>
    <row r="83" spans="38:64" x14ac:dyDescent="0.3">
      <c r="AL83">
        <f t="shared" si="22"/>
        <v>4</v>
      </c>
      <c r="AM83">
        <f t="shared" si="23"/>
        <v>82</v>
      </c>
      <c r="AN83">
        <v>7</v>
      </c>
      <c r="AO83" t="s">
        <v>1885</v>
      </c>
      <c r="AP83" s="4">
        <v>2391200</v>
      </c>
      <c r="AQ83" s="471">
        <v>100</v>
      </c>
      <c r="AR83">
        <f>IF($N$63="No",-20,1)</f>
        <v>1</v>
      </c>
      <c r="AU83">
        <f>IF($N$68="No",-20,1)</f>
        <v>1</v>
      </c>
      <c r="BH83">
        <f>IF($P$63=0,1,IF(AQ83&lt;=$P$63,1,-20))</f>
        <v>1</v>
      </c>
      <c r="BJ83">
        <f t="shared" si="21"/>
        <v>1</v>
      </c>
      <c r="BK83" s="57">
        <f t="shared" si="24"/>
        <v>82</v>
      </c>
      <c r="BL83" s="57" t="str">
        <f t="shared" si="25"/>
        <v>Bonham-Class Luxury Airship (JTAS Vol. 12)</v>
      </c>
    </row>
    <row r="84" spans="38:64" x14ac:dyDescent="0.3">
      <c r="AL84">
        <f t="shared" si="22"/>
        <v>4</v>
      </c>
      <c r="AM84">
        <f t="shared" si="23"/>
        <v>83</v>
      </c>
      <c r="AN84">
        <v>13</v>
      </c>
      <c r="AO84" t="s">
        <v>2817</v>
      </c>
      <c r="AP84" s="4">
        <v>565000</v>
      </c>
      <c r="AQ84">
        <v>15</v>
      </c>
      <c r="AR84">
        <f>IF($N$63="No",-20,1)</f>
        <v>1</v>
      </c>
      <c r="AU84">
        <f>IF($N$68="No",-20,1)</f>
        <v>1</v>
      </c>
      <c r="BH84">
        <f>IF($P$63=0,1,IF(AQ84&lt;=$P$63,1,-20))</f>
        <v>1</v>
      </c>
      <c r="BJ84">
        <f t="shared" si="21"/>
        <v>1</v>
      </c>
      <c r="BK84" s="57">
        <f t="shared" si="24"/>
        <v>83</v>
      </c>
      <c r="BL84" s="57" t="str">
        <f t="shared" si="25"/>
        <v>Borderguard Ground Attack Drone (Vehicle Handbook)</v>
      </c>
    </row>
    <row r="85" spans="38:64" x14ac:dyDescent="0.3">
      <c r="AL85">
        <f t="shared" si="22"/>
        <v>5</v>
      </c>
      <c r="AM85">
        <f t="shared" si="23"/>
        <v>84</v>
      </c>
      <c r="AN85">
        <v>11</v>
      </c>
      <c r="AO85" t="s">
        <v>2818</v>
      </c>
      <c r="AP85" s="4">
        <v>2579000</v>
      </c>
      <c r="AQ85">
        <v>14</v>
      </c>
      <c r="AR85">
        <f>IF($N$63="No",-20,1)</f>
        <v>1</v>
      </c>
      <c r="AS85">
        <f>IF($N$64="No",-20,1)</f>
        <v>1</v>
      </c>
      <c r="AU85">
        <f>IF($N$68="No",-20,1)</f>
        <v>1</v>
      </c>
      <c r="BH85">
        <f>IF($P$63=0,1,IF(AQ85&lt;=$P$63,1,-20))</f>
        <v>1</v>
      </c>
      <c r="BJ85">
        <f t="shared" si="21"/>
        <v>1</v>
      </c>
      <c r="BK85" s="57">
        <f t="shared" si="24"/>
        <v>84</v>
      </c>
      <c r="BL85" s="57" t="str">
        <f t="shared" si="25"/>
        <v>Bright-Side Crawler (TtI)</v>
      </c>
    </row>
    <row r="86" spans="38:64" x14ac:dyDescent="0.3">
      <c r="AL86">
        <f t="shared" si="22"/>
        <v>3</v>
      </c>
      <c r="AM86">
        <f t="shared" si="23"/>
        <v>85</v>
      </c>
      <c r="AN86">
        <v>12</v>
      </c>
      <c r="AO86" t="s">
        <v>2819</v>
      </c>
      <c r="AP86" s="4">
        <v>1767000</v>
      </c>
      <c r="AQ86" s="471">
        <v>7</v>
      </c>
      <c r="AR86">
        <f>IF($N$63="No",-20,1)</f>
        <v>1</v>
      </c>
      <c r="BH86">
        <f>IF($P$63=0,1,IF(AQ86&lt;=$P$63,1,-20))</f>
        <v>1</v>
      </c>
      <c r="BJ86">
        <f t="shared" si="21"/>
        <v>1</v>
      </c>
      <c r="BK86" s="57">
        <f t="shared" si="24"/>
        <v>85</v>
      </c>
      <c r="BL86" s="57" t="str">
        <f t="shared" si="25"/>
        <v>Brize Light Grav Vehicle (Armies of the 5FW)</v>
      </c>
    </row>
    <row r="87" spans="38:64" x14ac:dyDescent="0.3">
      <c r="AL87">
        <f t="shared" si="22"/>
        <v>4</v>
      </c>
      <c r="AM87">
        <f t="shared" si="23"/>
        <v>86</v>
      </c>
      <c r="AN87">
        <v>10</v>
      </c>
      <c r="AO87" t="s">
        <v>2820</v>
      </c>
      <c r="AP87" s="4">
        <v>241000</v>
      </c>
      <c r="AQ87">
        <v>40</v>
      </c>
      <c r="AR87">
        <f>IF($N$62="No",-20,1)</f>
        <v>1</v>
      </c>
      <c r="AZ87">
        <f t="shared" ref="AZ87:AZ93" si="26">IF($N$73="No",-20,1)</f>
        <v>1</v>
      </c>
      <c r="BG87">
        <f>IF($P$62=0,1,IF(AQ87&lt;=$P$62,1,-20))</f>
        <v>1</v>
      </c>
      <c r="BJ87">
        <f t="shared" si="21"/>
        <v>1</v>
      </c>
      <c r="BK87" s="57">
        <f t="shared" si="24"/>
        <v>86</v>
      </c>
      <c r="BL87" s="57" t="str">
        <f t="shared" si="25"/>
        <v>Brutus Heavy Cargo Truck (Core'24)</v>
      </c>
    </row>
    <row r="88" spans="38:64" x14ac:dyDescent="0.3">
      <c r="AL88">
        <f t="shared" si="22"/>
        <v>4</v>
      </c>
      <c r="AM88">
        <f t="shared" si="23"/>
        <v>87</v>
      </c>
      <c r="AN88">
        <v>12</v>
      </c>
      <c r="AO88" t="s">
        <v>2821</v>
      </c>
      <c r="AP88" s="4">
        <v>27082000</v>
      </c>
      <c r="AQ88" s="431">
        <v>50</v>
      </c>
      <c r="AR88">
        <f>IF($N$65="No",-20,1)</f>
        <v>1</v>
      </c>
      <c r="AZ88">
        <f t="shared" si="26"/>
        <v>1</v>
      </c>
      <c r="BI88">
        <f>IF($P$65=0,1,IF(AQ88&lt;=$P$65,1,-20))</f>
        <v>1</v>
      </c>
      <c r="BJ88">
        <f t="shared" si="21"/>
        <v>1</v>
      </c>
      <c r="BK88" s="57">
        <f t="shared" si="24"/>
        <v>87</v>
      </c>
      <c r="BL88" s="57" t="str">
        <f t="shared" si="25"/>
        <v>Budget Bounty (Bounty Hunter)</v>
      </c>
    </row>
    <row r="89" spans="38:64" x14ac:dyDescent="0.3">
      <c r="AL89">
        <f t="shared" si="22"/>
        <v>4</v>
      </c>
      <c r="AM89">
        <f t="shared" si="23"/>
        <v>88</v>
      </c>
      <c r="AN89">
        <v>12</v>
      </c>
      <c r="AO89" t="s">
        <v>1866</v>
      </c>
      <c r="AP89" s="4">
        <v>401000</v>
      </c>
      <c r="AQ89" s="471">
        <v>4</v>
      </c>
      <c r="AR89">
        <f>IF($N$62="No",-20,1)</f>
        <v>1</v>
      </c>
      <c r="AZ89">
        <f t="shared" si="26"/>
        <v>1</v>
      </c>
      <c r="BG89">
        <f>IF($P$62=0,1,IF(AQ89&lt;=$P$62,1,-20))</f>
        <v>1</v>
      </c>
      <c r="BJ89">
        <f t="shared" si="21"/>
        <v>1</v>
      </c>
      <c r="BK89" s="57">
        <f t="shared" si="24"/>
        <v>88</v>
      </c>
      <c r="BL89" s="57" t="str">
        <f t="shared" si="25"/>
        <v>Buggy Sealed Excursion Air/Raft (JTAS Vol. 7)</v>
      </c>
    </row>
    <row r="90" spans="38:64" x14ac:dyDescent="0.3">
      <c r="AL90">
        <f t="shared" si="22"/>
        <v>4</v>
      </c>
      <c r="AM90">
        <f t="shared" si="23"/>
        <v>89</v>
      </c>
      <c r="AN90">
        <v>10</v>
      </c>
      <c r="AO90" t="s">
        <v>2822</v>
      </c>
      <c r="AP90" s="4">
        <v>1810000</v>
      </c>
      <c r="AQ90">
        <v>25</v>
      </c>
      <c r="AR90">
        <f>IF($N$62="No",-20,1)</f>
        <v>1</v>
      </c>
      <c r="AZ90">
        <f t="shared" si="26"/>
        <v>1</v>
      </c>
      <c r="BG90">
        <f>IF($P$62=0,1,IF(AQ90&lt;=$P$62,1,-20))</f>
        <v>1</v>
      </c>
      <c r="BJ90">
        <f t="shared" si="21"/>
        <v>1</v>
      </c>
      <c r="BK90" s="57">
        <f t="shared" si="24"/>
        <v>89</v>
      </c>
      <c r="BL90" s="57" t="str">
        <f t="shared" si="25"/>
        <v>Bulette (Vehicle Handbook)</v>
      </c>
    </row>
    <row r="91" spans="38:64" x14ac:dyDescent="0.3">
      <c r="AL91">
        <f t="shared" si="22"/>
        <v>4</v>
      </c>
      <c r="AM91">
        <f t="shared" si="23"/>
        <v>90</v>
      </c>
      <c r="AN91">
        <v>12</v>
      </c>
      <c r="AO91" t="s">
        <v>2823</v>
      </c>
      <c r="AP91" s="4">
        <v>7320000</v>
      </c>
      <c r="AQ91" s="431">
        <v>45</v>
      </c>
      <c r="AR91">
        <f>IF($N$65="No",-20,1)</f>
        <v>1</v>
      </c>
      <c r="AZ91">
        <f t="shared" si="26"/>
        <v>1</v>
      </c>
      <c r="BI91">
        <f>IF($P$65=0,1,IF(AQ91&lt;=$P$65,1,-20))</f>
        <v>1</v>
      </c>
      <c r="BJ91">
        <f t="shared" si="21"/>
        <v>1</v>
      </c>
      <c r="BK91" s="57">
        <f t="shared" si="24"/>
        <v>90</v>
      </c>
      <c r="BL91" s="57" t="str">
        <f t="shared" si="25"/>
        <v>Bwap A-Awab Air Tram (AoCS3)</v>
      </c>
    </row>
    <row r="92" spans="38:64" x14ac:dyDescent="0.3">
      <c r="AL92">
        <f t="shared" si="22"/>
        <v>4</v>
      </c>
      <c r="AM92">
        <f t="shared" si="23"/>
        <v>91</v>
      </c>
      <c r="AN92">
        <v>15</v>
      </c>
      <c r="AO92" t="s">
        <v>2824</v>
      </c>
      <c r="AP92" s="4">
        <v>50474000</v>
      </c>
      <c r="AQ92" s="431">
        <v>35</v>
      </c>
      <c r="AR92">
        <f>IF($N$62="No",-20,1)</f>
        <v>1</v>
      </c>
      <c r="AZ92">
        <f t="shared" si="26"/>
        <v>1</v>
      </c>
      <c r="BG92">
        <f>IF($P$62=0,1,IF(AQ92&lt;=$P$62,1,-20))</f>
        <v>1</v>
      </c>
      <c r="BJ92">
        <f t="shared" si="21"/>
        <v>1</v>
      </c>
      <c r="BK92" s="57">
        <f t="shared" si="24"/>
        <v>91</v>
      </c>
      <c r="BL92" s="57" t="str">
        <f t="shared" si="25"/>
        <v>Bwap Apa-Pakwa-Class Medium Fighter (AoCS1)</v>
      </c>
    </row>
    <row r="93" spans="38:64" x14ac:dyDescent="0.3">
      <c r="AL93">
        <f t="shared" si="22"/>
        <v>4</v>
      </c>
      <c r="AM93">
        <f t="shared" si="23"/>
        <v>92</v>
      </c>
      <c r="AN93">
        <v>12</v>
      </c>
      <c r="AO93" t="s">
        <v>2825</v>
      </c>
      <c r="AP93" s="4">
        <v>2300000</v>
      </c>
      <c r="AQ93" s="431">
        <v>20</v>
      </c>
      <c r="AR93">
        <f>IF($N$65="No",-20,1)</f>
        <v>1</v>
      </c>
      <c r="AZ93">
        <f t="shared" si="26"/>
        <v>1</v>
      </c>
      <c r="BI93">
        <f>IF($P$65=0,1,IF(AQ93&lt;=$P$65,1,-20))</f>
        <v>1</v>
      </c>
      <c r="BJ93">
        <f t="shared" si="21"/>
        <v>1</v>
      </c>
      <c r="BK93" s="57">
        <f t="shared" si="24"/>
        <v>92</v>
      </c>
      <c r="BL93" s="57" t="str">
        <f t="shared" si="25"/>
        <v>Bwap Betwa-Taa Heavy Ocean Farming Robot (AoCS3)</v>
      </c>
    </row>
    <row r="94" spans="38:64" x14ac:dyDescent="0.3">
      <c r="AL94">
        <f t="shared" si="22"/>
        <v>5</v>
      </c>
      <c r="AM94">
        <f t="shared" si="23"/>
        <v>93</v>
      </c>
      <c r="AN94">
        <v>10</v>
      </c>
      <c r="AO94" t="s">
        <v>2826</v>
      </c>
      <c r="AP94" s="4">
        <v>523200</v>
      </c>
      <c r="AQ94" s="431">
        <v>8.5</v>
      </c>
      <c r="AR94">
        <f>IF($N$63="No",-20,1)</f>
        <v>1</v>
      </c>
      <c r="AS94">
        <f>IF($N$64="No",-20,1)</f>
        <v>1</v>
      </c>
      <c r="BF94">
        <f>IF($N$79="No",-20,1)</f>
        <v>1</v>
      </c>
      <c r="BH94">
        <f>IF($P$63=0,1,IF(AQ94&lt;=$P$63,1,-20))</f>
        <v>1</v>
      </c>
      <c r="BJ94">
        <f t="shared" si="21"/>
        <v>1</v>
      </c>
      <c r="BK94" s="57">
        <f t="shared" si="24"/>
        <v>93</v>
      </c>
      <c r="BL94" s="57" t="str">
        <f t="shared" si="25"/>
        <v>Bwap Da-We-Pa War Walker (AoCS3)</v>
      </c>
    </row>
    <row r="95" spans="38:64" x14ac:dyDescent="0.3">
      <c r="AL95">
        <f t="shared" si="22"/>
        <v>3</v>
      </c>
      <c r="AM95">
        <f t="shared" si="23"/>
        <v>94</v>
      </c>
      <c r="AN95">
        <v>15</v>
      </c>
      <c r="AO95" t="s">
        <v>2827</v>
      </c>
      <c r="AP95" s="4">
        <v>2231870400</v>
      </c>
      <c r="AQ95" s="431">
        <v>5000</v>
      </c>
      <c r="AR95">
        <f>IF($N$62="No",-20,1)</f>
        <v>1</v>
      </c>
      <c r="BG95">
        <f>IF($P$62=0,1,IF(AQ95&lt;=$P$62,1,-20))</f>
        <v>1</v>
      </c>
      <c r="BJ95">
        <f t="shared" si="21"/>
        <v>1</v>
      </c>
      <c r="BK95" s="57">
        <f t="shared" si="24"/>
        <v>94</v>
      </c>
      <c r="BL95" s="57" t="str">
        <f t="shared" si="25"/>
        <v>Bwap Eaaetatka-Class Monitor (AoCS3)</v>
      </c>
    </row>
    <row r="96" spans="38:64" x14ac:dyDescent="0.3">
      <c r="AL96">
        <f t="shared" si="22"/>
        <v>4</v>
      </c>
      <c r="AM96">
        <f t="shared" si="23"/>
        <v>95</v>
      </c>
      <c r="AN96">
        <v>15</v>
      </c>
      <c r="AO96" t="s">
        <v>2828</v>
      </c>
      <c r="AP96" s="4">
        <v>31194000</v>
      </c>
      <c r="AQ96" s="431">
        <v>100</v>
      </c>
      <c r="AR96">
        <f>IF($N$62="No",-20,1)</f>
        <v>1</v>
      </c>
      <c r="BB96">
        <f>IF($N$75="No",-20,1)</f>
        <v>1</v>
      </c>
      <c r="BG96">
        <f>IF($P$62=0,1,IF(AQ96&lt;=$P$62,1,-20))</f>
        <v>1</v>
      </c>
      <c r="BJ96">
        <f t="shared" si="21"/>
        <v>1</v>
      </c>
      <c r="BK96" s="57">
        <f t="shared" si="24"/>
        <v>95</v>
      </c>
      <c r="BL96" s="57" t="str">
        <f t="shared" si="25"/>
        <v>Bwap Efaweape-Class Scout (AoCS3)</v>
      </c>
    </row>
    <row r="97" spans="38:64" x14ac:dyDescent="0.3">
      <c r="AL97">
        <f t="shared" si="22"/>
        <v>4</v>
      </c>
      <c r="AM97">
        <f t="shared" si="23"/>
        <v>96</v>
      </c>
      <c r="AN97">
        <v>9</v>
      </c>
      <c r="AO97" t="s">
        <v>2829</v>
      </c>
      <c r="AP97" s="4">
        <v>982200</v>
      </c>
      <c r="AQ97" s="431">
        <v>60</v>
      </c>
      <c r="AR97">
        <f>IF($N$63="No",-20,1)</f>
        <v>1</v>
      </c>
      <c r="BE97">
        <f>IF($N$78="No",-20,1)</f>
        <v>1</v>
      </c>
      <c r="BH97">
        <f>IF($P$63=0,1,IF(AQ97&lt;=$P$63,1,-20))</f>
        <v>1</v>
      </c>
      <c r="BJ97">
        <f t="shared" si="21"/>
        <v>1</v>
      </c>
      <c r="BK97" s="57">
        <f t="shared" si="24"/>
        <v>96</v>
      </c>
      <c r="BL97" s="57" t="str">
        <f t="shared" si="25"/>
        <v>Bwap Fastas-Ewawab Off-Roader Engine (AoCS3)</v>
      </c>
    </row>
    <row r="98" spans="38:64" x14ac:dyDescent="0.3">
      <c r="AL98">
        <f t="shared" si="22"/>
        <v>3</v>
      </c>
      <c r="AM98">
        <f t="shared" si="23"/>
        <v>97</v>
      </c>
      <c r="AN98">
        <v>9</v>
      </c>
      <c r="AO98" t="s">
        <v>2830</v>
      </c>
      <c r="AP98" s="4">
        <v>722000</v>
      </c>
      <c r="AQ98" s="431">
        <v>60</v>
      </c>
      <c r="AR98">
        <f>IF($N$65="No",-20,1)</f>
        <v>1</v>
      </c>
      <c r="BI98">
        <f>IF($P$65=0,1,IF(AQ98&lt;=$P$65,1,-20))</f>
        <v>1</v>
      </c>
      <c r="BJ98">
        <f t="shared" si="21"/>
        <v>1</v>
      </c>
      <c r="BK98" s="57">
        <f t="shared" si="24"/>
        <v>97</v>
      </c>
      <c r="BL98" s="57" t="str">
        <f t="shared" si="25"/>
        <v>Bwap Fastas-Ewawab Off-Roader Freight Carriage (AoCS3)</v>
      </c>
    </row>
    <row r="99" spans="38:64" x14ac:dyDescent="0.3">
      <c r="AL99">
        <f t="shared" si="22"/>
        <v>4</v>
      </c>
      <c r="AM99">
        <f t="shared" si="23"/>
        <v>98</v>
      </c>
      <c r="AN99">
        <v>9</v>
      </c>
      <c r="AO99" t="s">
        <v>2831</v>
      </c>
      <c r="AP99" s="4">
        <v>1630000</v>
      </c>
      <c r="AQ99" s="431">
        <v>60</v>
      </c>
      <c r="AR99">
        <f>IF($N$63="No",-20,1)</f>
        <v>1</v>
      </c>
      <c r="BE99">
        <f>IF($N$78="No",-20,1)</f>
        <v>1</v>
      </c>
      <c r="BH99">
        <f>IF($P$63=0,1,IF(AQ99&lt;=$P$63,1,-20))</f>
        <v>1</v>
      </c>
      <c r="BJ99">
        <f t="shared" ref="BJ99:BJ130" si="27">IF($N$61="Yes",1,IF(AN99&gt;TL,-20,1))</f>
        <v>1</v>
      </c>
      <c r="BK99" s="57">
        <f t="shared" si="24"/>
        <v>98</v>
      </c>
      <c r="BL99" s="57" t="str">
        <f t="shared" si="25"/>
        <v>Bwap Fastas-Ewawab Off-Roader Habitat Carriage (AoCS3)</v>
      </c>
    </row>
    <row r="100" spans="38:64" x14ac:dyDescent="0.3">
      <c r="AL100">
        <f t="shared" si="22"/>
        <v>4</v>
      </c>
      <c r="AM100">
        <f t="shared" si="23"/>
        <v>99</v>
      </c>
      <c r="AN100">
        <v>9</v>
      </c>
      <c r="AO100" t="s">
        <v>2832</v>
      </c>
      <c r="AP100" s="4">
        <v>1090000</v>
      </c>
      <c r="AQ100" s="431">
        <v>60</v>
      </c>
      <c r="AR100">
        <f>IF($N$65="No",-20,1)</f>
        <v>1</v>
      </c>
      <c r="BE100">
        <f>IF($N$78="No",-20,1)</f>
        <v>1</v>
      </c>
      <c r="BI100">
        <f>IF($P$65=0,1,IF(AQ100&lt;=$P$65,1,-20))</f>
        <v>1</v>
      </c>
      <c r="BJ100">
        <f t="shared" si="27"/>
        <v>1</v>
      </c>
      <c r="BK100" s="57">
        <f t="shared" si="24"/>
        <v>99</v>
      </c>
      <c r="BL100" s="57" t="str">
        <f t="shared" si="25"/>
        <v>Bwap Fastas-Ewawab Off-Roader Laboratory Carriage (AoCS3)</v>
      </c>
    </row>
    <row r="101" spans="38:64" x14ac:dyDescent="0.3">
      <c r="AL101">
        <f t="shared" si="22"/>
        <v>4</v>
      </c>
      <c r="AM101">
        <f t="shared" si="23"/>
        <v>100</v>
      </c>
      <c r="AN101">
        <v>8</v>
      </c>
      <c r="AO101" t="s">
        <v>2833</v>
      </c>
      <c r="AP101" s="4">
        <v>8100</v>
      </c>
      <c r="AQ101" s="431">
        <v>1</v>
      </c>
      <c r="AR101">
        <f>IF($N$65="No",-20,1)</f>
        <v>1</v>
      </c>
      <c r="BB101">
        <f>IF($N$75="No",-20,1)</f>
        <v>1</v>
      </c>
      <c r="BI101">
        <f>IF($P$65=0,1,IF(AQ101&lt;=$P$65,1,-20))</f>
        <v>1</v>
      </c>
      <c r="BJ101">
        <f t="shared" si="27"/>
        <v>1</v>
      </c>
      <c r="BK101" s="57">
        <f t="shared" si="24"/>
        <v>100</v>
      </c>
      <c r="BL101" s="57" t="str">
        <f t="shared" si="25"/>
        <v>Bwap Pabta Tracked Scooter (AoCS3)</v>
      </c>
    </row>
    <row r="102" spans="38:64" x14ac:dyDescent="0.3">
      <c r="AL102">
        <f t="shared" si="22"/>
        <v>3</v>
      </c>
      <c r="AM102">
        <f t="shared" si="23"/>
        <v>101</v>
      </c>
      <c r="AN102">
        <v>10</v>
      </c>
      <c r="AO102" t="s">
        <v>2834</v>
      </c>
      <c r="AP102" s="4">
        <v>1500000</v>
      </c>
      <c r="AQ102" s="431">
        <v>2.5</v>
      </c>
      <c r="AR102">
        <f>IF($N$63="No",-20,1)</f>
        <v>1</v>
      </c>
      <c r="BH102">
        <f>IF($P$63=0,1,IF(AQ102&lt;=$P$63,1,-20))</f>
        <v>1</v>
      </c>
      <c r="BJ102">
        <f t="shared" si="27"/>
        <v>1</v>
      </c>
      <c r="BK102" s="57">
        <f t="shared" si="24"/>
        <v>101</v>
      </c>
      <c r="BL102" s="57" t="str">
        <f t="shared" si="25"/>
        <v>Bwap Peswab Marsh Hopper (AoCS3)</v>
      </c>
    </row>
    <row r="103" spans="38:64" x14ac:dyDescent="0.3">
      <c r="AL103">
        <f t="shared" si="22"/>
        <v>3</v>
      </c>
      <c r="AM103">
        <f t="shared" si="23"/>
        <v>102</v>
      </c>
      <c r="AN103">
        <v>15</v>
      </c>
      <c r="AO103" t="s">
        <v>2835</v>
      </c>
      <c r="AP103" s="4">
        <v>262493100</v>
      </c>
      <c r="AQ103" s="431">
        <v>600</v>
      </c>
      <c r="AR103">
        <f t="shared" ref="AR103:AR112" si="28">IF($N$62="No",-20,1)</f>
        <v>1</v>
      </c>
      <c r="BG103">
        <f>IF($P$62=0,1,IF(AQ103&lt;=$P$62,1,-20))</f>
        <v>1</v>
      </c>
      <c r="BJ103">
        <f t="shared" si="27"/>
        <v>1</v>
      </c>
      <c r="BK103" s="57">
        <f t="shared" si="24"/>
        <v>102</v>
      </c>
      <c r="BL103" s="57" t="str">
        <f t="shared" si="25"/>
        <v>Bwap Tabewarke System Defense Boat (AoCS3)</v>
      </c>
    </row>
    <row r="104" spans="38:64" x14ac:dyDescent="0.3">
      <c r="AL104">
        <f t="shared" si="22"/>
        <v>4</v>
      </c>
      <c r="AM104">
        <f t="shared" si="23"/>
        <v>103</v>
      </c>
      <c r="AN104">
        <v>10</v>
      </c>
      <c r="AO104" t="s">
        <v>1898</v>
      </c>
      <c r="AP104" s="4">
        <v>178000</v>
      </c>
      <c r="AQ104" s="471">
        <v>5</v>
      </c>
      <c r="AR104">
        <f t="shared" si="28"/>
        <v>1</v>
      </c>
      <c r="AV104">
        <f>IF($N$69="No",-20,1)</f>
        <v>1</v>
      </c>
      <c r="BG104">
        <f>IF($P$62=0,1,IF(AQ104&lt;=$P$62,1,-20))</f>
        <v>1</v>
      </c>
      <c r="BJ104">
        <f t="shared" si="27"/>
        <v>1</v>
      </c>
      <c r="BK104" s="57">
        <f t="shared" si="24"/>
        <v>103</v>
      </c>
      <c r="BL104" s="57" t="str">
        <f t="shared" si="25"/>
        <v>Cabin Rover (JTAS Vol. 15)</v>
      </c>
    </row>
    <row r="105" spans="38:64" ht="15.6" x14ac:dyDescent="0.3">
      <c r="AL105">
        <f t="shared" si="22"/>
        <v>4</v>
      </c>
      <c r="AM105">
        <f t="shared" si="23"/>
        <v>104</v>
      </c>
      <c r="AN105" s="437">
        <v>12</v>
      </c>
      <c r="AO105" s="437" t="s">
        <v>1915</v>
      </c>
      <c r="AP105" s="438">
        <v>23390000</v>
      </c>
      <c r="AQ105" s="439">
        <v>60</v>
      </c>
      <c r="AR105">
        <f t="shared" si="28"/>
        <v>1</v>
      </c>
      <c r="AZ105">
        <f t="shared" ref="AZ105:AZ110" si="29">IF($N$73="No",-20,1)</f>
        <v>1</v>
      </c>
      <c r="BI105">
        <f>IF($P$65=0,1,IF(AQ105&lt;=$P$65,1,-20))</f>
        <v>1</v>
      </c>
      <c r="BJ105">
        <f t="shared" si="27"/>
        <v>1</v>
      </c>
      <c r="BK105" s="57">
        <f t="shared" si="24"/>
        <v>104</v>
      </c>
      <c r="BL105" s="57" t="str">
        <f t="shared" si="25"/>
        <v>Calefaction Emergency Ascent Vehicle (Mysteries of the Ancients)</v>
      </c>
    </row>
    <row r="106" spans="38:64" x14ac:dyDescent="0.3">
      <c r="AL106">
        <f t="shared" si="22"/>
        <v>4</v>
      </c>
      <c r="AM106">
        <f t="shared" si="23"/>
        <v>105</v>
      </c>
      <c r="AN106">
        <v>11</v>
      </c>
      <c r="AO106" t="s">
        <v>2836</v>
      </c>
      <c r="AP106" s="4">
        <v>221675000</v>
      </c>
      <c r="AQ106" s="431">
        <v>700</v>
      </c>
      <c r="AR106">
        <f t="shared" si="28"/>
        <v>1</v>
      </c>
      <c r="AZ106">
        <f t="shared" si="29"/>
        <v>1</v>
      </c>
      <c r="BG106">
        <f t="shared" ref="BG106:BG112" si="30">IF($P$62=0,1,IF(AQ106&lt;=$P$62,1,-20))</f>
        <v>1</v>
      </c>
      <c r="BJ106">
        <f t="shared" si="27"/>
        <v>1</v>
      </c>
      <c r="BK106" s="57">
        <f t="shared" si="24"/>
        <v>105</v>
      </c>
      <c r="BL106" s="57" t="str">
        <f t="shared" si="25"/>
        <v>Camoranian Adversary Light Carrier (Glorious Empire)</v>
      </c>
    </row>
    <row r="107" spans="38:64" x14ac:dyDescent="0.3">
      <c r="AL107">
        <f t="shared" si="22"/>
        <v>4</v>
      </c>
      <c r="AM107">
        <f t="shared" si="23"/>
        <v>106</v>
      </c>
      <c r="AN107">
        <v>11</v>
      </c>
      <c r="AO107" t="s">
        <v>2837</v>
      </c>
      <c r="AP107" s="4">
        <v>13614000</v>
      </c>
      <c r="AQ107" s="431">
        <v>10</v>
      </c>
      <c r="AR107">
        <f t="shared" si="28"/>
        <v>1</v>
      </c>
      <c r="AZ107">
        <f t="shared" si="29"/>
        <v>1</v>
      </c>
      <c r="BG107">
        <f t="shared" si="30"/>
        <v>1</v>
      </c>
      <c r="BJ107">
        <f t="shared" si="27"/>
        <v>1</v>
      </c>
      <c r="BK107" s="57">
        <f t="shared" si="24"/>
        <v>106</v>
      </c>
      <c r="BL107" s="57" t="str">
        <f t="shared" si="25"/>
        <v>Camoranian Light Stealth Fighter (Glorious Empire)</v>
      </c>
    </row>
    <row r="108" spans="38:64" x14ac:dyDescent="0.3">
      <c r="AL108">
        <f t="shared" si="22"/>
        <v>4</v>
      </c>
      <c r="AM108">
        <f t="shared" si="23"/>
        <v>107</v>
      </c>
      <c r="AN108">
        <v>8</v>
      </c>
      <c r="AO108" t="s">
        <v>2838</v>
      </c>
      <c r="AP108" s="4">
        <v>70000</v>
      </c>
      <c r="AQ108">
        <v>3</v>
      </c>
      <c r="AR108">
        <f t="shared" si="28"/>
        <v>1</v>
      </c>
      <c r="AZ108">
        <f t="shared" si="29"/>
        <v>1</v>
      </c>
      <c r="BG108">
        <f t="shared" si="30"/>
        <v>1</v>
      </c>
      <c r="BJ108">
        <f t="shared" si="27"/>
        <v>1</v>
      </c>
      <c r="BK108" s="57">
        <f t="shared" si="24"/>
        <v>107</v>
      </c>
      <c r="BL108" s="57" t="str">
        <f t="shared" si="25"/>
        <v>Cargo Lifter (Core'24)</v>
      </c>
    </row>
    <row r="109" spans="38:64" x14ac:dyDescent="0.3">
      <c r="AL109">
        <f t="shared" si="22"/>
        <v>4</v>
      </c>
      <c r="AM109">
        <f t="shared" si="23"/>
        <v>108</v>
      </c>
      <c r="AN109">
        <v>8</v>
      </c>
      <c r="AO109" t="s">
        <v>2839</v>
      </c>
      <c r="AP109" s="4">
        <v>70000</v>
      </c>
      <c r="AQ109">
        <v>3</v>
      </c>
      <c r="AR109">
        <f t="shared" si="28"/>
        <v>1</v>
      </c>
      <c r="AZ109">
        <f t="shared" si="29"/>
        <v>1</v>
      </c>
      <c r="BG109">
        <f t="shared" si="30"/>
        <v>1</v>
      </c>
      <c r="BJ109">
        <f t="shared" si="27"/>
        <v>1</v>
      </c>
      <c r="BK109" s="57">
        <f t="shared" si="24"/>
        <v>108</v>
      </c>
      <c r="BL109" s="57" t="str">
        <f t="shared" si="25"/>
        <v>Cargo Lifter (Vehicle Handbook)</v>
      </c>
    </row>
    <row r="110" spans="38:64" x14ac:dyDescent="0.3">
      <c r="AL110">
        <f t="shared" si="22"/>
        <v>4</v>
      </c>
      <c r="AM110">
        <f t="shared" si="23"/>
        <v>109</v>
      </c>
      <c r="AN110">
        <v>12</v>
      </c>
      <c r="AO110" t="s">
        <v>2840</v>
      </c>
      <c r="AP110" s="4">
        <v>11780000</v>
      </c>
      <c r="AQ110" s="431">
        <v>100</v>
      </c>
      <c r="AR110">
        <f t="shared" si="28"/>
        <v>1</v>
      </c>
      <c r="AZ110">
        <f t="shared" si="29"/>
        <v>1</v>
      </c>
      <c r="BG110">
        <f t="shared" si="30"/>
        <v>1</v>
      </c>
      <c r="BJ110">
        <f t="shared" si="27"/>
        <v>1</v>
      </c>
      <c r="BK110" s="57">
        <f t="shared" si="24"/>
        <v>109</v>
      </c>
      <c r="BL110" s="57" t="str">
        <f t="shared" si="25"/>
        <v>Cargo Lighter (Behind the Claw)</v>
      </c>
    </row>
    <row r="111" spans="38:64" x14ac:dyDescent="0.3">
      <c r="AL111">
        <f t="shared" si="22"/>
        <v>3</v>
      </c>
      <c r="AM111">
        <f t="shared" si="23"/>
        <v>110</v>
      </c>
      <c r="AN111">
        <v>12</v>
      </c>
      <c r="AO111" t="s">
        <v>1631</v>
      </c>
      <c r="AP111" s="4">
        <v>5690000</v>
      </c>
      <c r="AQ111">
        <v>40</v>
      </c>
      <c r="AR111">
        <f t="shared" si="28"/>
        <v>1</v>
      </c>
      <c r="BG111">
        <f t="shared" si="30"/>
        <v>1</v>
      </c>
      <c r="BJ111">
        <f t="shared" si="27"/>
        <v>1</v>
      </c>
      <c r="BK111" s="57">
        <f t="shared" si="24"/>
        <v>110</v>
      </c>
      <c r="BL111" s="57" t="str">
        <f t="shared" si="25"/>
        <v>Cargo Shuttle (SCC)</v>
      </c>
    </row>
    <row r="112" spans="38:64" x14ac:dyDescent="0.3">
      <c r="AL112">
        <f t="shared" si="22"/>
        <v>4</v>
      </c>
      <c r="AM112">
        <f t="shared" si="23"/>
        <v>111</v>
      </c>
      <c r="AN112">
        <v>15</v>
      </c>
      <c r="AO112" t="s">
        <v>1890</v>
      </c>
      <c r="AP112" s="4">
        <v>100440000</v>
      </c>
      <c r="AQ112" s="471">
        <v>100</v>
      </c>
      <c r="AR112">
        <f t="shared" si="28"/>
        <v>1</v>
      </c>
      <c r="BB112">
        <f>IF($N$75="No",-20,1)</f>
        <v>1</v>
      </c>
      <c r="BG112">
        <f t="shared" si="30"/>
        <v>1</v>
      </c>
      <c r="BJ112">
        <f t="shared" si="27"/>
        <v>1</v>
      </c>
      <c r="BK112" s="57">
        <f t="shared" si="24"/>
        <v>111</v>
      </c>
      <c r="BL112" s="57" t="str">
        <f t="shared" si="25"/>
        <v>Cargo Submarine (JTAS Vol. 13)</v>
      </c>
    </row>
    <row r="113" spans="38:64" ht="15.6" x14ac:dyDescent="0.3">
      <c r="AL113">
        <f t="shared" si="22"/>
        <v>4</v>
      </c>
      <c r="AM113">
        <f t="shared" si="23"/>
        <v>112</v>
      </c>
      <c r="AN113" s="437">
        <v>7</v>
      </c>
      <c r="AO113" s="437" t="s">
        <v>1968</v>
      </c>
      <c r="AP113" s="438">
        <v>11830000</v>
      </c>
      <c r="AQ113" s="439">
        <v>110</v>
      </c>
      <c r="AR113">
        <f>IF($N$65="No",-20,1)</f>
        <v>1</v>
      </c>
      <c r="AT113">
        <f>IF($N$67="No",-20,1)</f>
        <v>1</v>
      </c>
      <c r="BI113">
        <f>IF($P$65=0,1,IF(AQ113&lt;=$P$65,1,-20))</f>
        <v>1</v>
      </c>
      <c r="BJ113">
        <f t="shared" si="27"/>
        <v>1</v>
      </c>
      <c r="BK113" s="57">
        <f t="shared" si="24"/>
        <v>112</v>
      </c>
      <c r="BL113" s="57" t="str">
        <f t="shared" si="25"/>
        <v>Cargo Submarine (Reach Adventure 3)</v>
      </c>
    </row>
    <row r="114" spans="38:64" x14ac:dyDescent="0.3">
      <c r="AL114">
        <f t="shared" si="22"/>
        <v>4</v>
      </c>
      <c r="AM114">
        <f t="shared" si="23"/>
        <v>113</v>
      </c>
      <c r="AN114">
        <v>15</v>
      </c>
      <c r="AO114" t="s">
        <v>2841</v>
      </c>
      <c r="AP114" s="4">
        <v>35251000</v>
      </c>
      <c r="AQ114">
        <v>70</v>
      </c>
      <c r="AR114">
        <f>IF($N$62="No",-20,1)</f>
        <v>1</v>
      </c>
      <c r="AV114">
        <f>IF($N$69="No",-20,1)</f>
        <v>1</v>
      </c>
      <c r="BG114">
        <f>IF($P$62=0,1,IF(AQ114&lt;=$P$62,1,-20))</f>
        <v>1</v>
      </c>
      <c r="BJ114">
        <f t="shared" si="27"/>
        <v>1</v>
      </c>
      <c r="BK114" s="57">
        <f t="shared" si="24"/>
        <v>113</v>
      </c>
      <c r="BL114" s="57" t="str">
        <f t="shared" si="25"/>
        <v>Cargo Transport (SCC)</v>
      </c>
    </row>
    <row r="115" spans="38:64" x14ac:dyDescent="0.3">
      <c r="AL115">
        <f t="shared" si="22"/>
        <v>3</v>
      </c>
      <c r="AM115">
        <f t="shared" si="23"/>
        <v>114</v>
      </c>
      <c r="AN115">
        <v>13</v>
      </c>
      <c r="AO115" t="s">
        <v>2842</v>
      </c>
      <c r="AP115" s="4">
        <v>13545000</v>
      </c>
      <c r="AQ115">
        <v>20</v>
      </c>
      <c r="AR115">
        <f>IF($N$65="No",-20,1)</f>
        <v>1</v>
      </c>
      <c r="BI115">
        <f>IF($P$65=0,1,IF(AQ115&lt;=$P$65,1,-20))</f>
        <v>1</v>
      </c>
      <c r="BJ115">
        <f t="shared" si="27"/>
        <v>1</v>
      </c>
      <c r="BK115" s="57">
        <f t="shared" si="24"/>
        <v>114</v>
      </c>
      <c r="BL115" s="57" t="str">
        <f t="shared" si="25"/>
        <v>Carrier Support Craft (SCC)</v>
      </c>
    </row>
    <row r="116" spans="38:64" ht="15.6" x14ac:dyDescent="0.3">
      <c r="AL116">
        <f t="shared" si="22"/>
        <v>4</v>
      </c>
      <c r="AM116">
        <f t="shared" si="23"/>
        <v>115</v>
      </c>
      <c r="AN116" s="437">
        <v>12</v>
      </c>
      <c r="AO116" s="437" t="s">
        <v>1738</v>
      </c>
      <c r="AP116" s="438">
        <v>72050000</v>
      </c>
      <c r="AQ116" s="439">
        <v>100</v>
      </c>
      <c r="AR116">
        <f>IF($N$62="No",-20,1)</f>
        <v>1</v>
      </c>
      <c r="BF116">
        <f>IF($N$79="No",-20,1)</f>
        <v>1</v>
      </c>
      <c r="BG116">
        <f>IF($P$62=0,1,IF(AQ116&lt;=$P$62,1,-20))</f>
        <v>1</v>
      </c>
      <c r="BJ116">
        <f t="shared" si="27"/>
        <v>1</v>
      </c>
      <c r="BK116" s="57">
        <f t="shared" si="24"/>
        <v>115</v>
      </c>
      <c r="BL116" s="57" t="str">
        <f t="shared" si="25"/>
        <v>Cestion Strike Boat (DC)</v>
      </c>
    </row>
    <row r="117" spans="38:64" x14ac:dyDescent="0.3">
      <c r="AL117">
        <f t="shared" si="22"/>
        <v>4</v>
      </c>
      <c r="AM117">
        <f t="shared" si="23"/>
        <v>116</v>
      </c>
      <c r="AN117">
        <v>10</v>
      </c>
      <c r="AO117" t="s">
        <v>1809</v>
      </c>
      <c r="AP117" s="4">
        <v>309000</v>
      </c>
      <c r="AQ117" s="471">
        <v>16</v>
      </c>
      <c r="AR117">
        <f>IF($N$65="No",-20,1)</f>
        <v>1</v>
      </c>
      <c r="AY117">
        <f>IF($N$72="No",-20,1)</f>
        <v>1</v>
      </c>
      <c r="BI117">
        <f>IF($P$65=0,1,IF(AQ117&lt;=$P$65,1,-20))</f>
        <v>1</v>
      </c>
      <c r="BJ117">
        <f t="shared" si="27"/>
        <v>1</v>
      </c>
      <c r="BK117" s="57">
        <f t="shared" si="24"/>
        <v>116</v>
      </c>
      <c r="BL117" s="57" t="str">
        <f t="shared" si="25"/>
        <v>Chagride Grav Sled (Field Catalogue)</v>
      </c>
    </row>
    <row r="118" spans="38:64" x14ac:dyDescent="0.3">
      <c r="AL118">
        <f t="shared" si="22"/>
        <v>4</v>
      </c>
      <c r="AM118">
        <f t="shared" si="23"/>
        <v>117</v>
      </c>
      <c r="AN118">
        <v>12</v>
      </c>
      <c r="AO118" t="s">
        <v>2843</v>
      </c>
      <c r="AP118" s="4">
        <v>3390000</v>
      </c>
      <c r="AQ118">
        <v>10</v>
      </c>
      <c r="AR118">
        <f>IF($N$65="No",-20,1)</f>
        <v>1</v>
      </c>
      <c r="BE118">
        <f>IF($N$78="No",-20,1)</f>
        <v>1</v>
      </c>
      <c r="BI118">
        <f>IF($P$65=0,1,IF(AQ118&lt;=$P$65,1,-20))</f>
        <v>1</v>
      </c>
      <c r="BJ118">
        <f t="shared" si="27"/>
        <v>1</v>
      </c>
      <c r="BK118" s="57">
        <f t="shared" si="24"/>
        <v>117</v>
      </c>
      <c r="BL118" s="57" t="str">
        <f t="shared" si="25"/>
        <v>Chameleon Scout Walker (Vehicle Handbook)</v>
      </c>
    </row>
    <row r="119" spans="38:64" ht="15.6" x14ac:dyDescent="0.3">
      <c r="AL119">
        <f t="shared" si="22"/>
        <v>3</v>
      </c>
      <c r="AM119">
        <f t="shared" si="23"/>
        <v>118</v>
      </c>
      <c r="AN119" s="437">
        <v>12</v>
      </c>
      <c r="AO119" s="437" t="s">
        <v>1977</v>
      </c>
      <c r="AP119" s="438">
        <v>75500</v>
      </c>
      <c r="AQ119" s="439">
        <v>1.5</v>
      </c>
      <c r="AR119">
        <f>IF($N$62="No",-20,1)</f>
        <v>1</v>
      </c>
      <c r="BG119">
        <f>IF($P$62=0,1,IF(AQ119&lt;=$P$62,1,-20))</f>
        <v>1</v>
      </c>
      <c r="BJ119">
        <f t="shared" si="27"/>
        <v>1</v>
      </c>
      <c r="BK119" s="57">
        <f t="shared" si="24"/>
        <v>118</v>
      </c>
      <c r="BL119" s="57" t="str">
        <f t="shared" si="25"/>
        <v>Chipmunk Personal Transport (Rim Expeditions)</v>
      </c>
    </row>
    <row r="120" spans="38:64" x14ac:dyDescent="0.3">
      <c r="AL120">
        <f t="shared" si="22"/>
        <v>3</v>
      </c>
      <c r="AM120">
        <f t="shared" si="23"/>
        <v>119</v>
      </c>
      <c r="AN120">
        <v>15</v>
      </c>
      <c r="AO120" t="s">
        <v>2844</v>
      </c>
      <c r="AP120" s="4">
        <v>621780000</v>
      </c>
      <c r="AQ120">
        <v>1000</v>
      </c>
      <c r="AR120">
        <f>IF($N$62="No",-20,1)</f>
        <v>1</v>
      </c>
      <c r="BG120">
        <f>IF($P$62=0,1,IF(AQ120&lt;=$P$62,1,-20))</f>
        <v>1</v>
      </c>
      <c r="BJ120">
        <f t="shared" si="27"/>
        <v>1</v>
      </c>
      <c r="BK120" s="57">
        <f t="shared" si="24"/>
        <v>119</v>
      </c>
      <c r="BL120" s="57" t="str">
        <f t="shared" si="25"/>
        <v>Chrysanthemum Destroyer Escort (HG'22)</v>
      </c>
    </row>
    <row r="121" spans="38:64" x14ac:dyDescent="0.3">
      <c r="AL121">
        <f t="shared" si="22"/>
        <v>3</v>
      </c>
      <c r="AM121">
        <f t="shared" si="23"/>
        <v>120</v>
      </c>
      <c r="AN121">
        <v>9</v>
      </c>
      <c r="AO121" t="s">
        <v>2845</v>
      </c>
      <c r="AP121" s="4">
        <v>660300</v>
      </c>
      <c r="AQ121">
        <v>6</v>
      </c>
      <c r="AR121">
        <f t="shared" ref="AR121:AR127" si="31">IF($N$65="No",-20,1)</f>
        <v>1</v>
      </c>
      <c r="BI121">
        <f t="shared" ref="BI121:BI127" si="32">IF($P$65=0,1,IF(AQ121&lt;=$P$65,1,-20))</f>
        <v>1</v>
      </c>
      <c r="BJ121">
        <f t="shared" si="27"/>
        <v>1</v>
      </c>
      <c r="BK121" s="57">
        <f t="shared" si="24"/>
        <v>120</v>
      </c>
      <c r="BL121" s="57" t="str">
        <f t="shared" si="25"/>
        <v>Civilian Hopper (SCC)</v>
      </c>
    </row>
    <row r="122" spans="38:64" x14ac:dyDescent="0.3">
      <c r="AL122">
        <f t="shared" si="22"/>
        <v>3</v>
      </c>
      <c r="AM122">
        <f t="shared" si="23"/>
        <v>121</v>
      </c>
      <c r="AN122">
        <v>12</v>
      </c>
      <c r="AO122" t="s">
        <v>2846</v>
      </c>
      <c r="AP122" s="4">
        <v>27050000</v>
      </c>
      <c r="AQ122" s="431">
        <v>60</v>
      </c>
      <c r="AR122">
        <f t="shared" si="31"/>
        <v>1</v>
      </c>
      <c r="BI122">
        <f t="shared" si="32"/>
        <v>1</v>
      </c>
      <c r="BJ122">
        <f t="shared" si="27"/>
        <v>1</v>
      </c>
      <c r="BK122" s="57">
        <f t="shared" si="24"/>
        <v>121</v>
      </c>
      <c r="BL122" s="57" t="str">
        <f t="shared" si="25"/>
        <v>Collmen Prospecting Shuttle (TTF)</v>
      </c>
    </row>
    <row r="123" spans="38:64" ht="15.6" x14ac:dyDescent="0.3">
      <c r="AL123">
        <f t="shared" si="22"/>
        <v>3</v>
      </c>
      <c r="AM123">
        <f t="shared" si="23"/>
        <v>122</v>
      </c>
      <c r="AN123" s="437">
        <v>12</v>
      </c>
      <c r="AO123" s="437" t="s">
        <v>1698</v>
      </c>
      <c r="AP123" s="438">
        <v>2168000</v>
      </c>
      <c r="AQ123" s="439">
        <v>6</v>
      </c>
      <c r="AR123">
        <f t="shared" si="31"/>
        <v>1</v>
      </c>
      <c r="BI123">
        <f t="shared" si="32"/>
        <v>1</v>
      </c>
      <c r="BJ123">
        <f t="shared" si="27"/>
        <v>1</v>
      </c>
      <c r="BK123" s="57">
        <f t="shared" si="24"/>
        <v>122</v>
      </c>
      <c r="BL123" s="57" t="str">
        <f t="shared" si="25"/>
        <v>Commonwealth F-3A4 Reaction Drive Interceptor (DR:TFSON)</v>
      </c>
    </row>
    <row r="124" spans="38:64" ht="15.6" x14ac:dyDescent="0.3">
      <c r="AL124">
        <f t="shared" si="22"/>
        <v>3</v>
      </c>
      <c r="AM124">
        <f t="shared" si="23"/>
        <v>123</v>
      </c>
      <c r="AN124" s="437">
        <v>12</v>
      </c>
      <c r="AO124" s="437" t="s">
        <v>1699</v>
      </c>
      <c r="AP124" s="438">
        <v>26116000</v>
      </c>
      <c r="AQ124" s="439">
        <v>70</v>
      </c>
      <c r="AR124">
        <f t="shared" si="31"/>
        <v>1</v>
      </c>
      <c r="BI124">
        <f t="shared" si="32"/>
        <v>1</v>
      </c>
      <c r="BJ124">
        <f t="shared" si="27"/>
        <v>1</v>
      </c>
      <c r="BK124" s="57">
        <f t="shared" si="24"/>
        <v>123</v>
      </c>
      <c r="BL124" s="57" t="str">
        <f t="shared" si="25"/>
        <v>Commonwealth U-27 Hybrid Support Vessel (DR:TFSON)</v>
      </c>
    </row>
    <row r="125" spans="38:64" x14ac:dyDescent="0.3">
      <c r="AL125">
        <f t="shared" si="22"/>
        <v>3</v>
      </c>
      <c r="AM125">
        <f t="shared" si="23"/>
        <v>124</v>
      </c>
      <c r="AN125">
        <v>12</v>
      </c>
      <c r="AO125" t="s">
        <v>2847</v>
      </c>
      <c r="AP125" s="4">
        <v>8003000</v>
      </c>
      <c r="AQ125" s="471">
        <v>20</v>
      </c>
      <c r="AR125">
        <f t="shared" si="31"/>
        <v>1</v>
      </c>
      <c r="BI125">
        <f t="shared" si="32"/>
        <v>1</v>
      </c>
      <c r="BJ125">
        <f t="shared" si="27"/>
        <v>1</v>
      </c>
      <c r="BK125" s="57">
        <f t="shared" si="24"/>
        <v>124</v>
      </c>
      <c r="BL125" s="57" t="str">
        <f t="shared" si="25"/>
        <v>Concetto Artillery Sled (Armies of the 5FW)</v>
      </c>
    </row>
    <row r="126" spans="38:64" x14ac:dyDescent="0.3">
      <c r="AL126">
        <f t="shared" si="22"/>
        <v>3</v>
      </c>
      <c r="AM126">
        <f t="shared" si="23"/>
        <v>125</v>
      </c>
      <c r="AN126">
        <v>8</v>
      </c>
      <c r="AO126" t="s">
        <v>2848</v>
      </c>
      <c r="AP126" s="4">
        <v>165000000</v>
      </c>
      <c r="AQ126">
        <v>300</v>
      </c>
      <c r="AR126">
        <f t="shared" si="31"/>
        <v>1</v>
      </c>
      <c r="BI126">
        <f t="shared" si="32"/>
        <v>1</v>
      </c>
      <c r="BJ126">
        <f t="shared" si="27"/>
        <v>1</v>
      </c>
      <c r="BK126" s="57">
        <f t="shared" si="24"/>
        <v>125</v>
      </c>
      <c r="BL126" s="57" t="str">
        <f t="shared" si="25"/>
        <v>Concordia II Hypersonic Airliner (Vehicle Handbook)</v>
      </c>
    </row>
    <row r="127" spans="38:64" x14ac:dyDescent="0.3">
      <c r="AL127">
        <f t="shared" si="22"/>
        <v>3</v>
      </c>
      <c r="AM127">
        <f t="shared" si="23"/>
        <v>126</v>
      </c>
      <c r="AN127">
        <v>9</v>
      </c>
      <c r="AO127" t="s">
        <v>2849</v>
      </c>
      <c r="AP127" s="4">
        <v>460000</v>
      </c>
      <c r="AQ127" s="471">
        <v>8</v>
      </c>
      <c r="AR127">
        <f t="shared" si="31"/>
        <v>1</v>
      </c>
      <c r="BI127">
        <f t="shared" si="32"/>
        <v>1</v>
      </c>
      <c r="BJ127">
        <f t="shared" si="27"/>
        <v>1</v>
      </c>
      <c r="BK127" s="57">
        <f t="shared" si="24"/>
        <v>126</v>
      </c>
      <c r="BL127" s="57" t="str">
        <f t="shared" si="25"/>
        <v>Converted Bread Van (The Riverlands)</v>
      </c>
    </row>
    <row r="128" spans="38:64" x14ac:dyDescent="0.3">
      <c r="AL128">
        <f t="shared" si="22"/>
        <v>3</v>
      </c>
      <c r="AM128">
        <f t="shared" si="23"/>
        <v>127</v>
      </c>
      <c r="AN128">
        <v>11</v>
      </c>
      <c r="AO128" t="s">
        <v>2850</v>
      </c>
      <c r="AP128" s="4">
        <v>28106700</v>
      </c>
      <c r="AQ128" s="431">
        <v>36</v>
      </c>
      <c r="AR128">
        <f>IF($N$63="No",-20,1)</f>
        <v>1</v>
      </c>
      <c r="BH128">
        <f>IF($P$63=0,1,IF(AQ128&lt;=$P$63,1,-20))</f>
        <v>1</v>
      </c>
      <c r="BJ128">
        <f t="shared" si="27"/>
        <v>1</v>
      </c>
      <c r="BK128" s="57">
        <f t="shared" si="24"/>
        <v>127</v>
      </c>
      <c r="BL128" s="57" t="str">
        <f t="shared" si="25"/>
        <v>Corellan League Gaadee Transport (Spinward Extents)</v>
      </c>
    </row>
    <row r="129" spans="38:64" x14ac:dyDescent="0.3">
      <c r="AL129">
        <f t="shared" si="22"/>
        <v>3</v>
      </c>
      <c r="AM129">
        <f t="shared" si="23"/>
        <v>128</v>
      </c>
      <c r="AN129">
        <v>11</v>
      </c>
      <c r="AO129" t="s">
        <v>2851</v>
      </c>
      <c r="AP129" s="4">
        <v>31711700</v>
      </c>
      <c r="AQ129" s="431">
        <v>36</v>
      </c>
      <c r="AR129">
        <f>IF($N$65="No",-20,1)</f>
        <v>1</v>
      </c>
      <c r="BI129">
        <f>IF($P$65=0,1,IF(AQ129&lt;=$P$65,1,-20))</f>
        <v>1</v>
      </c>
      <c r="BJ129">
        <f t="shared" si="27"/>
        <v>1</v>
      </c>
      <c r="BK129" s="57">
        <f t="shared" si="24"/>
        <v>128</v>
      </c>
      <c r="BL129" s="57" t="str">
        <f t="shared" si="25"/>
        <v>Corellan League Gaja Assault Boat (Spinward Extents)</v>
      </c>
    </row>
    <row r="130" spans="38:64" x14ac:dyDescent="0.3">
      <c r="AL130">
        <f t="shared" si="22"/>
        <v>4</v>
      </c>
      <c r="AM130">
        <f t="shared" si="23"/>
        <v>129</v>
      </c>
      <c r="AN130">
        <v>13</v>
      </c>
      <c r="AO130" t="s">
        <v>2852</v>
      </c>
      <c r="AP130" s="4">
        <v>101696000</v>
      </c>
      <c r="AQ130" s="431">
        <v>36</v>
      </c>
      <c r="AR130">
        <f>IF($N$62="No",-20,1)</f>
        <v>1</v>
      </c>
      <c r="BF130">
        <f>IF($N$79="No",-20,1)</f>
        <v>1</v>
      </c>
      <c r="BG130">
        <f>IF($P$62=0,1,IF(AQ130&lt;=$P$62,1,-20))</f>
        <v>1</v>
      </c>
      <c r="BJ130">
        <f t="shared" si="27"/>
        <v>1</v>
      </c>
      <c r="BK130" s="57">
        <f t="shared" si="24"/>
        <v>129</v>
      </c>
      <c r="BL130" s="57" t="str">
        <f t="shared" si="25"/>
        <v>Corellan League Ghose Spy Boat (Spinward Extents)</v>
      </c>
    </row>
    <row r="131" spans="38:64" x14ac:dyDescent="0.3">
      <c r="AL131">
        <f t="shared" si="22"/>
        <v>3</v>
      </c>
      <c r="AM131">
        <f t="shared" si="23"/>
        <v>130</v>
      </c>
      <c r="AN131">
        <v>11</v>
      </c>
      <c r="AO131" t="s">
        <v>2853</v>
      </c>
      <c r="AP131" s="4">
        <v>31435740</v>
      </c>
      <c r="AQ131" s="431">
        <v>36</v>
      </c>
      <c r="AR131">
        <f>IF($N$62="No",-20,1)</f>
        <v>1</v>
      </c>
      <c r="BG131">
        <f>IF($P$62=0,1,IF(AQ131&lt;=$P$62,1,-20))</f>
        <v>1</v>
      </c>
      <c r="BJ131">
        <f t="shared" ref="BJ131:BJ166" si="33">IF($N$61="Yes",1,IF(AN131&gt;TL,-20,1))</f>
        <v>1</v>
      </c>
      <c r="BK131" s="57">
        <f t="shared" si="24"/>
        <v>130</v>
      </c>
      <c r="BL131" s="57" t="str">
        <f t="shared" si="25"/>
        <v>Corellan League Gryphon Heavy Fighter (Spinward Extents)</v>
      </c>
    </row>
    <row r="132" spans="38:64" x14ac:dyDescent="0.3">
      <c r="AL132">
        <f t="shared" ref="AL132:AL195" si="34">SUM(AR132:BJ132)</f>
        <v>4</v>
      </c>
      <c r="AM132">
        <f t="shared" ref="AM132:AM195" si="35">IF(AL132&gt;0,AM131+1,AM131)</f>
        <v>131</v>
      </c>
      <c r="AN132">
        <v>11</v>
      </c>
      <c r="AO132" t="s">
        <v>2854</v>
      </c>
      <c r="AP132" s="4">
        <v>37705000</v>
      </c>
      <c r="AQ132" s="431">
        <v>36</v>
      </c>
      <c r="AR132">
        <f>IF($N$63="No",-20,1)</f>
        <v>1</v>
      </c>
      <c r="BF132">
        <f>IF($N$79="No",-20,1)</f>
        <v>1</v>
      </c>
      <c r="BH132">
        <f>IF($P$63=0,1,IF(AQ132&lt;=$P$63,1,-20))</f>
        <v>1</v>
      </c>
      <c r="BJ132">
        <f t="shared" si="33"/>
        <v>1</v>
      </c>
      <c r="BK132" s="57">
        <f t="shared" ref="BK132:BK195" si="36">BK131+1</f>
        <v>131</v>
      </c>
      <c r="BL132" s="57" t="str">
        <f t="shared" si="25"/>
        <v>Corellan League Gwydion Strike Fighter (Spinward Extents)</v>
      </c>
    </row>
    <row r="133" spans="38:64" x14ac:dyDescent="0.3">
      <c r="AL133">
        <f t="shared" si="34"/>
        <v>4</v>
      </c>
      <c r="AM133">
        <f t="shared" si="35"/>
        <v>132</v>
      </c>
      <c r="AN133">
        <v>12</v>
      </c>
      <c r="AO133" t="s">
        <v>2855</v>
      </c>
      <c r="AP133" s="4">
        <v>12195000</v>
      </c>
      <c r="AQ133" s="431">
        <v>50</v>
      </c>
      <c r="AR133">
        <f>IF($N$62="No",-20,1)</f>
        <v>1</v>
      </c>
      <c r="BE133">
        <f>IF($N$78="No",-20,1)</f>
        <v>1</v>
      </c>
      <c r="BG133">
        <f>IF($P$62=0,1,IF(AQ133&lt;=$P$62,1,-20))</f>
        <v>1</v>
      </c>
      <c r="BJ133">
        <f t="shared" si="33"/>
        <v>1</v>
      </c>
      <c r="BK133" s="57">
        <f t="shared" si="36"/>
        <v>132</v>
      </c>
      <c r="BL133" s="57" t="str">
        <f t="shared" ref="BL133:BL196" si="37">IF(BK133&gt;$BK$1,"",INDEX($AM$2:$AO$495,MATCH(BK133,$AM$2:$AM$495,0),3))</f>
        <v>Cosmic Mako Racing Craft (Great Rifts Book 1)</v>
      </c>
    </row>
    <row r="134" spans="38:64" x14ac:dyDescent="0.3">
      <c r="AL134">
        <f t="shared" si="34"/>
        <v>4</v>
      </c>
      <c r="AM134">
        <f t="shared" si="35"/>
        <v>133</v>
      </c>
      <c r="AN134">
        <v>6</v>
      </c>
      <c r="AO134" t="s">
        <v>2856</v>
      </c>
      <c r="AP134" s="4">
        <v>640000</v>
      </c>
      <c r="AQ134">
        <v>15</v>
      </c>
      <c r="AR134">
        <f>IF($N$62="No",-20,1)</f>
        <v>1</v>
      </c>
      <c r="BE134">
        <f>IF($N$78="No",-20,1)</f>
        <v>1</v>
      </c>
      <c r="BG134">
        <f>IF($P$62=0,1,IF(AQ134&lt;=$P$62,1,-20))</f>
        <v>1</v>
      </c>
      <c r="BJ134">
        <f t="shared" si="33"/>
        <v>1</v>
      </c>
      <c r="BK134" s="57">
        <f t="shared" si="36"/>
        <v>133</v>
      </c>
      <c r="BL134" s="57" t="str">
        <f t="shared" si="37"/>
        <v>Cougar Battle Tank (Vehicle Handbook)</v>
      </c>
    </row>
    <row r="135" spans="38:64" x14ac:dyDescent="0.3">
      <c r="AL135">
        <f t="shared" si="34"/>
        <v>4</v>
      </c>
      <c r="AM135">
        <f t="shared" si="35"/>
        <v>134</v>
      </c>
      <c r="AN135">
        <v>13</v>
      </c>
      <c r="AO135" t="s">
        <v>2857</v>
      </c>
      <c r="AP135" s="4">
        <v>58750000</v>
      </c>
      <c r="AQ135">
        <v>40</v>
      </c>
      <c r="AR135">
        <f>IF($N$62="No",-20,1)</f>
        <v>1</v>
      </c>
      <c r="BC135">
        <f>IF($N$76="No",-20,1)</f>
        <v>1</v>
      </c>
      <c r="BG135">
        <f>IF($P$62=0,1,IF(AQ135&lt;=$P$62,1,-20))</f>
        <v>1</v>
      </c>
      <c r="BJ135">
        <f t="shared" si="33"/>
        <v>1</v>
      </c>
      <c r="BK135" s="57">
        <f t="shared" si="36"/>
        <v>134</v>
      </c>
      <c r="BL135" s="57" t="str">
        <f t="shared" si="37"/>
        <v>Covert Insertion Boat (SCC)</v>
      </c>
    </row>
    <row r="136" spans="38:64" x14ac:dyDescent="0.3">
      <c r="AL136">
        <f t="shared" si="34"/>
        <v>3</v>
      </c>
      <c r="AM136">
        <f t="shared" si="35"/>
        <v>135</v>
      </c>
      <c r="AN136">
        <v>12</v>
      </c>
      <c r="AO136" t="s">
        <v>2858</v>
      </c>
      <c r="AP136" s="4">
        <v>15095000</v>
      </c>
      <c r="AQ136">
        <v>25</v>
      </c>
      <c r="AR136">
        <f>IF($N$62="No",-20,1)</f>
        <v>1</v>
      </c>
      <c r="BG136">
        <f>IF($P$62=0,1,IF(AQ136&lt;=$P$62,1,-20))</f>
        <v>1</v>
      </c>
      <c r="BJ136">
        <f t="shared" si="33"/>
        <v>1</v>
      </c>
      <c r="BK136" s="57">
        <f t="shared" si="36"/>
        <v>135</v>
      </c>
      <c r="BL136" s="57" t="str">
        <f t="shared" si="37"/>
        <v>Crusader Self-Propelled Gun (Vehicle Handbook)</v>
      </c>
    </row>
    <row r="137" spans="38:64" x14ac:dyDescent="0.3">
      <c r="AL137">
        <f t="shared" si="34"/>
        <v>3</v>
      </c>
      <c r="AM137">
        <f t="shared" si="35"/>
        <v>136</v>
      </c>
      <c r="AN137">
        <v>12</v>
      </c>
      <c r="AO137" t="s">
        <v>2859</v>
      </c>
      <c r="AP137" s="4">
        <v>1095800000</v>
      </c>
      <c r="AQ137" s="471">
        <v>37.5</v>
      </c>
      <c r="AR137">
        <f>IF($N$65="No",-20,1)</f>
        <v>1</v>
      </c>
      <c r="BI137">
        <f>IF($P$65=0,1,IF(AQ137&lt;=$P$65,1,-20))</f>
        <v>1</v>
      </c>
      <c r="BJ137">
        <f t="shared" si="33"/>
        <v>1</v>
      </c>
      <c r="BK137" s="57">
        <f t="shared" si="36"/>
        <v>136</v>
      </c>
      <c r="BL137" s="57" t="str">
        <f t="shared" si="37"/>
        <v>Crusader Superheavy Tank (Solomani Front)</v>
      </c>
    </row>
    <row r="138" spans="38:64" x14ac:dyDescent="0.3">
      <c r="AL138">
        <f t="shared" si="34"/>
        <v>3</v>
      </c>
      <c r="AM138">
        <f t="shared" si="35"/>
        <v>137</v>
      </c>
      <c r="AN138">
        <v>10</v>
      </c>
      <c r="AO138" t="s">
        <v>2860</v>
      </c>
      <c r="AP138" s="4">
        <v>58000</v>
      </c>
      <c r="AQ138" s="431">
        <v>3</v>
      </c>
      <c r="AR138">
        <f>IF($N$62="No",-20,1)</f>
        <v>1</v>
      </c>
      <c r="BG138">
        <f>IF($P$62=0,1,IF(AQ138&lt;=$P$62,1,-20))</f>
        <v>1</v>
      </c>
      <c r="BJ138">
        <f t="shared" si="33"/>
        <v>1</v>
      </c>
      <c r="BK138" s="57">
        <f t="shared" si="36"/>
        <v>137</v>
      </c>
      <c r="BL138" s="57" t="str">
        <f t="shared" si="37"/>
        <v>Cryo-Truck (Bounty Hunter)</v>
      </c>
    </row>
    <row r="139" spans="38:64" x14ac:dyDescent="0.3">
      <c r="AL139">
        <f t="shared" si="34"/>
        <v>4</v>
      </c>
      <c r="AM139">
        <f t="shared" si="35"/>
        <v>138</v>
      </c>
      <c r="AN139">
        <v>10</v>
      </c>
      <c r="AO139" t="s">
        <v>2861</v>
      </c>
      <c r="AP139" s="4">
        <v>10980000</v>
      </c>
      <c r="AQ139">
        <v>20</v>
      </c>
      <c r="AR139">
        <f>IF($N$63="No",-20,1)</f>
        <v>1</v>
      </c>
      <c r="AU139">
        <f>IF($N$68="No",-20,1)</f>
        <v>1</v>
      </c>
      <c r="BH139">
        <f>IF($P$63=0,1,IF(AQ139&lt;=$P$63,1,-20))</f>
        <v>1</v>
      </c>
      <c r="BJ139">
        <f t="shared" si="33"/>
        <v>1</v>
      </c>
      <c r="BK139" s="57">
        <f t="shared" si="36"/>
        <v>138</v>
      </c>
      <c r="BL139" s="57" t="str">
        <f t="shared" si="37"/>
        <v>Customs Launch (SCC)</v>
      </c>
    </row>
    <row r="140" spans="38:64" x14ac:dyDescent="0.3">
      <c r="AL140">
        <f t="shared" si="34"/>
        <v>3</v>
      </c>
      <c r="AM140">
        <f t="shared" si="35"/>
        <v>139</v>
      </c>
      <c r="AN140">
        <v>11</v>
      </c>
      <c r="AO140" t="s">
        <v>2862</v>
      </c>
      <c r="AP140" s="4">
        <v>22657500</v>
      </c>
      <c r="AQ140">
        <v>50</v>
      </c>
      <c r="AR140">
        <f>IF($N$62="No",-20,1)</f>
        <v>1</v>
      </c>
      <c r="BG140">
        <f>IF($P$62=0,1,IF(AQ140&lt;=$P$62,1,-20))</f>
        <v>1</v>
      </c>
      <c r="BJ140">
        <f t="shared" si="33"/>
        <v>1</v>
      </c>
      <c r="BK140" s="57">
        <f t="shared" si="36"/>
        <v>139</v>
      </c>
      <c r="BL140" s="57" t="str">
        <f t="shared" si="37"/>
        <v>Customs Patrol Boat (SCC)</v>
      </c>
    </row>
    <row r="141" spans="38:64" ht="15.6" x14ac:dyDescent="0.3">
      <c r="AL141">
        <f t="shared" si="34"/>
        <v>3</v>
      </c>
      <c r="AM141">
        <f t="shared" si="35"/>
        <v>140</v>
      </c>
      <c r="AN141" s="437">
        <v>15</v>
      </c>
      <c r="AO141" s="437" t="s">
        <v>2863</v>
      </c>
      <c r="AP141" s="4">
        <v>361997000</v>
      </c>
      <c r="AQ141" s="471">
        <v>600</v>
      </c>
      <c r="AR141">
        <f>IF($N$62="No",-20,1)</f>
        <v>1</v>
      </c>
      <c r="BG141">
        <f>IF($P$62=0,1,IF(AQ141&lt;=$P$62,1,-20))</f>
        <v>1</v>
      </c>
      <c r="BJ141">
        <f t="shared" si="33"/>
        <v>1</v>
      </c>
      <c r="BK141" s="57">
        <f t="shared" si="36"/>
        <v>140</v>
      </c>
      <c r="BL141" s="57" t="str">
        <f t="shared" si="37"/>
        <v>Customs Patrol Cutter (Adventure Class Ships)</v>
      </c>
    </row>
    <row r="142" spans="38:64" x14ac:dyDescent="0.3">
      <c r="AL142">
        <f t="shared" si="34"/>
        <v>4</v>
      </c>
      <c r="AM142">
        <f t="shared" si="35"/>
        <v>141</v>
      </c>
      <c r="AN142">
        <v>11</v>
      </c>
      <c r="AO142" t="s">
        <v>2864</v>
      </c>
      <c r="AP142" s="4">
        <v>13861000</v>
      </c>
      <c r="AQ142">
        <v>10</v>
      </c>
      <c r="AR142">
        <f>IF($N$62="No",-20,1)</f>
        <v>1</v>
      </c>
      <c r="BF142">
        <f>IF($N$79="No",-20,1)</f>
        <v>1</v>
      </c>
      <c r="BG142">
        <f>IF($P$62=0,1,IF(AQ142&lt;=$P$62,1,-20))</f>
        <v>1</v>
      </c>
      <c r="BJ142">
        <f t="shared" si="33"/>
        <v>1</v>
      </c>
      <c r="BK142" s="57">
        <f t="shared" si="36"/>
        <v>141</v>
      </c>
      <c r="BL142" s="57" t="str">
        <f t="shared" si="37"/>
        <v>Cyclone Ground Attack Fighter (SCC)</v>
      </c>
    </row>
    <row r="143" spans="38:64" ht="15.6" x14ac:dyDescent="0.3">
      <c r="AL143">
        <f t="shared" si="34"/>
        <v>4</v>
      </c>
      <c r="AM143">
        <f t="shared" si="35"/>
        <v>142</v>
      </c>
      <c r="AN143" s="437">
        <v>13</v>
      </c>
      <c r="AO143" s="437" t="s">
        <v>2865</v>
      </c>
      <c r="AP143" s="438">
        <v>6606000</v>
      </c>
      <c r="AQ143" s="439">
        <v>20</v>
      </c>
      <c r="AR143">
        <f>IF($N$63="No",-20,1)</f>
        <v>1</v>
      </c>
      <c r="AU143">
        <f>IF($N$68="No",-20,1)</f>
        <v>1</v>
      </c>
      <c r="BH143">
        <f>IF($P$63=0,1,IF(AQ143&lt;=$P$63,1,-20))</f>
        <v>1</v>
      </c>
      <c r="BJ143">
        <f t="shared" si="33"/>
        <v>1</v>
      </c>
      <c r="BK143" s="57">
        <f t="shared" si="36"/>
        <v>142</v>
      </c>
      <c r="BL143" s="57" t="str">
        <f t="shared" si="37"/>
        <v>Darlene-Class Gig (Traders &amp; Gunboats)</v>
      </c>
    </row>
    <row r="144" spans="38:64" x14ac:dyDescent="0.3">
      <c r="AL144">
        <f t="shared" si="34"/>
        <v>4</v>
      </c>
      <c r="AM144">
        <f t="shared" si="35"/>
        <v>143</v>
      </c>
      <c r="AN144">
        <v>11</v>
      </c>
      <c r="AO144" t="s">
        <v>2866</v>
      </c>
      <c r="AP144" s="4">
        <v>393000</v>
      </c>
      <c r="AQ144" s="431">
        <v>1.5</v>
      </c>
      <c r="AR144">
        <f>IF($N$63="No",-20,1)</f>
        <v>1</v>
      </c>
      <c r="AU144">
        <f>IF($N$68="No",-20,1)</f>
        <v>1</v>
      </c>
      <c r="BH144">
        <f>IF($P$63=0,1,IF(AQ144&lt;=$P$63,1,-20))</f>
        <v>1</v>
      </c>
      <c r="BJ144">
        <f t="shared" si="33"/>
        <v>1</v>
      </c>
      <c r="BK144" s="57">
        <f t="shared" si="36"/>
        <v>143</v>
      </c>
      <c r="BL144" s="57" t="str">
        <f t="shared" si="37"/>
        <v>Darrian Grav Bike (AoCS3)</v>
      </c>
    </row>
    <row r="145" spans="38:64" x14ac:dyDescent="0.3">
      <c r="AL145">
        <f t="shared" si="34"/>
        <v>4</v>
      </c>
      <c r="AM145">
        <f t="shared" si="35"/>
        <v>144</v>
      </c>
      <c r="AN145">
        <v>15</v>
      </c>
      <c r="AO145" t="s">
        <v>2867</v>
      </c>
      <c r="AP145" s="4">
        <v>10249000</v>
      </c>
      <c r="AQ145" s="471">
        <v>30</v>
      </c>
      <c r="AR145">
        <f>IF($N$63="No",-20,1)</f>
        <v>1</v>
      </c>
      <c r="BF145">
        <f>IF($N$79="No",-20,1)</f>
        <v>1</v>
      </c>
      <c r="BH145">
        <f>IF($P$63=0,1,IF(AQ145&lt;=$P$63,1,-20))</f>
        <v>1</v>
      </c>
      <c r="BJ145">
        <f t="shared" si="33"/>
        <v>1</v>
      </c>
      <c r="BK145" s="57">
        <f t="shared" si="36"/>
        <v>144</v>
      </c>
      <c r="BL145" s="57" t="str">
        <f t="shared" si="37"/>
        <v>Darrian Haveanna Grav Transport/Gunship (Armies of the 5FW)</v>
      </c>
    </row>
    <row r="146" spans="38:64" x14ac:dyDescent="0.3">
      <c r="AL146">
        <f t="shared" si="34"/>
        <v>4</v>
      </c>
      <c r="AM146">
        <f t="shared" si="35"/>
        <v>145</v>
      </c>
      <c r="AN146">
        <v>15</v>
      </c>
      <c r="AO146" t="s">
        <v>2868</v>
      </c>
      <c r="AP146" s="4">
        <v>368874000</v>
      </c>
      <c r="AQ146" s="431">
        <v>200</v>
      </c>
      <c r="AR146">
        <f>IF($N$63="No",-20,1)</f>
        <v>1</v>
      </c>
      <c r="AU146">
        <f>IF($N$68="No",-20,1)</f>
        <v>1</v>
      </c>
      <c r="BH146">
        <f>IF($P$63=0,1,IF(AQ146&lt;=$P$63,1,-20))</f>
        <v>1</v>
      </c>
      <c r="BJ146">
        <f t="shared" si="33"/>
        <v>1</v>
      </c>
      <c r="BK146" s="57">
        <f t="shared" si="36"/>
        <v>145</v>
      </c>
      <c r="BL146" s="57" t="str">
        <f t="shared" si="37"/>
        <v>Darrian Lehnd Covert Espionage Scout (AoCS3)</v>
      </c>
    </row>
    <row r="147" spans="38:64" x14ac:dyDescent="0.3">
      <c r="AL147">
        <f t="shared" si="34"/>
        <v>3</v>
      </c>
      <c r="AM147">
        <f t="shared" si="35"/>
        <v>146</v>
      </c>
      <c r="AN147">
        <v>15</v>
      </c>
      <c r="AO147" t="s">
        <v>2869</v>
      </c>
      <c r="AP147" s="4">
        <v>796000</v>
      </c>
      <c r="AQ147" s="431">
        <v>2</v>
      </c>
      <c r="AR147">
        <f>IF($N$62="No",-20,1)</f>
        <v>1</v>
      </c>
      <c r="BG147">
        <f>IF($P$62=0,1,IF(AQ147&lt;=$P$62,1,-20))</f>
        <v>1</v>
      </c>
      <c r="BJ147">
        <f t="shared" si="33"/>
        <v>1</v>
      </c>
      <c r="BK147" s="57">
        <f t="shared" si="36"/>
        <v>146</v>
      </c>
      <c r="BL147" s="57" t="str">
        <f t="shared" si="37"/>
        <v>Darrian Military Grav Bike (AoCS3)</v>
      </c>
    </row>
    <row r="148" spans="38:64" x14ac:dyDescent="0.3">
      <c r="AL148">
        <f t="shared" si="34"/>
        <v>3</v>
      </c>
      <c r="AM148">
        <f t="shared" si="35"/>
        <v>147</v>
      </c>
      <c r="AN148">
        <v>10</v>
      </c>
      <c r="AO148" t="s">
        <v>2870</v>
      </c>
      <c r="AP148" s="4">
        <v>27000</v>
      </c>
      <c r="AQ148" s="431">
        <v>0.5</v>
      </c>
      <c r="AR148">
        <f>IF($N$62="No",-20,1)</f>
        <v>1</v>
      </c>
      <c r="BG148">
        <f>IF($P$62=0,1,IF(AQ148&lt;=$P$62,1,-20))</f>
        <v>1</v>
      </c>
      <c r="BJ148">
        <f t="shared" si="33"/>
        <v>1</v>
      </c>
      <c r="BK148" s="57">
        <f t="shared" si="36"/>
        <v>147</v>
      </c>
      <c r="BL148" s="57" t="str">
        <f t="shared" si="37"/>
        <v>Darrian Monocycle (Vehicle Handbook)</v>
      </c>
    </row>
    <row r="149" spans="38:64" x14ac:dyDescent="0.3">
      <c r="AL149">
        <f t="shared" si="34"/>
        <v>3</v>
      </c>
      <c r="AM149">
        <f t="shared" si="35"/>
        <v>148</v>
      </c>
      <c r="AN149">
        <v>15</v>
      </c>
      <c r="AO149" t="s">
        <v>2871</v>
      </c>
      <c r="AP149" s="4">
        <v>252663300</v>
      </c>
      <c r="AQ149" s="431">
        <v>400</v>
      </c>
      <c r="AR149">
        <f>IF($N$65="No",-20,1)</f>
        <v>1</v>
      </c>
      <c r="BI149">
        <f>IF($P$65=0,1,IF(AQ149&lt;=$P$65,1,-20))</f>
        <v>1</v>
      </c>
      <c r="BJ149">
        <f t="shared" si="33"/>
        <v>1</v>
      </c>
      <c r="BK149" s="57">
        <f t="shared" si="36"/>
        <v>148</v>
      </c>
      <c r="BL149" s="57" t="str">
        <f t="shared" si="37"/>
        <v>Darrian Piholz-Class System Defense Boat (AoCS3)</v>
      </c>
    </row>
    <row r="150" spans="38:64" ht="15.6" x14ac:dyDescent="0.3">
      <c r="AL150">
        <f t="shared" si="34"/>
        <v>5</v>
      </c>
      <c r="AM150">
        <f t="shared" si="35"/>
        <v>149</v>
      </c>
      <c r="AN150" s="437">
        <v>13</v>
      </c>
      <c r="AO150" s="437" t="s">
        <v>2872</v>
      </c>
      <c r="AP150" s="438">
        <v>67653000</v>
      </c>
      <c r="AQ150" s="439">
        <v>100</v>
      </c>
      <c r="AR150">
        <f>IF($N$63="No",-20,1)</f>
        <v>1</v>
      </c>
      <c r="AS150">
        <f>IF($N$64="No",-20,1)</f>
        <v>1</v>
      </c>
      <c r="AU150">
        <f>IF($N$68="No",-20,1)</f>
        <v>1</v>
      </c>
      <c r="BH150">
        <f>IF($P$63=0,1,IF(AQ150&lt;=$P$63,1,-20))</f>
        <v>1</v>
      </c>
      <c r="BJ150">
        <f t="shared" si="33"/>
        <v>1</v>
      </c>
      <c r="BK150" s="57">
        <f t="shared" si="36"/>
        <v>149</v>
      </c>
      <c r="BL150" s="57" t="str">
        <f t="shared" si="37"/>
        <v>Darrian Rehld Courier (AoCS3)</v>
      </c>
    </row>
    <row r="151" spans="38:64" x14ac:dyDescent="0.3">
      <c r="AL151">
        <f t="shared" si="34"/>
        <v>4</v>
      </c>
      <c r="AM151">
        <f t="shared" si="35"/>
        <v>150</v>
      </c>
      <c r="AN151">
        <v>13</v>
      </c>
      <c r="AO151" t="s">
        <v>2873</v>
      </c>
      <c r="AP151" s="4">
        <v>6730000</v>
      </c>
      <c r="AQ151" s="431">
        <v>10</v>
      </c>
      <c r="AR151">
        <f>IF($N$62="No",-20,1)</f>
        <v>1</v>
      </c>
      <c r="AV151">
        <f>IF($N$69="No",-20,1)</f>
        <v>1</v>
      </c>
      <c r="BG151">
        <f>IF($P$62=0,1,IF(AQ151&lt;=$P$62,1,-20))</f>
        <v>1</v>
      </c>
      <c r="BJ151">
        <f t="shared" si="33"/>
        <v>1</v>
      </c>
      <c r="BK151" s="57">
        <f t="shared" si="36"/>
        <v>150</v>
      </c>
      <c r="BL151" s="57" t="str">
        <f t="shared" si="37"/>
        <v>Darrian Shere Tank (AoCS3)</v>
      </c>
    </row>
    <row r="152" spans="38:64" x14ac:dyDescent="0.3">
      <c r="AL152">
        <f t="shared" si="34"/>
        <v>3</v>
      </c>
      <c r="AM152">
        <f t="shared" si="35"/>
        <v>151</v>
      </c>
      <c r="AN152">
        <v>15</v>
      </c>
      <c r="AO152" t="s">
        <v>2874</v>
      </c>
      <c r="AP152" s="4">
        <v>168331500</v>
      </c>
      <c r="AQ152" s="431">
        <v>200</v>
      </c>
      <c r="AR152">
        <f>IF($N$65="No",-20,1)</f>
        <v>1</v>
      </c>
      <c r="BI152">
        <f>IF($P$65=0,1,IF(AQ152&lt;=$P$65,1,-20))</f>
        <v>1</v>
      </c>
      <c r="BJ152">
        <f t="shared" si="33"/>
        <v>1</v>
      </c>
      <c r="BK152" s="57">
        <f t="shared" si="36"/>
        <v>151</v>
      </c>
      <c r="BL152" s="57" t="str">
        <f t="shared" si="37"/>
        <v>Darrian Thengg Pioneer Scout (AoCS3)</v>
      </c>
    </row>
    <row r="153" spans="38:64" ht="15.6" x14ac:dyDescent="0.3">
      <c r="AL153">
        <f t="shared" si="34"/>
        <v>4</v>
      </c>
      <c r="AM153">
        <f t="shared" si="35"/>
        <v>152</v>
      </c>
      <c r="AN153" s="437">
        <v>12</v>
      </c>
      <c r="AO153" s="437" t="s">
        <v>1849</v>
      </c>
      <c r="AP153" s="438">
        <v>9980000</v>
      </c>
      <c r="AQ153" s="439">
        <v>20</v>
      </c>
      <c r="AR153">
        <f>IF($N$62="No",-20,1)</f>
        <v>1</v>
      </c>
      <c r="BF153">
        <f>IF($N$79="No",-20,1)</f>
        <v>1</v>
      </c>
      <c r="BG153">
        <f>IF($P$62=0,1,IF(AQ153&lt;=$P$62,1,-20))</f>
        <v>1</v>
      </c>
      <c r="BJ153">
        <f t="shared" si="33"/>
        <v>1</v>
      </c>
      <c r="BK153" s="57">
        <f t="shared" si="36"/>
        <v>152</v>
      </c>
      <c r="BL153" s="57" t="str">
        <f t="shared" si="37"/>
        <v>Dart Interceptor (JTAS Vol. 6)</v>
      </c>
    </row>
    <row r="154" spans="38:64" x14ac:dyDescent="0.3">
      <c r="AL154">
        <f t="shared" si="34"/>
        <v>4</v>
      </c>
      <c r="AM154">
        <f t="shared" si="35"/>
        <v>153</v>
      </c>
      <c r="AN154">
        <v>9</v>
      </c>
      <c r="AO154" t="s">
        <v>2875</v>
      </c>
      <c r="AP154" s="4">
        <v>18700</v>
      </c>
      <c r="AQ154" s="471">
        <v>4</v>
      </c>
      <c r="AR154">
        <f>IF($N$62="No",-20,1)</f>
        <v>1</v>
      </c>
      <c r="BF154">
        <f>IF($N$79="No",-20,1)</f>
        <v>1</v>
      </c>
      <c r="BG154">
        <f>IF($P$62=0,1,IF(AQ154&lt;=$P$62,1,-20))</f>
        <v>1</v>
      </c>
      <c r="BJ154">
        <f t="shared" si="33"/>
        <v>1</v>
      </c>
      <c r="BK154" s="57">
        <f t="shared" si="36"/>
        <v>153</v>
      </c>
      <c r="BL154" s="57" t="str">
        <f t="shared" si="37"/>
        <v>Deathtractor (The Riverlands)</v>
      </c>
    </row>
    <row r="155" spans="38:64" x14ac:dyDescent="0.3">
      <c r="AL155">
        <f t="shared" si="34"/>
        <v>4</v>
      </c>
      <c r="AM155">
        <f t="shared" si="35"/>
        <v>154</v>
      </c>
      <c r="AN155">
        <v>13</v>
      </c>
      <c r="AO155" t="s">
        <v>2876</v>
      </c>
      <c r="AP155" s="4">
        <v>633850000</v>
      </c>
      <c r="AQ155">
        <v>1900</v>
      </c>
      <c r="AR155">
        <f>IF($N$63="No",-20,1)</f>
        <v>1</v>
      </c>
      <c r="AU155">
        <f>IF($N$68="No",-20,1)</f>
        <v>1</v>
      </c>
      <c r="BH155">
        <f>IF($P$63=0,1,IF(AQ155&lt;=$P$63,1,-20))</f>
        <v>1</v>
      </c>
      <c r="BJ155">
        <f t="shared" si="33"/>
        <v>1</v>
      </c>
      <c r="BK155" s="57">
        <f t="shared" si="36"/>
        <v>154</v>
      </c>
      <c r="BL155" s="57" t="str">
        <f t="shared" si="37"/>
        <v>Dee Six Downpoprt Kit (JTAS Vol. 18)</v>
      </c>
    </row>
    <row r="156" spans="38:64" x14ac:dyDescent="0.3">
      <c r="AL156">
        <f t="shared" si="34"/>
        <v>4</v>
      </c>
      <c r="AM156">
        <f t="shared" si="35"/>
        <v>155</v>
      </c>
      <c r="AN156">
        <v>15</v>
      </c>
      <c r="AO156" t="s">
        <v>2877</v>
      </c>
      <c r="AP156" s="4">
        <v>311500000</v>
      </c>
      <c r="AQ156" s="431">
        <v>250</v>
      </c>
      <c r="AR156">
        <f>IF($N$62="No",-20,1)</f>
        <v>1</v>
      </c>
      <c r="BF156">
        <f>IF($N$79="No",-20,1)</f>
        <v>1</v>
      </c>
      <c r="BG156">
        <f>IF($P$62=0,1,IF(AQ156&lt;=$P$62,1,-20))</f>
        <v>1</v>
      </c>
      <c r="BJ156">
        <f t="shared" si="33"/>
        <v>1</v>
      </c>
      <c r="BK156" s="57">
        <f t="shared" si="36"/>
        <v>155</v>
      </c>
      <c r="BL156" s="57" t="str">
        <f t="shared" si="37"/>
        <v>Deep Ranger-Class Research Submarine (Behind the Claw)</v>
      </c>
    </row>
    <row r="157" spans="38:64" x14ac:dyDescent="0.3">
      <c r="AL157">
        <f t="shared" si="34"/>
        <v>4</v>
      </c>
      <c r="AM157">
        <f t="shared" si="35"/>
        <v>156</v>
      </c>
      <c r="AN157">
        <v>9</v>
      </c>
      <c r="AO157" t="s">
        <v>2878</v>
      </c>
      <c r="AP157" s="4">
        <v>1050000</v>
      </c>
      <c r="AQ157">
        <v>1.5</v>
      </c>
      <c r="AR157">
        <f>IF($N$65="No",-20,1)</f>
        <v>1</v>
      </c>
      <c r="BB157">
        <f>IF($N$75="No",-20,1)</f>
        <v>1</v>
      </c>
      <c r="BI157">
        <f>IF($P$65=0,1,IF(AQ157&lt;=$P$65,1,-20))</f>
        <v>1</v>
      </c>
      <c r="BJ157">
        <f t="shared" si="33"/>
        <v>1</v>
      </c>
      <c r="BK157" s="57">
        <f t="shared" si="36"/>
        <v>156</v>
      </c>
      <c r="BL157" s="57" t="str">
        <f t="shared" si="37"/>
        <v>Deep Sea Submersible (Vehicle Handbook)</v>
      </c>
    </row>
    <row r="158" spans="38:64" ht="15.6" x14ac:dyDescent="0.3">
      <c r="AL158">
        <f t="shared" si="34"/>
        <v>3</v>
      </c>
      <c r="AM158">
        <f t="shared" si="35"/>
        <v>157</v>
      </c>
      <c r="AN158" s="437">
        <v>15</v>
      </c>
      <c r="AO158" s="437" t="s">
        <v>1692</v>
      </c>
      <c r="AP158" s="438">
        <v>11185000</v>
      </c>
      <c r="AQ158" s="439">
        <v>20</v>
      </c>
      <c r="AR158">
        <f>IF($N$65="No",-20,1)</f>
        <v>1</v>
      </c>
      <c r="BI158">
        <f>IF($P$65=0,1,IF(AQ158&lt;=$P$65,1,-20))</f>
        <v>1</v>
      </c>
      <c r="BJ158">
        <f t="shared" si="33"/>
        <v>1</v>
      </c>
      <c r="BK158" s="57">
        <f t="shared" si="36"/>
        <v>157</v>
      </c>
      <c r="BL158" s="57" t="str">
        <f t="shared" si="37"/>
        <v>Deepnight Boat (DR:CG)</v>
      </c>
    </row>
    <row r="159" spans="38:64" ht="15.6" x14ac:dyDescent="0.3">
      <c r="AL159">
        <f t="shared" si="34"/>
        <v>4</v>
      </c>
      <c r="AM159">
        <f t="shared" si="35"/>
        <v>158</v>
      </c>
      <c r="AN159" s="437">
        <v>15</v>
      </c>
      <c r="AO159" s="437" t="s">
        <v>1821</v>
      </c>
      <c r="AP159" s="438">
        <v>1810545000</v>
      </c>
      <c r="AQ159" s="439">
        <v>10000</v>
      </c>
      <c r="AR159">
        <f t="shared" ref="AR159:AR164" si="38">IF($N$62="No",-20,1)</f>
        <v>1</v>
      </c>
      <c r="AW159">
        <f>IF($N$70="No",-20,1)</f>
        <v>1</v>
      </c>
      <c r="BG159">
        <f t="shared" ref="BG159:BG164" si="39">IF($P$62=0,1,IF(AQ159&lt;=$P$62,1,-20))</f>
        <v>1</v>
      </c>
      <c r="BJ159">
        <f t="shared" si="33"/>
        <v>1</v>
      </c>
      <c r="BK159" s="57">
        <f t="shared" si="36"/>
        <v>158</v>
      </c>
      <c r="BL159" s="57" t="str">
        <f t="shared" si="37"/>
        <v>Deepnight Endeavour Fuel Shuttle (Great Rift Adventure 2)</v>
      </c>
    </row>
    <row r="160" spans="38:64" ht="15.6" x14ac:dyDescent="0.3">
      <c r="AL160">
        <f t="shared" si="34"/>
        <v>4</v>
      </c>
      <c r="AM160">
        <f t="shared" si="35"/>
        <v>159</v>
      </c>
      <c r="AN160" s="437">
        <v>15</v>
      </c>
      <c r="AO160" s="437" t="s">
        <v>1691</v>
      </c>
      <c r="AP160" s="438">
        <v>34776000</v>
      </c>
      <c r="AQ160" s="439">
        <v>60</v>
      </c>
      <c r="AR160">
        <f t="shared" si="38"/>
        <v>1</v>
      </c>
      <c r="BF160">
        <f>IF($N$79="No",-20,1)</f>
        <v>1</v>
      </c>
      <c r="BG160">
        <f t="shared" si="39"/>
        <v>1</v>
      </c>
      <c r="BJ160">
        <f t="shared" si="33"/>
        <v>1</v>
      </c>
      <c r="BK160" s="57">
        <f t="shared" si="36"/>
        <v>159</v>
      </c>
      <c r="BL160" s="57" t="str">
        <f t="shared" si="37"/>
        <v>Deepnight Pinnace (DR:CG)</v>
      </c>
    </row>
    <row r="161" spans="38:64" ht="15.6" x14ac:dyDescent="0.3">
      <c r="AL161">
        <f t="shared" si="34"/>
        <v>4</v>
      </c>
      <c r="AM161">
        <f t="shared" si="35"/>
        <v>160</v>
      </c>
      <c r="AN161" s="437">
        <v>15</v>
      </c>
      <c r="AO161" s="437" t="s">
        <v>1690</v>
      </c>
      <c r="AP161" s="438">
        <v>179040000</v>
      </c>
      <c r="AQ161" s="439">
        <v>200</v>
      </c>
      <c r="AR161">
        <f t="shared" si="38"/>
        <v>1</v>
      </c>
      <c r="AW161">
        <f>IF($N$70="No",-20,1)</f>
        <v>1</v>
      </c>
      <c r="BG161">
        <f t="shared" si="39"/>
        <v>1</v>
      </c>
      <c r="BJ161">
        <f t="shared" si="33"/>
        <v>1</v>
      </c>
      <c r="BK161" s="57">
        <f t="shared" si="36"/>
        <v>160</v>
      </c>
      <c r="BL161" s="57" t="str">
        <f t="shared" si="37"/>
        <v>Deepnight Scout (DR:CG)</v>
      </c>
    </row>
    <row r="162" spans="38:64" x14ac:dyDescent="0.3">
      <c r="AL162">
        <f t="shared" si="34"/>
        <v>4</v>
      </c>
      <c r="AM162">
        <f t="shared" si="35"/>
        <v>161</v>
      </c>
      <c r="AN162">
        <v>12</v>
      </c>
      <c r="AO162" t="s">
        <v>2879</v>
      </c>
      <c r="AP162" s="4">
        <v>8283000</v>
      </c>
      <c r="AQ162" s="471">
        <v>16</v>
      </c>
      <c r="AR162">
        <f t="shared" si="38"/>
        <v>1</v>
      </c>
      <c r="BF162">
        <f>IF($N$79="No",-20,1)</f>
        <v>1</v>
      </c>
      <c r="BG162">
        <f t="shared" si="39"/>
        <v>1</v>
      </c>
      <c r="BJ162">
        <f t="shared" si="33"/>
        <v>1</v>
      </c>
      <c r="BK162" s="57">
        <f t="shared" si="36"/>
        <v>161</v>
      </c>
      <c r="BL162" s="57" t="str">
        <f t="shared" si="37"/>
        <v>Deneb Light Grav Tank (Armies of the 5FW)</v>
      </c>
    </row>
    <row r="163" spans="38:64" x14ac:dyDescent="0.3">
      <c r="AL163">
        <f t="shared" si="34"/>
        <v>4</v>
      </c>
      <c r="AM163">
        <f t="shared" si="35"/>
        <v>162</v>
      </c>
      <c r="AN163">
        <v>15</v>
      </c>
      <c r="AO163" t="s">
        <v>2880</v>
      </c>
      <c r="AP163" s="4">
        <v>2258711000</v>
      </c>
      <c r="AQ163" s="431">
        <v>5000</v>
      </c>
      <c r="AR163">
        <f t="shared" si="38"/>
        <v>1</v>
      </c>
      <c r="AW163">
        <f>IF($N$70="No",-20,1)</f>
        <v>1</v>
      </c>
      <c r="BG163">
        <f t="shared" si="39"/>
        <v>1</v>
      </c>
      <c r="BJ163">
        <f t="shared" si="33"/>
        <v>1</v>
      </c>
      <c r="BK163" s="57">
        <f t="shared" si="36"/>
        <v>162</v>
      </c>
      <c r="BL163" s="57" t="str">
        <f t="shared" si="37"/>
        <v>Deneb Stalwart-Class Monitor (BtC)</v>
      </c>
    </row>
    <row r="164" spans="38:64" ht="15.6" x14ac:dyDescent="0.3">
      <c r="AL164">
        <f t="shared" si="34"/>
        <v>4</v>
      </c>
      <c r="AM164">
        <f t="shared" si="35"/>
        <v>163</v>
      </c>
      <c r="AN164" s="437">
        <v>13</v>
      </c>
      <c r="AO164" s="437" t="s">
        <v>1825</v>
      </c>
      <c r="AP164" s="438">
        <v>35775900</v>
      </c>
      <c r="AQ164" s="439">
        <v>50</v>
      </c>
      <c r="AR164">
        <f t="shared" si="38"/>
        <v>1</v>
      </c>
      <c r="AV164">
        <f>IF($N$69="No",-20,1)</f>
        <v>1</v>
      </c>
      <c r="BG164">
        <f t="shared" si="39"/>
        <v>1</v>
      </c>
      <c r="BJ164">
        <f t="shared" si="33"/>
        <v>1</v>
      </c>
      <c r="BK164" s="57">
        <f t="shared" si="36"/>
        <v>163</v>
      </c>
      <c r="BL164" s="57" t="str">
        <f t="shared" si="37"/>
        <v>Deployment Shuttle (High Guard Deployment Shuttle)</v>
      </c>
    </row>
    <row r="165" spans="38:64" x14ac:dyDescent="0.3">
      <c r="AL165">
        <f t="shared" si="34"/>
        <v>3</v>
      </c>
      <c r="AM165">
        <f t="shared" si="35"/>
        <v>164</v>
      </c>
      <c r="AN165">
        <v>6</v>
      </c>
      <c r="AO165" t="s">
        <v>2881</v>
      </c>
      <c r="AP165" s="4">
        <v>67500</v>
      </c>
      <c r="AQ165">
        <v>20</v>
      </c>
      <c r="AR165">
        <f>IF($N$63="No",-20,1)</f>
        <v>1</v>
      </c>
      <c r="BH165">
        <f>IF($P$63=0,1,IF(AQ165&lt;=$P$63,1,-20))</f>
        <v>1</v>
      </c>
      <c r="BJ165">
        <f t="shared" si="33"/>
        <v>1</v>
      </c>
      <c r="BK165" s="57">
        <f t="shared" si="36"/>
        <v>164</v>
      </c>
      <c r="BL165" s="57" t="str">
        <f t="shared" si="37"/>
        <v>Dirigible (Vehicle Handbook)</v>
      </c>
    </row>
    <row r="166" spans="38:64" ht="15.6" x14ac:dyDescent="0.3">
      <c r="AL166">
        <f t="shared" si="34"/>
        <v>4</v>
      </c>
      <c r="AM166">
        <f t="shared" si="35"/>
        <v>165</v>
      </c>
      <c r="AN166" s="437">
        <v>8</v>
      </c>
      <c r="AO166" s="437" t="s">
        <v>1967</v>
      </c>
      <c r="AP166" s="438">
        <v>6300</v>
      </c>
      <c r="AQ166" s="439">
        <v>1</v>
      </c>
      <c r="AR166">
        <f>IF($N$62="No",-20,1)</f>
        <v>1</v>
      </c>
      <c r="AW166">
        <f>IF($N$70="No",-20,1)</f>
        <v>1</v>
      </c>
      <c r="BG166">
        <f>IF($P$62=0,1,IF(AQ166&lt;=$P$62,1,-20))</f>
        <v>1</v>
      </c>
      <c r="BJ166">
        <f t="shared" si="33"/>
        <v>1</v>
      </c>
      <c r="BK166" s="57">
        <f t="shared" si="36"/>
        <v>165</v>
      </c>
      <c r="BL166" s="57" t="str">
        <f t="shared" si="37"/>
        <v>Dirt Bike (Reach Adventure 2)</v>
      </c>
    </row>
    <row r="167" spans="38:64" x14ac:dyDescent="0.3">
      <c r="AL167">
        <f t="shared" si="34"/>
        <v>2</v>
      </c>
      <c r="AM167">
        <f t="shared" si="35"/>
        <v>166</v>
      </c>
      <c r="AN167">
        <v>8</v>
      </c>
      <c r="AO167" t="s">
        <v>2882</v>
      </c>
      <c r="AP167" s="4">
        <v>6300</v>
      </c>
      <c r="AQ167">
        <v>1</v>
      </c>
      <c r="AR167">
        <f>IF($N$62="No",-20,1)</f>
        <v>1</v>
      </c>
      <c r="BG167">
        <f>IF($P$62=0,1,IF(AQ167&lt;=$P$62,1,-20))</f>
        <v>1</v>
      </c>
      <c r="BK167" s="57">
        <f t="shared" si="36"/>
        <v>166</v>
      </c>
      <c r="BL167" s="57" t="str">
        <f t="shared" si="37"/>
        <v>Dirt Bike (Vehicle Handbook)</v>
      </c>
    </row>
    <row r="168" spans="38:64" x14ac:dyDescent="0.3">
      <c r="AL168">
        <f t="shared" si="34"/>
        <v>4</v>
      </c>
      <c r="AM168">
        <f t="shared" si="35"/>
        <v>167</v>
      </c>
      <c r="AN168">
        <v>9</v>
      </c>
      <c r="AO168" t="s">
        <v>2883</v>
      </c>
      <c r="AP168" s="4">
        <v>390000</v>
      </c>
      <c r="AQ168">
        <v>10</v>
      </c>
      <c r="AR168">
        <f>IF($N$65="No",-20,1)</f>
        <v>1</v>
      </c>
      <c r="AZ168">
        <f t="shared" ref="AZ168:AZ174" si="40">IF($N$73="No",-20,1)</f>
        <v>1</v>
      </c>
      <c r="BI168">
        <f>IF($P$65=0,1,IF(AQ168&lt;=$P$65,1,-20))</f>
        <v>1</v>
      </c>
      <c r="BJ168">
        <f t="shared" ref="BJ168:BJ215" si="41">IF($N$61="Yes",1,IF(AN168&gt;TL,-20,1))</f>
        <v>1</v>
      </c>
      <c r="BK168" s="57">
        <f t="shared" si="36"/>
        <v>167</v>
      </c>
      <c r="BL168" s="57" t="str">
        <f t="shared" si="37"/>
        <v>Dirtside APC (Vehicle Handbook)</v>
      </c>
    </row>
    <row r="169" spans="38:64" x14ac:dyDescent="0.3">
      <c r="AL169">
        <f t="shared" si="34"/>
        <v>4</v>
      </c>
      <c r="AM169">
        <f t="shared" si="35"/>
        <v>168</v>
      </c>
      <c r="AN169">
        <v>12</v>
      </c>
      <c r="AO169" t="s">
        <v>2884</v>
      </c>
      <c r="AP169" s="4">
        <v>36535500</v>
      </c>
      <c r="AQ169" s="431">
        <v>100</v>
      </c>
      <c r="AR169">
        <f>IF($N$63="No",-20,1)</f>
        <v>1</v>
      </c>
      <c r="AZ169">
        <f t="shared" si="40"/>
        <v>1</v>
      </c>
      <c r="BH169">
        <f>IF($P$63=0,1,IF(AQ169&lt;=$P$63,1,-20))</f>
        <v>1</v>
      </c>
      <c r="BJ169">
        <f t="shared" si="41"/>
        <v>1</v>
      </c>
      <c r="BK169" s="57">
        <f t="shared" si="36"/>
        <v>168</v>
      </c>
      <c r="BL169" s="57" t="str">
        <f t="shared" si="37"/>
        <v>Dolphin Deep Dive-Class Scout/Courier (AoCS3)</v>
      </c>
    </row>
    <row r="170" spans="38:64" x14ac:dyDescent="0.3">
      <c r="AL170">
        <f t="shared" si="34"/>
        <v>4</v>
      </c>
      <c r="AM170">
        <f t="shared" si="35"/>
        <v>169</v>
      </c>
      <c r="AN170">
        <v>9</v>
      </c>
      <c r="AO170" t="s">
        <v>2885</v>
      </c>
      <c r="AP170" s="4">
        <v>155000</v>
      </c>
      <c r="AQ170" s="431">
        <v>2</v>
      </c>
      <c r="AR170">
        <f>IF($N$62="No",-20,1)</f>
        <v>1</v>
      </c>
      <c r="AZ170">
        <f t="shared" si="40"/>
        <v>1</v>
      </c>
      <c r="BG170">
        <f>IF($P$62=0,1,IF(AQ170&lt;=$P$62,1,-20))</f>
        <v>1</v>
      </c>
      <c r="BJ170">
        <f t="shared" si="41"/>
        <v>1</v>
      </c>
      <c r="BK170" s="57">
        <f t="shared" si="36"/>
        <v>169</v>
      </c>
      <c r="BL170" s="57" t="str">
        <f t="shared" si="37"/>
        <v>Dolphin Grav Sled (AoCS3)</v>
      </c>
    </row>
    <row r="171" spans="38:64" x14ac:dyDescent="0.3">
      <c r="AL171">
        <f t="shared" si="34"/>
        <v>4</v>
      </c>
      <c r="AM171">
        <f t="shared" si="35"/>
        <v>170</v>
      </c>
      <c r="AN171">
        <v>15</v>
      </c>
      <c r="AO171" t="s">
        <v>2886</v>
      </c>
      <c r="AP171" s="4">
        <v>71688000</v>
      </c>
      <c r="AQ171" s="431">
        <v>30</v>
      </c>
      <c r="AR171">
        <f>IF($N$65="No",-20,1)</f>
        <v>1</v>
      </c>
      <c r="AZ171">
        <f t="shared" si="40"/>
        <v>1</v>
      </c>
      <c r="BI171">
        <f>IF($P$65=0,1,IF(AQ171&lt;=$P$65,1,-20))</f>
        <v>1</v>
      </c>
      <c r="BJ171">
        <f t="shared" si="41"/>
        <v>1</v>
      </c>
      <c r="BK171" s="57">
        <f t="shared" si="36"/>
        <v>170</v>
      </c>
      <c r="BL171" s="57" t="str">
        <f t="shared" si="37"/>
        <v>Dolphin Mud Crab Submercible Tank (AoCS3)</v>
      </c>
    </row>
    <row r="172" spans="38:64" x14ac:dyDescent="0.3">
      <c r="AL172">
        <f t="shared" si="34"/>
        <v>4</v>
      </c>
      <c r="AM172">
        <f t="shared" si="35"/>
        <v>171</v>
      </c>
      <c r="AN172">
        <v>10</v>
      </c>
      <c r="AO172" t="s">
        <v>2887</v>
      </c>
      <c r="AP172" s="4">
        <v>37500000</v>
      </c>
      <c r="AQ172" s="431">
        <v>55</v>
      </c>
      <c r="AR172">
        <f>IF($N$65="No",-20,1)</f>
        <v>1</v>
      </c>
      <c r="AZ172">
        <f t="shared" si="40"/>
        <v>1</v>
      </c>
      <c r="BI172">
        <f>IF($P$65=0,1,IF(AQ172&lt;=$P$65,1,-20))</f>
        <v>1</v>
      </c>
      <c r="BJ172">
        <f t="shared" si="41"/>
        <v>1</v>
      </c>
      <c r="BK172" s="57">
        <f t="shared" si="36"/>
        <v>171</v>
      </c>
      <c r="BL172" s="57" t="str">
        <f t="shared" si="37"/>
        <v>Dolphin Ocean Quest Submercible Laboratory (AoCS3)</v>
      </c>
    </row>
    <row r="173" spans="38:64" x14ac:dyDescent="0.3">
      <c r="AL173">
        <f t="shared" si="34"/>
        <v>4</v>
      </c>
      <c r="AM173">
        <f t="shared" si="35"/>
        <v>172</v>
      </c>
      <c r="AN173">
        <v>12</v>
      </c>
      <c r="AO173" t="s">
        <v>2888</v>
      </c>
      <c r="AP173" s="4">
        <v>118000</v>
      </c>
      <c r="AQ173" s="431">
        <v>1.5</v>
      </c>
      <c r="AR173">
        <f>IF($N$62="No",-20,1)</f>
        <v>1</v>
      </c>
      <c r="AZ173">
        <f t="shared" si="40"/>
        <v>1</v>
      </c>
      <c r="BG173">
        <f>IF($P$62=0,1,IF(AQ173&lt;=$P$62,1,-20))</f>
        <v>1</v>
      </c>
      <c r="BJ173">
        <f t="shared" si="41"/>
        <v>1</v>
      </c>
      <c r="BK173" s="57">
        <f t="shared" si="36"/>
        <v>172</v>
      </c>
      <c r="BL173" s="57" t="str">
        <f t="shared" si="37"/>
        <v>Dolphin Sail Fish Scooter (AoCS3)</v>
      </c>
    </row>
    <row r="174" spans="38:64" x14ac:dyDescent="0.3">
      <c r="AL174">
        <f t="shared" si="34"/>
        <v>4</v>
      </c>
      <c r="AM174">
        <f t="shared" si="35"/>
        <v>173</v>
      </c>
      <c r="AN174">
        <v>15</v>
      </c>
      <c r="AO174" t="s">
        <v>2889</v>
      </c>
      <c r="AP174" s="4">
        <v>2020000</v>
      </c>
      <c r="AQ174" s="431">
        <v>7</v>
      </c>
      <c r="AR174">
        <f>IF($N$65="No",-20,1)</f>
        <v>1</v>
      </c>
      <c r="AZ174">
        <f t="shared" si="40"/>
        <v>1</v>
      </c>
      <c r="BI174">
        <f>IF($P$65=0,1,IF(AQ174&lt;=$P$65,1,-20))</f>
        <v>1</v>
      </c>
      <c r="BJ174">
        <f t="shared" si="41"/>
        <v>1</v>
      </c>
      <c r="BK174" s="57">
        <f t="shared" si="36"/>
        <v>173</v>
      </c>
      <c r="BL174" s="57" t="str">
        <f t="shared" si="37"/>
        <v>Dolphin Tiger Shark Attack Submarine (AoCS3)</v>
      </c>
    </row>
    <row r="175" spans="38:64" ht="15.6" x14ac:dyDescent="0.3">
      <c r="AL175">
        <f t="shared" si="34"/>
        <v>4</v>
      </c>
      <c r="AM175">
        <f t="shared" si="35"/>
        <v>174</v>
      </c>
      <c r="AN175" s="437">
        <v>14</v>
      </c>
      <c r="AO175" s="437" t="s">
        <v>2890</v>
      </c>
      <c r="AP175" s="4">
        <v>181484000</v>
      </c>
      <c r="AQ175" s="439">
        <v>400</v>
      </c>
      <c r="AR175">
        <f>IF($N$63="No",-20,1)</f>
        <v>1</v>
      </c>
      <c r="AW175">
        <f>IF($N$70="No",-20,1)</f>
        <v>1</v>
      </c>
      <c r="BH175">
        <f>IF($P$63=0,1,IF(AQ175&lt;=$P$63,1,-20))</f>
        <v>1</v>
      </c>
      <c r="BJ175">
        <f t="shared" si="41"/>
        <v>1</v>
      </c>
      <c r="BK175" s="57">
        <f t="shared" si="36"/>
        <v>174</v>
      </c>
      <c r="BL175" s="57" t="str">
        <f t="shared" si="37"/>
        <v>Donosev Survey Scout (Core'24)</v>
      </c>
    </row>
    <row r="176" spans="38:64" ht="15.6" x14ac:dyDescent="0.3">
      <c r="AL176">
        <f t="shared" si="34"/>
        <v>3</v>
      </c>
      <c r="AM176">
        <f t="shared" si="35"/>
        <v>175</v>
      </c>
      <c r="AN176" s="437">
        <v>14</v>
      </c>
      <c r="AO176" s="437" t="s">
        <v>2891</v>
      </c>
      <c r="AP176" s="4">
        <v>181555000</v>
      </c>
      <c r="AQ176" s="439">
        <v>400</v>
      </c>
      <c r="AR176">
        <f>IF($N$65="No",-20,1)</f>
        <v>1</v>
      </c>
      <c r="BI176">
        <f>IF($P$65=0,1,IF(AQ176&lt;=$P$65,1,-20))</f>
        <v>1</v>
      </c>
      <c r="BJ176">
        <f t="shared" si="41"/>
        <v>1</v>
      </c>
      <c r="BK176" s="57">
        <f t="shared" si="36"/>
        <v>175</v>
      </c>
      <c r="BL176" s="57" t="str">
        <f t="shared" si="37"/>
        <v>Donosev Survey Scout (HG'22)</v>
      </c>
    </row>
    <row r="177" spans="38:64" ht="15.6" x14ac:dyDescent="0.3">
      <c r="AL177">
        <f t="shared" si="34"/>
        <v>4</v>
      </c>
      <c r="AM177">
        <f t="shared" si="35"/>
        <v>176</v>
      </c>
      <c r="AN177" s="437">
        <v>9</v>
      </c>
      <c r="AO177" s="437" t="s">
        <v>1974</v>
      </c>
      <c r="AP177" s="438">
        <v>6151000</v>
      </c>
      <c r="AQ177" s="439">
        <v>15</v>
      </c>
      <c r="AR177">
        <f>IF($N$65="No",-20,1)</f>
        <v>1</v>
      </c>
      <c r="BF177">
        <f>IF($N$79="No",-20,1)</f>
        <v>1</v>
      </c>
      <c r="BI177">
        <f>IF($P$65=0,1,IF(AQ177&lt;=$P$65,1,-20))</f>
        <v>1</v>
      </c>
      <c r="BJ177">
        <f t="shared" si="41"/>
        <v>1</v>
      </c>
      <c r="BK177" s="57">
        <f t="shared" si="36"/>
        <v>176</v>
      </c>
      <c r="BL177" s="57" t="str">
        <f t="shared" si="37"/>
        <v>Doomsayer Grav APC (Reach Adventure 8)</v>
      </c>
    </row>
    <row r="178" spans="38:64" x14ac:dyDescent="0.3">
      <c r="AL178">
        <f t="shared" si="34"/>
        <v>4</v>
      </c>
      <c r="AM178">
        <f t="shared" si="35"/>
        <v>177</v>
      </c>
      <c r="AN178">
        <v>8</v>
      </c>
      <c r="AO178" t="s">
        <v>2892</v>
      </c>
      <c r="AP178" s="4">
        <v>67100000</v>
      </c>
      <c r="AQ178" s="431">
        <v>200</v>
      </c>
      <c r="AR178">
        <f t="shared" ref="AR178:AR184" si="42">IF($N$62="No",-20,1)</f>
        <v>1</v>
      </c>
      <c r="BF178">
        <f>IF($N$79="No",-20,1)</f>
        <v>1</v>
      </c>
      <c r="BG178">
        <f t="shared" ref="BG178:BG184" si="43">IF($P$62=0,1,IF(AQ178&lt;=$P$62,1,-20))</f>
        <v>1</v>
      </c>
      <c r="BJ178">
        <f t="shared" si="41"/>
        <v>1</v>
      </c>
      <c r="BK178" s="57">
        <f t="shared" si="36"/>
        <v>177</v>
      </c>
      <c r="BL178" s="57" t="str">
        <f t="shared" si="37"/>
        <v>Dorannian Transport Crawler (Behind the Claw)</v>
      </c>
    </row>
    <row r="179" spans="38:64" x14ac:dyDescent="0.3">
      <c r="AL179">
        <f t="shared" si="34"/>
        <v>4</v>
      </c>
      <c r="AM179">
        <f t="shared" si="35"/>
        <v>178</v>
      </c>
      <c r="AN179">
        <v>13</v>
      </c>
      <c r="AO179" t="s">
        <v>2893</v>
      </c>
      <c r="AP179" s="4">
        <v>308250000</v>
      </c>
      <c r="AQ179">
        <v>400</v>
      </c>
      <c r="AR179">
        <f t="shared" si="42"/>
        <v>1</v>
      </c>
      <c r="BF179">
        <f>IF($N$79="No",-20,1)</f>
        <v>1</v>
      </c>
      <c r="BG179">
        <f t="shared" si="43"/>
        <v>1</v>
      </c>
      <c r="BJ179">
        <f t="shared" si="41"/>
        <v>1</v>
      </c>
      <c r="BK179" s="57">
        <f t="shared" si="36"/>
        <v>178</v>
      </c>
      <c r="BL179" s="57" t="str">
        <f t="shared" si="37"/>
        <v>Dragon System Defense Boat (HG'22)</v>
      </c>
    </row>
    <row r="180" spans="38:64" x14ac:dyDescent="0.3">
      <c r="AL180">
        <f t="shared" si="34"/>
        <v>4</v>
      </c>
      <c r="AM180">
        <f t="shared" si="35"/>
        <v>179</v>
      </c>
      <c r="AN180">
        <v>8</v>
      </c>
      <c r="AO180" t="s">
        <v>2894</v>
      </c>
      <c r="AP180" s="4">
        <v>4410000</v>
      </c>
      <c r="AQ180">
        <v>10</v>
      </c>
      <c r="AR180">
        <f t="shared" si="42"/>
        <v>1</v>
      </c>
      <c r="AV180">
        <f>IF($N$69="No",-20,1)</f>
        <v>1</v>
      </c>
      <c r="BG180">
        <f t="shared" si="43"/>
        <v>1</v>
      </c>
      <c r="BJ180">
        <f t="shared" si="41"/>
        <v>1</v>
      </c>
      <c r="BK180" s="57">
        <f t="shared" si="36"/>
        <v>179</v>
      </c>
      <c r="BL180" s="57" t="str">
        <f t="shared" si="37"/>
        <v>Dragonflyer Gravcopter (Vehicle Handbook)</v>
      </c>
    </row>
    <row r="181" spans="38:64" x14ac:dyDescent="0.3">
      <c r="AL181">
        <f t="shared" si="34"/>
        <v>4</v>
      </c>
      <c r="AM181">
        <f t="shared" si="35"/>
        <v>180</v>
      </c>
      <c r="AN181">
        <v>13</v>
      </c>
      <c r="AO181" t="s">
        <v>1884</v>
      </c>
      <c r="AP181" s="4">
        <v>779000</v>
      </c>
      <c r="AQ181" s="471">
        <v>4</v>
      </c>
      <c r="AR181">
        <f t="shared" si="42"/>
        <v>1</v>
      </c>
      <c r="BF181">
        <f>IF($N$79="No",-20,1)</f>
        <v>1</v>
      </c>
      <c r="BG181">
        <f t="shared" si="43"/>
        <v>1</v>
      </c>
      <c r="BJ181">
        <f t="shared" si="41"/>
        <v>1</v>
      </c>
      <c r="BK181" s="57">
        <f t="shared" si="36"/>
        <v>180</v>
      </c>
      <c r="BL181" s="57" t="str">
        <f t="shared" si="37"/>
        <v>Drako Valliant Grav Saloon (JTAS Vol. 12)</v>
      </c>
    </row>
    <row r="182" spans="38:64" x14ac:dyDescent="0.3">
      <c r="AL182">
        <f t="shared" si="34"/>
        <v>4</v>
      </c>
      <c r="AM182">
        <f t="shared" si="35"/>
        <v>181</v>
      </c>
      <c r="AN182">
        <v>12</v>
      </c>
      <c r="AO182" t="s">
        <v>2895</v>
      </c>
      <c r="AP182" s="4">
        <v>15725000</v>
      </c>
      <c r="AQ182" s="431">
        <v>40</v>
      </c>
      <c r="AR182">
        <f t="shared" si="42"/>
        <v>1</v>
      </c>
      <c r="AV182">
        <f>IF($N$69="No",-20,1)</f>
        <v>1</v>
      </c>
      <c r="BG182">
        <f t="shared" si="43"/>
        <v>1</v>
      </c>
      <c r="BJ182">
        <f t="shared" si="41"/>
        <v>1</v>
      </c>
      <c r="BK182" s="57">
        <f t="shared" si="36"/>
        <v>181</v>
      </c>
      <c r="BL182" s="57" t="str">
        <f t="shared" si="37"/>
        <v>Dropship Pinnace (Glorious Empire)</v>
      </c>
    </row>
    <row r="183" spans="38:64" ht="15.6" x14ac:dyDescent="0.3">
      <c r="AL183">
        <f t="shared" si="34"/>
        <v>4</v>
      </c>
      <c r="AM183">
        <f t="shared" si="35"/>
        <v>182</v>
      </c>
      <c r="AN183" s="437">
        <v>13</v>
      </c>
      <c r="AO183" s="437" t="s">
        <v>2896</v>
      </c>
      <c r="AP183" s="4">
        <v>550800000</v>
      </c>
      <c r="AQ183" s="471">
        <v>600</v>
      </c>
      <c r="AR183">
        <f t="shared" si="42"/>
        <v>1</v>
      </c>
      <c r="BF183">
        <f>IF($N$79="No",-20,1)</f>
        <v>1</v>
      </c>
      <c r="BG183">
        <f t="shared" si="43"/>
        <v>1</v>
      </c>
      <c r="BJ183">
        <f t="shared" si="41"/>
        <v>1</v>
      </c>
      <c r="BK183" s="57">
        <f t="shared" si="36"/>
        <v>182</v>
      </c>
      <c r="BL183" s="57" t="str">
        <f t="shared" si="37"/>
        <v>Droyne Kuxpe System Defense Boat (Traders &amp; Gunboats)</v>
      </c>
    </row>
    <row r="184" spans="38:64" x14ac:dyDescent="0.3">
      <c r="AL184">
        <f t="shared" si="34"/>
        <v>3</v>
      </c>
      <c r="AM184">
        <f t="shared" si="35"/>
        <v>183</v>
      </c>
      <c r="AN184">
        <v>11</v>
      </c>
      <c r="AO184" t="s">
        <v>2897</v>
      </c>
      <c r="AP184" s="4">
        <v>107350000</v>
      </c>
      <c r="AQ184" s="431">
        <v>200</v>
      </c>
      <c r="AR184">
        <f t="shared" si="42"/>
        <v>1</v>
      </c>
      <c r="BG184">
        <f t="shared" si="43"/>
        <v>1</v>
      </c>
      <c r="BJ184">
        <f t="shared" si="41"/>
        <v>1</v>
      </c>
      <c r="BK184" s="57">
        <f t="shared" si="36"/>
        <v>183</v>
      </c>
      <c r="BL184" s="57" t="str">
        <f t="shared" si="37"/>
        <v>Droyne Siyoparttwi Communications Vessel (AoCS2)</v>
      </c>
    </row>
    <row r="185" spans="38:64" ht="15.6" x14ac:dyDescent="0.3">
      <c r="AL185">
        <f t="shared" si="34"/>
        <v>5</v>
      </c>
      <c r="AM185">
        <f t="shared" si="35"/>
        <v>184</v>
      </c>
      <c r="AN185" s="437">
        <v>10</v>
      </c>
      <c r="AO185" s="437" t="s">
        <v>1702</v>
      </c>
      <c r="AP185" s="438">
        <v>72960000</v>
      </c>
      <c r="AQ185" s="439">
        <v>300</v>
      </c>
      <c r="AR185">
        <f>IF($N$63="No",-20,1)</f>
        <v>1</v>
      </c>
      <c r="AS185">
        <f>IF($N$64="No",-20,1)</f>
        <v>1</v>
      </c>
      <c r="BF185">
        <f>IF($N$79="No",-20,1)</f>
        <v>1</v>
      </c>
      <c r="BH185">
        <f>IF($P$63=0,1,IF(AQ185&lt;=$P$63,1,-20))</f>
        <v>1</v>
      </c>
      <c r="BJ185">
        <f t="shared" si="41"/>
        <v>1</v>
      </c>
      <c r="BK185" s="57">
        <f t="shared" si="36"/>
        <v>184</v>
      </c>
      <c r="BL185" s="57" t="str">
        <f t="shared" si="37"/>
        <v>Droyne Umtyatho-Class Spacecraft (DR:V)</v>
      </c>
    </row>
    <row r="186" spans="38:64" x14ac:dyDescent="0.3">
      <c r="AL186">
        <f t="shared" si="34"/>
        <v>4</v>
      </c>
      <c r="AM186">
        <f t="shared" si="35"/>
        <v>185</v>
      </c>
      <c r="AN186">
        <v>6</v>
      </c>
      <c r="AO186" t="s">
        <v>2898</v>
      </c>
      <c r="AP186" s="4">
        <v>1900</v>
      </c>
      <c r="AQ186">
        <v>2</v>
      </c>
      <c r="AR186">
        <f>IF($N$65="No",-20,1)</f>
        <v>1</v>
      </c>
      <c r="BB186">
        <f>IF($N$75="No",-20,1)</f>
        <v>1</v>
      </c>
      <c r="BI186">
        <f>IF($P$65=0,1,IF(AQ186&lt;=$P$65,1,-20))</f>
        <v>1</v>
      </c>
      <c r="BJ186">
        <f t="shared" si="41"/>
        <v>1</v>
      </c>
      <c r="BK186" s="57">
        <f t="shared" si="36"/>
        <v>185</v>
      </c>
      <c r="BL186" s="57" t="str">
        <f t="shared" si="37"/>
        <v>Dune Buggy (Vehicle Handbook)</v>
      </c>
    </row>
    <row r="187" spans="38:64" ht="15.6" x14ac:dyDescent="0.3">
      <c r="AL187">
        <f t="shared" si="34"/>
        <v>4</v>
      </c>
      <c r="AM187">
        <f t="shared" si="35"/>
        <v>186</v>
      </c>
      <c r="AN187" s="437">
        <v>9</v>
      </c>
      <c r="AO187" s="437" t="s">
        <v>1684</v>
      </c>
      <c r="AP187" s="438">
        <v>97000</v>
      </c>
      <c r="AQ187" s="439">
        <v>2.5</v>
      </c>
      <c r="AR187">
        <f>IF($N$62="No",-20,1)</f>
        <v>1</v>
      </c>
      <c r="AW187">
        <f>IF($N$70="No",-20,1)</f>
        <v>1</v>
      </c>
      <c r="BG187">
        <f>IF($P$62=0,1,IF(AQ187&lt;=$P$62,1,-20))</f>
        <v>1</v>
      </c>
      <c r="BJ187">
        <f t="shared" si="41"/>
        <v>1</v>
      </c>
      <c r="BK187" s="57">
        <f t="shared" si="36"/>
        <v>186</v>
      </c>
      <c r="BL187" s="57" t="str">
        <f t="shared" si="37"/>
        <v>Dune Jumper (CA 3)</v>
      </c>
    </row>
    <row r="188" spans="38:64" ht="15.6" x14ac:dyDescent="0.3">
      <c r="AL188">
        <f t="shared" si="34"/>
        <v>3</v>
      </c>
      <c r="AM188">
        <f t="shared" si="35"/>
        <v>187</v>
      </c>
      <c r="AN188" s="437">
        <v>8</v>
      </c>
      <c r="AO188" s="437" t="s">
        <v>1914</v>
      </c>
      <c r="AP188" s="438">
        <v>468000</v>
      </c>
      <c r="AQ188" s="439">
        <v>20</v>
      </c>
      <c r="AR188">
        <f>IF($N$65="No",-20,1)</f>
        <v>1</v>
      </c>
      <c r="BI188">
        <f>IF($P$65=0,1,IF(AQ188&lt;=$P$65,1,-20))</f>
        <v>1</v>
      </c>
      <c r="BJ188">
        <f t="shared" si="41"/>
        <v>1</v>
      </c>
      <c r="BK188" s="57">
        <f t="shared" si="36"/>
        <v>187</v>
      </c>
      <c r="BL188" s="57" t="str">
        <f t="shared" si="37"/>
        <v>Dushka Sarel Surface Action Cutter (Mercenary Adventure 3)</v>
      </c>
    </row>
    <row r="189" spans="38:64" ht="15.6" x14ac:dyDescent="0.3">
      <c r="AL189">
        <f t="shared" si="34"/>
        <v>4</v>
      </c>
      <c r="AM189">
        <f t="shared" si="35"/>
        <v>188</v>
      </c>
      <c r="AN189" s="437">
        <v>11</v>
      </c>
      <c r="AO189" s="437" t="s">
        <v>1747</v>
      </c>
      <c r="AP189" s="438">
        <v>24210000</v>
      </c>
      <c r="AQ189" s="439">
        <v>100</v>
      </c>
      <c r="AR189">
        <f>IF($N$65="No",-20,1)</f>
        <v>1</v>
      </c>
      <c r="BA189">
        <f>IF($N$74="No",-20,1)</f>
        <v>1</v>
      </c>
      <c r="BI189">
        <f>IF($P$65=0,1,IF(AQ189&lt;=$P$65,1,-20))</f>
        <v>1</v>
      </c>
      <c r="BJ189">
        <f t="shared" si="41"/>
        <v>1</v>
      </c>
      <c r="BK189" s="57">
        <f t="shared" si="36"/>
        <v>188</v>
      </c>
      <c r="BL189" s="57" t="str">
        <f t="shared" si="37"/>
        <v>ECITS Base Module (DC)</v>
      </c>
    </row>
    <row r="190" spans="38:64" ht="15.6" x14ac:dyDescent="0.3">
      <c r="AL190">
        <f t="shared" si="34"/>
        <v>4</v>
      </c>
      <c r="AM190">
        <f t="shared" si="35"/>
        <v>189</v>
      </c>
      <c r="AN190" s="437">
        <v>9</v>
      </c>
      <c r="AO190" s="437" t="s">
        <v>1740</v>
      </c>
      <c r="AP190" s="438">
        <v>4990000</v>
      </c>
      <c r="AQ190" s="439">
        <v>100</v>
      </c>
      <c r="AR190">
        <f>IF($N$65="No",-20,1)</f>
        <v>1</v>
      </c>
      <c r="AT190">
        <f>IF($N$67="No",-20,1)</f>
        <v>1</v>
      </c>
      <c r="BI190">
        <f>IF($P$65=0,1,IF(AQ190&lt;=$P$65,1,-20))</f>
        <v>1</v>
      </c>
      <c r="BJ190">
        <f t="shared" si="41"/>
        <v>1</v>
      </c>
      <c r="BK190" s="57">
        <f t="shared" si="36"/>
        <v>189</v>
      </c>
      <c r="BL190" s="57" t="str">
        <f t="shared" si="37"/>
        <v>ECITS Cargo Module (DC)</v>
      </c>
    </row>
    <row r="191" spans="38:64" ht="15.6" x14ac:dyDescent="0.3">
      <c r="AL191">
        <f t="shared" si="34"/>
        <v>3</v>
      </c>
      <c r="AM191">
        <f t="shared" si="35"/>
        <v>190</v>
      </c>
      <c r="AN191" s="437">
        <v>9</v>
      </c>
      <c r="AO191" s="437" t="s">
        <v>1744</v>
      </c>
      <c r="AP191" s="438">
        <v>11380000</v>
      </c>
      <c r="AQ191" s="439">
        <v>100</v>
      </c>
      <c r="AR191">
        <f>IF($N$62="No",-20,1)</f>
        <v>1</v>
      </c>
      <c r="BG191">
        <f>IF($P$62=0,1,IF(AQ191&lt;=$P$62,1,-20))</f>
        <v>1</v>
      </c>
      <c r="BJ191">
        <f t="shared" si="41"/>
        <v>1</v>
      </c>
      <c r="BK191" s="57">
        <f t="shared" si="36"/>
        <v>190</v>
      </c>
      <c r="BL191" s="57" t="str">
        <f t="shared" si="37"/>
        <v>ECITS Crew Module (DC)</v>
      </c>
    </row>
    <row r="192" spans="38:64" ht="15.6" x14ac:dyDescent="0.3">
      <c r="AL192">
        <f t="shared" si="34"/>
        <v>3</v>
      </c>
      <c r="AM192">
        <f t="shared" si="35"/>
        <v>191</v>
      </c>
      <c r="AN192" s="437">
        <v>11</v>
      </c>
      <c r="AO192" s="437" t="s">
        <v>1746</v>
      </c>
      <c r="AP192" s="438">
        <v>75500000</v>
      </c>
      <c r="AQ192" s="439">
        <v>100</v>
      </c>
      <c r="AR192">
        <f>IF($N$65="No",-20,1)</f>
        <v>1</v>
      </c>
      <c r="BI192">
        <f>IF($P$65=0,1,IF(AQ192&lt;=$P$65,1,-20))</f>
        <v>1</v>
      </c>
      <c r="BJ192">
        <f t="shared" si="41"/>
        <v>1</v>
      </c>
      <c r="BK192" s="57">
        <f t="shared" si="36"/>
        <v>191</v>
      </c>
      <c r="BL192" s="57" t="str">
        <f t="shared" si="37"/>
        <v>ECITS Fighter Module (DC)</v>
      </c>
    </row>
    <row r="193" spans="38:64" ht="15.6" x14ac:dyDescent="0.3">
      <c r="AL193">
        <f t="shared" si="34"/>
        <v>3</v>
      </c>
      <c r="AM193">
        <f t="shared" si="35"/>
        <v>192</v>
      </c>
      <c r="AN193" s="437">
        <v>9</v>
      </c>
      <c r="AO193" s="437" t="s">
        <v>1741</v>
      </c>
      <c r="AP193" s="438">
        <v>13090000</v>
      </c>
      <c r="AQ193" s="439">
        <v>100</v>
      </c>
      <c r="AR193">
        <f>IF($N$65="No",-20,1)</f>
        <v>1</v>
      </c>
      <c r="BI193">
        <f>IF($P$65=0,1,IF(AQ193&lt;=$P$65,1,-20))</f>
        <v>1</v>
      </c>
      <c r="BJ193">
        <f t="shared" si="41"/>
        <v>1</v>
      </c>
      <c r="BK193" s="57">
        <f t="shared" si="36"/>
        <v>192</v>
      </c>
      <c r="BL193" s="57" t="str">
        <f t="shared" si="37"/>
        <v>ECITS Passenger Module (DC)</v>
      </c>
    </row>
    <row r="194" spans="38:64" ht="15.6" x14ac:dyDescent="0.3">
      <c r="AL194">
        <f t="shared" si="34"/>
        <v>3</v>
      </c>
      <c r="AM194">
        <f t="shared" si="35"/>
        <v>193</v>
      </c>
      <c r="AN194" s="437">
        <v>9</v>
      </c>
      <c r="AO194" s="437" t="s">
        <v>1742</v>
      </c>
      <c r="AP194" s="438">
        <v>46505000</v>
      </c>
      <c r="AQ194" s="439">
        <v>100</v>
      </c>
      <c r="AR194">
        <f>IF($N$65="No",-20,1)</f>
        <v>1</v>
      </c>
      <c r="BI194">
        <f>IF($P$65=0,1,IF(AQ194&lt;=$P$65,1,-20))</f>
        <v>1</v>
      </c>
      <c r="BJ194">
        <f t="shared" si="41"/>
        <v>1</v>
      </c>
      <c r="BK194" s="57">
        <f t="shared" si="36"/>
        <v>193</v>
      </c>
      <c r="BL194" s="57" t="str">
        <f t="shared" si="37"/>
        <v>ECITS Salvage Module (DC)</v>
      </c>
    </row>
    <row r="195" spans="38:64" ht="15.6" x14ac:dyDescent="0.3">
      <c r="AL195">
        <f t="shared" si="34"/>
        <v>4</v>
      </c>
      <c r="AM195">
        <f t="shared" si="35"/>
        <v>194</v>
      </c>
      <c r="AN195" s="437">
        <v>9</v>
      </c>
      <c r="AO195" s="437" t="s">
        <v>1743</v>
      </c>
      <c r="AP195" s="438">
        <v>13090000</v>
      </c>
      <c r="AQ195" s="439">
        <v>100</v>
      </c>
      <c r="AR195">
        <f>IF($N$63="No",-20,1)</f>
        <v>1</v>
      </c>
      <c r="BF195">
        <f>IF($N$79="No",-20,1)</f>
        <v>1</v>
      </c>
      <c r="BH195">
        <f>IF($P$63=0,1,IF(AQ195&lt;=$P$63,1,-20))</f>
        <v>1</v>
      </c>
      <c r="BJ195">
        <f t="shared" si="41"/>
        <v>1</v>
      </c>
      <c r="BK195" s="57">
        <f t="shared" si="36"/>
        <v>194</v>
      </c>
      <c r="BL195" s="57" t="str">
        <f t="shared" si="37"/>
        <v>ECITS Torpedo Module (DC)</v>
      </c>
    </row>
    <row r="196" spans="38:64" ht="15.6" x14ac:dyDescent="0.3">
      <c r="AL196">
        <f t="shared" ref="AL196:AL259" si="44">SUM(AR196:BJ196)</f>
        <v>3</v>
      </c>
      <c r="AM196">
        <f t="shared" ref="AM196:AM259" si="45">IF(AL196&gt;0,AM195+1,AM195)</f>
        <v>195</v>
      </c>
      <c r="AN196" s="437">
        <v>12</v>
      </c>
      <c r="AO196" s="437" t="s">
        <v>1739</v>
      </c>
      <c r="AP196" s="438">
        <v>18330000</v>
      </c>
      <c r="AQ196" s="439">
        <v>50</v>
      </c>
      <c r="AR196">
        <f>IF($N$63="No",-20,1)</f>
        <v>1</v>
      </c>
      <c r="BH196">
        <f>IF($P$63=0,1,IF(AQ196&lt;=$P$63,1,-20))</f>
        <v>1</v>
      </c>
      <c r="BJ196">
        <f t="shared" si="41"/>
        <v>1</v>
      </c>
      <c r="BK196" s="57">
        <f t="shared" ref="BK196:BK259" si="46">BK195+1</f>
        <v>195</v>
      </c>
      <c r="BL196" s="57" t="str">
        <f t="shared" si="37"/>
        <v>ECITS Tug (DC)</v>
      </c>
    </row>
    <row r="197" spans="38:64" ht="15.6" x14ac:dyDescent="0.3">
      <c r="AL197">
        <f t="shared" si="44"/>
        <v>4</v>
      </c>
      <c r="AM197">
        <f t="shared" si="45"/>
        <v>196</v>
      </c>
      <c r="AN197" s="437">
        <v>12</v>
      </c>
      <c r="AO197" s="437" t="s">
        <v>1745</v>
      </c>
      <c r="AP197" s="438">
        <v>34236000</v>
      </c>
      <c r="AQ197" s="439">
        <v>100</v>
      </c>
      <c r="AR197">
        <f>IF($N$62="No",-20,1)</f>
        <v>1</v>
      </c>
      <c r="BF197">
        <f>IF($N$79="No",-20,1)</f>
        <v>1</v>
      </c>
      <c r="BG197">
        <f>IF($P$62=0,1,IF(AQ197&lt;=$P$62,1,-20))</f>
        <v>1</v>
      </c>
      <c r="BJ197">
        <f t="shared" si="41"/>
        <v>1</v>
      </c>
      <c r="BK197" s="57">
        <f t="shared" si="46"/>
        <v>196</v>
      </c>
      <c r="BL197" s="57" t="str">
        <f t="shared" ref="BL197:BL260" si="47">IF(BK197&gt;$BK$1,"",INDEX($AM$2:$AO$495,MATCH(BK197,$AM$2:$AM$495,0),3))</f>
        <v>ECITS-Compatable Yacht (DC)</v>
      </c>
    </row>
    <row r="198" spans="38:64" x14ac:dyDescent="0.3">
      <c r="AL198">
        <f t="shared" si="44"/>
        <v>4</v>
      </c>
      <c r="AM198">
        <f t="shared" si="45"/>
        <v>197</v>
      </c>
      <c r="AN198">
        <v>12</v>
      </c>
      <c r="AO198" t="s">
        <v>1902</v>
      </c>
      <c r="AP198" s="4">
        <v>249000</v>
      </c>
      <c r="AQ198" s="471">
        <v>3.5</v>
      </c>
      <c r="AR198">
        <f>IF($N$62="No",-20,1)</f>
        <v>1</v>
      </c>
      <c r="AV198">
        <f>IF($N$69="No",-20,1)</f>
        <v>1</v>
      </c>
      <c r="BG198">
        <f>IF($P$62=0,1,IF(AQ198&lt;=$P$62,1,-20))</f>
        <v>1</v>
      </c>
      <c r="BJ198">
        <f t="shared" si="41"/>
        <v>1</v>
      </c>
      <c r="BK198" s="57">
        <f t="shared" si="46"/>
        <v>197</v>
      </c>
      <c r="BL198" s="57" t="str">
        <f t="shared" si="47"/>
        <v>ECO-B3 Ground Car (JTAS Vol. 16)</v>
      </c>
    </row>
    <row r="199" spans="38:64" x14ac:dyDescent="0.3">
      <c r="AL199">
        <f t="shared" si="44"/>
        <v>5</v>
      </c>
      <c r="AM199">
        <f t="shared" si="45"/>
        <v>198</v>
      </c>
      <c r="AN199">
        <v>7</v>
      </c>
      <c r="AO199" t="s">
        <v>2233</v>
      </c>
      <c r="AP199" s="4">
        <v>88600</v>
      </c>
      <c r="AQ199" s="471">
        <v>12.5</v>
      </c>
      <c r="AR199">
        <f>IF($N$63="No",-20,1)</f>
        <v>1</v>
      </c>
      <c r="AS199">
        <f>IF($N$64="No",-20,1)</f>
        <v>1</v>
      </c>
      <c r="AT199">
        <f>IF($N$67="No",-20,1)</f>
        <v>1</v>
      </c>
      <c r="BH199">
        <f>IF($P$63=0,1,IF(AQ199&lt;=$P$63,1,-20))</f>
        <v>1</v>
      </c>
      <c r="BJ199">
        <f t="shared" si="41"/>
        <v>1</v>
      </c>
      <c r="BK199" s="57">
        <f t="shared" si="46"/>
        <v>198</v>
      </c>
      <c r="BL199" s="57" t="str">
        <f t="shared" si="47"/>
        <v>Electric Prison Truck (Reach Adventure #9)</v>
      </c>
    </row>
    <row r="200" spans="38:64" x14ac:dyDescent="0.3">
      <c r="AL200">
        <f t="shared" si="44"/>
        <v>4</v>
      </c>
      <c r="AM200">
        <f t="shared" si="45"/>
        <v>199</v>
      </c>
      <c r="AN200">
        <v>10</v>
      </c>
      <c r="AO200" t="s">
        <v>1879</v>
      </c>
      <c r="AP200" s="4">
        <v>22291000</v>
      </c>
      <c r="AQ200" s="471">
        <v>40</v>
      </c>
      <c r="AR200">
        <f>IF($N$63="No",-20,1)</f>
        <v>1</v>
      </c>
      <c r="AU200">
        <f>IF($N$68="No",-20,1)</f>
        <v>1</v>
      </c>
      <c r="BH200">
        <f>IF($P$63=0,1,IF(AQ200&lt;=$P$63,1,-20))</f>
        <v>1</v>
      </c>
      <c r="BJ200">
        <f t="shared" si="41"/>
        <v>1</v>
      </c>
      <c r="BK200" s="57">
        <f t="shared" si="46"/>
        <v>199</v>
      </c>
      <c r="BL200" s="57" t="str">
        <f t="shared" si="47"/>
        <v>Eli Boarding Pinnace (JTAS Vol. 11)</v>
      </c>
    </row>
    <row r="201" spans="38:64" x14ac:dyDescent="0.3">
      <c r="AL201">
        <f t="shared" si="44"/>
        <v>4</v>
      </c>
      <c r="AM201">
        <f t="shared" si="45"/>
        <v>200</v>
      </c>
      <c r="AN201">
        <v>12</v>
      </c>
      <c r="AO201" t="s">
        <v>2899</v>
      </c>
      <c r="AP201" s="4">
        <v>60148000</v>
      </c>
      <c r="AQ201" s="471">
        <v>200</v>
      </c>
      <c r="AR201">
        <f>IF($N$62="No",-20,1)</f>
        <v>1</v>
      </c>
      <c r="AV201">
        <f>IF($N$69="No",-20,1)</f>
        <v>1</v>
      </c>
      <c r="BG201">
        <f>IF($P$62=0,1,IF(AQ201&lt;=$P$62,1,-20))</f>
        <v>1</v>
      </c>
      <c r="BJ201">
        <f t="shared" si="41"/>
        <v>1</v>
      </c>
      <c r="BK201" s="57">
        <f t="shared" si="46"/>
        <v>200</v>
      </c>
      <c r="BL201" s="57" t="str">
        <f t="shared" si="47"/>
        <v>Empress Marava Far Trader (HG'22)</v>
      </c>
    </row>
    <row r="202" spans="38:64" x14ac:dyDescent="0.3">
      <c r="AL202">
        <f t="shared" si="44"/>
        <v>3</v>
      </c>
      <c r="AM202">
        <f t="shared" si="45"/>
        <v>201</v>
      </c>
      <c r="AN202">
        <v>9</v>
      </c>
      <c r="AO202" t="s">
        <v>2900</v>
      </c>
      <c r="AP202" s="4">
        <v>34336000</v>
      </c>
      <c r="AQ202" s="471">
        <v>200</v>
      </c>
      <c r="AR202">
        <f>IF($N$65="No",-20,1)</f>
        <v>1</v>
      </c>
      <c r="BI202">
        <f>IF($P$65=0,1,IF(AQ202&lt;=$P$65,1,-20))</f>
        <v>1</v>
      </c>
      <c r="BJ202">
        <f t="shared" si="41"/>
        <v>1</v>
      </c>
      <c r="BK202" s="57">
        <f t="shared" si="46"/>
        <v>201</v>
      </c>
      <c r="BL202" s="57" t="str">
        <f t="shared" si="47"/>
        <v>Endeavor Packet - Maximum Cargo (B&amp;ESG)</v>
      </c>
    </row>
    <row r="203" spans="38:64" ht="15.6" x14ac:dyDescent="0.3">
      <c r="AL203">
        <f t="shared" si="44"/>
        <v>5</v>
      </c>
      <c r="AM203">
        <f t="shared" si="45"/>
        <v>202</v>
      </c>
      <c r="AN203" s="437">
        <v>10</v>
      </c>
      <c r="AO203" s="437" t="s">
        <v>1697</v>
      </c>
      <c r="AP203" s="438">
        <v>120960000</v>
      </c>
      <c r="AQ203" s="439">
        <v>40</v>
      </c>
      <c r="AR203">
        <f>IF($N$63="No",-20,1)</f>
        <v>1</v>
      </c>
      <c r="AS203">
        <f>IF($N$64="No",-20,1)</f>
        <v>1</v>
      </c>
      <c r="AU203">
        <f>IF($N$68="No",-20,1)</f>
        <v>1</v>
      </c>
      <c r="BH203">
        <f>IF($P$63=0,1,IF(AQ203&lt;=$P$63,1,-20))</f>
        <v>1</v>
      </c>
      <c r="BJ203">
        <f t="shared" si="41"/>
        <v>1</v>
      </c>
      <c r="BK203" s="57">
        <f t="shared" si="46"/>
        <v>202</v>
      </c>
      <c r="BL203" s="57" t="str">
        <f t="shared" si="47"/>
        <v>Erline Combat Drone (DR:TNSOY)</v>
      </c>
    </row>
    <row r="204" spans="38:64" ht="15.6" x14ac:dyDescent="0.3">
      <c r="AL204">
        <f t="shared" si="44"/>
        <v>4</v>
      </c>
      <c r="AM204">
        <f t="shared" si="45"/>
        <v>203</v>
      </c>
      <c r="AN204" s="437">
        <v>10</v>
      </c>
      <c r="AO204" s="437" t="s">
        <v>1696</v>
      </c>
      <c r="AP204" s="438">
        <v>2640000</v>
      </c>
      <c r="AQ204" s="439">
        <v>15</v>
      </c>
      <c r="AR204">
        <f t="shared" ref="AR204:AR214" si="48">IF($N$62="No",-20,1)</f>
        <v>1</v>
      </c>
      <c r="BF204">
        <f>IF($N$79="No",-20,1)</f>
        <v>1</v>
      </c>
      <c r="BG204">
        <f t="shared" ref="BG204:BG214" si="49">IF($P$62=0,1,IF(AQ204&lt;=$P$62,1,-20))</f>
        <v>1</v>
      </c>
      <c r="BJ204">
        <f t="shared" si="41"/>
        <v>1</v>
      </c>
      <c r="BK204" s="57">
        <f t="shared" si="46"/>
        <v>203</v>
      </c>
      <c r="BL204" s="57" t="str">
        <f t="shared" si="47"/>
        <v>Erline Combat Walker (DR:TNSOY)</v>
      </c>
    </row>
    <row r="205" spans="38:64" x14ac:dyDescent="0.3">
      <c r="AL205">
        <f t="shared" si="44"/>
        <v>3</v>
      </c>
      <c r="AM205">
        <f t="shared" si="45"/>
        <v>204</v>
      </c>
      <c r="AN205">
        <v>11</v>
      </c>
      <c r="AO205" t="s">
        <v>2901</v>
      </c>
      <c r="AP205" s="4">
        <v>6689750</v>
      </c>
      <c r="AQ205" s="431">
        <v>10</v>
      </c>
      <c r="AR205">
        <f t="shared" si="48"/>
        <v>1</v>
      </c>
      <c r="BG205">
        <f t="shared" si="49"/>
        <v>1</v>
      </c>
      <c r="BJ205">
        <f t="shared" si="41"/>
        <v>1</v>
      </c>
      <c r="BK205" s="57">
        <f t="shared" si="46"/>
        <v>204</v>
      </c>
      <c r="BL205" s="57" t="str">
        <f t="shared" si="47"/>
        <v>Eslyat Type-E Fighter (Spinward Extents)</v>
      </c>
    </row>
    <row r="206" spans="38:64" x14ac:dyDescent="0.3">
      <c r="AL206">
        <f t="shared" si="44"/>
        <v>3</v>
      </c>
      <c r="AM206">
        <f t="shared" si="45"/>
        <v>205</v>
      </c>
      <c r="AN206">
        <v>11</v>
      </c>
      <c r="AO206" t="s">
        <v>2902</v>
      </c>
      <c r="AP206" s="4">
        <v>280825000</v>
      </c>
      <c r="AQ206" s="431">
        <v>400</v>
      </c>
      <c r="AR206">
        <f t="shared" si="48"/>
        <v>1</v>
      </c>
      <c r="BG206">
        <f t="shared" si="49"/>
        <v>1</v>
      </c>
      <c r="BJ206">
        <f t="shared" si="41"/>
        <v>1</v>
      </c>
      <c r="BK206" s="57">
        <f t="shared" si="46"/>
        <v>205</v>
      </c>
      <c r="BL206" s="57" t="str">
        <f t="shared" si="47"/>
        <v>Eslyat Type-V Attack Ship (Spinward Extents)</v>
      </c>
    </row>
    <row r="207" spans="38:64" ht="15.6" x14ac:dyDescent="0.3">
      <c r="AL207">
        <f t="shared" si="44"/>
        <v>4</v>
      </c>
      <c r="AM207">
        <f t="shared" si="45"/>
        <v>206</v>
      </c>
      <c r="AN207" s="437">
        <v>11</v>
      </c>
      <c r="AO207" s="437" t="s">
        <v>2903</v>
      </c>
      <c r="AP207" s="438">
        <v>526717000</v>
      </c>
      <c r="AQ207" s="439">
        <v>6000</v>
      </c>
      <c r="AR207">
        <f t="shared" si="48"/>
        <v>1</v>
      </c>
      <c r="BB207">
        <f>IF($N$75="No",-20,1)</f>
        <v>1</v>
      </c>
      <c r="BG207">
        <f t="shared" si="49"/>
        <v>1</v>
      </c>
      <c r="BJ207">
        <f t="shared" si="41"/>
        <v>1</v>
      </c>
      <c r="BK207" s="57">
        <f t="shared" si="46"/>
        <v>206</v>
      </c>
      <c r="BL207" s="57" t="str">
        <f t="shared" si="47"/>
        <v>Esperanzan Ore Barge (Great Rifts Book 1)</v>
      </c>
    </row>
    <row r="208" spans="38:64" x14ac:dyDescent="0.3">
      <c r="AL208">
        <f t="shared" si="44"/>
        <v>4</v>
      </c>
      <c r="AM208">
        <f t="shared" si="45"/>
        <v>207</v>
      </c>
      <c r="AN208">
        <v>12</v>
      </c>
      <c r="AO208" t="s">
        <v>2904</v>
      </c>
      <c r="AP208" s="4">
        <v>395750</v>
      </c>
      <c r="AQ208" s="431">
        <v>4.5</v>
      </c>
      <c r="AR208">
        <f t="shared" si="48"/>
        <v>1</v>
      </c>
      <c r="BF208">
        <f>IF($N$79="No",-20,1)</f>
        <v>1</v>
      </c>
      <c r="BG208">
        <f t="shared" si="49"/>
        <v>1</v>
      </c>
      <c r="BJ208">
        <f t="shared" si="41"/>
        <v>1</v>
      </c>
      <c r="BK208" s="57">
        <f t="shared" si="46"/>
        <v>207</v>
      </c>
      <c r="BL208" s="57" t="str">
        <f t="shared" si="47"/>
        <v>Exfil Ornithopter (Bounty Hunter)</v>
      </c>
    </row>
    <row r="209" spans="38:64" x14ac:dyDescent="0.3">
      <c r="AL209">
        <f t="shared" si="44"/>
        <v>4</v>
      </c>
      <c r="AM209">
        <f t="shared" si="45"/>
        <v>208</v>
      </c>
      <c r="AN209">
        <v>12</v>
      </c>
      <c r="AO209" t="s">
        <v>2905</v>
      </c>
      <c r="AP209" s="4">
        <v>12750000</v>
      </c>
      <c r="AQ209" s="431">
        <v>24</v>
      </c>
      <c r="AR209">
        <f t="shared" si="48"/>
        <v>1</v>
      </c>
      <c r="BF209">
        <f>IF($N$79="No",-20,1)</f>
        <v>1</v>
      </c>
      <c r="BG209">
        <f t="shared" si="49"/>
        <v>1</v>
      </c>
      <c r="BJ209">
        <f t="shared" si="41"/>
        <v>1</v>
      </c>
      <c r="BK209" s="57">
        <f t="shared" si="46"/>
        <v>208</v>
      </c>
      <c r="BL209" s="57" t="str">
        <f t="shared" si="47"/>
        <v>Expeditionary Crawler (TTI)</v>
      </c>
    </row>
    <row r="210" spans="38:64" ht="15.6" x14ac:dyDescent="0.3">
      <c r="AL210">
        <f t="shared" si="44"/>
        <v>4</v>
      </c>
      <c r="AM210">
        <f t="shared" si="45"/>
        <v>209</v>
      </c>
      <c r="AN210" s="437">
        <v>15</v>
      </c>
      <c r="AO210" s="437" t="s">
        <v>1761</v>
      </c>
      <c r="AP210" s="438">
        <v>935800000</v>
      </c>
      <c r="AQ210" s="439">
        <v>2600</v>
      </c>
      <c r="AR210">
        <f t="shared" si="48"/>
        <v>1</v>
      </c>
      <c r="BF210">
        <f>IF($N$79="No",-20,1)</f>
        <v>1</v>
      </c>
      <c r="BG210">
        <f t="shared" si="49"/>
        <v>1</v>
      </c>
      <c r="BJ210">
        <f t="shared" si="41"/>
        <v>1</v>
      </c>
      <c r="BK210" s="57">
        <f t="shared" si="46"/>
        <v>209</v>
      </c>
      <c r="BL210" s="57" t="str">
        <f t="shared" si="47"/>
        <v>Exploration Pod (ECC)</v>
      </c>
    </row>
    <row r="211" spans="38:64" x14ac:dyDescent="0.3">
      <c r="AL211">
        <f t="shared" si="44"/>
        <v>3</v>
      </c>
      <c r="AM211">
        <f t="shared" si="45"/>
        <v>210</v>
      </c>
      <c r="AN211">
        <v>12</v>
      </c>
      <c r="AO211" t="s">
        <v>2906</v>
      </c>
      <c r="AP211" s="4">
        <v>559950</v>
      </c>
      <c r="AQ211" s="431">
        <v>5</v>
      </c>
      <c r="AR211">
        <f t="shared" si="48"/>
        <v>1</v>
      </c>
      <c r="BG211">
        <f t="shared" si="49"/>
        <v>1</v>
      </c>
      <c r="BJ211">
        <f t="shared" si="41"/>
        <v>1</v>
      </c>
      <c r="BK211" s="57">
        <f t="shared" si="46"/>
        <v>210</v>
      </c>
      <c r="BL211" s="57" t="str">
        <f t="shared" si="47"/>
        <v>Explorer Mini-Sub (TTI)</v>
      </c>
    </row>
    <row r="212" spans="38:64" x14ac:dyDescent="0.3">
      <c r="AL212">
        <f t="shared" si="44"/>
        <v>4</v>
      </c>
      <c r="AM212">
        <f t="shared" si="45"/>
        <v>211</v>
      </c>
      <c r="AN212">
        <v>13</v>
      </c>
      <c r="AO212" t="s">
        <v>2907</v>
      </c>
      <c r="AP212" s="4">
        <v>37995000</v>
      </c>
      <c r="AQ212">
        <v>100</v>
      </c>
      <c r="AR212">
        <f t="shared" si="48"/>
        <v>1</v>
      </c>
      <c r="BF212">
        <f>IF($N$79="No",-20,1)</f>
        <v>1</v>
      </c>
      <c r="BG212">
        <f t="shared" si="49"/>
        <v>1</v>
      </c>
      <c r="BJ212">
        <f t="shared" si="41"/>
        <v>1</v>
      </c>
      <c r="BK212" s="57">
        <f t="shared" si="46"/>
        <v>211</v>
      </c>
      <c r="BL212" s="57" t="str">
        <f t="shared" si="47"/>
        <v>Express Boat (HG'22)</v>
      </c>
    </row>
    <row r="213" spans="38:64" ht="15.6" x14ac:dyDescent="0.3">
      <c r="AL213">
        <f t="shared" si="44"/>
        <v>4</v>
      </c>
      <c r="AM213">
        <f t="shared" si="45"/>
        <v>212</v>
      </c>
      <c r="AN213" s="437">
        <v>13</v>
      </c>
      <c r="AO213" s="437" t="s">
        <v>2908</v>
      </c>
      <c r="AP213" s="4">
        <v>47520000</v>
      </c>
      <c r="AQ213" s="439">
        <v>100</v>
      </c>
      <c r="AR213">
        <f t="shared" si="48"/>
        <v>1</v>
      </c>
      <c r="BF213">
        <f>IF($N$79="No",-20,1)</f>
        <v>1</v>
      </c>
      <c r="BG213">
        <f t="shared" si="49"/>
        <v>1</v>
      </c>
      <c r="BJ213">
        <f t="shared" si="41"/>
        <v>1</v>
      </c>
      <c r="BK213" s="57">
        <f t="shared" si="46"/>
        <v>212</v>
      </c>
      <c r="BL213" s="57" t="str">
        <f t="shared" si="47"/>
        <v>Express Boat, Solar Sailer (Singularity Sourcebook)</v>
      </c>
    </row>
    <row r="214" spans="38:64" ht="15.6" x14ac:dyDescent="0.3">
      <c r="AL214">
        <f t="shared" si="44"/>
        <v>3</v>
      </c>
      <c r="AM214">
        <f t="shared" si="45"/>
        <v>213</v>
      </c>
      <c r="AN214" s="437">
        <v>15</v>
      </c>
      <c r="AO214" s="437" t="s">
        <v>2909</v>
      </c>
      <c r="AP214" s="4">
        <v>157225000</v>
      </c>
      <c r="AQ214" s="439">
        <v>100</v>
      </c>
      <c r="AR214">
        <f t="shared" si="48"/>
        <v>1</v>
      </c>
      <c r="BG214">
        <f t="shared" si="49"/>
        <v>1</v>
      </c>
      <c r="BJ214">
        <f t="shared" si="41"/>
        <v>1</v>
      </c>
      <c r="BK214" s="57">
        <f t="shared" si="46"/>
        <v>213</v>
      </c>
      <c r="BL214" s="57" t="str">
        <f t="shared" si="47"/>
        <v>Express Boat, Stealth (Singularity Sourcebook)</v>
      </c>
    </row>
    <row r="215" spans="38:64" x14ac:dyDescent="0.3">
      <c r="AL215">
        <f t="shared" si="44"/>
        <v>4</v>
      </c>
      <c r="AM215">
        <f t="shared" si="45"/>
        <v>214</v>
      </c>
      <c r="AN215">
        <v>9</v>
      </c>
      <c r="AO215" t="s">
        <v>2910</v>
      </c>
      <c r="AP215" s="4">
        <v>19205000</v>
      </c>
      <c r="AQ215">
        <v>95</v>
      </c>
      <c r="AR215">
        <f>IF($N$65="No",-20,1)</f>
        <v>1</v>
      </c>
      <c r="BB215">
        <f>IF($N$75="No",-20,1)</f>
        <v>1</v>
      </c>
      <c r="BI215">
        <f>IF($P$65=0,1,IF(AQ215&lt;=$P$65,1,-20))</f>
        <v>1</v>
      </c>
      <c r="BJ215">
        <f t="shared" si="41"/>
        <v>1</v>
      </c>
      <c r="BK215" s="57">
        <f t="shared" si="46"/>
        <v>214</v>
      </c>
      <c r="BL215" s="57" t="str">
        <f t="shared" si="47"/>
        <v>ExtRng Passenger Shuttle (SCC)</v>
      </c>
    </row>
    <row r="216" spans="38:64" ht="15.6" x14ac:dyDescent="0.3">
      <c r="AL216">
        <f t="shared" si="44"/>
        <v>2</v>
      </c>
      <c r="AM216">
        <f t="shared" si="45"/>
        <v>215</v>
      </c>
      <c r="AN216" s="437">
        <v>12</v>
      </c>
      <c r="AO216" s="437" t="s">
        <v>2911</v>
      </c>
      <c r="AP216" s="438">
        <v>863000</v>
      </c>
      <c r="AQ216" s="439">
        <v>15</v>
      </c>
      <c r="AR216">
        <f>IF($N$62="No",-20,1)</f>
        <v>1</v>
      </c>
      <c r="BG216">
        <f>IF($P$62=0,1,IF(AQ216&lt;=$P$62,1,-20))</f>
        <v>1</v>
      </c>
      <c r="BK216" s="57">
        <f t="shared" si="46"/>
        <v>215</v>
      </c>
      <c r="BL216" s="57" t="str">
        <f t="shared" si="47"/>
        <v>FAMAT–12 All–Terrain Vehicle (Rim Expeditions)</v>
      </c>
    </row>
    <row r="217" spans="38:64" ht="15.6" x14ac:dyDescent="0.3">
      <c r="AL217">
        <f t="shared" si="44"/>
        <v>3</v>
      </c>
      <c r="AM217">
        <f t="shared" si="45"/>
        <v>216</v>
      </c>
      <c r="AN217" s="437">
        <v>12</v>
      </c>
      <c r="AO217" s="437" t="s">
        <v>1975</v>
      </c>
      <c r="AP217" s="438">
        <v>301000</v>
      </c>
      <c r="AQ217" s="439">
        <v>5</v>
      </c>
      <c r="AR217">
        <f>IF($N$65="No",-20,1)</f>
        <v>1</v>
      </c>
      <c r="BI217">
        <f>IF($P$65=0,1,IF(AQ217&lt;=$P$65,1,-20))</f>
        <v>1</v>
      </c>
      <c r="BJ217">
        <f t="shared" ref="BJ217:BJ248" si="50">IF($N$61="Yes",1,IF(AN217&gt;TL,-20,1))</f>
        <v>1</v>
      </c>
      <c r="BK217" s="57">
        <f t="shared" si="46"/>
        <v>216</v>
      </c>
      <c r="BL217" s="57" t="str">
        <f t="shared" si="47"/>
        <v>Famat–4 All–Terrain Vehicle (Rim Expeditions)</v>
      </c>
    </row>
    <row r="218" spans="38:64" x14ac:dyDescent="0.3">
      <c r="AL218">
        <f t="shared" si="44"/>
        <v>3</v>
      </c>
      <c r="AM218">
        <f t="shared" si="45"/>
        <v>217</v>
      </c>
      <c r="AN218">
        <v>7</v>
      </c>
      <c r="AO218" t="s">
        <v>2912</v>
      </c>
      <c r="AP218" s="4">
        <v>4920000</v>
      </c>
      <c r="AQ218" s="431">
        <v>80</v>
      </c>
      <c r="AR218">
        <f>IF($N$65="No",-20,1)</f>
        <v>1</v>
      </c>
      <c r="BI218">
        <f>IF($P$65=0,1,IF(AQ218&lt;=$P$65,1,-20))</f>
        <v>1</v>
      </c>
      <c r="BJ218">
        <f t="shared" si="50"/>
        <v>1</v>
      </c>
      <c r="BK218" s="57">
        <f t="shared" si="46"/>
        <v>217</v>
      </c>
      <c r="BL218" s="57" t="str">
        <f t="shared" si="47"/>
        <v>Farhome Belt Missile Boat (Sylean Dream)</v>
      </c>
    </row>
    <row r="219" spans="38:64" x14ac:dyDescent="0.3">
      <c r="AL219">
        <f t="shared" si="44"/>
        <v>3</v>
      </c>
      <c r="AM219">
        <f t="shared" si="45"/>
        <v>218</v>
      </c>
      <c r="AN219">
        <v>8</v>
      </c>
      <c r="AO219" t="s">
        <v>1891</v>
      </c>
      <c r="AP219" s="4">
        <v>79400</v>
      </c>
      <c r="AQ219" s="471">
        <v>2.5</v>
      </c>
      <c r="AR219">
        <f>IF($N$62="No",-20,1)</f>
        <v>1</v>
      </c>
      <c r="BG219">
        <f>IF($P$62=0,1,IF(AQ219&lt;=$P$62,1,-20))</f>
        <v>1</v>
      </c>
      <c r="BJ219">
        <f t="shared" si="50"/>
        <v>1</v>
      </c>
      <c r="BK219" s="57">
        <f t="shared" si="46"/>
        <v>218</v>
      </c>
      <c r="BL219" s="57" t="str">
        <f t="shared" si="47"/>
        <v>Farm-Crawler (JTAS Vol. 13)</v>
      </c>
    </row>
    <row r="220" spans="38:64" x14ac:dyDescent="0.3">
      <c r="AL220">
        <f t="shared" si="44"/>
        <v>4</v>
      </c>
      <c r="AM220">
        <f t="shared" si="45"/>
        <v>219</v>
      </c>
      <c r="AN220">
        <v>15</v>
      </c>
      <c r="AO220" t="s">
        <v>2913</v>
      </c>
      <c r="AP220" s="4">
        <v>15930000</v>
      </c>
      <c r="AQ220">
        <v>50</v>
      </c>
      <c r="AR220">
        <f>IF($N$65="No",-20,1)</f>
        <v>1</v>
      </c>
      <c r="BF220">
        <f>IF($N$79="No",-20,1)</f>
        <v>1</v>
      </c>
      <c r="BI220">
        <f>IF($P$65=0,1,IF(AQ220&lt;=$P$65,1,-20))</f>
        <v>1</v>
      </c>
      <c r="BJ220">
        <f t="shared" si="50"/>
        <v>1</v>
      </c>
      <c r="BK220" s="57">
        <f t="shared" si="46"/>
        <v>219</v>
      </c>
      <c r="BL220" s="57" t="str">
        <f t="shared" si="47"/>
        <v>Fast Cutter (SCC)</v>
      </c>
    </row>
    <row r="221" spans="38:64" x14ac:dyDescent="0.3">
      <c r="AL221">
        <f t="shared" si="44"/>
        <v>5</v>
      </c>
      <c r="AM221">
        <f t="shared" si="45"/>
        <v>220</v>
      </c>
      <c r="AN221">
        <v>12</v>
      </c>
      <c r="AO221" t="s">
        <v>1873</v>
      </c>
      <c r="AP221" s="4">
        <v>11350000</v>
      </c>
      <c r="AQ221" s="471">
        <v>20</v>
      </c>
      <c r="AR221">
        <f>IF($N$63="No",-20,1)</f>
        <v>1</v>
      </c>
      <c r="AS221">
        <f>IF($N$64="No",-20,1)</f>
        <v>1</v>
      </c>
      <c r="AU221">
        <f>IF($N$68="No",-20,1)</f>
        <v>1</v>
      </c>
      <c r="BH221">
        <f>IF($P$63=0,1,IF(AQ221&lt;=$P$63,1,-20))</f>
        <v>1</v>
      </c>
      <c r="BJ221">
        <f t="shared" si="50"/>
        <v>1</v>
      </c>
      <c r="BK221" s="57">
        <f t="shared" si="46"/>
        <v>220</v>
      </c>
      <c r="BL221" s="57" t="str">
        <f t="shared" si="47"/>
        <v>Fast Launch (JTAS Vol. 9)</v>
      </c>
    </row>
    <row r="222" spans="38:64" x14ac:dyDescent="0.3">
      <c r="AL222">
        <f t="shared" si="44"/>
        <v>5</v>
      </c>
      <c r="AM222">
        <f t="shared" si="45"/>
        <v>221</v>
      </c>
      <c r="AN222">
        <v>12</v>
      </c>
      <c r="AO222" t="s">
        <v>2914</v>
      </c>
      <c r="AP222" s="4">
        <v>5290000</v>
      </c>
      <c r="AQ222">
        <v>20</v>
      </c>
      <c r="AR222">
        <f>IF($N$63="No",-20,1)</f>
        <v>1</v>
      </c>
      <c r="AS222">
        <f>IF($N$64="No",-20,1)</f>
        <v>1</v>
      </c>
      <c r="AU222">
        <f>IF($N$68="No",-20,1)</f>
        <v>1</v>
      </c>
      <c r="BH222">
        <f>IF($P$63=0,1,IF(AQ222&lt;=$P$63,1,-20))</f>
        <v>1</v>
      </c>
      <c r="BJ222">
        <f t="shared" si="50"/>
        <v>1</v>
      </c>
      <c r="BK222" s="57">
        <f t="shared" si="46"/>
        <v>221</v>
      </c>
      <c r="BL222" s="57" t="str">
        <f t="shared" si="47"/>
        <v>Fast Launch (SCC)</v>
      </c>
    </row>
    <row r="223" spans="38:64" x14ac:dyDescent="0.3">
      <c r="AL223">
        <f t="shared" si="44"/>
        <v>4</v>
      </c>
      <c r="AM223">
        <f t="shared" si="45"/>
        <v>222</v>
      </c>
      <c r="AN223">
        <v>12</v>
      </c>
      <c r="AO223" t="s">
        <v>2915</v>
      </c>
      <c r="AP223" s="4">
        <v>20882000</v>
      </c>
      <c r="AQ223">
        <v>90</v>
      </c>
      <c r="AR223">
        <f>IF($N$62="No",-20,1)</f>
        <v>1</v>
      </c>
      <c r="BC223">
        <f>IF($N$76="No",-20,1)</f>
        <v>1</v>
      </c>
      <c r="BG223">
        <f>IF($P$62=0,1,IF(AQ223&lt;=$P$62,1,-20))</f>
        <v>1</v>
      </c>
      <c r="BJ223">
        <f t="shared" si="50"/>
        <v>1</v>
      </c>
      <c r="BK223" s="57">
        <f t="shared" si="46"/>
        <v>222</v>
      </c>
      <c r="BL223" s="57" t="str">
        <f t="shared" si="47"/>
        <v>Fast Shuttle (SCC)</v>
      </c>
    </row>
    <row r="224" spans="38:64" x14ac:dyDescent="0.3">
      <c r="AL224">
        <f t="shared" si="44"/>
        <v>5</v>
      </c>
      <c r="AM224">
        <f t="shared" si="45"/>
        <v>223</v>
      </c>
      <c r="AN224">
        <v>12</v>
      </c>
      <c r="AO224" t="s">
        <v>2916</v>
      </c>
      <c r="AP224" s="4">
        <v>6822000</v>
      </c>
      <c r="AQ224" s="431">
        <v>30</v>
      </c>
      <c r="AR224">
        <f>IF($N$63="No",-20,1)</f>
        <v>1</v>
      </c>
      <c r="AS224">
        <f>IF($N$64="No",-20,1)</f>
        <v>1</v>
      </c>
      <c r="AU224">
        <f>IF($N$68="No",-20,1)</f>
        <v>1</v>
      </c>
      <c r="BH224">
        <f>IF($P$63=0,1,IF(AQ224&lt;=$P$63,1,-20))</f>
        <v>1</v>
      </c>
      <c r="BJ224">
        <f t="shared" si="50"/>
        <v>1</v>
      </c>
      <c r="BK224" s="57">
        <f t="shared" si="46"/>
        <v>223</v>
      </c>
      <c r="BL224" s="57" t="str">
        <f t="shared" si="47"/>
        <v>FB-220011 Rock Twelve Ship's Boat (Flashpoint)</v>
      </c>
    </row>
    <row r="225" spans="38:64" x14ac:dyDescent="0.3">
      <c r="AL225">
        <f t="shared" si="44"/>
        <v>3</v>
      </c>
      <c r="AM225">
        <f t="shared" si="45"/>
        <v>224</v>
      </c>
      <c r="AN225">
        <v>15</v>
      </c>
      <c r="AO225" t="s">
        <v>2917</v>
      </c>
      <c r="AP225" s="4">
        <v>727735000</v>
      </c>
      <c r="AQ225">
        <v>1000</v>
      </c>
      <c r="AR225">
        <f>IF($N$62="No",-20,1)</f>
        <v>1</v>
      </c>
      <c r="BG225">
        <f>IF($P$62=0,1,IF(AQ225&lt;=$P$62,1,-20))</f>
        <v>1</v>
      </c>
      <c r="BJ225">
        <f t="shared" si="50"/>
        <v>1</v>
      </c>
      <c r="BK225" s="57">
        <f t="shared" si="46"/>
        <v>224</v>
      </c>
      <c r="BL225" s="57" t="str">
        <f t="shared" si="47"/>
        <v>Fer-De-Lance (HG'22)</v>
      </c>
    </row>
    <row r="226" spans="38:64" ht="15.6" x14ac:dyDescent="0.3">
      <c r="AL226">
        <f t="shared" si="44"/>
        <v>3</v>
      </c>
      <c r="AM226">
        <f t="shared" si="45"/>
        <v>225</v>
      </c>
      <c r="AN226" s="437">
        <v>7</v>
      </c>
      <c r="AO226" s="437" t="s">
        <v>1822</v>
      </c>
      <c r="AP226" s="438">
        <v>3750</v>
      </c>
      <c r="AQ226" s="439">
        <v>2</v>
      </c>
      <c r="AR226">
        <f>IF($N$65="No",-20,1)</f>
        <v>1</v>
      </c>
      <c r="BI226">
        <f>IF($P$65=0,1,IF(AQ226&lt;=$P$65,1,-20))</f>
        <v>1</v>
      </c>
      <c r="BJ226">
        <f t="shared" si="50"/>
        <v>1</v>
      </c>
      <c r="BK226" s="57">
        <f t="shared" si="46"/>
        <v>225</v>
      </c>
      <c r="BL226" s="57" t="str">
        <f t="shared" si="47"/>
        <v>Field Buggy (Great Rift Adventure 3)</v>
      </c>
    </row>
    <row r="227" spans="38:64" x14ac:dyDescent="0.3">
      <c r="AL227">
        <f t="shared" si="44"/>
        <v>4</v>
      </c>
      <c r="AM227">
        <f t="shared" si="45"/>
        <v>226</v>
      </c>
      <c r="AN227">
        <v>9</v>
      </c>
      <c r="AO227" t="s">
        <v>1804</v>
      </c>
      <c r="AP227" s="4">
        <v>44400</v>
      </c>
      <c r="AQ227" s="471">
        <v>8</v>
      </c>
      <c r="AR227">
        <f>IF($N$63="No",-20,1)</f>
        <v>1</v>
      </c>
      <c r="AS227">
        <f>IF($N$64="No",-20,1)</f>
        <v>1</v>
      </c>
      <c r="BH227">
        <f>IF($P$63=0,1,IF(AQ227&lt;=$P$63,1,-20))</f>
        <v>1</v>
      </c>
      <c r="BJ227">
        <f t="shared" si="50"/>
        <v>1</v>
      </c>
      <c r="BK227" s="57">
        <f t="shared" si="46"/>
        <v>226</v>
      </c>
      <c r="BL227" s="57" t="str">
        <f t="shared" si="47"/>
        <v>Field Ranger Utility Vehicle (Field Catalogue)</v>
      </c>
    </row>
    <row r="228" spans="38:64" ht="15.6" x14ac:dyDescent="0.3">
      <c r="AL228">
        <f t="shared" si="44"/>
        <v>4</v>
      </c>
      <c r="AM228">
        <f t="shared" si="45"/>
        <v>227</v>
      </c>
      <c r="AN228" s="437">
        <v>15</v>
      </c>
      <c r="AO228" s="437" t="s">
        <v>1759</v>
      </c>
      <c r="AP228" s="438">
        <v>1339800000</v>
      </c>
      <c r="AQ228" s="439">
        <v>2600</v>
      </c>
      <c r="AR228">
        <f>IF($N$65="No",-20,1)</f>
        <v>1</v>
      </c>
      <c r="AX228">
        <f t="shared" ref="AX228:AX235" si="51">IF($N$71="No",-20,1)</f>
        <v>1</v>
      </c>
      <c r="BI228">
        <f>IF($P$65=0,1,IF(AQ228&lt;=$P$65,1,-20))</f>
        <v>1</v>
      </c>
      <c r="BJ228">
        <f t="shared" si="50"/>
        <v>1</v>
      </c>
      <c r="BK228" s="57">
        <f t="shared" si="46"/>
        <v>227</v>
      </c>
      <c r="BL228" s="57" t="str">
        <f t="shared" si="47"/>
        <v>Fighter Pod (ECC)</v>
      </c>
    </row>
    <row r="229" spans="38:64" x14ac:dyDescent="0.3">
      <c r="AL229">
        <f t="shared" si="44"/>
        <v>4</v>
      </c>
      <c r="AM229">
        <f t="shared" si="45"/>
        <v>228</v>
      </c>
      <c r="AN229">
        <v>12</v>
      </c>
      <c r="AO229" t="s">
        <v>2918</v>
      </c>
      <c r="AP229" s="4">
        <v>10630000</v>
      </c>
      <c r="AQ229">
        <v>20</v>
      </c>
      <c r="AR229">
        <f>IF($N$65="No",-20,1)</f>
        <v>1</v>
      </c>
      <c r="AX229">
        <f t="shared" si="51"/>
        <v>1</v>
      </c>
      <c r="BI229">
        <f>IF($P$65=0,1,IF(AQ229&lt;=$P$65,1,-20))</f>
        <v>1</v>
      </c>
      <c r="BJ229">
        <f t="shared" si="50"/>
        <v>1</v>
      </c>
      <c r="BK229" s="57">
        <f t="shared" si="46"/>
        <v>228</v>
      </c>
      <c r="BL229" s="57" t="str">
        <f t="shared" si="47"/>
        <v>Fighting Launch (SCC)</v>
      </c>
    </row>
    <row r="230" spans="38:64" x14ac:dyDescent="0.3">
      <c r="AL230">
        <f t="shared" si="44"/>
        <v>5</v>
      </c>
      <c r="AM230">
        <f t="shared" si="45"/>
        <v>229</v>
      </c>
      <c r="AN230">
        <v>15</v>
      </c>
      <c r="AO230" t="s">
        <v>2919</v>
      </c>
      <c r="AP230" s="4">
        <v>44950000</v>
      </c>
      <c r="AQ230">
        <v>30</v>
      </c>
      <c r="AR230">
        <f>IF($N$63="No",-20,1)</f>
        <v>1</v>
      </c>
      <c r="AS230">
        <f>IF($N$64="No",-20,1)</f>
        <v>1</v>
      </c>
      <c r="AX230">
        <f t="shared" si="51"/>
        <v>1</v>
      </c>
      <c r="BH230">
        <f>IF($P$63=0,1,IF(AQ230&lt;=$P$63,1,-20))</f>
        <v>1</v>
      </c>
      <c r="BJ230">
        <f t="shared" si="50"/>
        <v>1</v>
      </c>
      <c r="BK230" s="57">
        <f t="shared" si="46"/>
        <v>229</v>
      </c>
      <c r="BL230" s="57" t="str">
        <f t="shared" si="47"/>
        <v>Firehammer G/Fighter (Vehicle Handbook)</v>
      </c>
    </row>
    <row r="231" spans="38:64" x14ac:dyDescent="0.3">
      <c r="AL231">
        <f t="shared" si="44"/>
        <v>4</v>
      </c>
      <c r="AM231">
        <f t="shared" si="45"/>
        <v>230</v>
      </c>
      <c r="AN231">
        <v>7</v>
      </c>
      <c r="AO231" t="s">
        <v>2920</v>
      </c>
      <c r="AP231" s="4">
        <v>8717600</v>
      </c>
      <c r="AQ231" s="471">
        <v>500</v>
      </c>
      <c r="AR231">
        <f>IF($N$62="No",-20,1)</f>
        <v>1</v>
      </c>
      <c r="AX231">
        <f t="shared" si="51"/>
        <v>1</v>
      </c>
      <c r="BG231">
        <f>IF($P$62=0,1,IF(AQ231&lt;=$P$62,1,-20))</f>
        <v>1</v>
      </c>
      <c r="BJ231">
        <f t="shared" si="50"/>
        <v>1</v>
      </c>
      <c r="BK231" s="57">
        <f t="shared" si="46"/>
        <v>230</v>
      </c>
      <c r="BL231" s="57" t="str">
        <f t="shared" si="47"/>
        <v>Flame Train (Great Rifts Book 2)</v>
      </c>
    </row>
    <row r="232" spans="38:64" x14ac:dyDescent="0.3">
      <c r="AL232">
        <f t="shared" si="44"/>
        <v>4</v>
      </c>
      <c r="AM232">
        <f t="shared" si="45"/>
        <v>231</v>
      </c>
      <c r="AN232">
        <v>15</v>
      </c>
      <c r="AO232" t="s">
        <v>2921</v>
      </c>
      <c r="AP232" s="4">
        <v>274250000</v>
      </c>
      <c r="AQ232">
        <v>400</v>
      </c>
      <c r="AR232">
        <f>IF($N$62="No",-20,1)</f>
        <v>1</v>
      </c>
      <c r="AX232">
        <f t="shared" si="51"/>
        <v>1</v>
      </c>
      <c r="BG232">
        <f>IF($P$62=0,1,IF(AQ232&lt;=$P$62,1,-20))</f>
        <v>1</v>
      </c>
      <c r="BJ232">
        <f t="shared" si="50"/>
        <v>1</v>
      </c>
      <c r="BK232" s="57">
        <f t="shared" si="46"/>
        <v>231</v>
      </c>
      <c r="BL232" s="57" t="str">
        <f t="shared" si="47"/>
        <v>Fleet Courier (HG'22)</v>
      </c>
    </row>
    <row r="233" spans="38:64" x14ac:dyDescent="0.3">
      <c r="AL233">
        <f t="shared" si="44"/>
        <v>4</v>
      </c>
      <c r="AM233">
        <f t="shared" si="45"/>
        <v>232</v>
      </c>
      <c r="AN233">
        <v>14</v>
      </c>
      <c r="AO233" t="s">
        <v>2922</v>
      </c>
      <c r="AP233" s="4">
        <v>118180000</v>
      </c>
      <c r="AQ233" s="431">
        <v>400</v>
      </c>
      <c r="AR233">
        <f>IF($N$62="No",-20,1)</f>
        <v>1</v>
      </c>
      <c r="AX233">
        <f t="shared" si="51"/>
        <v>1</v>
      </c>
      <c r="BG233">
        <f>IF($P$62=0,1,IF(AQ233&lt;=$P$62,1,-20))</f>
        <v>1</v>
      </c>
      <c r="BJ233">
        <f t="shared" si="50"/>
        <v>1</v>
      </c>
      <c r="BK233" s="57">
        <f t="shared" si="46"/>
        <v>232</v>
      </c>
      <c r="BL233" s="57" t="str">
        <f t="shared" si="47"/>
        <v>Florian Fast Interceptor (Singularity Act 3)</v>
      </c>
    </row>
    <row r="234" spans="38:64" ht="15.6" x14ac:dyDescent="0.3">
      <c r="AL234">
        <f t="shared" si="44"/>
        <v>4</v>
      </c>
      <c r="AM234">
        <f t="shared" si="45"/>
        <v>233</v>
      </c>
      <c r="AN234" s="437">
        <v>15</v>
      </c>
      <c r="AO234" s="437" t="s">
        <v>1760</v>
      </c>
      <c r="AP234" s="438">
        <v>2649360000</v>
      </c>
      <c r="AQ234" s="439">
        <v>2600</v>
      </c>
      <c r="AR234">
        <f>IF($N$62="No",-20,1)</f>
        <v>1</v>
      </c>
      <c r="AX234">
        <f t="shared" si="51"/>
        <v>1</v>
      </c>
      <c r="BG234">
        <f>IF($P$62=0,1,IF(AQ234&lt;=$P$62,1,-20))</f>
        <v>1</v>
      </c>
      <c r="BJ234">
        <f t="shared" si="50"/>
        <v>1</v>
      </c>
      <c r="BK234" s="57">
        <f t="shared" si="46"/>
        <v>233</v>
      </c>
      <c r="BL234" s="57" t="str">
        <f t="shared" si="47"/>
        <v>Forward Communications Pod (ECC)</v>
      </c>
    </row>
    <row r="235" spans="38:64" ht="15.6" x14ac:dyDescent="0.3">
      <c r="AL235">
        <f t="shared" si="44"/>
        <v>5</v>
      </c>
      <c r="AM235">
        <f t="shared" si="45"/>
        <v>234</v>
      </c>
      <c r="AN235" s="437">
        <v>12</v>
      </c>
      <c r="AO235" s="437" t="s">
        <v>1826</v>
      </c>
      <c r="AP235" s="438">
        <v>112000</v>
      </c>
      <c r="AQ235" s="439">
        <v>5</v>
      </c>
      <c r="AR235">
        <f>IF($N$63="No",-20,1)</f>
        <v>1</v>
      </c>
      <c r="AS235">
        <f>IF($N$64="No",-20,1)</f>
        <v>1</v>
      </c>
      <c r="AX235">
        <f t="shared" si="51"/>
        <v>1</v>
      </c>
      <c r="BH235">
        <f>IF($P$63=0,1,IF(AQ235&lt;=$P$63,1,-20))</f>
        <v>1</v>
      </c>
      <c r="BJ235">
        <f t="shared" si="50"/>
        <v>1</v>
      </c>
      <c r="BK235" s="57">
        <f t="shared" si="46"/>
        <v>234</v>
      </c>
      <c r="BL235" s="57" t="str">
        <f t="shared" si="47"/>
        <v>Four-Wheel ATV (JTAS Vol. 1)</v>
      </c>
    </row>
    <row r="236" spans="38:64" ht="15.6" x14ac:dyDescent="0.3">
      <c r="AL236">
        <f t="shared" si="44"/>
        <v>3</v>
      </c>
      <c r="AM236">
        <f t="shared" si="45"/>
        <v>235</v>
      </c>
      <c r="AN236" s="437">
        <v>8</v>
      </c>
      <c r="AO236" s="437" t="s">
        <v>1833</v>
      </c>
      <c r="AP236" s="438">
        <v>3240000</v>
      </c>
      <c r="AQ236" s="439">
        <v>14</v>
      </c>
      <c r="AR236">
        <f>IF($N$62="No",-20,1)</f>
        <v>1</v>
      </c>
      <c r="BG236">
        <f>IF($P$62=0,1,IF(AQ236&lt;=$P$62,1,-20))</f>
        <v>1</v>
      </c>
      <c r="BJ236">
        <f t="shared" si="50"/>
        <v>1</v>
      </c>
      <c r="BK236" s="57">
        <f t="shared" si="46"/>
        <v>235</v>
      </c>
      <c r="BL236" s="57" t="str">
        <f t="shared" si="47"/>
        <v>Foxhound Air Superiority Fighter (JTAS Vol. 2)</v>
      </c>
    </row>
    <row r="237" spans="38:64" x14ac:dyDescent="0.3">
      <c r="AL237">
        <f t="shared" si="44"/>
        <v>3</v>
      </c>
      <c r="AM237">
        <f t="shared" si="45"/>
        <v>236</v>
      </c>
      <c r="AN237">
        <v>9</v>
      </c>
      <c r="AO237" t="s">
        <v>2923</v>
      </c>
      <c r="AP237" s="4">
        <v>1600300</v>
      </c>
      <c r="AQ237">
        <v>6</v>
      </c>
      <c r="AR237">
        <f>IF($N$62="No",-20,1)</f>
        <v>1</v>
      </c>
      <c r="BG237">
        <f>IF($P$62=0,1,IF(AQ237&lt;=$P$62,1,-20))</f>
        <v>1</v>
      </c>
      <c r="BJ237">
        <f t="shared" si="50"/>
        <v>1</v>
      </c>
      <c r="BK237" s="57">
        <f t="shared" si="46"/>
        <v>236</v>
      </c>
      <c r="BL237" s="57" t="str">
        <f t="shared" si="47"/>
        <v>Freight Handler Pod (SCC)</v>
      </c>
    </row>
    <row r="238" spans="38:64" ht="15.6" x14ac:dyDescent="0.3">
      <c r="AL238">
        <f t="shared" si="44"/>
        <v>5</v>
      </c>
      <c r="AM238">
        <f t="shared" si="45"/>
        <v>237</v>
      </c>
      <c r="AN238" s="437">
        <v>12</v>
      </c>
      <c r="AO238" s="437" t="s">
        <v>1845</v>
      </c>
      <c r="AP238" s="438">
        <v>692550</v>
      </c>
      <c r="AQ238" s="439">
        <v>25</v>
      </c>
      <c r="AR238">
        <f>IF($N$63="No",-20,1)</f>
        <v>1</v>
      </c>
      <c r="AS238">
        <f>IF($N$64="No",-20,1)</f>
        <v>1</v>
      </c>
      <c r="BD238">
        <f>IF($N$77="No",-20,1)</f>
        <v>1</v>
      </c>
      <c r="BH238">
        <f>IF($P$63=0,1,IF(AQ238&lt;=$P$63,1,-20))</f>
        <v>1</v>
      </c>
      <c r="BJ238">
        <f t="shared" si="50"/>
        <v>1</v>
      </c>
      <c r="BK238" s="57">
        <f t="shared" si="46"/>
        <v>237</v>
      </c>
      <c r="BL238" s="57" t="str">
        <f t="shared" si="47"/>
        <v>FT-500 Field Power Unit (JTAS Vol. 5)</v>
      </c>
    </row>
    <row r="239" spans="38:64" x14ac:dyDescent="0.3">
      <c r="AL239">
        <f t="shared" si="44"/>
        <v>4</v>
      </c>
      <c r="AM239">
        <f t="shared" si="45"/>
        <v>238</v>
      </c>
      <c r="AN239">
        <v>12</v>
      </c>
      <c r="AO239" t="s">
        <v>2924</v>
      </c>
      <c r="AP239" s="4">
        <v>12980000</v>
      </c>
      <c r="AQ239" s="431">
        <v>100</v>
      </c>
      <c r="AR239">
        <f>IF($N$63="No",-20,1)</f>
        <v>1</v>
      </c>
      <c r="BD239">
        <f>IF($N$77="No",-20,1)</f>
        <v>1</v>
      </c>
      <c r="BH239">
        <f>IF($P$63=0,1,IF(AQ239&lt;=$P$63,1,-20))</f>
        <v>1</v>
      </c>
      <c r="BJ239">
        <f t="shared" si="50"/>
        <v>1</v>
      </c>
      <c r="BK239" s="57">
        <f t="shared" si="46"/>
        <v>238</v>
      </c>
      <c r="BL239" s="57" t="str">
        <f t="shared" si="47"/>
        <v>Fuel Lighter (Behind the Claw)</v>
      </c>
    </row>
    <row r="240" spans="38:64" ht="15.6" x14ac:dyDescent="0.3">
      <c r="AL240">
        <f t="shared" si="44"/>
        <v>4</v>
      </c>
      <c r="AM240">
        <f t="shared" si="45"/>
        <v>239</v>
      </c>
      <c r="AN240" s="437">
        <v>15</v>
      </c>
      <c r="AO240" s="437" t="s">
        <v>1754</v>
      </c>
      <c r="AP240" s="438">
        <v>510600000</v>
      </c>
      <c r="AQ240" s="439">
        <v>2600</v>
      </c>
      <c r="AR240">
        <f>IF($N$63="No",-20,1)</f>
        <v>1</v>
      </c>
      <c r="AW240">
        <f>IF($N$70="No",-20,1)</f>
        <v>1</v>
      </c>
      <c r="BH240">
        <f>IF($P$63=0,1,IF(AQ240&lt;=$P$63,1,-20))</f>
        <v>1</v>
      </c>
      <c r="BJ240">
        <f t="shared" si="50"/>
        <v>1</v>
      </c>
      <c r="BK240" s="57">
        <f t="shared" si="46"/>
        <v>239</v>
      </c>
      <c r="BL240" s="57" t="str">
        <f t="shared" si="47"/>
        <v>Fuel Pod (ECC)</v>
      </c>
    </row>
    <row r="241" spans="38:64" x14ac:dyDescent="0.3">
      <c r="AL241">
        <f t="shared" si="44"/>
        <v>4</v>
      </c>
      <c r="AM241">
        <f t="shared" si="45"/>
        <v>240</v>
      </c>
      <c r="AN241">
        <v>8</v>
      </c>
      <c r="AO241" t="s">
        <v>2925</v>
      </c>
      <c r="AP241" s="4">
        <v>1210000</v>
      </c>
      <c r="AQ241">
        <v>16</v>
      </c>
      <c r="AR241">
        <f>IF($N$62="No",-20,1)</f>
        <v>1</v>
      </c>
      <c r="AV241">
        <f>IF($N$69="No",-20,1)</f>
        <v>1</v>
      </c>
      <c r="BG241">
        <f>IF($P$62=0,1,IF(AQ241&lt;=$P$62,1,-20))</f>
        <v>1</v>
      </c>
      <c r="BJ241">
        <f t="shared" si="50"/>
        <v>1</v>
      </c>
      <c r="BK241" s="57">
        <f t="shared" si="46"/>
        <v>240</v>
      </c>
      <c r="BL241" s="57" t="str">
        <f t="shared" si="47"/>
        <v>Fury Helicopter Gunship (Vehicle Handbook)</v>
      </c>
    </row>
    <row r="242" spans="38:64" x14ac:dyDescent="0.3">
      <c r="AL242">
        <f t="shared" si="44"/>
        <v>4</v>
      </c>
      <c r="AM242">
        <f t="shared" si="45"/>
        <v>241</v>
      </c>
      <c r="AN242">
        <v>12</v>
      </c>
      <c r="AO242" t="s">
        <v>2926</v>
      </c>
      <c r="AP242" s="4">
        <v>46000</v>
      </c>
      <c r="AQ242">
        <v>0.5</v>
      </c>
      <c r="AR242">
        <f>IF($N$63="No",-20,1)</f>
        <v>1</v>
      </c>
      <c r="AU242">
        <f>IF($N$68="No",-20,1)</f>
        <v>1</v>
      </c>
      <c r="BH242">
        <f>IF($P$63=0,1,IF(AQ242&lt;=$P$63,1,-20))</f>
        <v>1</v>
      </c>
      <c r="BJ242">
        <f t="shared" si="50"/>
        <v>1</v>
      </c>
      <c r="BK242" s="57">
        <f t="shared" si="46"/>
        <v>241</v>
      </c>
      <c r="BL242" s="57" t="str">
        <f t="shared" si="47"/>
        <v>G/Bike (Core'24)</v>
      </c>
    </row>
    <row r="243" spans="38:64" x14ac:dyDescent="0.3">
      <c r="AL243">
        <f t="shared" si="44"/>
        <v>4</v>
      </c>
      <c r="AM243">
        <f t="shared" si="45"/>
        <v>242</v>
      </c>
      <c r="AN243">
        <v>10</v>
      </c>
      <c r="AO243" t="s">
        <v>2927</v>
      </c>
      <c r="AP243" s="4">
        <v>201800</v>
      </c>
      <c r="AQ243" s="471">
        <v>1</v>
      </c>
      <c r="AR243">
        <f>IF($N$62="No",-20,1)</f>
        <v>1</v>
      </c>
      <c r="BF243">
        <f>IF($N$79="No",-20,1)</f>
        <v>1</v>
      </c>
      <c r="BG243">
        <f>IF($P$62=0,1,IF(AQ243&lt;=$P$62,1,-20))</f>
        <v>1</v>
      </c>
      <c r="BJ243">
        <f t="shared" si="50"/>
        <v>1</v>
      </c>
      <c r="BK243" s="57">
        <f t="shared" si="46"/>
        <v>242</v>
      </c>
      <c r="BL243" s="57" t="str">
        <f t="shared" si="47"/>
        <v>G/Bike w/Fusion+ (JTAS Vol. 16)</v>
      </c>
    </row>
    <row r="244" spans="38:64" x14ac:dyDescent="0.3">
      <c r="AL244">
        <f t="shared" si="44"/>
        <v>5</v>
      </c>
      <c r="AM244">
        <f t="shared" si="45"/>
        <v>243</v>
      </c>
      <c r="AN244">
        <v>15</v>
      </c>
      <c r="AO244" t="s">
        <v>2928</v>
      </c>
      <c r="AP244" s="4">
        <v>11580000</v>
      </c>
      <c r="AQ244">
        <v>15</v>
      </c>
      <c r="AR244">
        <f>IF($N$63="No",-20,1)</f>
        <v>1</v>
      </c>
      <c r="AS244">
        <f>IF($N$64="No",-20,1)</f>
        <v>1</v>
      </c>
      <c r="AW244">
        <f>IF($N$70="No",-20,1)</f>
        <v>1</v>
      </c>
      <c r="BH244">
        <f>IF($P$63=0,1,IF(AQ244&lt;=$P$63,1,-20))</f>
        <v>1</v>
      </c>
      <c r="BJ244">
        <f t="shared" si="50"/>
        <v>1</v>
      </c>
      <c r="BK244" s="57">
        <f t="shared" si="46"/>
        <v>243</v>
      </c>
      <c r="BL244" s="57" t="str">
        <f t="shared" si="47"/>
        <v>G/Carrier (Core'24)</v>
      </c>
    </row>
    <row r="245" spans="38:64" x14ac:dyDescent="0.3">
      <c r="AL245">
        <f t="shared" si="44"/>
        <v>5</v>
      </c>
      <c r="AM245">
        <f t="shared" si="45"/>
        <v>244</v>
      </c>
      <c r="AN245">
        <v>10</v>
      </c>
      <c r="AO245" t="s">
        <v>2929</v>
      </c>
      <c r="AP245" s="4">
        <v>474500</v>
      </c>
      <c r="AQ245" s="471">
        <v>4</v>
      </c>
      <c r="AR245">
        <f>IF($N$63="No",-20,1)</f>
        <v>1</v>
      </c>
      <c r="AS245">
        <f>IF($N$64="No",-20,1)</f>
        <v>1</v>
      </c>
      <c r="AT245">
        <f>IF($N$67="No",-20,1)</f>
        <v>1</v>
      </c>
      <c r="BH245">
        <f>IF($P$63=0,1,IF(AQ245&lt;=$P$63,1,-20))</f>
        <v>1</v>
      </c>
      <c r="BJ245">
        <f t="shared" si="50"/>
        <v>1</v>
      </c>
      <c r="BK245" s="57">
        <f t="shared" si="46"/>
        <v>244</v>
      </c>
      <c r="BL245" s="57" t="str">
        <f t="shared" si="47"/>
        <v>G/Carrier w/Fusion+ (JTAS Vol. 16)</v>
      </c>
    </row>
    <row r="246" spans="38:64" x14ac:dyDescent="0.3">
      <c r="AL246">
        <f t="shared" si="44"/>
        <v>4</v>
      </c>
      <c r="AM246">
        <f t="shared" si="45"/>
        <v>245</v>
      </c>
      <c r="AN246">
        <v>9</v>
      </c>
      <c r="AO246" t="s">
        <v>2930</v>
      </c>
      <c r="AP246" s="4">
        <v>300000</v>
      </c>
      <c r="AQ246">
        <v>3</v>
      </c>
      <c r="AR246">
        <f>IF($N$62="No",-20,1)</f>
        <v>1</v>
      </c>
      <c r="BF246">
        <f>IF($N$79="No",-20,1)</f>
        <v>1</v>
      </c>
      <c r="BG246">
        <f>IF($P$62=0,1,IF(AQ246&lt;=$P$62,1,-20))</f>
        <v>1</v>
      </c>
      <c r="BJ246">
        <f t="shared" si="50"/>
        <v>1</v>
      </c>
      <c r="BK246" s="57">
        <f t="shared" si="46"/>
        <v>245</v>
      </c>
      <c r="BL246" s="57" t="str">
        <f t="shared" si="47"/>
        <v>G/Racer (Core'24)</v>
      </c>
    </row>
    <row r="247" spans="38:64" x14ac:dyDescent="0.3">
      <c r="AL247">
        <f t="shared" si="44"/>
        <v>4</v>
      </c>
      <c r="AM247">
        <f t="shared" si="45"/>
        <v>246</v>
      </c>
      <c r="AN247">
        <v>9</v>
      </c>
      <c r="AO247" t="s">
        <v>2931</v>
      </c>
      <c r="AP247" s="4">
        <v>300000</v>
      </c>
      <c r="AQ247">
        <v>3</v>
      </c>
      <c r="AR247">
        <f>IF($N$62="No",-20,1)</f>
        <v>1</v>
      </c>
      <c r="BF247">
        <f>IF($N$79="No",-20,1)</f>
        <v>1</v>
      </c>
      <c r="BG247">
        <f>IF($P$62=0,1,IF(AQ247&lt;=$P$62,1,-20))</f>
        <v>1</v>
      </c>
      <c r="BJ247">
        <f t="shared" si="50"/>
        <v>1</v>
      </c>
      <c r="BK247" s="57">
        <f t="shared" si="46"/>
        <v>246</v>
      </c>
      <c r="BL247" s="57" t="str">
        <f t="shared" si="47"/>
        <v>G/Racer (Vehicle Handbook)</v>
      </c>
    </row>
    <row r="248" spans="38:64" x14ac:dyDescent="0.3">
      <c r="AL248">
        <f t="shared" si="44"/>
        <v>3</v>
      </c>
      <c r="AM248">
        <f t="shared" si="45"/>
        <v>247</v>
      </c>
      <c r="AN248">
        <v>10</v>
      </c>
      <c r="AO248" t="s">
        <v>2932</v>
      </c>
      <c r="AP248" s="4">
        <v>49500</v>
      </c>
      <c r="AQ248">
        <v>1.5</v>
      </c>
      <c r="AR248">
        <f>IF($N$63="No",-20,1)</f>
        <v>1</v>
      </c>
      <c r="BH248">
        <f>IF($P$63=0,1,IF(AQ248&lt;=$P$63,1,-20))</f>
        <v>1</v>
      </c>
      <c r="BJ248">
        <f t="shared" si="50"/>
        <v>1</v>
      </c>
      <c r="BK248" s="57">
        <f t="shared" si="46"/>
        <v>247</v>
      </c>
      <c r="BL248" s="57" t="str">
        <f t="shared" si="47"/>
        <v>G/Runner City Car (Vehicle Handbook)</v>
      </c>
    </row>
    <row r="249" spans="38:64" ht="15.6" x14ac:dyDescent="0.3">
      <c r="AL249">
        <f t="shared" si="44"/>
        <v>5</v>
      </c>
      <c r="AM249">
        <f t="shared" si="45"/>
        <v>248</v>
      </c>
      <c r="AN249" s="437">
        <v>10</v>
      </c>
      <c r="AO249" s="437" t="s">
        <v>1912</v>
      </c>
      <c r="AP249" s="438">
        <v>1974000</v>
      </c>
      <c r="AQ249" s="439">
        <v>12</v>
      </c>
      <c r="AR249">
        <f>IF($N$63="No",-20,1)</f>
        <v>1</v>
      </c>
      <c r="AS249">
        <f>IF($N$64="No",-20,1)</f>
        <v>1</v>
      </c>
      <c r="BF249">
        <f>IF($N$79="No",-20,1)</f>
        <v>1</v>
      </c>
      <c r="BH249">
        <f>IF($P$63=0,1,IF(AQ249&lt;=$P$63,1,-20))</f>
        <v>1</v>
      </c>
      <c r="BJ249">
        <f t="shared" ref="BJ249:BJ280" si="52">IF($N$61="Yes",1,IF(AN249&gt;TL,-20,1))</f>
        <v>1</v>
      </c>
      <c r="BK249" s="57">
        <f t="shared" si="46"/>
        <v>248</v>
      </c>
      <c r="BL249" s="57" t="str">
        <f t="shared" si="47"/>
        <v>Galian Interceptior Platform (Mercenary Adventure 1)</v>
      </c>
    </row>
    <row r="250" spans="38:64" x14ac:dyDescent="0.3">
      <c r="AL250">
        <f t="shared" si="44"/>
        <v>4</v>
      </c>
      <c r="AM250">
        <f t="shared" si="45"/>
        <v>249</v>
      </c>
      <c r="AN250">
        <v>3</v>
      </c>
      <c r="AO250" t="s">
        <v>2933</v>
      </c>
      <c r="AP250" s="4">
        <v>340000</v>
      </c>
      <c r="AQ250">
        <v>200</v>
      </c>
      <c r="AR250">
        <f>IF($N$63="No",-20,1)</f>
        <v>1</v>
      </c>
      <c r="AU250">
        <f>IF($N$68="No",-20,1)</f>
        <v>1</v>
      </c>
      <c r="BH250">
        <f>IF($P$63=0,1,IF(AQ250&lt;=$P$63,1,-20))</f>
        <v>1</v>
      </c>
      <c r="BJ250">
        <f t="shared" si="52"/>
        <v>1</v>
      </c>
      <c r="BK250" s="57">
        <f t="shared" si="46"/>
        <v>249</v>
      </c>
      <c r="BL250" s="57" t="str">
        <f t="shared" si="47"/>
        <v>Galleon (Vehicle Handbook)</v>
      </c>
    </row>
    <row r="251" spans="38:64" x14ac:dyDescent="0.3">
      <c r="AL251">
        <f t="shared" si="44"/>
        <v>3</v>
      </c>
      <c r="AM251">
        <f t="shared" si="45"/>
        <v>250</v>
      </c>
      <c r="AN251">
        <v>12</v>
      </c>
      <c r="AO251" t="s">
        <v>2934</v>
      </c>
      <c r="AQ251">
        <v>30</v>
      </c>
      <c r="AR251">
        <f>IF($N$65="No",-20,1)</f>
        <v>1</v>
      </c>
      <c r="BI251">
        <f>IF($P$65=0,1,IF(AQ251&lt;=$P$65,1,-20))</f>
        <v>1</v>
      </c>
      <c r="BJ251">
        <f t="shared" si="52"/>
        <v>1</v>
      </c>
      <c r="BK251" s="57">
        <f t="shared" si="46"/>
        <v>250</v>
      </c>
      <c r="BL251" s="57" t="str">
        <f t="shared" si="47"/>
        <v>Galvan Corrosive Environment Construction Platform (Solomani Front)</v>
      </c>
    </row>
    <row r="252" spans="38:64" x14ac:dyDescent="0.3">
      <c r="AL252">
        <f t="shared" si="44"/>
        <v>3</v>
      </c>
      <c r="AM252">
        <f t="shared" si="45"/>
        <v>251</v>
      </c>
      <c r="AN252">
        <v>12</v>
      </c>
      <c r="AO252" t="s">
        <v>2935</v>
      </c>
      <c r="AP252" s="4">
        <v>67825</v>
      </c>
      <c r="AQ252" s="471">
        <v>6</v>
      </c>
      <c r="AR252">
        <f>IF($N$62="No",-20,1)</f>
        <v>1</v>
      </c>
      <c r="BG252">
        <f>IF($P$62=0,1,IF(AQ252&lt;=$P$62,1,-20))</f>
        <v>1</v>
      </c>
      <c r="BJ252">
        <f t="shared" si="52"/>
        <v>1</v>
      </c>
      <c r="BK252" s="57">
        <f t="shared" si="46"/>
        <v>251</v>
      </c>
      <c r="BL252" s="57" t="str">
        <f t="shared" si="47"/>
        <v>Garden Rover (Great Rifts Adventure)</v>
      </c>
    </row>
    <row r="253" spans="38:64" x14ac:dyDescent="0.3">
      <c r="AL253">
        <f t="shared" si="44"/>
        <v>4</v>
      </c>
      <c r="AM253">
        <f t="shared" si="45"/>
        <v>252</v>
      </c>
      <c r="AN253">
        <v>12</v>
      </c>
      <c r="AO253" t="s">
        <v>2936</v>
      </c>
      <c r="AP253" s="4">
        <v>175120000</v>
      </c>
      <c r="AQ253" s="431">
        <v>400</v>
      </c>
      <c r="AR253">
        <f>IF($N$63="No",-20,1)</f>
        <v>1</v>
      </c>
      <c r="AU253">
        <f>IF($N$68="No",-20,1)</f>
        <v>1</v>
      </c>
      <c r="BH253">
        <f>IF($P$63=0,1,IF(AQ253&lt;=$P$63,1,-20))</f>
        <v>1</v>
      </c>
      <c r="BJ253">
        <f t="shared" si="52"/>
        <v>1</v>
      </c>
      <c r="BK253" s="57">
        <f t="shared" si="46"/>
        <v>252</v>
      </c>
      <c r="BL253" s="57" t="str">
        <f t="shared" si="47"/>
        <v>Garish Rescue Vessel (March Adventures)</v>
      </c>
    </row>
    <row r="254" spans="38:64" ht="15.6" x14ac:dyDescent="0.3">
      <c r="AL254">
        <f t="shared" si="44"/>
        <v>4</v>
      </c>
      <c r="AM254">
        <f t="shared" si="45"/>
        <v>253</v>
      </c>
      <c r="AN254" s="437">
        <v>15</v>
      </c>
      <c r="AO254" s="437" t="s">
        <v>2937</v>
      </c>
      <c r="AP254" s="438">
        <v>275102000</v>
      </c>
      <c r="AQ254" s="439">
        <v>400</v>
      </c>
      <c r="AR254">
        <f>IF($N$62="No",-20,1)</f>
        <v>1</v>
      </c>
      <c r="BF254">
        <f>IF($N$79="No",-20,1)</f>
        <v>1</v>
      </c>
      <c r="BG254">
        <f>IF($P$62=0,1,IF(AQ254&lt;=$P$62,1,-20))</f>
        <v>1</v>
      </c>
      <c r="BJ254">
        <f t="shared" si="52"/>
        <v>1</v>
      </c>
      <c r="BK254" s="57">
        <f t="shared" si="46"/>
        <v>253</v>
      </c>
      <c r="BL254" s="57" t="str">
        <f t="shared" si="47"/>
        <v>Gazelle Close Escort (Core'24)</v>
      </c>
    </row>
    <row r="255" spans="38:64" ht="15.6" x14ac:dyDescent="0.3">
      <c r="AL255">
        <f t="shared" si="44"/>
        <v>4</v>
      </c>
      <c r="AM255">
        <f t="shared" si="45"/>
        <v>254</v>
      </c>
      <c r="AN255" s="437">
        <v>14</v>
      </c>
      <c r="AO255" s="437" t="s">
        <v>2938</v>
      </c>
      <c r="AP255" s="438">
        <v>218572000</v>
      </c>
      <c r="AQ255" s="439">
        <v>400</v>
      </c>
      <c r="AR255">
        <f>IF($N$62="No",-20,1)</f>
        <v>1</v>
      </c>
      <c r="BF255">
        <f>IF($N$79="No",-20,1)</f>
        <v>1</v>
      </c>
      <c r="BG255">
        <f>IF($P$62=0,1,IF(AQ255&lt;=$P$62,1,-20))</f>
        <v>1</v>
      </c>
      <c r="BJ255">
        <f t="shared" si="52"/>
        <v>1</v>
      </c>
      <c r="BK255" s="57">
        <f t="shared" si="46"/>
        <v>254</v>
      </c>
      <c r="BL255" s="57" t="str">
        <f t="shared" si="47"/>
        <v>Gazelle Close Escort (HG'22)</v>
      </c>
    </row>
    <row r="256" spans="38:64" x14ac:dyDescent="0.3">
      <c r="AL256">
        <f t="shared" si="44"/>
        <v>4</v>
      </c>
      <c r="AM256">
        <f t="shared" si="45"/>
        <v>255</v>
      </c>
      <c r="AN256">
        <v>7</v>
      </c>
      <c r="AO256" t="s">
        <v>2939</v>
      </c>
      <c r="AP256" s="4">
        <v>42450</v>
      </c>
      <c r="AQ256">
        <v>4.5</v>
      </c>
      <c r="AR256">
        <f>IF($N$63="No",-20,1)</f>
        <v>1</v>
      </c>
      <c r="AT256">
        <f>IF($N$67="No",-20,1)</f>
        <v>1</v>
      </c>
      <c r="BH256">
        <f>IF($P$63=0,1,IF(AQ256&lt;=$P$63,1,-20))</f>
        <v>1</v>
      </c>
      <c r="BJ256">
        <f t="shared" si="52"/>
        <v>1</v>
      </c>
      <c r="BK256" s="57">
        <f t="shared" si="46"/>
        <v>255</v>
      </c>
      <c r="BL256" s="57" t="str">
        <f t="shared" si="47"/>
        <v>Gecko All-Terrain Assault Vehicle (Core'24)</v>
      </c>
    </row>
    <row r="257" spans="38:64" ht="15.6" x14ac:dyDescent="0.3">
      <c r="AL257">
        <f t="shared" si="44"/>
        <v>4</v>
      </c>
      <c r="AM257">
        <f t="shared" si="45"/>
        <v>256</v>
      </c>
      <c r="AN257" s="437">
        <v>12</v>
      </c>
      <c r="AO257" s="437" t="s">
        <v>2185</v>
      </c>
      <c r="AP257" s="438">
        <v>46895000</v>
      </c>
      <c r="AQ257" s="439">
        <v>100</v>
      </c>
      <c r="AR257">
        <f>IF($N$63="No",-20,1)</f>
        <v>1</v>
      </c>
      <c r="BF257">
        <f>IF($N$79="No",-20,1)</f>
        <v>1</v>
      </c>
      <c r="BH257">
        <f>IF($P$63=0,1,IF(AQ257&lt;=$P$63,1,-20))</f>
        <v>1</v>
      </c>
      <c r="BJ257">
        <f t="shared" si="52"/>
        <v>1</v>
      </c>
      <c r="BK257" s="57">
        <f t="shared" si="46"/>
        <v>256</v>
      </c>
      <c r="BL257" s="57" t="str">
        <f t="shared" si="47"/>
        <v>Geiser System Craft (The Borderlands)</v>
      </c>
    </row>
    <row r="258" spans="38:64" x14ac:dyDescent="0.3">
      <c r="AL258">
        <f t="shared" si="44"/>
        <v>3</v>
      </c>
      <c r="AM258">
        <f t="shared" si="45"/>
        <v>257</v>
      </c>
      <c r="AN258">
        <v>15</v>
      </c>
      <c r="AO258" t="s">
        <v>2940</v>
      </c>
      <c r="AP258" s="4">
        <v>155115000</v>
      </c>
      <c r="AQ258" s="431">
        <v>200</v>
      </c>
      <c r="AR258">
        <f>IF($N$65="No",-20,1)</f>
        <v>1</v>
      </c>
      <c r="BI258">
        <f>IF($P$65=0,1,IF(AQ258&lt;=$P$65,1,-20))</f>
        <v>1</v>
      </c>
      <c r="BJ258">
        <f t="shared" si="52"/>
        <v>1</v>
      </c>
      <c r="BK258" s="57">
        <f t="shared" si="46"/>
        <v>257</v>
      </c>
      <c r="BL258" s="57" t="str">
        <f t="shared" si="47"/>
        <v>Geonee Adrat-Class Scout (AoCS3)</v>
      </c>
    </row>
    <row r="259" spans="38:64" x14ac:dyDescent="0.3">
      <c r="AL259">
        <f t="shared" si="44"/>
        <v>3</v>
      </c>
      <c r="AM259">
        <f t="shared" si="45"/>
        <v>258</v>
      </c>
      <c r="AN259">
        <v>15</v>
      </c>
      <c r="AO259" t="s">
        <v>2941</v>
      </c>
      <c r="AP259" s="4">
        <v>28981000</v>
      </c>
      <c r="AQ259" s="431">
        <v>15</v>
      </c>
      <c r="AR259">
        <f>IF($N$65="No",-20,1)</f>
        <v>1</v>
      </c>
      <c r="BI259">
        <f>IF($P$65=0,1,IF(AQ259&lt;=$P$65,1,-20))</f>
        <v>1</v>
      </c>
      <c r="BJ259">
        <f t="shared" si="52"/>
        <v>1</v>
      </c>
      <c r="BK259" s="57">
        <f t="shared" si="46"/>
        <v>258</v>
      </c>
      <c r="BL259" s="57" t="str">
        <f t="shared" si="47"/>
        <v>Geonee Boarding Pod (AoCS2)</v>
      </c>
    </row>
    <row r="260" spans="38:64" x14ac:dyDescent="0.3">
      <c r="AL260">
        <f t="shared" ref="AL260:AL323" si="53">SUM(AR260:BJ260)</f>
        <v>3</v>
      </c>
      <c r="AM260">
        <f t="shared" ref="AM260:AM323" si="54">IF(AL260&gt;0,AM259+1,AM259)</f>
        <v>259</v>
      </c>
      <c r="AN260">
        <v>15</v>
      </c>
      <c r="AO260" t="s">
        <v>2942</v>
      </c>
      <c r="AP260" s="4">
        <v>71688000</v>
      </c>
      <c r="AQ260" s="431">
        <v>85</v>
      </c>
      <c r="AR260">
        <f>IF($N$65="No",-20,1)</f>
        <v>1</v>
      </c>
      <c r="BI260">
        <f>IF($P$65=0,1,IF(AQ260&lt;=$P$65,1,-20))</f>
        <v>1</v>
      </c>
      <c r="BJ260">
        <f t="shared" si="52"/>
        <v>1</v>
      </c>
      <c r="BK260" s="57">
        <f t="shared" ref="BK260:BK323" si="55">BK259+1</f>
        <v>259</v>
      </c>
      <c r="BL260" s="57" t="str">
        <f t="shared" si="47"/>
        <v>Geonee Branak Superheavy Tank (AoCS3)</v>
      </c>
    </row>
    <row r="261" spans="38:64" x14ac:dyDescent="0.3">
      <c r="AL261">
        <f t="shared" si="53"/>
        <v>3</v>
      </c>
      <c r="AM261">
        <f t="shared" si="54"/>
        <v>260</v>
      </c>
      <c r="AN261">
        <v>15</v>
      </c>
      <c r="AO261" t="s">
        <v>2943</v>
      </c>
      <c r="AP261" s="4">
        <v>462574800</v>
      </c>
      <c r="AQ261" s="686">
        <v>600</v>
      </c>
      <c r="AR261">
        <f>IF($N$65="No",-20,1)</f>
        <v>1</v>
      </c>
      <c r="BI261">
        <f>IF($P$65=0,1,IF(AQ261&lt;=$P$65,1,-20))</f>
        <v>1</v>
      </c>
      <c r="BJ261">
        <f t="shared" si="52"/>
        <v>1</v>
      </c>
      <c r="BK261" s="57">
        <f t="shared" si="55"/>
        <v>260</v>
      </c>
      <c r="BL261" s="57" t="str">
        <f t="shared" ref="BL261:BL324" si="56">IF(BK261&gt;$BK$1,"",INDEX($AM$2:$AO$495,MATCH(BK261,$AM$2:$AM$495,0),3))</f>
        <v>Geonee Brekat-Class System Defense Boat (AoCS3)</v>
      </c>
    </row>
    <row r="262" spans="38:64" x14ac:dyDescent="0.3">
      <c r="AL262">
        <f t="shared" si="53"/>
        <v>4</v>
      </c>
      <c r="AM262">
        <f t="shared" si="54"/>
        <v>261</v>
      </c>
      <c r="AN262">
        <v>15</v>
      </c>
      <c r="AO262" t="s">
        <v>2944</v>
      </c>
      <c r="AP262" s="4">
        <v>17703600</v>
      </c>
      <c r="AQ262" s="686">
        <v>100</v>
      </c>
      <c r="AR262">
        <f>IF($N$65="No",-20,1)</f>
        <v>1</v>
      </c>
      <c r="BF262">
        <f>IF($N$79="No",-20,1)</f>
        <v>1</v>
      </c>
      <c r="BI262">
        <f>IF($P$65=0,1,IF(AQ262&lt;=$P$65,1,-20))</f>
        <v>1</v>
      </c>
      <c r="BJ262">
        <f t="shared" si="52"/>
        <v>1</v>
      </c>
      <c r="BK262" s="57">
        <f t="shared" si="55"/>
        <v>261</v>
      </c>
      <c r="BL262" s="57" t="str">
        <f t="shared" si="56"/>
        <v>Geonee Fuelling Shuttle (AoCS3)</v>
      </c>
    </row>
    <row r="263" spans="38:64" x14ac:dyDescent="0.3">
      <c r="AL263">
        <f t="shared" si="53"/>
        <v>4</v>
      </c>
      <c r="AM263">
        <f t="shared" si="54"/>
        <v>262</v>
      </c>
      <c r="AN263">
        <v>15</v>
      </c>
      <c r="AO263" t="s">
        <v>2945</v>
      </c>
      <c r="AP263" s="4">
        <v>9840000</v>
      </c>
      <c r="AQ263" s="431">
        <v>15</v>
      </c>
      <c r="AR263">
        <f t="shared" ref="AR263:AR297" si="57">IF($N$63="No",-20,1)</f>
        <v>1</v>
      </c>
      <c r="AW263">
        <f>IF($N$70="No",-20,1)</f>
        <v>1</v>
      </c>
      <c r="BH263">
        <f t="shared" ref="BH263:BH297" si="58">IF($P$63=0,1,IF(AQ263&lt;=$P$63,1,-20))</f>
        <v>1</v>
      </c>
      <c r="BJ263">
        <f t="shared" si="52"/>
        <v>1</v>
      </c>
      <c r="BK263" s="57">
        <f t="shared" si="55"/>
        <v>262</v>
      </c>
      <c r="BL263" s="57" t="str">
        <f t="shared" si="56"/>
        <v>Geonee Gosta Light Tank (AoCS3)</v>
      </c>
    </row>
    <row r="264" spans="38:64" x14ac:dyDescent="0.3">
      <c r="AL264">
        <f t="shared" si="53"/>
        <v>4</v>
      </c>
      <c r="AM264">
        <f t="shared" si="54"/>
        <v>263</v>
      </c>
      <c r="AN264">
        <v>15</v>
      </c>
      <c r="AO264" t="s">
        <v>2946</v>
      </c>
      <c r="AP264" s="4">
        <v>3022482700</v>
      </c>
      <c r="AQ264" s="686">
        <v>2000</v>
      </c>
      <c r="AR264">
        <f t="shared" si="57"/>
        <v>1</v>
      </c>
      <c r="AU264">
        <f>IF($N$68="No",-20,1)</f>
        <v>1</v>
      </c>
      <c r="BH264">
        <f t="shared" si="58"/>
        <v>1</v>
      </c>
      <c r="BJ264">
        <f t="shared" si="52"/>
        <v>1</v>
      </c>
      <c r="BK264" s="57">
        <f t="shared" si="55"/>
        <v>263</v>
      </c>
      <c r="BL264" s="57" t="str">
        <f t="shared" si="56"/>
        <v>Geonee Kran-Class System Defense Boat (AoCS3)</v>
      </c>
    </row>
    <row r="265" spans="38:64" x14ac:dyDescent="0.3">
      <c r="AL265">
        <f t="shared" si="53"/>
        <v>4</v>
      </c>
      <c r="AM265">
        <f t="shared" si="54"/>
        <v>264</v>
      </c>
      <c r="AN265">
        <v>15</v>
      </c>
      <c r="AO265" t="s">
        <v>2947</v>
      </c>
      <c r="AP265" s="4">
        <v>39037655000</v>
      </c>
      <c r="AQ265" s="431">
        <v>50000</v>
      </c>
      <c r="AR265">
        <f t="shared" si="57"/>
        <v>1</v>
      </c>
      <c r="AT265">
        <f>IF($N$67="No",-20,1)</f>
        <v>1</v>
      </c>
      <c r="BH265">
        <f t="shared" si="58"/>
        <v>1</v>
      </c>
      <c r="BJ265">
        <f t="shared" si="52"/>
        <v>1</v>
      </c>
      <c r="BK265" s="57">
        <f t="shared" si="55"/>
        <v>264</v>
      </c>
      <c r="BL265" s="57" t="str">
        <f t="shared" si="56"/>
        <v>Ghalalk Armoured Cruiser (HG'22)</v>
      </c>
    </row>
    <row r="266" spans="38:64" x14ac:dyDescent="0.3">
      <c r="AL266">
        <f t="shared" si="53"/>
        <v>4</v>
      </c>
      <c r="AM266">
        <f t="shared" si="54"/>
        <v>265</v>
      </c>
      <c r="AN266">
        <v>12</v>
      </c>
      <c r="AO266" t="s">
        <v>2948</v>
      </c>
      <c r="AP266" s="4">
        <v>74610000</v>
      </c>
      <c r="AQ266" s="471">
        <v>100</v>
      </c>
      <c r="AR266">
        <f t="shared" si="57"/>
        <v>1</v>
      </c>
      <c r="AW266">
        <f>IF($N$70="No",-20,1)</f>
        <v>1</v>
      </c>
      <c r="BH266">
        <f t="shared" si="58"/>
        <v>1</v>
      </c>
      <c r="BJ266">
        <f t="shared" si="52"/>
        <v>1</v>
      </c>
      <c r="BK266" s="57">
        <f t="shared" si="55"/>
        <v>265</v>
      </c>
      <c r="BL266" s="57" t="str">
        <f t="shared" si="56"/>
        <v>Ghorrd's Submersible (Sylean Dream)</v>
      </c>
    </row>
    <row r="267" spans="38:64" x14ac:dyDescent="0.3">
      <c r="AL267">
        <f t="shared" si="53"/>
        <v>4</v>
      </c>
      <c r="AM267">
        <f t="shared" si="54"/>
        <v>266</v>
      </c>
      <c r="AN267">
        <v>12</v>
      </c>
      <c r="AO267" t="s">
        <v>2949</v>
      </c>
      <c r="AP267" s="4">
        <v>6880000</v>
      </c>
      <c r="AQ267">
        <v>20</v>
      </c>
      <c r="AR267">
        <f t="shared" si="57"/>
        <v>1</v>
      </c>
      <c r="AT267">
        <f>IF($N$67="No",-20,1)</f>
        <v>1</v>
      </c>
      <c r="BH267">
        <f t="shared" si="58"/>
        <v>1</v>
      </c>
      <c r="BJ267">
        <f t="shared" si="52"/>
        <v>1</v>
      </c>
      <c r="BK267" s="57">
        <f t="shared" si="55"/>
        <v>266</v>
      </c>
      <c r="BL267" s="57" t="str">
        <f t="shared" si="56"/>
        <v>Gig (Core'24)</v>
      </c>
    </row>
    <row r="268" spans="38:64" x14ac:dyDescent="0.3">
      <c r="AL268">
        <f t="shared" si="53"/>
        <v>4</v>
      </c>
      <c r="AM268">
        <f t="shared" si="54"/>
        <v>267</v>
      </c>
      <c r="AN268">
        <v>12</v>
      </c>
      <c r="AO268" t="s">
        <v>2950</v>
      </c>
      <c r="AP268" s="4">
        <v>27639000</v>
      </c>
      <c r="AQ268" s="431">
        <v>35</v>
      </c>
      <c r="AR268">
        <f t="shared" si="57"/>
        <v>1</v>
      </c>
      <c r="AU268">
        <f>IF($N$68="No",-20,1)</f>
        <v>1</v>
      </c>
      <c r="BH268">
        <f t="shared" si="58"/>
        <v>1</v>
      </c>
      <c r="BJ268">
        <f t="shared" si="52"/>
        <v>1</v>
      </c>
      <c r="BK268" s="57">
        <f t="shared" si="55"/>
        <v>267</v>
      </c>
      <c r="BL268" s="57" t="str">
        <f t="shared" si="56"/>
        <v>Glorious Empire Elar Kha'yaheh Multi-Purpose Fighter (Glorious Empire)</v>
      </c>
    </row>
    <row r="269" spans="38:64" x14ac:dyDescent="0.3">
      <c r="AL269">
        <f t="shared" si="53"/>
        <v>4</v>
      </c>
      <c r="AM269">
        <f t="shared" si="54"/>
        <v>268</v>
      </c>
      <c r="AN269">
        <v>12</v>
      </c>
      <c r="AO269" t="s">
        <v>2951</v>
      </c>
      <c r="AP269" s="4">
        <v>27739000</v>
      </c>
      <c r="AQ269" s="431">
        <v>35</v>
      </c>
      <c r="AR269">
        <f t="shared" si="57"/>
        <v>1</v>
      </c>
      <c r="AU269">
        <f>IF($N$68="No",-20,1)</f>
        <v>1</v>
      </c>
      <c r="BH269">
        <f t="shared" si="58"/>
        <v>1</v>
      </c>
      <c r="BJ269">
        <f t="shared" si="52"/>
        <v>1</v>
      </c>
      <c r="BK269" s="57">
        <f t="shared" si="55"/>
        <v>268</v>
      </c>
      <c r="BL269" s="57" t="str">
        <f t="shared" si="56"/>
        <v>Glorious Empire Elar Kha'yaheh Multi-Purpose Fighter (Naval Adventure 3)</v>
      </c>
    </row>
    <row r="270" spans="38:64" x14ac:dyDescent="0.3">
      <c r="AL270">
        <f t="shared" si="53"/>
        <v>4</v>
      </c>
      <c r="AM270">
        <f t="shared" si="54"/>
        <v>269</v>
      </c>
      <c r="AN270">
        <v>9</v>
      </c>
      <c r="AO270" t="s">
        <v>2952</v>
      </c>
      <c r="AP270" s="4">
        <v>191575</v>
      </c>
      <c r="AQ270">
        <v>20</v>
      </c>
      <c r="AR270">
        <f t="shared" si="57"/>
        <v>1</v>
      </c>
      <c r="BF270">
        <f>IF($N$79="No",-20,1)</f>
        <v>1</v>
      </c>
      <c r="BH270">
        <f t="shared" si="58"/>
        <v>1</v>
      </c>
      <c r="BJ270">
        <f t="shared" si="52"/>
        <v>1</v>
      </c>
      <c r="BK270" s="57">
        <f t="shared" si="55"/>
        <v>269</v>
      </c>
      <c r="BL270" s="57" t="str">
        <f t="shared" si="56"/>
        <v>Glorious Empire Stailoakh Slaver ATV (Glorious Empire)</v>
      </c>
    </row>
    <row r="271" spans="38:64" ht="15.6" x14ac:dyDescent="0.3">
      <c r="AL271">
        <f t="shared" si="53"/>
        <v>4</v>
      </c>
      <c r="AM271">
        <f t="shared" si="54"/>
        <v>270</v>
      </c>
      <c r="AN271" s="437">
        <v>13</v>
      </c>
      <c r="AO271" s="437" t="s">
        <v>2953</v>
      </c>
      <c r="AP271" s="4">
        <v>217635000</v>
      </c>
      <c r="AQ271" s="471">
        <v>500</v>
      </c>
      <c r="AR271">
        <f t="shared" si="57"/>
        <v>1</v>
      </c>
      <c r="AT271">
        <f>IF($N$67="No",-20,1)</f>
        <v>1</v>
      </c>
      <c r="BH271">
        <f t="shared" si="58"/>
        <v>1</v>
      </c>
      <c r="BJ271">
        <f t="shared" si="52"/>
        <v>1</v>
      </c>
      <c r="BK271" s="57">
        <f t="shared" si="55"/>
        <v>270</v>
      </c>
      <c r="BL271" s="57" t="str">
        <f t="shared" si="56"/>
        <v>Glorious Empire Su'ikh Interceptor (Glorious Empire)</v>
      </c>
    </row>
    <row r="272" spans="38:64" x14ac:dyDescent="0.3">
      <c r="AL272">
        <f t="shared" si="53"/>
        <v>4</v>
      </c>
      <c r="AM272">
        <f t="shared" si="54"/>
        <v>271</v>
      </c>
      <c r="AN272">
        <v>10</v>
      </c>
      <c r="AO272" t="s">
        <v>2954</v>
      </c>
      <c r="AP272" s="4">
        <v>59495000</v>
      </c>
      <c r="AQ272" s="431">
        <v>200</v>
      </c>
      <c r="AR272">
        <f t="shared" si="57"/>
        <v>1</v>
      </c>
      <c r="AU272">
        <f>IF($N$68="No",-20,1)</f>
        <v>1</v>
      </c>
      <c r="BH272">
        <f t="shared" si="58"/>
        <v>1</v>
      </c>
      <c r="BJ272">
        <f t="shared" si="52"/>
        <v>1</v>
      </c>
      <c r="BK272" s="57">
        <f t="shared" si="55"/>
        <v>271</v>
      </c>
      <c r="BL272" s="57" t="str">
        <f t="shared" si="56"/>
        <v>Glorious Empire Yeyuela Attack Boat (The Deep and the Dark)</v>
      </c>
    </row>
    <row r="273" spans="38:64" x14ac:dyDescent="0.3">
      <c r="AL273">
        <f t="shared" si="53"/>
        <v>4</v>
      </c>
      <c r="AM273">
        <f t="shared" si="54"/>
        <v>272</v>
      </c>
      <c r="AN273">
        <v>15</v>
      </c>
      <c r="AO273" t="s">
        <v>1883</v>
      </c>
      <c r="AP273" s="4">
        <v>22980000000</v>
      </c>
      <c r="AQ273" s="687">
        <v>30000</v>
      </c>
      <c r="AR273">
        <f t="shared" si="57"/>
        <v>1</v>
      </c>
      <c r="AU273">
        <f>IF($N$68="No",-20,1)</f>
        <v>1</v>
      </c>
      <c r="BH273">
        <f t="shared" si="58"/>
        <v>1</v>
      </c>
      <c r="BJ273">
        <f t="shared" si="52"/>
        <v>1</v>
      </c>
      <c r="BK273" s="57">
        <f t="shared" si="55"/>
        <v>272</v>
      </c>
      <c r="BL273" s="57" t="str">
        <f t="shared" si="56"/>
        <v>Gorte-Class Battle Rider (JTAS Vol. 12)</v>
      </c>
    </row>
    <row r="274" spans="38:64" ht="15.6" x14ac:dyDescent="0.3">
      <c r="AL274">
        <f t="shared" si="53"/>
        <v>4</v>
      </c>
      <c r="AM274">
        <f t="shared" si="54"/>
        <v>273</v>
      </c>
      <c r="AN274" s="437">
        <v>15</v>
      </c>
      <c r="AO274" s="437" t="s">
        <v>2955</v>
      </c>
      <c r="AP274" s="4">
        <v>98490000</v>
      </c>
      <c r="AQ274" s="431">
        <v>100</v>
      </c>
      <c r="AR274">
        <f t="shared" si="57"/>
        <v>1</v>
      </c>
      <c r="AT274">
        <f>IF($N$67="No",-20,1)</f>
        <v>1</v>
      </c>
      <c r="BH274">
        <f t="shared" si="58"/>
        <v>1</v>
      </c>
      <c r="BJ274">
        <f t="shared" si="52"/>
        <v>1</v>
      </c>
      <c r="BK274" s="57">
        <f t="shared" si="55"/>
        <v>273</v>
      </c>
      <c r="BL274" s="57" t="str">
        <f t="shared" si="56"/>
        <v>Goshawk Orbital Defense Corvette (Sylean Dream)</v>
      </c>
    </row>
    <row r="275" spans="38:64" x14ac:dyDescent="0.3">
      <c r="AL275">
        <f t="shared" si="53"/>
        <v>4</v>
      </c>
      <c r="AM275">
        <f t="shared" si="54"/>
        <v>274</v>
      </c>
      <c r="AN275">
        <v>10</v>
      </c>
      <c r="AO275" t="s">
        <v>2956</v>
      </c>
      <c r="AP275" s="4">
        <v>474500</v>
      </c>
      <c r="AQ275" s="471">
        <v>4</v>
      </c>
      <c r="AR275">
        <f t="shared" si="57"/>
        <v>1</v>
      </c>
      <c r="AT275">
        <f>IF($N$67="No",-20,1)</f>
        <v>1</v>
      </c>
      <c r="BH275">
        <f t="shared" si="58"/>
        <v>1</v>
      </c>
      <c r="BJ275">
        <f t="shared" si="52"/>
        <v>1</v>
      </c>
      <c r="BK275" s="57">
        <f t="shared" si="55"/>
        <v>274</v>
      </c>
      <c r="BL275" s="57" t="str">
        <f t="shared" si="56"/>
        <v>Grav Buggy w/Fusion+ (JTAS Vol. 16)</v>
      </c>
    </row>
    <row r="276" spans="38:64" x14ac:dyDescent="0.3">
      <c r="AL276">
        <f t="shared" si="53"/>
        <v>4</v>
      </c>
      <c r="AM276">
        <f t="shared" si="54"/>
        <v>275</v>
      </c>
      <c r="AN276">
        <v>12</v>
      </c>
      <c r="AO276" t="s">
        <v>1896</v>
      </c>
      <c r="AP276" s="4">
        <v>160000</v>
      </c>
      <c r="AQ276" s="471">
        <v>1.5</v>
      </c>
      <c r="AR276">
        <f t="shared" si="57"/>
        <v>1</v>
      </c>
      <c r="AU276">
        <f>IF($N$68="No",-20,1)</f>
        <v>1</v>
      </c>
      <c r="BH276">
        <f t="shared" si="58"/>
        <v>1</v>
      </c>
      <c r="BJ276">
        <f t="shared" si="52"/>
        <v>1</v>
      </c>
      <c r="BK276" s="57">
        <f t="shared" si="55"/>
        <v>275</v>
      </c>
      <c r="BL276" s="57" t="str">
        <f t="shared" si="56"/>
        <v>Grav Cart (JTAS Vol. 14)</v>
      </c>
    </row>
    <row r="277" spans="38:64" x14ac:dyDescent="0.3">
      <c r="AL277">
        <f t="shared" si="53"/>
        <v>4</v>
      </c>
      <c r="AM277">
        <f t="shared" si="54"/>
        <v>276</v>
      </c>
      <c r="AN277">
        <v>11</v>
      </c>
      <c r="AO277" t="s">
        <v>2957</v>
      </c>
      <c r="AP277" s="4">
        <v>24000</v>
      </c>
      <c r="AQ277">
        <v>0.5</v>
      </c>
      <c r="AR277">
        <f t="shared" si="57"/>
        <v>1</v>
      </c>
      <c r="BF277">
        <f>IF($N$79="No",-20,1)</f>
        <v>1</v>
      </c>
      <c r="BH277">
        <f t="shared" si="58"/>
        <v>1</v>
      </c>
      <c r="BJ277">
        <f t="shared" si="52"/>
        <v>1</v>
      </c>
      <c r="BK277" s="57">
        <f t="shared" si="55"/>
        <v>276</v>
      </c>
      <c r="BL277" s="57" t="str">
        <f t="shared" si="56"/>
        <v>Grav/Floater (Vehicle Handbook)</v>
      </c>
    </row>
    <row r="278" spans="38:64" ht="15.6" x14ac:dyDescent="0.3">
      <c r="AL278">
        <f t="shared" si="53"/>
        <v>4</v>
      </c>
      <c r="AM278">
        <f t="shared" si="54"/>
        <v>277</v>
      </c>
      <c r="AN278" s="437">
        <v>12</v>
      </c>
      <c r="AO278" s="437" t="s">
        <v>1828</v>
      </c>
      <c r="AP278" s="438">
        <v>1180000</v>
      </c>
      <c r="AQ278" s="439">
        <v>20</v>
      </c>
      <c r="AR278">
        <f t="shared" si="57"/>
        <v>1</v>
      </c>
      <c r="AU278">
        <f>IF($N$68="No",-20,1)</f>
        <v>1</v>
      </c>
      <c r="BH278">
        <f t="shared" si="58"/>
        <v>1</v>
      </c>
      <c r="BJ278">
        <f t="shared" si="52"/>
        <v>1</v>
      </c>
      <c r="BK278" s="57">
        <f t="shared" si="55"/>
        <v>277</v>
      </c>
      <c r="BL278" s="57" t="str">
        <f t="shared" si="56"/>
        <v>Grav-Assisted ATV (JTAS Vol. 1)</v>
      </c>
    </row>
    <row r="279" spans="38:64" x14ac:dyDescent="0.3">
      <c r="AL279">
        <f t="shared" si="53"/>
        <v>4</v>
      </c>
      <c r="AM279">
        <f t="shared" si="54"/>
        <v>278</v>
      </c>
      <c r="AN279">
        <v>13</v>
      </c>
      <c r="AO279" t="s">
        <v>2958</v>
      </c>
      <c r="AP279" s="4">
        <v>1830000</v>
      </c>
      <c r="AQ279">
        <v>15</v>
      </c>
      <c r="AR279">
        <f t="shared" si="57"/>
        <v>1</v>
      </c>
      <c r="AW279">
        <f>IF($N$70="No",-20,1)</f>
        <v>1</v>
      </c>
      <c r="BH279">
        <f t="shared" si="58"/>
        <v>1</v>
      </c>
      <c r="BJ279">
        <f t="shared" si="52"/>
        <v>1</v>
      </c>
      <c r="BK279" s="57">
        <f t="shared" si="55"/>
        <v>278</v>
      </c>
      <c r="BL279" s="57" t="str">
        <f t="shared" si="56"/>
        <v>Grinder Subterranean Assault Capsule (Vehicle Handbook)</v>
      </c>
    </row>
    <row r="280" spans="38:64" x14ac:dyDescent="0.3">
      <c r="AL280">
        <f t="shared" si="53"/>
        <v>4</v>
      </c>
      <c r="AM280">
        <f t="shared" si="54"/>
        <v>279</v>
      </c>
      <c r="AN280">
        <v>8</v>
      </c>
      <c r="AO280" t="s">
        <v>2959</v>
      </c>
      <c r="AP280" s="4">
        <v>6500</v>
      </c>
      <c r="AQ280">
        <v>3</v>
      </c>
      <c r="AR280">
        <f t="shared" si="57"/>
        <v>1</v>
      </c>
      <c r="AU280">
        <f>IF($N$68="No",-20,1)</f>
        <v>1</v>
      </c>
      <c r="BH280">
        <f t="shared" si="58"/>
        <v>1</v>
      </c>
      <c r="BJ280">
        <f t="shared" si="52"/>
        <v>1</v>
      </c>
      <c r="BK280" s="57">
        <f t="shared" si="55"/>
        <v>279</v>
      </c>
      <c r="BL280" s="57" t="str">
        <f t="shared" si="56"/>
        <v>Ground Car (Vehicle Handbook)</v>
      </c>
    </row>
    <row r="281" spans="38:64" x14ac:dyDescent="0.3">
      <c r="AL281">
        <f t="shared" si="53"/>
        <v>4</v>
      </c>
      <c r="AM281">
        <f t="shared" si="54"/>
        <v>280</v>
      </c>
      <c r="AN281">
        <v>10</v>
      </c>
      <c r="AO281" t="s">
        <v>2960</v>
      </c>
      <c r="AP281" s="4">
        <v>21900</v>
      </c>
      <c r="AQ281" s="471">
        <v>3</v>
      </c>
      <c r="AR281">
        <f t="shared" si="57"/>
        <v>1</v>
      </c>
      <c r="AU281">
        <f>IF($N$68="No",-20,1)</f>
        <v>1</v>
      </c>
      <c r="BH281">
        <f t="shared" si="58"/>
        <v>1</v>
      </c>
      <c r="BJ281">
        <f t="shared" ref="BJ281:BJ312" si="59">IF($N$61="Yes",1,IF(AN281&gt;TL,-20,1))</f>
        <v>1</v>
      </c>
      <c r="BK281" s="57">
        <f t="shared" si="55"/>
        <v>280</v>
      </c>
      <c r="BL281" s="57" t="str">
        <f t="shared" si="56"/>
        <v>Ground Car w/Fusion+ (JTAS Vol. 16)</v>
      </c>
    </row>
    <row r="282" spans="38:64" x14ac:dyDescent="0.3">
      <c r="AL282">
        <f t="shared" si="53"/>
        <v>4</v>
      </c>
      <c r="AM282">
        <f t="shared" si="54"/>
        <v>281</v>
      </c>
      <c r="AN282">
        <v>8</v>
      </c>
      <c r="AO282" t="s">
        <v>1803</v>
      </c>
      <c r="AP282" s="4">
        <v>20200</v>
      </c>
      <c r="AQ282" s="471">
        <v>3</v>
      </c>
      <c r="AR282">
        <f t="shared" si="57"/>
        <v>1</v>
      </c>
      <c r="AT282">
        <f>IF($N$67="No",-20,1)</f>
        <v>1</v>
      </c>
      <c r="BH282">
        <f t="shared" si="58"/>
        <v>1</v>
      </c>
      <c r="BJ282">
        <f t="shared" si="59"/>
        <v>1</v>
      </c>
      <c r="BK282" s="57">
        <f t="shared" si="55"/>
        <v>281</v>
      </c>
      <c r="BL282" s="57" t="str">
        <f t="shared" si="56"/>
        <v>GS-3 Fast Attack Vehicle (Field Catalogue)</v>
      </c>
    </row>
    <row r="283" spans="38:64" x14ac:dyDescent="0.3">
      <c r="AL283">
        <f t="shared" si="53"/>
        <v>4</v>
      </c>
      <c r="AM283">
        <f t="shared" si="54"/>
        <v>282</v>
      </c>
      <c r="AN283">
        <v>9</v>
      </c>
      <c r="AO283" t="s">
        <v>2961</v>
      </c>
      <c r="AP283" s="4">
        <v>395500</v>
      </c>
      <c r="AQ283" s="471">
        <v>14</v>
      </c>
      <c r="AR283">
        <f t="shared" si="57"/>
        <v>1</v>
      </c>
      <c r="AU283">
        <f>IF($N$68="No",-20,1)</f>
        <v>1</v>
      </c>
      <c r="BH283">
        <f t="shared" si="58"/>
        <v>1</v>
      </c>
      <c r="BJ283">
        <f t="shared" si="59"/>
        <v>1</v>
      </c>
      <c r="BK283" s="57">
        <f t="shared" si="55"/>
        <v>282</v>
      </c>
      <c r="BL283" s="57" t="str">
        <f t="shared" si="56"/>
        <v>Guardian APC (Far Trader Comic #3)</v>
      </c>
    </row>
    <row r="284" spans="38:64" x14ac:dyDescent="0.3">
      <c r="AL284">
        <f t="shared" si="53"/>
        <v>4</v>
      </c>
      <c r="AM284">
        <f t="shared" si="54"/>
        <v>283</v>
      </c>
      <c r="AN284">
        <v>15</v>
      </c>
      <c r="AO284" t="s">
        <v>1892</v>
      </c>
      <c r="AP284" s="4">
        <v>52896000</v>
      </c>
      <c r="AQ284" s="471">
        <v>40</v>
      </c>
      <c r="AR284">
        <f t="shared" si="57"/>
        <v>1</v>
      </c>
      <c r="AU284">
        <f>IF($N$68="No",-20,1)</f>
        <v>1</v>
      </c>
      <c r="BH284">
        <f t="shared" si="58"/>
        <v>1</v>
      </c>
      <c r="BJ284">
        <f t="shared" si="59"/>
        <v>1</v>
      </c>
      <c r="BK284" s="57">
        <f t="shared" si="55"/>
        <v>283</v>
      </c>
      <c r="BL284" s="57" t="str">
        <f t="shared" si="56"/>
        <v>Gukhii-Class Fighter (JTAS Vol. 14)</v>
      </c>
    </row>
    <row r="285" spans="38:64" x14ac:dyDescent="0.3">
      <c r="AL285">
        <f t="shared" si="53"/>
        <v>4</v>
      </c>
      <c r="AM285">
        <f t="shared" si="54"/>
        <v>284</v>
      </c>
      <c r="AN285">
        <v>9</v>
      </c>
      <c r="AO285" t="s">
        <v>2962</v>
      </c>
      <c r="AP285" s="4">
        <v>988000</v>
      </c>
      <c r="AQ285">
        <v>22.5</v>
      </c>
      <c r="AR285">
        <f t="shared" si="57"/>
        <v>1</v>
      </c>
      <c r="AU285">
        <f>IF($N$68="No",-20,1)</f>
        <v>1</v>
      </c>
      <c r="BH285">
        <f t="shared" si="58"/>
        <v>1</v>
      </c>
      <c r="BJ285">
        <f t="shared" si="59"/>
        <v>1</v>
      </c>
      <c r="BK285" s="57">
        <f t="shared" si="55"/>
        <v>284</v>
      </c>
      <c r="BL285" s="57" t="str">
        <f t="shared" si="56"/>
        <v>Gun Transport (Vehicle Handbook)</v>
      </c>
    </row>
    <row r="286" spans="38:64" x14ac:dyDescent="0.3">
      <c r="AL286">
        <f t="shared" si="53"/>
        <v>4</v>
      </c>
      <c r="AM286">
        <f t="shared" si="54"/>
        <v>285</v>
      </c>
      <c r="AN286">
        <v>12</v>
      </c>
      <c r="AO286" t="s">
        <v>2963</v>
      </c>
      <c r="AP286" s="4">
        <v>37330000</v>
      </c>
      <c r="AQ286" s="431">
        <v>100</v>
      </c>
      <c r="AR286">
        <f t="shared" si="57"/>
        <v>1</v>
      </c>
      <c r="AT286">
        <f>IF($N$67="No",-20,1)</f>
        <v>1</v>
      </c>
      <c r="BH286">
        <f t="shared" si="58"/>
        <v>1</v>
      </c>
      <c r="BJ286">
        <f t="shared" si="59"/>
        <v>1</v>
      </c>
      <c r="BK286" s="57">
        <f t="shared" si="55"/>
        <v>285</v>
      </c>
      <c r="BL286" s="57" t="str">
        <f t="shared" si="56"/>
        <v>Gunship Lighter (Behind the Claw)</v>
      </c>
    </row>
    <row r="287" spans="38:64" x14ac:dyDescent="0.3">
      <c r="AL287">
        <f t="shared" si="53"/>
        <v>4</v>
      </c>
      <c r="AM287">
        <f t="shared" si="54"/>
        <v>286</v>
      </c>
      <c r="AN287">
        <v>10</v>
      </c>
      <c r="AO287" t="s">
        <v>2964</v>
      </c>
      <c r="AP287" s="4">
        <v>313750</v>
      </c>
      <c r="AQ287">
        <v>10</v>
      </c>
      <c r="AR287">
        <f t="shared" si="57"/>
        <v>1</v>
      </c>
      <c r="AU287">
        <f>IF($N$68="No",-20,1)</f>
        <v>1</v>
      </c>
      <c r="BH287">
        <f t="shared" si="58"/>
        <v>1</v>
      </c>
      <c r="BJ287">
        <f t="shared" si="59"/>
        <v>1</v>
      </c>
      <c r="BK287" s="57">
        <f t="shared" si="55"/>
        <v>286</v>
      </c>
      <c r="BL287" s="57" t="str">
        <f t="shared" si="56"/>
        <v>Gunskiff (Vehicle Handbook)</v>
      </c>
    </row>
    <row r="288" spans="38:64" ht="15.6" x14ac:dyDescent="0.3">
      <c r="AL288">
        <f t="shared" si="53"/>
        <v>4</v>
      </c>
      <c r="AM288">
        <f t="shared" si="54"/>
        <v>287</v>
      </c>
      <c r="AN288" s="437">
        <v>12</v>
      </c>
      <c r="AO288" s="437" t="s">
        <v>2965</v>
      </c>
      <c r="AP288" s="438">
        <v>104090000</v>
      </c>
      <c r="AQ288" s="439">
        <v>300</v>
      </c>
      <c r="AR288">
        <f t="shared" si="57"/>
        <v>1</v>
      </c>
      <c r="AU288">
        <f>IF($N$68="No",-20,1)</f>
        <v>1</v>
      </c>
      <c r="BH288">
        <f t="shared" si="58"/>
        <v>1</v>
      </c>
      <c r="BJ288">
        <f t="shared" si="59"/>
        <v>1</v>
      </c>
      <c r="BK288" s="57">
        <f t="shared" si="55"/>
        <v>287</v>
      </c>
      <c r="BL288" s="57" t="str">
        <f t="shared" si="56"/>
        <v>Guo-Class Solomani System Defense Boat (Traders &amp; Gunboats)</v>
      </c>
    </row>
    <row r="289" spans="38:64" x14ac:dyDescent="0.3">
      <c r="AL289">
        <f t="shared" si="53"/>
        <v>4</v>
      </c>
      <c r="AM289">
        <f t="shared" si="54"/>
        <v>288</v>
      </c>
      <c r="AN289">
        <v>13</v>
      </c>
      <c r="AO289" t="s">
        <v>2966</v>
      </c>
      <c r="AP289" s="4">
        <v>55652500</v>
      </c>
      <c r="AQ289" s="431">
        <v>150</v>
      </c>
      <c r="AR289">
        <f t="shared" si="57"/>
        <v>1</v>
      </c>
      <c r="AU289">
        <f>IF($N$68="No",-20,1)</f>
        <v>1</v>
      </c>
      <c r="BH289">
        <f t="shared" si="58"/>
        <v>1</v>
      </c>
      <c r="BJ289">
        <f t="shared" si="59"/>
        <v>1</v>
      </c>
      <c r="BK289" s="57">
        <f t="shared" si="55"/>
        <v>288</v>
      </c>
      <c r="BL289" s="57" t="str">
        <f t="shared" si="56"/>
        <v>Gurvin Nawryne Trade Scout (AoCS4)</v>
      </c>
    </row>
    <row r="290" spans="38:64" x14ac:dyDescent="0.3">
      <c r="AL290">
        <f t="shared" si="53"/>
        <v>4</v>
      </c>
      <c r="AM290">
        <f t="shared" si="54"/>
        <v>289</v>
      </c>
      <c r="AN290">
        <v>6</v>
      </c>
      <c r="AO290" t="s">
        <v>2967</v>
      </c>
      <c r="AP290" s="4">
        <v>149000</v>
      </c>
      <c r="AQ290">
        <v>4</v>
      </c>
      <c r="AR290">
        <f t="shared" si="57"/>
        <v>1</v>
      </c>
      <c r="AU290">
        <f>IF($N$68="No",-20,1)</f>
        <v>1</v>
      </c>
      <c r="BH290">
        <f t="shared" si="58"/>
        <v>1</v>
      </c>
      <c r="BJ290">
        <f t="shared" si="59"/>
        <v>1</v>
      </c>
      <c r="BK290" s="57">
        <f t="shared" si="55"/>
        <v>289</v>
      </c>
      <c r="BL290" s="57" t="str">
        <f t="shared" si="56"/>
        <v>GVR Minicon (Vehicle Handbook)</v>
      </c>
    </row>
    <row r="291" spans="38:64" x14ac:dyDescent="0.3">
      <c r="AL291">
        <f t="shared" si="53"/>
        <v>4</v>
      </c>
      <c r="AM291">
        <f t="shared" si="54"/>
        <v>290</v>
      </c>
      <c r="AN291">
        <v>15</v>
      </c>
      <c r="AO291" t="s">
        <v>2968</v>
      </c>
      <c r="AP291" s="4">
        <v>34876030000</v>
      </c>
      <c r="AQ291">
        <v>50000</v>
      </c>
      <c r="AR291">
        <f t="shared" si="57"/>
        <v>1</v>
      </c>
      <c r="BF291">
        <f>IF($N$79="No",-20,1)</f>
        <v>1</v>
      </c>
      <c r="BH291">
        <f t="shared" si="58"/>
        <v>1</v>
      </c>
      <c r="BJ291">
        <f t="shared" si="59"/>
        <v>1</v>
      </c>
      <c r="BK291" s="57">
        <f t="shared" si="55"/>
        <v>290</v>
      </c>
      <c r="BL291" s="57" t="str">
        <f t="shared" si="56"/>
        <v>Hadrian Battle Rider (HG'22)</v>
      </c>
    </row>
    <row r="292" spans="38:64" ht="15.6" x14ac:dyDescent="0.3">
      <c r="AL292">
        <f t="shared" si="53"/>
        <v>3</v>
      </c>
      <c r="AM292">
        <f t="shared" si="54"/>
        <v>291</v>
      </c>
      <c r="AN292" s="437">
        <v>6</v>
      </c>
      <c r="AO292" s="437" t="s">
        <v>1913</v>
      </c>
      <c r="AP292" s="438">
        <v>337450</v>
      </c>
      <c r="AQ292" s="439">
        <v>15</v>
      </c>
      <c r="AR292">
        <f t="shared" si="57"/>
        <v>1</v>
      </c>
      <c r="BH292">
        <f t="shared" si="58"/>
        <v>1</v>
      </c>
      <c r="BJ292">
        <f t="shared" si="59"/>
        <v>1</v>
      </c>
      <c r="BK292" s="57">
        <f t="shared" si="55"/>
        <v>291</v>
      </c>
      <c r="BL292" s="57" t="str">
        <f t="shared" si="56"/>
        <v>Half-Track Truck (Mercenary Adventure 1)</v>
      </c>
    </row>
    <row r="293" spans="38:64" x14ac:dyDescent="0.3">
      <c r="AL293">
        <f t="shared" si="53"/>
        <v>4</v>
      </c>
      <c r="AM293">
        <f t="shared" si="54"/>
        <v>292</v>
      </c>
      <c r="AN293">
        <v>2</v>
      </c>
      <c r="AO293" t="s">
        <v>2969</v>
      </c>
      <c r="AP293" s="4">
        <v>25000</v>
      </c>
      <c r="AQ293" s="471">
        <v>10</v>
      </c>
      <c r="AR293">
        <f t="shared" si="57"/>
        <v>1</v>
      </c>
      <c r="AU293">
        <f>IF($N$68="No",-20,1)</f>
        <v>1</v>
      </c>
      <c r="BH293">
        <f t="shared" si="58"/>
        <v>1</v>
      </c>
      <c r="BJ293">
        <f t="shared" si="59"/>
        <v>1</v>
      </c>
      <c r="BK293" s="57">
        <f t="shared" si="55"/>
        <v>292</v>
      </c>
      <c r="BL293" s="57" t="str">
        <f t="shared" si="56"/>
        <v>Hand-Cranked Dirigible (Behind the Claw)</v>
      </c>
    </row>
    <row r="294" spans="38:64" ht="15.6" x14ac:dyDescent="0.3">
      <c r="AL294">
        <f t="shared" si="53"/>
        <v>4</v>
      </c>
      <c r="AM294">
        <f t="shared" si="54"/>
        <v>293</v>
      </c>
      <c r="AN294" s="437">
        <v>15</v>
      </c>
      <c r="AO294" s="437" t="s">
        <v>1750</v>
      </c>
      <c r="AP294" s="438">
        <v>2919760000</v>
      </c>
      <c r="AQ294" s="439">
        <v>2600</v>
      </c>
      <c r="AR294">
        <f t="shared" si="57"/>
        <v>1</v>
      </c>
      <c r="AU294">
        <f>IF($N$68="No",-20,1)</f>
        <v>1</v>
      </c>
      <c r="BH294">
        <f t="shared" si="58"/>
        <v>1</v>
      </c>
      <c r="BJ294">
        <f t="shared" si="59"/>
        <v>1</v>
      </c>
      <c r="BK294" s="57">
        <f t="shared" si="55"/>
        <v>293</v>
      </c>
      <c r="BL294" s="57" t="str">
        <f t="shared" si="56"/>
        <v>Hanger Pod (DRCG)</v>
      </c>
    </row>
    <row r="295" spans="38:64" ht="15.6" x14ac:dyDescent="0.3">
      <c r="AL295">
        <f t="shared" si="53"/>
        <v>4</v>
      </c>
      <c r="AM295">
        <f t="shared" si="54"/>
        <v>294</v>
      </c>
      <c r="AN295" s="437">
        <v>15</v>
      </c>
      <c r="AO295" s="437" t="s">
        <v>1755</v>
      </c>
      <c r="AP295" s="438">
        <v>1405300000</v>
      </c>
      <c r="AQ295" s="439">
        <v>2600</v>
      </c>
      <c r="AR295">
        <f t="shared" si="57"/>
        <v>1</v>
      </c>
      <c r="AT295">
        <f>IF($N$67="No",-20,1)</f>
        <v>1</v>
      </c>
      <c r="BH295">
        <f t="shared" si="58"/>
        <v>1</v>
      </c>
      <c r="BJ295">
        <f t="shared" si="59"/>
        <v>1</v>
      </c>
      <c r="BK295" s="57">
        <f t="shared" si="55"/>
        <v>294</v>
      </c>
      <c r="BL295" s="57" t="str">
        <f t="shared" si="56"/>
        <v>Hanger Pod (ECC)</v>
      </c>
    </row>
    <row r="296" spans="38:64" ht="15.6" x14ac:dyDescent="0.3">
      <c r="AL296">
        <f t="shared" si="53"/>
        <v>4</v>
      </c>
      <c r="AM296">
        <f t="shared" si="54"/>
        <v>295</v>
      </c>
      <c r="AN296" s="437">
        <v>15</v>
      </c>
      <c r="AO296" s="437" t="s">
        <v>1963</v>
      </c>
      <c r="AP296" s="438">
        <v>3180000000</v>
      </c>
      <c r="AQ296" s="439">
        <v>2600</v>
      </c>
      <c r="AR296">
        <f t="shared" si="57"/>
        <v>1</v>
      </c>
      <c r="AU296">
        <f>IF($N$68="No",-20,1)</f>
        <v>1</v>
      </c>
      <c r="BH296">
        <f t="shared" si="58"/>
        <v>1</v>
      </c>
      <c r="BJ296">
        <f t="shared" si="59"/>
        <v>1</v>
      </c>
      <c r="BK296" s="57">
        <f t="shared" si="55"/>
        <v>295</v>
      </c>
      <c r="BL296" s="57" t="str">
        <f t="shared" si="56"/>
        <v>Hanger Pod (Opening Moves)</v>
      </c>
    </row>
    <row r="297" spans="38:64" x14ac:dyDescent="0.3">
      <c r="AL297">
        <f t="shared" si="53"/>
        <v>5</v>
      </c>
      <c r="AM297">
        <f t="shared" si="54"/>
        <v>296</v>
      </c>
      <c r="AN297">
        <v>5</v>
      </c>
      <c r="AO297" t="s">
        <v>2970</v>
      </c>
      <c r="AP297" s="4">
        <v>483000</v>
      </c>
      <c r="AQ297">
        <v>28</v>
      </c>
      <c r="AR297">
        <f t="shared" si="57"/>
        <v>1</v>
      </c>
      <c r="AS297">
        <f>IF($N$64="No",-20,1)</f>
        <v>1</v>
      </c>
      <c r="AU297">
        <f>IF($N$68="No",-20,1)</f>
        <v>1</v>
      </c>
      <c r="BH297">
        <f t="shared" si="58"/>
        <v>1</v>
      </c>
      <c r="BJ297">
        <f t="shared" si="59"/>
        <v>1</v>
      </c>
      <c r="BK297" s="57">
        <f t="shared" si="55"/>
        <v>296</v>
      </c>
      <c r="BL297" s="57" t="str">
        <f t="shared" si="56"/>
        <v>Hargrave H-6 Submersible Boat (Vehicle Handbook)</v>
      </c>
    </row>
    <row r="298" spans="38:64" x14ac:dyDescent="0.3">
      <c r="AL298">
        <f t="shared" si="53"/>
        <v>3</v>
      </c>
      <c r="AM298">
        <f t="shared" si="54"/>
        <v>297</v>
      </c>
      <c r="AN298">
        <v>12</v>
      </c>
      <c r="AO298" t="s">
        <v>1880</v>
      </c>
      <c r="AP298" s="4">
        <v>19710000</v>
      </c>
      <c r="AQ298" s="471">
        <v>90</v>
      </c>
      <c r="AR298">
        <f>IF($N$65="No",-20,1)</f>
        <v>1</v>
      </c>
      <c r="BI298">
        <f>IF($P$65=0,1,IF(AQ298&lt;=$P$65,1,-20))</f>
        <v>1</v>
      </c>
      <c r="BJ298">
        <f t="shared" si="59"/>
        <v>1</v>
      </c>
      <c r="BK298" s="57">
        <f t="shared" si="55"/>
        <v>297</v>
      </c>
      <c r="BL298" s="57" t="str">
        <f t="shared" si="56"/>
        <v>Hauler Shuttle (JTAS Vol. 11)</v>
      </c>
    </row>
    <row r="299" spans="38:64" x14ac:dyDescent="0.3">
      <c r="AL299">
        <f t="shared" si="53"/>
        <v>3</v>
      </c>
      <c r="AM299">
        <f t="shared" si="54"/>
        <v>298</v>
      </c>
      <c r="AN299">
        <v>15</v>
      </c>
      <c r="AO299" t="s">
        <v>2971</v>
      </c>
      <c r="AP299" s="4">
        <v>29347000</v>
      </c>
      <c r="AQ299" s="431">
        <v>24</v>
      </c>
      <c r="AR299">
        <f>IF($N$62="No",-20,1)</f>
        <v>1</v>
      </c>
      <c r="BG299">
        <f>IF($P$62=0,1,IF(AQ299&lt;=$P$62,1,-20))</f>
        <v>1</v>
      </c>
      <c r="BJ299">
        <f t="shared" si="59"/>
        <v>1</v>
      </c>
      <c r="BK299" s="57">
        <f t="shared" si="55"/>
        <v>298</v>
      </c>
      <c r="BL299" s="57" t="str">
        <f t="shared" si="56"/>
        <v>Hazardous Environment Exploration Boat (World Builder's Handbook)</v>
      </c>
    </row>
    <row r="300" spans="38:64" ht="15.6" x14ac:dyDescent="0.3">
      <c r="AL300">
        <f t="shared" si="53"/>
        <v>4</v>
      </c>
      <c r="AM300">
        <f t="shared" si="54"/>
        <v>299</v>
      </c>
      <c r="AN300" s="437">
        <v>10</v>
      </c>
      <c r="AO300" s="437" t="s">
        <v>1846</v>
      </c>
      <c r="AP300" s="438">
        <v>169000</v>
      </c>
      <c r="AQ300" s="439">
        <v>6</v>
      </c>
      <c r="AR300">
        <f>IF($N$62="No",-20,1)</f>
        <v>1</v>
      </c>
      <c r="AV300">
        <f>IF($N$69="No",-20,1)</f>
        <v>1</v>
      </c>
      <c r="BG300">
        <f>IF($P$62=0,1,IF(AQ300&lt;=$P$62,1,-20))</f>
        <v>1</v>
      </c>
      <c r="BJ300">
        <f t="shared" si="59"/>
        <v>1</v>
      </c>
      <c r="BK300" s="57">
        <f t="shared" si="55"/>
        <v>299</v>
      </c>
      <c r="BL300" s="57" t="str">
        <f t="shared" si="56"/>
        <v>Hazardous Environment Fire Engine (JTAS Vol. 5)</v>
      </c>
    </row>
    <row r="301" spans="38:64" x14ac:dyDescent="0.3">
      <c r="AL301">
        <f t="shared" si="53"/>
        <v>3</v>
      </c>
      <c r="AM301">
        <f t="shared" si="54"/>
        <v>300</v>
      </c>
      <c r="AN301">
        <v>10</v>
      </c>
      <c r="AO301" t="s">
        <v>2972</v>
      </c>
      <c r="AP301" s="4">
        <v>140000</v>
      </c>
      <c r="AQ301" s="471">
        <v>3.5</v>
      </c>
      <c r="AR301">
        <f>IF($N$63="No",-20,1)</f>
        <v>1</v>
      </c>
      <c r="BH301">
        <f>IF($P$63=0,1,IF(AQ301&lt;=$P$63,1,-20))</f>
        <v>1</v>
      </c>
      <c r="BJ301">
        <f t="shared" si="59"/>
        <v>1</v>
      </c>
      <c r="BK301" s="57">
        <f t="shared" si="55"/>
        <v>300</v>
      </c>
      <c r="BL301" s="57" t="str">
        <f t="shared" si="56"/>
        <v>Heardsman All-Terrain Walker (JTAS Vol. 17)</v>
      </c>
    </row>
    <row r="302" spans="38:64" x14ac:dyDescent="0.3">
      <c r="AL302">
        <f t="shared" si="53"/>
        <v>4</v>
      </c>
      <c r="AM302">
        <f t="shared" si="54"/>
        <v>301</v>
      </c>
      <c r="AN302">
        <v>10</v>
      </c>
      <c r="AO302" t="s">
        <v>2973</v>
      </c>
      <c r="AP302" s="4">
        <v>178000</v>
      </c>
      <c r="AQ302">
        <v>3</v>
      </c>
      <c r="AR302">
        <f>IF($N$62="No",-20,1)</f>
        <v>1</v>
      </c>
      <c r="BF302">
        <f>IF($N$79="No",-20,1)</f>
        <v>1</v>
      </c>
      <c r="BG302">
        <f>IF($P$62=0,1,IF(AQ302&lt;=$P$62,1,-20))</f>
        <v>1</v>
      </c>
      <c r="BJ302">
        <f t="shared" si="59"/>
        <v>1</v>
      </c>
      <c r="BK302" s="57">
        <f t="shared" si="55"/>
        <v>301</v>
      </c>
      <c r="BL302" s="57" t="str">
        <f t="shared" si="56"/>
        <v>Heaven70 Gunship Drone (Vehicle Handbook)</v>
      </c>
    </row>
    <row r="303" spans="38:64" x14ac:dyDescent="0.3">
      <c r="AL303">
        <f t="shared" si="53"/>
        <v>3</v>
      </c>
      <c r="AM303">
        <f t="shared" si="54"/>
        <v>302</v>
      </c>
      <c r="AN303">
        <v>15</v>
      </c>
      <c r="AO303" t="s">
        <v>2974</v>
      </c>
      <c r="AP303" s="4">
        <v>76570000</v>
      </c>
      <c r="AQ303">
        <v>50</v>
      </c>
      <c r="AR303">
        <f>IF($N$65="No",-20,1)</f>
        <v>1</v>
      </c>
      <c r="BI303">
        <f>IF($P$65=0,1,IF(AQ303&lt;=$P$65,1,-20))</f>
        <v>1</v>
      </c>
      <c r="BJ303">
        <f t="shared" si="59"/>
        <v>1</v>
      </c>
      <c r="BK303" s="57">
        <f t="shared" si="55"/>
        <v>302</v>
      </c>
      <c r="BL303" s="57" t="str">
        <f t="shared" si="56"/>
        <v>Heavy Fighter (HG'22)</v>
      </c>
    </row>
    <row r="304" spans="38:64" x14ac:dyDescent="0.3">
      <c r="AL304">
        <f t="shared" si="53"/>
        <v>3</v>
      </c>
      <c r="AM304">
        <f t="shared" si="54"/>
        <v>303</v>
      </c>
      <c r="AN304">
        <v>12</v>
      </c>
      <c r="AO304" t="s">
        <v>2975</v>
      </c>
      <c r="AP304" s="4">
        <v>21330000</v>
      </c>
      <c r="AQ304">
        <v>90</v>
      </c>
      <c r="AR304">
        <f>IF($N$62="No",-20,1)</f>
        <v>1</v>
      </c>
      <c r="BG304">
        <f>IF($P$62=0,1,IF(AQ304&lt;=$P$62,1,-20))</f>
        <v>1</v>
      </c>
      <c r="BJ304">
        <f t="shared" si="59"/>
        <v>1</v>
      </c>
      <c r="BK304" s="57">
        <f t="shared" si="55"/>
        <v>303</v>
      </c>
      <c r="BL304" s="57" t="str">
        <f t="shared" si="56"/>
        <v>Heavy Modular Cutter (SCC)</v>
      </c>
    </row>
    <row r="305" spans="38:64" x14ac:dyDescent="0.3">
      <c r="AL305">
        <f t="shared" si="53"/>
        <v>3</v>
      </c>
      <c r="AM305">
        <f t="shared" si="54"/>
        <v>304</v>
      </c>
      <c r="AN305">
        <v>7</v>
      </c>
      <c r="AO305" t="s">
        <v>2976</v>
      </c>
      <c r="AP305" s="4">
        <v>68000</v>
      </c>
      <c r="AQ305">
        <v>6</v>
      </c>
      <c r="AR305">
        <f>IF($N$62="No",-20,1)</f>
        <v>1</v>
      </c>
      <c r="BG305">
        <f>IF($P$62=0,1,IF(AQ305&lt;=$P$62,1,-20))</f>
        <v>1</v>
      </c>
      <c r="BJ305">
        <f t="shared" si="59"/>
        <v>1</v>
      </c>
      <c r="BK305" s="57">
        <f t="shared" si="55"/>
        <v>304</v>
      </c>
      <c r="BL305" s="57" t="str">
        <f t="shared" si="56"/>
        <v>Herkul Heavy Utility Vehicle (Vehicle Handbook)</v>
      </c>
    </row>
    <row r="306" spans="38:64" x14ac:dyDescent="0.3">
      <c r="AL306">
        <f t="shared" si="53"/>
        <v>4</v>
      </c>
      <c r="AM306">
        <f t="shared" si="54"/>
        <v>305</v>
      </c>
      <c r="AN306">
        <v>12</v>
      </c>
      <c r="AO306" t="s">
        <v>2977</v>
      </c>
      <c r="AP306" s="4">
        <v>58045000</v>
      </c>
      <c r="AQ306">
        <v>200</v>
      </c>
      <c r="AR306">
        <f>IF($N$62="No",-20,1)</f>
        <v>1</v>
      </c>
      <c r="BF306">
        <f>IF($N$79="No",-20,1)</f>
        <v>1</v>
      </c>
      <c r="BG306">
        <f>IF($P$62=0,1,IF(AQ306&lt;=$P$62,1,-20))</f>
        <v>1</v>
      </c>
      <c r="BJ306">
        <f t="shared" si="59"/>
        <v>1</v>
      </c>
      <c r="BK306" s="57">
        <f t="shared" si="55"/>
        <v>305</v>
      </c>
      <c r="BL306" s="57" t="str">
        <f t="shared" si="56"/>
        <v>Hero Type A2 Far Trader (HG'22)</v>
      </c>
    </row>
    <row r="307" spans="38:64" x14ac:dyDescent="0.3">
      <c r="AL307">
        <f t="shared" si="53"/>
        <v>4</v>
      </c>
      <c r="AM307">
        <f t="shared" si="54"/>
        <v>306</v>
      </c>
      <c r="AN307">
        <v>12</v>
      </c>
      <c r="AO307" t="s">
        <v>2978</v>
      </c>
      <c r="AP307" s="4">
        <v>982000</v>
      </c>
      <c r="AQ307">
        <v>17.5</v>
      </c>
      <c r="AR307">
        <f>IF($N$65="No",-20,1)</f>
        <v>1</v>
      </c>
      <c r="BB307">
        <f>IF($N$75="No",-20,1)</f>
        <v>1</v>
      </c>
      <c r="BI307">
        <f>IF($P$65=0,1,IF(AQ307&lt;=$P$65,1,-20))</f>
        <v>1</v>
      </c>
      <c r="BJ307">
        <f t="shared" si="59"/>
        <v>1</v>
      </c>
      <c r="BK307" s="57">
        <f t="shared" si="55"/>
        <v>306</v>
      </c>
      <c r="BL307" s="57" t="str">
        <f t="shared" si="56"/>
        <v>HEV-12 Hostile Environment (Vehicle Handbook)</v>
      </c>
    </row>
    <row r="308" spans="38:64" x14ac:dyDescent="0.3">
      <c r="AL308">
        <f t="shared" si="53"/>
        <v>4</v>
      </c>
      <c r="AM308">
        <f t="shared" si="54"/>
        <v>307</v>
      </c>
      <c r="AN308">
        <v>4</v>
      </c>
      <c r="AO308" t="s">
        <v>2979</v>
      </c>
      <c r="AP308" s="4">
        <v>356600</v>
      </c>
      <c r="AQ308" s="471">
        <v>90</v>
      </c>
      <c r="AR308">
        <f>IF($N$63="No",-20,1)</f>
        <v>1</v>
      </c>
      <c r="AW308">
        <f>IF($N$70="No",-20,1)</f>
        <v>1</v>
      </c>
      <c r="BH308">
        <f>IF($P$63=0,1,IF(AQ308&lt;=$P$63,1,-20))</f>
        <v>1</v>
      </c>
      <c r="BJ308">
        <f t="shared" si="59"/>
        <v>1</v>
      </c>
      <c r="BK308" s="57">
        <f t="shared" si="55"/>
        <v>307</v>
      </c>
      <c r="BL308" s="57" t="str">
        <f t="shared" si="56"/>
        <v>High Guardian Military Dirigible (Great Rifts Book 1)</v>
      </c>
    </row>
    <row r="309" spans="38:64" ht="15.6" x14ac:dyDescent="0.3">
      <c r="AL309">
        <f t="shared" si="53"/>
        <v>4</v>
      </c>
      <c r="AM309">
        <f t="shared" si="54"/>
        <v>308</v>
      </c>
      <c r="AN309" s="437">
        <v>15</v>
      </c>
      <c r="AO309" s="437" t="s">
        <v>2980</v>
      </c>
      <c r="AP309" s="438">
        <v>500300000</v>
      </c>
      <c r="AQ309" s="439">
        <v>400</v>
      </c>
      <c r="AR309">
        <f>IF($N$63="No",-20,1)</f>
        <v>1</v>
      </c>
      <c r="AT309">
        <f>IF($N$67="No",-20,1)</f>
        <v>1</v>
      </c>
      <c r="BH309">
        <f>IF($P$63=0,1,IF(AQ309&lt;=$P$63,1,-20))</f>
        <v>1</v>
      </c>
      <c r="BJ309">
        <f t="shared" si="59"/>
        <v>1</v>
      </c>
      <c r="BK309" s="57">
        <f t="shared" si="55"/>
        <v>308</v>
      </c>
      <c r="BL309" s="57" t="str">
        <f t="shared" si="56"/>
        <v>Hiver Keldyx System Defense Boat (Traders &amp; Gunboats)</v>
      </c>
    </row>
    <row r="310" spans="38:64" ht="15.6" x14ac:dyDescent="0.3">
      <c r="AL310">
        <f t="shared" si="53"/>
        <v>3</v>
      </c>
      <c r="AM310">
        <f t="shared" si="54"/>
        <v>309</v>
      </c>
      <c r="AN310" s="437">
        <v>15</v>
      </c>
      <c r="AO310" s="437" t="s">
        <v>2981</v>
      </c>
      <c r="AP310" s="438">
        <v>52788000</v>
      </c>
      <c r="AQ310" s="439">
        <v>30</v>
      </c>
      <c r="AR310">
        <f>IF($N$63="No",-20,1)</f>
        <v>1</v>
      </c>
      <c r="BH310">
        <f>IF($P$63=0,1,IF(AQ310&lt;=$P$63,1,-20))</f>
        <v>1</v>
      </c>
      <c r="BJ310">
        <f t="shared" si="59"/>
        <v>1</v>
      </c>
      <c r="BK310" s="57">
        <f t="shared" si="55"/>
        <v>309</v>
      </c>
      <c r="BL310" s="57" t="str">
        <f t="shared" si="56"/>
        <v>Hiver Ninnup Ship's Boat (Traders &amp; Gunboats)</v>
      </c>
    </row>
    <row r="311" spans="38:64" ht="15.6" x14ac:dyDescent="0.3">
      <c r="AL311">
        <f t="shared" si="53"/>
        <v>4</v>
      </c>
      <c r="AM311">
        <f t="shared" si="54"/>
        <v>310</v>
      </c>
      <c r="AN311" s="437">
        <v>11</v>
      </c>
      <c r="AO311" s="437" t="s">
        <v>1990</v>
      </c>
      <c r="AP311" s="438">
        <v>175610000</v>
      </c>
      <c r="AQ311" s="439">
        <v>400</v>
      </c>
      <c r="AR311">
        <f>IF($N$65="No",-20,1)</f>
        <v>1</v>
      </c>
      <c r="BD311">
        <f>IF($N$77="No",-20,1)</f>
        <v>1</v>
      </c>
      <c r="BI311">
        <f>IF($P$65=0,1,IF(AQ311&lt;=$P$65,1,-20))</f>
        <v>1</v>
      </c>
      <c r="BJ311">
        <f t="shared" si="59"/>
        <v>1</v>
      </c>
      <c r="BK311" s="57">
        <f t="shared" si="55"/>
        <v>310</v>
      </c>
      <c r="BL311" s="57" t="str">
        <f t="shared" si="56"/>
        <v>Hleakakhea-Class System Defense Boat (Clans of the Aslan)</v>
      </c>
    </row>
    <row r="312" spans="38:64" x14ac:dyDescent="0.3">
      <c r="AL312">
        <f t="shared" si="53"/>
        <v>3</v>
      </c>
      <c r="AM312">
        <f t="shared" si="54"/>
        <v>311</v>
      </c>
      <c r="AN312">
        <v>11</v>
      </c>
      <c r="AO312" t="s">
        <v>2982</v>
      </c>
      <c r="AP312" s="4">
        <v>3915000</v>
      </c>
      <c r="AQ312" s="431">
        <v>40</v>
      </c>
      <c r="AR312">
        <f>IF($N$65="No",-20,1)</f>
        <v>1</v>
      </c>
      <c r="BI312">
        <f>IF($P$65=0,1,IF(AQ312&lt;=$P$65,1,-20))</f>
        <v>1</v>
      </c>
      <c r="BJ312">
        <f t="shared" si="59"/>
        <v>1</v>
      </c>
      <c r="BK312" s="57">
        <f t="shared" si="55"/>
        <v>311</v>
      </c>
      <c r="BL312" s="57" t="str">
        <f t="shared" si="56"/>
        <v>Holande Cargo Lighter (TTF)</v>
      </c>
    </row>
    <row r="313" spans="38:64" x14ac:dyDescent="0.3">
      <c r="AL313">
        <f t="shared" si="53"/>
        <v>4</v>
      </c>
      <c r="AM313">
        <f t="shared" si="54"/>
        <v>312</v>
      </c>
      <c r="AN313">
        <v>7</v>
      </c>
      <c r="AO313" t="s">
        <v>2983</v>
      </c>
      <c r="AP313" s="4">
        <v>1445000</v>
      </c>
      <c r="AQ313">
        <v>5</v>
      </c>
      <c r="AR313">
        <f>IF($N$65="No",-20,1)</f>
        <v>1</v>
      </c>
      <c r="BD313">
        <f>IF($N$77="No",-20,1)</f>
        <v>1</v>
      </c>
      <c r="BI313">
        <f>IF($P$65=0,1,IF(AQ313&lt;=$P$65,1,-20))</f>
        <v>1</v>
      </c>
      <c r="BJ313">
        <f t="shared" ref="BJ313:BJ338" si="60">IF($N$61="Yes",1,IF(AN313&gt;TL,-20,1))</f>
        <v>1</v>
      </c>
      <c r="BK313" s="57">
        <f t="shared" si="55"/>
        <v>312</v>
      </c>
      <c r="BL313" s="57" t="str">
        <f t="shared" si="56"/>
        <v>Homeshield Mini-Fighter (SCC)</v>
      </c>
    </row>
    <row r="314" spans="38:64" x14ac:dyDescent="0.3">
      <c r="AL314">
        <f t="shared" si="53"/>
        <v>3</v>
      </c>
      <c r="AM314">
        <f t="shared" si="54"/>
        <v>313</v>
      </c>
      <c r="AN314">
        <v>12</v>
      </c>
      <c r="AO314" t="s">
        <v>2984</v>
      </c>
      <c r="AP314" s="4">
        <v>50436</v>
      </c>
      <c r="AQ314">
        <v>4</v>
      </c>
      <c r="AR314">
        <f>IF($N$63="No",-20,1)</f>
        <v>1</v>
      </c>
      <c r="BH314">
        <f>IF($P$63=0,1,IF(AQ314&lt;=$P$63,1,-20))</f>
        <v>1</v>
      </c>
      <c r="BJ314">
        <f t="shared" si="60"/>
        <v>1</v>
      </c>
      <c r="BK314" s="57">
        <f t="shared" si="55"/>
        <v>313</v>
      </c>
      <c r="BL314" s="57" t="str">
        <f t="shared" si="56"/>
        <v>Honey Badger (Vehicle Handbook)</v>
      </c>
    </row>
    <row r="315" spans="38:64" x14ac:dyDescent="0.3">
      <c r="AL315">
        <f t="shared" si="53"/>
        <v>3</v>
      </c>
      <c r="AM315">
        <f t="shared" si="54"/>
        <v>314</v>
      </c>
      <c r="AN315">
        <v>7</v>
      </c>
      <c r="AO315" t="s">
        <v>1887</v>
      </c>
      <c r="AP315" s="4">
        <v>1757900</v>
      </c>
      <c r="AQ315" s="471">
        <v>100</v>
      </c>
      <c r="AR315">
        <f>IF($N$63="No",-20,1)</f>
        <v>1</v>
      </c>
      <c r="BH315">
        <f>IF($P$63=0,1,IF(AQ315&lt;=$P$63,1,-20))</f>
        <v>1</v>
      </c>
      <c r="BJ315">
        <f t="shared" si="60"/>
        <v>1</v>
      </c>
      <c r="BK315" s="57">
        <f t="shared" si="55"/>
        <v>314</v>
      </c>
      <c r="BL315" s="57" t="str">
        <f t="shared" si="56"/>
        <v>Hostile Environment Reserch Outpost (JTAS Vol. 12)</v>
      </c>
    </row>
    <row r="316" spans="38:64" ht="15.6" x14ac:dyDescent="0.3">
      <c r="AL316">
        <f t="shared" si="53"/>
        <v>4</v>
      </c>
      <c r="AM316">
        <f t="shared" si="54"/>
        <v>315</v>
      </c>
      <c r="AN316" s="437">
        <v>6</v>
      </c>
      <c r="AO316" s="437" t="s">
        <v>1683</v>
      </c>
      <c r="AP316" s="438">
        <v>40300</v>
      </c>
      <c r="AQ316" s="439">
        <v>1.5</v>
      </c>
      <c r="AR316">
        <f>IF($N$65="No",-20,1)</f>
        <v>1</v>
      </c>
      <c r="BD316">
        <f>IF($N$77="No",-20,1)</f>
        <v>1</v>
      </c>
      <c r="BI316">
        <f>IF($P$65=0,1,IF(AQ316&lt;=$P$65,1,-20))</f>
        <v>1</v>
      </c>
      <c r="BJ316">
        <f t="shared" si="60"/>
        <v>1</v>
      </c>
      <c r="BK316" s="57">
        <f t="shared" si="55"/>
        <v>315</v>
      </c>
      <c r="BL316" s="57" t="str">
        <f t="shared" si="56"/>
        <v>Hover Chariot (CA 3)</v>
      </c>
    </row>
    <row r="317" spans="38:64" ht="15.6" x14ac:dyDescent="0.3">
      <c r="AL317">
        <f t="shared" si="53"/>
        <v>4</v>
      </c>
      <c r="AM317">
        <f t="shared" si="54"/>
        <v>316</v>
      </c>
      <c r="AN317" s="437">
        <v>10</v>
      </c>
      <c r="AO317" s="437" t="s">
        <v>1680</v>
      </c>
      <c r="AP317" s="438">
        <v>34090000</v>
      </c>
      <c r="AQ317" s="439">
        <v>130</v>
      </c>
      <c r="AR317">
        <f>IF($N$65="No",-20,1)</f>
        <v>1</v>
      </c>
      <c r="BD317">
        <f>IF($N$77="No",-20,1)</f>
        <v>1</v>
      </c>
      <c r="BI317">
        <f>IF($P$65=0,1,IF(AQ317&lt;=$P$65,1,-20))</f>
        <v>1</v>
      </c>
      <c r="BJ317">
        <f t="shared" si="60"/>
        <v>1</v>
      </c>
      <c r="BK317" s="57">
        <f t="shared" si="55"/>
        <v>316</v>
      </c>
      <c r="BL317" s="57" t="str">
        <f t="shared" si="56"/>
        <v>Hrattliner Gravitic Transport (B&amp;ESG)</v>
      </c>
    </row>
    <row r="318" spans="38:64" x14ac:dyDescent="0.3">
      <c r="AL318">
        <f t="shared" si="53"/>
        <v>4</v>
      </c>
      <c r="AM318">
        <f t="shared" si="54"/>
        <v>317</v>
      </c>
      <c r="AN318">
        <v>10</v>
      </c>
      <c r="AO318" t="s">
        <v>2985</v>
      </c>
      <c r="AP318" s="4">
        <v>8590000</v>
      </c>
      <c r="AQ318" s="431">
        <v>10</v>
      </c>
      <c r="AR318">
        <f>IF($N$65="No",-20,1)</f>
        <v>1</v>
      </c>
      <c r="BD318">
        <f>IF($N$77="No",-20,1)</f>
        <v>1</v>
      </c>
      <c r="BI318">
        <f>IF($P$65=0,1,IF(AQ318&lt;=$P$65,1,-20))</f>
        <v>1</v>
      </c>
      <c r="BJ318">
        <f t="shared" si="60"/>
        <v>1</v>
      </c>
      <c r="BK318" s="57">
        <f t="shared" si="55"/>
        <v>317</v>
      </c>
      <c r="BL318" s="57" t="str">
        <f t="shared" si="56"/>
        <v>HS-10 Halklar Savasci Fighter (TFF)</v>
      </c>
    </row>
    <row r="319" spans="38:64" x14ac:dyDescent="0.3">
      <c r="AL319">
        <f t="shared" si="53"/>
        <v>3</v>
      </c>
      <c r="AM319">
        <f t="shared" si="54"/>
        <v>318</v>
      </c>
      <c r="AN319">
        <v>6</v>
      </c>
      <c r="AO319" t="s">
        <v>2986</v>
      </c>
      <c r="AP319" s="4">
        <v>720000</v>
      </c>
      <c r="AQ319">
        <v>50</v>
      </c>
      <c r="AR319">
        <f>IF($N$65="No",-20,1)</f>
        <v>1</v>
      </c>
      <c r="BI319">
        <f>IF($P$65=0,1,IF(AQ319&lt;=$P$65,1,-20))</f>
        <v>1</v>
      </c>
      <c r="BJ319">
        <f t="shared" si="60"/>
        <v>1</v>
      </c>
      <c r="BK319" s="57">
        <f t="shared" si="55"/>
        <v>318</v>
      </c>
      <c r="BL319" s="57" t="str">
        <f t="shared" si="56"/>
        <v>Humphead Armored Personnel Carrier (Vehicle Handbook)</v>
      </c>
    </row>
    <row r="320" spans="38:64" x14ac:dyDescent="0.3">
      <c r="AL320">
        <f t="shared" si="53"/>
        <v>4</v>
      </c>
      <c r="AM320">
        <f t="shared" si="54"/>
        <v>319</v>
      </c>
      <c r="AN320">
        <v>10</v>
      </c>
      <c r="AO320" t="s">
        <v>2987</v>
      </c>
      <c r="AP320" s="4">
        <v>637500</v>
      </c>
      <c r="AQ320" s="471">
        <v>14</v>
      </c>
      <c r="AR320">
        <f>IF($N$63="No",-20,1)</f>
        <v>1</v>
      </c>
      <c r="AW320">
        <f>IF($N$70="No",-20,1)</f>
        <v>1</v>
      </c>
      <c r="BH320">
        <f>IF($P$63=0,1,IF(AQ320&lt;=$P$63,1,-20))</f>
        <v>1</v>
      </c>
      <c r="BJ320">
        <f t="shared" si="60"/>
        <v>1</v>
      </c>
      <c r="BK320" s="57">
        <f t="shared" si="55"/>
        <v>319</v>
      </c>
      <c r="BL320" s="57" t="str">
        <f t="shared" si="56"/>
        <v>Hunterfoil Hydrofoil (Solomani Front)</v>
      </c>
    </row>
    <row r="321" spans="38:64" x14ac:dyDescent="0.3">
      <c r="AL321">
        <f t="shared" si="53"/>
        <v>4</v>
      </c>
      <c r="AM321">
        <f t="shared" si="54"/>
        <v>320</v>
      </c>
      <c r="AN321">
        <v>13</v>
      </c>
      <c r="AO321" t="s">
        <v>2988</v>
      </c>
      <c r="AP321" s="4">
        <v>49230000</v>
      </c>
      <c r="AQ321">
        <v>60</v>
      </c>
      <c r="AR321">
        <f>IF($N$63="No",-20,1)</f>
        <v>1</v>
      </c>
      <c r="AU321">
        <f>IF($N$68="No",-20,1)</f>
        <v>1</v>
      </c>
      <c r="BH321">
        <f>IF($P$63=0,1,IF(AQ321&lt;=$P$63,1,-20))</f>
        <v>1</v>
      </c>
      <c r="BJ321">
        <f t="shared" si="60"/>
        <v>1</v>
      </c>
      <c r="BK321" s="57">
        <f t="shared" si="55"/>
        <v>320</v>
      </c>
      <c r="BL321" s="57" t="str">
        <f t="shared" si="56"/>
        <v>Hydra Heavy Support Walker (Vehicle Handbook)</v>
      </c>
    </row>
    <row r="322" spans="38:64" x14ac:dyDescent="0.3">
      <c r="AL322">
        <f t="shared" si="53"/>
        <v>3</v>
      </c>
      <c r="AM322">
        <f t="shared" si="54"/>
        <v>321</v>
      </c>
      <c r="AN322">
        <v>7</v>
      </c>
      <c r="AO322" t="s">
        <v>2989</v>
      </c>
      <c r="AP322" s="4">
        <v>195000</v>
      </c>
      <c r="AQ322">
        <v>15</v>
      </c>
      <c r="AR322">
        <f>IF($N$65="No",-20,1)</f>
        <v>1</v>
      </c>
      <c r="BI322">
        <f>IF($P$65=0,1,IF(AQ322&lt;=$P$65,1,-20))</f>
        <v>1</v>
      </c>
      <c r="BJ322">
        <f t="shared" si="60"/>
        <v>1</v>
      </c>
      <c r="BK322" s="57">
        <f t="shared" si="55"/>
        <v>321</v>
      </c>
      <c r="BL322" s="57" t="str">
        <f t="shared" si="56"/>
        <v>Hydrofoil (Vehicle Handbook)</v>
      </c>
    </row>
    <row r="323" spans="38:64" x14ac:dyDescent="0.3">
      <c r="AL323">
        <f t="shared" si="53"/>
        <v>4</v>
      </c>
      <c r="AM323">
        <f t="shared" si="54"/>
        <v>322</v>
      </c>
      <c r="AN323">
        <v>12</v>
      </c>
      <c r="AO323" t="s">
        <v>2990</v>
      </c>
      <c r="AP323" s="4">
        <v>13660000</v>
      </c>
      <c r="AQ323" s="471">
        <v>15</v>
      </c>
      <c r="AR323">
        <f>IF($N$62="No",-20,1)</f>
        <v>1</v>
      </c>
      <c r="BC323">
        <f>IF($N$76="No",-20,1)</f>
        <v>1</v>
      </c>
      <c r="BG323">
        <f>IF($P$62=0,1,IF(AQ323&lt;=$P$62,1,-20))</f>
        <v>1</v>
      </c>
      <c r="BJ323">
        <f t="shared" si="60"/>
        <v>1</v>
      </c>
      <c r="BK323" s="57">
        <f t="shared" si="55"/>
        <v>322</v>
      </c>
      <c r="BL323" s="57" t="str">
        <f t="shared" si="56"/>
        <v>Icebreaker Submarine (Singularity Act 2)</v>
      </c>
    </row>
    <row r="324" spans="38:64" x14ac:dyDescent="0.3">
      <c r="AL324">
        <f t="shared" ref="AL324:AL387" si="61">SUM(AR324:BJ324)</f>
        <v>4</v>
      </c>
      <c r="AM324">
        <f t="shared" ref="AM324:AM387" si="62">IF(AL324&gt;0,AM323+1,AM323)</f>
        <v>323</v>
      </c>
      <c r="AN324">
        <v>12</v>
      </c>
      <c r="AO324" t="s">
        <v>1868</v>
      </c>
      <c r="AP324" s="4">
        <v>6000000</v>
      </c>
      <c r="AQ324" s="471">
        <v>10</v>
      </c>
      <c r="AR324">
        <f>IF($N$62="No",-20,1)</f>
        <v>1</v>
      </c>
      <c r="BF324">
        <f>IF($N$79="No",-20,1)</f>
        <v>1</v>
      </c>
      <c r="BG324">
        <f>IF($P$62=0,1,IF(AQ324&lt;=$P$62,1,-20))</f>
        <v>1</v>
      </c>
      <c r="BJ324">
        <f t="shared" si="60"/>
        <v>1</v>
      </c>
      <c r="BK324" s="57">
        <f t="shared" ref="BK324:BK387" si="63">BK323+1</f>
        <v>323</v>
      </c>
      <c r="BL324" s="57" t="str">
        <f t="shared" si="56"/>
        <v>Iderati Light Support Submarine (JTAS Vol. 7)</v>
      </c>
    </row>
    <row r="325" spans="38:64" x14ac:dyDescent="0.3">
      <c r="AL325">
        <f t="shared" si="61"/>
        <v>4</v>
      </c>
      <c r="AM325">
        <f t="shared" si="62"/>
        <v>324</v>
      </c>
      <c r="AN325">
        <v>12</v>
      </c>
      <c r="AO325" t="s">
        <v>1867</v>
      </c>
      <c r="AP325" s="4">
        <v>299000000</v>
      </c>
      <c r="AQ325" s="471">
        <v>300</v>
      </c>
      <c r="AR325">
        <f>IF($N$62="No",-20,1)</f>
        <v>1</v>
      </c>
      <c r="BF325">
        <f>IF($N$79="No",-20,1)</f>
        <v>1</v>
      </c>
      <c r="BG325">
        <f>IF($P$62=0,1,IF(AQ325&lt;=$P$62,1,-20))</f>
        <v>1</v>
      </c>
      <c r="BJ325">
        <f t="shared" si="60"/>
        <v>1</v>
      </c>
      <c r="BK325" s="57">
        <f t="shared" si="63"/>
        <v>324</v>
      </c>
      <c r="BL325" s="57" t="str">
        <f t="shared" ref="BL325:BL388" si="64">IF(BK325&gt;$BK$1,"",INDEX($AM$2:$AO$495,MATCH(BK325,$AM$2:$AM$495,0),3))</f>
        <v>Iderati Space Defense Submarine (JTAS Vol. 7)</v>
      </c>
    </row>
    <row r="326" spans="38:64" x14ac:dyDescent="0.3">
      <c r="AL326">
        <f t="shared" si="61"/>
        <v>4</v>
      </c>
      <c r="AM326">
        <f t="shared" si="62"/>
        <v>325</v>
      </c>
      <c r="AN326">
        <v>12</v>
      </c>
      <c r="AO326" t="s">
        <v>2991</v>
      </c>
      <c r="AP326" s="4">
        <v>13665000</v>
      </c>
      <c r="AQ326" s="431">
        <v>20</v>
      </c>
      <c r="AR326">
        <f>IF($N$63="No",-20,1)</f>
        <v>1</v>
      </c>
      <c r="AS326">
        <f>IF($N$64="No",-20,1)</f>
        <v>1</v>
      </c>
      <c r="BH326">
        <f>IF($P$63=0,1,IF(AQ326&lt;=$P$63,1,-20))</f>
        <v>1</v>
      </c>
      <c r="BJ326">
        <f t="shared" si="60"/>
        <v>1</v>
      </c>
      <c r="BK326" s="57">
        <f t="shared" si="63"/>
        <v>325</v>
      </c>
      <c r="BL326" s="57" t="str">
        <f t="shared" si="64"/>
        <v>IGS Runabout (Spinward Extents)</v>
      </c>
    </row>
    <row r="327" spans="38:64" ht="15.6" x14ac:dyDescent="0.3">
      <c r="AL327">
        <f t="shared" si="61"/>
        <v>3</v>
      </c>
      <c r="AM327">
        <f t="shared" si="62"/>
        <v>326</v>
      </c>
      <c r="AN327" s="437">
        <v>15</v>
      </c>
      <c r="AO327" s="437" t="s">
        <v>1859</v>
      </c>
      <c r="AP327" s="438">
        <v>1090000</v>
      </c>
      <c r="AQ327" s="439">
        <v>5</v>
      </c>
      <c r="AR327">
        <f>IF($N$62="No",-20,1)</f>
        <v>1</v>
      </c>
      <c r="BG327">
        <f>IF($P$62=0,1,IF(AQ327&lt;=$P$62,1,-20))</f>
        <v>1</v>
      </c>
      <c r="BJ327">
        <f t="shared" si="60"/>
        <v>1</v>
      </c>
      <c r="BK327" s="57">
        <f t="shared" si="63"/>
        <v>326</v>
      </c>
      <c r="BL327" s="57" t="str">
        <f t="shared" si="64"/>
        <v>IISS Air/Raft (JTAS Vol. 6)</v>
      </c>
    </row>
    <row r="328" spans="38:64" x14ac:dyDescent="0.3">
      <c r="AL328">
        <f t="shared" si="61"/>
        <v>4</v>
      </c>
      <c r="AM328">
        <f t="shared" si="62"/>
        <v>327</v>
      </c>
      <c r="AN328">
        <v>15</v>
      </c>
      <c r="AO328" t="s">
        <v>2992</v>
      </c>
      <c r="AP328" s="4">
        <v>1025000</v>
      </c>
      <c r="AQ328" s="431">
        <v>2</v>
      </c>
      <c r="AR328">
        <f>IF($N$63="No",-20,1)</f>
        <v>1</v>
      </c>
      <c r="AU328">
        <f>IF($N$68="No",-20,1)</f>
        <v>1</v>
      </c>
      <c r="BH328">
        <f>IF($P$63=0,1,IF(AQ328&lt;=$P$63,1,-20))</f>
        <v>1</v>
      </c>
      <c r="BJ328">
        <f t="shared" si="60"/>
        <v>1</v>
      </c>
      <c r="BK328" s="57">
        <f t="shared" si="63"/>
        <v>327</v>
      </c>
      <c r="BL328" s="57" t="str">
        <f t="shared" si="64"/>
        <v>IISS Covert Operations Pod (World Builder's Handbook)</v>
      </c>
    </row>
    <row r="329" spans="38:64" ht="15.6" x14ac:dyDescent="0.3">
      <c r="AL329">
        <f t="shared" si="61"/>
        <v>3</v>
      </c>
      <c r="AM329">
        <f t="shared" si="62"/>
        <v>328</v>
      </c>
      <c r="AN329" s="437">
        <v>15</v>
      </c>
      <c r="AO329" s="437" t="s">
        <v>1858</v>
      </c>
      <c r="AP329" s="438">
        <v>843500</v>
      </c>
      <c r="AQ329" s="439">
        <v>3</v>
      </c>
      <c r="AR329">
        <f>IF($N$65="No",-20,1)</f>
        <v>1</v>
      </c>
      <c r="BI329">
        <f>IF($P$65=0,1,IF(AQ329&lt;=$P$65,1,-20))</f>
        <v>1</v>
      </c>
      <c r="BJ329">
        <f t="shared" si="60"/>
        <v>1</v>
      </c>
      <c r="BK329" s="57">
        <f t="shared" si="63"/>
        <v>328</v>
      </c>
      <c r="BL329" s="57" t="str">
        <f t="shared" si="64"/>
        <v>IISS Grav Bike (JTAS Vol. 6)</v>
      </c>
    </row>
    <row r="330" spans="38:64" ht="15.6" x14ac:dyDescent="0.3">
      <c r="AL330">
        <f t="shared" si="61"/>
        <v>4</v>
      </c>
      <c r="AM330">
        <f t="shared" si="62"/>
        <v>329</v>
      </c>
      <c r="AN330" s="437">
        <v>15</v>
      </c>
      <c r="AO330" s="437" t="s">
        <v>1860</v>
      </c>
      <c r="AP330" s="438">
        <v>6770000</v>
      </c>
      <c r="AQ330" s="439">
        <v>15</v>
      </c>
      <c r="AR330">
        <f>IF($N$62="No",-20,1)</f>
        <v>1</v>
      </c>
      <c r="AT330">
        <f>IF($N$67="No",-20,1)</f>
        <v>1</v>
      </c>
      <c r="BG330">
        <f>IF($P$62=0,1,IF(AQ330&lt;=$P$62,1,-20))</f>
        <v>1</v>
      </c>
      <c r="BJ330">
        <f t="shared" si="60"/>
        <v>1</v>
      </c>
      <c r="BK330" s="57">
        <f t="shared" si="63"/>
        <v>329</v>
      </c>
      <c r="BL330" s="57" t="str">
        <f t="shared" si="64"/>
        <v>IISS Survey G/Carrier (JTAS Vol. 6)</v>
      </c>
    </row>
    <row r="331" spans="38:64" x14ac:dyDescent="0.3">
      <c r="AL331">
        <f t="shared" si="61"/>
        <v>4</v>
      </c>
      <c r="AM331">
        <f t="shared" si="62"/>
        <v>330</v>
      </c>
      <c r="AN331">
        <v>15</v>
      </c>
      <c r="AO331" t="s">
        <v>2993</v>
      </c>
      <c r="AP331" s="4">
        <v>638000</v>
      </c>
      <c r="AQ331" s="431">
        <v>2</v>
      </c>
      <c r="AR331">
        <f>IF($N$63="No",-20,1)</f>
        <v>1</v>
      </c>
      <c r="AU331">
        <f>IF($N$68="No",-20,1)</f>
        <v>1</v>
      </c>
      <c r="BH331">
        <f>IF($P$63=0,1,IF(AQ331&lt;=$P$63,1,-20))</f>
        <v>1</v>
      </c>
      <c r="BJ331">
        <f t="shared" si="60"/>
        <v>1</v>
      </c>
      <c r="BK331" s="57">
        <f t="shared" si="63"/>
        <v>330</v>
      </c>
      <c r="BL331" s="57" t="str">
        <f t="shared" si="64"/>
        <v>IISS Survey Pod (World Builder's Handbook)</v>
      </c>
    </row>
    <row r="332" spans="38:64" x14ac:dyDescent="0.3">
      <c r="AL332">
        <f t="shared" si="61"/>
        <v>4</v>
      </c>
      <c r="AM332">
        <f t="shared" si="62"/>
        <v>331</v>
      </c>
      <c r="AN332">
        <v>15</v>
      </c>
      <c r="AO332" t="s">
        <v>2994</v>
      </c>
      <c r="AP332" s="4">
        <v>30010000</v>
      </c>
      <c r="AQ332" s="431">
        <v>100</v>
      </c>
      <c r="AR332">
        <f>IF($N$63="No",-20,1)</f>
        <v>1</v>
      </c>
      <c r="BF332">
        <f>IF($N$79="No",-20,1)</f>
        <v>1</v>
      </c>
      <c r="BH332">
        <f>IF($P$63=0,1,IF(AQ332&lt;=$P$63,1,-20))</f>
        <v>1</v>
      </c>
      <c r="BJ332">
        <f t="shared" si="60"/>
        <v>1</v>
      </c>
      <c r="BK332" s="57">
        <f t="shared" si="63"/>
        <v>331</v>
      </c>
      <c r="BL332" s="57" t="str">
        <f t="shared" si="64"/>
        <v>Ilauus-Class Fast Shuttle (Behind the Claw)</v>
      </c>
    </row>
    <row r="333" spans="38:64" x14ac:dyDescent="0.3">
      <c r="AL333">
        <f t="shared" si="61"/>
        <v>3</v>
      </c>
      <c r="AM333">
        <f t="shared" si="62"/>
        <v>332</v>
      </c>
      <c r="AN333">
        <v>7</v>
      </c>
      <c r="AO333" t="s">
        <v>2995</v>
      </c>
      <c r="AP333" s="4">
        <v>243000</v>
      </c>
      <c r="AQ333">
        <v>6</v>
      </c>
      <c r="AR333">
        <f>IF($N$65="No",-20,1)</f>
        <v>1</v>
      </c>
      <c r="BI333">
        <f>IF($P$65=0,1,IF(AQ333&lt;=$P$65,1,-20))</f>
        <v>1</v>
      </c>
      <c r="BJ333">
        <f t="shared" si="60"/>
        <v>1</v>
      </c>
      <c r="BK333" s="57">
        <f t="shared" si="63"/>
        <v>332</v>
      </c>
      <c r="BL333" s="57" t="str">
        <f t="shared" si="64"/>
        <v>Impala Scout Helicopter (Vehicle Handbook)</v>
      </c>
    </row>
    <row r="334" spans="38:64" ht="15.6" x14ac:dyDescent="0.3">
      <c r="AL334">
        <f t="shared" si="61"/>
        <v>4</v>
      </c>
      <c r="AM334">
        <f t="shared" si="62"/>
        <v>333</v>
      </c>
      <c r="AN334" s="437">
        <v>12</v>
      </c>
      <c r="AO334" s="437" t="s">
        <v>2996</v>
      </c>
      <c r="AP334" s="438">
        <v>125977500</v>
      </c>
      <c r="AQ334" s="439">
        <v>300</v>
      </c>
      <c r="AR334">
        <f>IF($N$62="No",-20,1)</f>
        <v>1</v>
      </c>
      <c r="BF334">
        <f>IF($N$79="No",-20,1)</f>
        <v>1</v>
      </c>
      <c r="BG334">
        <f>IF($P$62=0,1,IF(AQ334&lt;=$P$62,1,-20))</f>
        <v>1</v>
      </c>
      <c r="BJ334">
        <f t="shared" si="60"/>
        <v>1</v>
      </c>
      <c r="BK334" s="57">
        <f t="shared" si="63"/>
        <v>333</v>
      </c>
      <c r="BL334" s="57" t="str">
        <f t="shared" si="64"/>
        <v>Impulse Gunship (The Borderlands)</v>
      </c>
    </row>
    <row r="335" spans="38:64" x14ac:dyDescent="0.3">
      <c r="AL335">
        <f t="shared" si="61"/>
        <v>3</v>
      </c>
      <c r="AM335">
        <f t="shared" si="62"/>
        <v>334</v>
      </c>
      <c r="AN335">
        <v>9</v>
      </c>
      <c r="AO335" t="s">
        <v>2997</v>
      </c>
      <c r="AP335" s="4">
        <v>20210000</v>
      </c>
      <c r="AQ335" s="431">
        <v>80</v>
      </c>
      <c r="AR335">
        <f>IF($N$63="No",-20,1)</f>
        <v>1</v>
      </c>
      <c r="BH335">
        <f>IF($P$63=0,1,IF(AQ335&lt;=$P$63,1,-20))</f>
        <v>1</v>
      </c>
      <c r="BJ335">
        <f t="shared" si="60"/>
        <v>1</v>
      </c>
      <c r="BK335" s="57">
        <f t="shared" si="63"/>
        <v>334</v>
      </c>
      <c r="BL335" s="57" t="str">
        <f t="shared" si="64"/>
        <v>In-System Sailing Yacht (SCC)</v>
      </c>
    </row>
    <row r="336" spans="38:64" ht="15.6" x14ac:dyDescent="0.3">
      <c r="AL336">
        <f t="shared" si="61"/>
        <v>3</v>
      </c>
      <c r="AM336">
        <f t="shared" si="62"/>
        <v>335</v>
      </c>
      <c r="AN336" s="437">
        <v>15</v>
      </c>
      <c r="AO336" s="437" t="s">
        <v>1964</v>
      </c>
      <c r="AP336" s="438">
        <v>2649360000</v>
      </c>
      <c r="AQ336" s="439">
        <v>2600</v>
      </c>
      <c r="AR336">
        <f>IF($N$62="No",-20,1)</f>
        <v>1</v>
      </c>
      <c r="BG336">
        <f>IF($P$62=0,1,IF(AQ336&lt;=$P$62,1,-20))</f>
        <v>1</v>
      </c>
      <c r="BJ336">
        <f t="shared" si="60"/>
        <v>1</v>
      </c>
      <c r="BK336" s="57">
        <f t="shared" si="63"/>
        <v>335</v>
      </c>
      <c r="BL336" s="57" t="str">
        <f t="shared" si="64"/>
        <v>Intelligence Operations Pod (Opening Moves)</v>
      </c>
    </row>
    <row r="337" spans="38:64" ht="15.6" x14ac:dyDescent="0.3">
      <c r="AL337">
        <f t="shared" si="61"/>
        <v>4</v>
      </c>
      <c r="AM337">
        <f t="shared" si="62"/>
        <v>336</v>
      </c>
      <c r="AN337" s="437">
        <v>15</v>
      </c>
      <c r="AO337" s="437" t="s">
        <v>1762</v>
      </c>
      <c r="AP337" s="438">
        <v>935800000</v>
      </c>
      <c r="AQ337" s="439">
        <v>2600</v>
      </c>
      <c r="AR337">
        <f>IF($N$62="No",-20,1)</f>
        <v>1</v>
      </c>
      <c r="BE337">
        <f>IF($N$78="No",-20,1)</f>
        <v>1</v>
      </c>
      <c r="BG337">
        <f>IF($P$62=0,1,IF(AQ337&lt;=$P$62,1,-20))</f>
        <v>1</v>
      </c>
      <c r="BJ337">
        <f t="shared" si="60"/>
        <v>1</v>
      </c>
      <c r="BK337" s="57">
        <f t="shared" si="63"/>
        <v>336</v>
      </c>
      <c r="BL337" s="57" t="str">
        <f t="shared" si="64"/>
        <v>Intelligence OPS Pod (ECC)</v>
      </c>
    </row>
    <row r="338" spans="38:64" x14ac:dyDescent="0.3">
      <c r="AL338">
        <f t="shared" si="61"/>
        <v>4</v>
      </c>
      <c r="AM338">
        <f t="shared" si="62"/>
        <v>337</v>
      </c>
      <c r="AN338">
        <v>7</v>
      </c>
      <c r="AO338" t="s">
        <v>2998</v>
      </c>
      <c r="AP338" s="4">
        <v>43900</v>
      </c>
      <c r="AQ338" s="471">
        <v>4</v>
      </c>
      <c r="AR338">
        <f>IF($N$62="No",-20,1)</f>
        <v>1</v>
      </c>
      <c r="BF338">
        <f>IF($N$79="No",-20,1)</f>
        <v>1</v>
      </c>
      <c r="BG338">
        <f>IF($P$62=0,1,IF(AQ338&lt;=$P$62,1,-20))</f>
        <v>1</v>
      </c>
      <c r="BJ338">
        <f t="shared" si="60"/>
        <v>1</v>
      </c>
      <c r="BK338" s="57">
        <f t="shared" si="63"/>
        <v>337</v>
      </c>
      <c r="BL338" s="57" t="str">
        <f t="shared" si="64"/>
        <v>Inter-Caldera Airship (Singularity Act 3)</v>
      </c>
    </row>
    <row r="339" spans="38:64" x14ac:dyDescent="0.3">
      <c r="AL339">
        <f t="shared" si="61"/>
        <v>2</v>
      </c>
      <c r="AM339">
        <f t="shared" si="62"/>
        <v>338</v>
      </c>
      <c r="AN339">
        <v>14</v>
      </c>
      <c r="AO339" t="s">
        <v>2999</v>
      </c>
      <c r="AP339" s="4">
        <v>35440000</v>
      </c>
      <c r="AQ339" s="431">
        <v>30</v>
      </c>
      <c r="AR339">
        <f>IF($N$62="No",-20,1)</f>
        <v>1</v>
      </c>
      <c r="BG339">
        <f>IF($P$62=0,1,IF(AQ339&lt;=$P$62,1,-20))</f>
        <v>1</v>
      </c>
      <c r="BK339" s="57">
        <f t="shared" si="63"/>
        <v>338</v>
      </c>
      <c r="BL339" s="57" t="str">
        <f t="shared" si="64"/>
        <v>Invader light Grav Tank (TTI)</v>
      </c>
    </row>
    <row r="340" spans="38:64" x14ac:dyDescent="0.3">
      <c r="AL340">
        <f t="shared" si="61"/>
        <v>3</v>
      </c>
      <c r="AM340">
        <f t="shared" si="62"/>
        <v>339</v>
      </c>
      <c r="AN340">
        <v>8</v>
      </c>
      <c r="AO340" t="s">
        <v>3000</v>
      </c>
      <c r="AP340" s="4">
        <v>189900</v>
      </c>
      <c r="AQ340" s="471">
        <v>3</v>
      </c>
      <c r="AR340">
        <f>IF($N$62="No",-20,1)</f>
        <v>1</v>
      </c>
      <c r="BG340">
        <f>IF($P$62=0,1,IF(AQ340&lt;=$P$62,1,-20))</f>
        <v>1</v>
      </c>
      <c r="BJ340">
        <f t="shared" ref="BJ340:BJ346" si="65">IF($N$61="Yes",1,IF(AN340&gt;TL,-20,1))</f>
        <v>1</v>
      </c>
      <c r="BK340" s="57">
        <f t="shared" si="63"/>
        <v>339</v>
      </c>
      <c r="BL340" s="57" t="str">
        <f t="shared" si="64"/>
        <v>Isgni Flyer (B&amp;EVV)</v>
      </c>
    </row>
    <row r="341" spans="38:64" ht="15.6" x14ac:dyDescent="0.3">
      <c r="AL341">
        <f t="shared" si="61"/>
        <v>4</v>
      </c>
      <c r="AM341">
        <f t="shared" si="62"/>
        <v>340</v>
      </c>
      <c r="AN341" s="437">
        <v>12</v>
      </c>
      <c r="AO341" s="437" t="s">
        <v>1848</v>
      </c>
      <c r="AP341" s="438">
        <v>82830000</v>
      </c>
      <c r="AQ341" s="439">
        <v>200</v>
      </c>
      <c r="AR341">
        <f>IF($N$63="No",-20,1)</f>
        <v>1</v>
      </c>
      <c r="AU341">
        <f>IF($N$68="No",-20,1)</f>
        <v>1</v>
      </c>
      <c r="BH341">
        <f>IF($P$63=0,1,IF(AQ341&lt;=$P$63,1,-20))</f>
        <v>1</v>
      </c>
      <c r="BJ341">
        <f t="shared" si="65"/>
        <v>1</v>
      </c>
      <c r="BK341" s="57">
        <f t="shared" si="63"/>
        <v>340</v>
      </c>
      <c r="BL341" s="57" t="str">
        <f t="shared" si="64"/>
        <v>Javelin Light Gunboat (JTAS Vol. 6)</v>
      </c>
    </row>
    <row r="342" spans="38:64" x14ac:dyDescent="0.3">
      <c r="AL342">
        <f t="shared" si="61"/>
        <v>4</v>
      </c>
      <c r="AM342">
        <f t="shared" si="62"/>
        <v>341</v>
      </c>
      <c r="AN342">
        <v>12</v>
      </c>
      <c r="AO342" t="s">
        <v>3001</v>
      </c>
      <c r="AP342" s="4">
        <v>41385000</v>
      </c>
      <c r="AQ342">
        <v>25</v>
      </c>
      <c r="AR342">
        <f>IF($N$63="No",-20,1)</f>
        <v>1</v>
      </c>
      <c r="AU342">
        <f>IF($N$68="No",-20,1)</f>
        <v>1</v>
      </c>
      <c r="BH342">
        <f>IF($P$63=0,1,IF(AQ342&lt;=$P$63,1,-20))</f>
        <v>1</v>
      </c>
      <c r="BJ342">
        <f t="shared" si="65"/>
        <v>1</v>
      </c>
      <c r="BK342" s="57">
        <f t="shared" si="63"/>
        <v>341</v>
      </c>
      <c r="BL342" s="57" t="str">
        <f t="shared" si="64"/>
        <v>Jester Covert Ops Fighter (SCC)</v>
      </c>
    </row>
    <row r="343" spans="38:64" x14ac:dyDescent="0.3">
      <c r="AL343">
        <f t="shared" si="61"/>
        <v>3</v>
      </c>
      <c r="AM343">
        <f t="shared" si="62"/>
        <v>342</v>
      </c>
      <c r="AN343">
        <v>12</v>
      </c>
      <c r="AO343" t="s">
        <v>3002</v>
      </c>
      <c r="AP343" s="4">
        <v>20330000</v>
      </c>
      <c r="AQ343" s="431">
        <v>60</v>
      </c>
      <c r="AR343">
        <f>IF($N$63="No",-20,1)</f>
        <v>1</v>
      </c>
      <c r="BH343">
        <f>IF($P$63=0,1,IF(AQ343&lt;=$P$63,1,-20))</f>
        <v>1</v>
      </c>
      <c r="BJ343">
        <f t="shared" si="65"/>
        <v>1</v>
      </c>
      <c r="BK343" s="57">
        <f t="shared" si="63"/>
        <v>342</v>
      </c>
      <c r="BL343" s="57" t="str">
        <f t="shared" si="64"/>
        <v>Jiydyce Mining Shuttle (TTF)</v>
      </c>
    </row>
    <row r="344" spans="38:64" ht="15.6" x14ac:dyDescent="0.3">
      <c r="AL344">
        <f t="shared" si="61"/>
        <v>4</v>
      </c>
      <c r="AM344">
        <f t="shared" si="62"/>
        <v>343</v>
      </c>
      <c r="AN344" s="437">
        <v>13</v>
      </c>
      <c r="AO344" s="437" t="s">
        <v>3003</v>
      </c>
      <c r="AP344" s="4">
        <v>74390000</v>
      </c>
      <c r="AQ344" s="439">
        <v>200</v>
      </c>
      <c r="AR344">
        <f>IF($N$65="No",-20,1)</f>
        <v>1</v>
      </c>
      <c r="BF344">
        <f>IF($N$79="No",-20,1)</f>
        <v>1</v>
      </c>
      <c r="BI344">
        <f>IF($P$65=0,1,IF(AQ344&lt;=$P$65,1,-20))</f>
        <v>1</v>
      </c>
      <c r="BJ344">
        <f t="shared" si="65"/>
        <v>1</v>
      </c>
      <c r="BK344" s="57">
        <f t="shared" si="63"/>
        <v>343</v>
      </c>
      <c r="BL344" s="57" t="str">
        <f t="shared" si="64"/>
        <v>Jump Shuttle (HG'22)</v>
      </c>
    </row>
    <row r="345" spans="38:64" x14ac:dyDescent="0.3">
      <c r="AL345">
        <f t="shared" si="61"/>
        <v>4</v>
      </c>
      <c r="AM345">
        <f t="shared" si="62"/>
        <v>344</v>
      </c>
      <c r="AN345">
        <v>10</v>
      </c>
      <c r="AO345" t="s">
        <v>3004</v>
      </c>
      <c r="AP345" s="4">
        <v>3390000</v>
      </c>
      <c r="AQ345">
        <v>20</v>
      </c>
      <c r="AR345">
        <f>IF($N$63="No",-20,1)</f>
        <v>1</v>
      </c>
      <c r="BC345">
        <f>IF($N$76="No",-20,1)</f>
        <v>1</v>
      </c>
      <c r="BH345">
        <f>IF($P$63=0,1,IF(AQ345&lt;=$P$63,1,-20))</f>
        <v>1</v>
      </c>
      <c r="BJ345">
        <f t="shared" si="65"/>
        <v>1</v>
      </c>
      <c r="BK345" s="57">
        <f t="shared" si="63"/>
        <v>344</v>
      </c>
      <c r="BL345" s="57" t="str">
        <f t="shared" si="64"/>
        <v>Junker (SCC)</v>
      </c>
    </row>
    <row r="346" spans="38:64" x14ac:dyDescent="0.3">
      <c r="AL346">
        <f t="shared" si="61"/>
        <v>4</v>
      </c>
      <c r="AM346">
        <f t="shared" si="62"/>
        <v>345</v>
      </c>
      <c r="AN346">
        <v>8</v>
      </c>
      <c r="AO346" t="s">
        <v>3005</v>
      </c>
      <c r="AP346" s="4">
        <v>236421</v>
      </c>
      <c r="AQ346" s="431">
        <v>9</v>
      </c>
      <c r="AR346">
        <f>IF($N$63="No",-20,1)</f>
        <v>1</v>
      </c>
      <c r="BC346">
        <f>IF($N$76="No",-20,1)</f>
        <v>1</v>
      </c>
      <c r="BH346">
        <f>IF($P$63=0,1,IF(AQ346&lt;=$P$63,1,-20))</f>
        <v>1</v>
      </c>
      <c r="BJ346">
        <f t="shared" si="65"/>
        <v>1</v>
      </c>
      <c r="BK346" s="57">
        <f t="shared" si="63"/>
        <v>345</v>
      </c>
      <c r="BL346" s="57" t="str">
        <f t="shared" si="64"/>
        <v>Kashi Rover (Bounty Hunter)</v>
      </c>
    </row>
    <row r="347" spans="38:64" x14ac:dyDescent="0.3">
      <c r="AL347">
        <f t="shared" si="61"/>
        <v>2</v>
      </c>
      <c r="AM347">
        <f t="shared" si="62"/>
        <v>346</v>
      </c>
      <c r="AN347">
        <v>15</v>
      </c>
      <c r="AO347" t="s">
        <v>3006</v>
      </c>
      <c r="AP347" s="4">
        <v>51500000</v>
      </c>
      <c r="AQ347">
        <v>20</v>
      </c>
      <c r="AR347">
        <f>IF($N$62="No",-20,1)</f>
        <v>1</v>
      </c>
      <c r="BG347">
        <f>IF($P$62=0,1,IF(AQ347&lt;=$P$62,1,-20))</f>
        <v>1</v>
      </c>
      <c r="BK347" s="57">
        <f t="shared" si="63"/>
        <v>346</v>
      </c>
      <c r="BL347" s="57" t="str">
        <f t="shared" si="64"/>
        <v>Kashu Multirole Fighter (SCC)</v>
      </c>
    </row>
    <row r="348" spans="38:64" ht="15.6" x14ac:dyDescent="0.3">
      <c r="AL348">
        <f t="shared" si="61"/>
        <v>3</v>
      </c>
      <c r="AM348">
        <f t="shared" si="62"/>
        <v>347</v>
      </c>
      <c r="AN348" s="437">
        <v>9</v>
      </c>
      <c r="AO348" s="437" t="s">
        <v>1857</v>
      </c>
      <c r="AP348" s="438">
        <v>149000000</v>
      </c>
      <c r="AQ348" s="439">
        <v>200</v>
      </c>
      <c r="AR348">
        <f>IF($N$65="No",-20,1)</f>
        <v>1</v>
      </c>
      <c r="BI348">
        <f>IF($P$65=0,1,IF(AQ348&lt;=$P$65,1,-20))</f>
        <v>1</v>
      </c>
      <c r="BJ348">
        <f t="shared" ref="BJ348:BJ379" si="66">IF($N$61="Yes",1,IF(AN348&gt;TL,-20,1))</f>
        <v>1</v>
      </c>
      <c r="BK348" s="57">
        <f t="shared" si="63"/>
        <v>347</v>
      </c>
      <c r="BL348" s="57" t="str">
        <f t="shared" si="64"/>
        <v>KAVARII-CLASS Aerospace Defense Submarine (JTAS Vol. 6)</v>
      </c>
    </row>
    <row r="349" spans="38:64" ht="15.6" x14ac:dyDescent="0.3">
      <c r="AL349">
        <f t="shared" si="61"/>
        <v>4</v>
      </c>
      <c r="AM349">
        <f t="shared" si="62"/>
        <v>348</v>
      </c>
      <c r="AN349" s="437">
        <v>15</v>
      </c>
      <c r="AO349" s="437" t="s">
        <v>3007</v>
      </c>
      <c r="AP349" s="438">
        <v>863710000</v>
      </c>
      <c r="AQ349" s="439">
        <v>1200</v>
      </c>
      <c r="AR349">
        <f>IF($N$63="No",-20,1)</f>
        <v>1</v>
      </c>
      <c r="AU349">
        <f>IF($N$68="No",-20,1)</f>
        <v>1</v>
      </c>
      <c r="BH349">
        <f>IF($P$63=0,1,IF(AQ349&lt;=$P$63,1,-20))</f>
        <v>1</v>
      </c>
      <c r="BJ349">
        <f t="shared" si="66"/>
        <v>1</v>
      </c>
      <c r="BK349" s="57">
        <f t="shared" si="63"/>
        <v>348</v>
      </c>
      <c r="BL349" s="57" t="str">
        <f t="shared" si="64"/>
        <v>Kinunir Colonial Cruiser (HG'22)</v>
      </c>
    </row>
    <row r="350" spans="38:64" x14ac:dyDescent="0.3">
      <c r="AL350">
        <f t="shared" si="61"/>
        <v>3</v>
      </c>
      <c r="AM350">
        <f t="shared" si="62"/>
        <v>349</v>
      </c>
      <c r="AN350">
        <v>9</v>
      </c>
      <c r="AO350" t="s">
        <v>3008</v>
      </c>
      <c r="AP350" s="4">
        <v>11030000</v>
      </c>
      <c r="AQ350" s="431">
        <v>100</v>
      </c>
      <c r="AR350">
        <f>IF($N$62="No",-20,1)</f>
        <v>1</v>
      </c>
      <c r="BG350">
        <f>IF($P$62=0,1,IF(AQ350&lt;=$P$62,1,-20))</f>
        <v>1</v>
      </c>
      <c r="BJ350">
        <f t="shared" si="66"/>
        <v>1</v>
      </c>
      <c r="BK350" s="57">
        <f t="shared" si="63"/>
        <v>349</v>
      </c>
      <c r="BL350" s="57" t="str">
        <f t="shared" si="64"/>
        <v>K'Kree Bearer-of-Cargoes Shuttle (AoCS1)</v>
      </c>
    </row>
    <row r="351" spans="38:64" x14ac:dyDescent="0.3">
      <c r="AL351">
        <f t="shared" si="61"/>
        <v>4</v>
      </c>
      <c r="AM351">
        <f t="shared" si="62"/>
        <v>350</v>
      </c>
      <c r="AN351">
        <v>9</v>
      </c>
      <c r="AO351" t="s">
        <v>3009</v>
      </c>
      <c r="AP351" s="4">
        <v>16050000</v>
      </c>
      <c r="AQ351" s="431">
        <v>100</v>
      </c>
      <c r="AR351">
        <f>IF($N$65="No",-20,1)</f>
        <v>1</v>
      </c>
      <c r="BD351">
        <f>IF($N$77="No",-20,1)</f>
        <v>1</v>
      </c>
      <c r="BI351">
        <f>IF($P$65=0,1,IF(AQ351&lt;=$P$65,1,-20))</f>
        <v>1</v>
      </c>
      <c r="BJ351">
        <f t="shared" si="66"/>
        <v>1</v>
      </c>
      <c r="BK351" s="57">
        <f t="shared" si="63"/>
        <v>350</v>
      </c>
      <c r="BL351" s="57" t="str">
        <f t="shared" si="64"/>
        <v>K'Kree Bearer-of-Families Orbital Shuttle (AoCS1)</v>
      </c>
    </row>
    <row r="352" spans="38:64" x14ac:dyDescent="0.3">
      <c r="AL352">
        <f t="shared" si="61"/>
        <v>3</v>
      </c>
      <c r="AM352">
        <f t="shared" si="62"/>
        <v>351</v>
      </c>
      <c r="AN352">
        <v>12</v>
      </c>
      <c r="AO352" t="s">
        <v>3010</v>
      </c>
      <c r="AP352" s="4">
        <v>53160000</v>
      </c>
      <c r="AQ352" s="431">
        <v>40</v>
      </c>
      <c r="AR352">
        <f>IF($N$65="No",-20,1)</f>
        <v>1</v>
      </c>
      <c r="BI352">
        <f>IF($P$65=0,1,IF(AQ352&lt;=$P$65,1,-20))</f>
        <v>1</v>
      </c>
      <c r="BJ352">
        <f t="shared" si="66"/>
        <v>1</v>
      </c>
      <c r="BK352" s="57">
        <f t="shared" si="63"/>
        <v>351</v>
      </c>
      <c r="BL352" s="57" t="str">
        <f t="shared" si="64"/>
        <v>K'Kree Faithful Shield Robotic Escort Fighter  (AoCS1)</v>
      </c>
    </row>
    <row r="353" spans="38:64" x14ac:dyDescent="0.3">
      <c r="AL353">
        <f t="shared" si="61"/>
        <v>3</v>
      </c>
      <c r="AM353">
        <f t="shared" si="62"/>
        <v>352</v>
      </c>
      <c r="AN353">
        <v>13</v>
      </c>
      <c r="AO353" t="s">
        <v>3011</v>
      </c>
      <c r="AP353" s="4">
        <v>10800000</v>
      </c>
      <c r="AQ353" s="431">
        <v>30</v>
      </c>
      <c r="AR353">
        <f>IF($N$65="No",-20,1)</f>
        <v>1</v>
      </c>
      <c r="BI353">
        <f>IF($P$65=0,1,IF(AQ353&lt;=$P$65,1,-20))</f>
        <v>1</v>
      </c>
      <c r="BJ353">
        <f t="shared" si="66"/>
        <v>1</v>
      </c>
      <c r="BK353" s="57">
        <f t="shared" si="63"/>
        <v>352</v>
      </c>
      <c r="BL353" s="57" t="str">
        <f t="shared" si="64"/>
        <v>K'Kree Family Transport Vehicle (AoCS1)</v>
      </c>
    </row>
    <row r="354" spans="38:64" x14ac:dyDescent="0.3">
      <c r="AL354">
        <f t="shared" si="61"/>
        <v>4</v>
      </c>
      <c r="AM354">
        <f t="shared" si="62"/>
        <v>353</v>
      </c>
      <c r="AN354">
        <v>9</v>
      </c>
      <c r="AO354" t="s">
        <v>3012</v>
      </c>
      <c r="AP354" s="4">
        <v>340500</v>
      </c>
      <c r="AQ354" s="431">
        <v>5</v>
      </c>
      <c r="AR354">
        <f>IF($N$62="No",-20,1)</f>
        <v>1</v>
      </c>
      <c r="BF354">
        <f>IF($N$79="No",-20,1)</f>
        <v>1</v>
      </c>
      <c r="BG354">
        <f>IF($P$62=0,1,IF(AQ354&lt;=$P$62,1,-20))</f>
        <v>1</v>
      </c>
      <c r="BJ354">
        <f t="shared" si="66"/>
        <v>1</v>
      </c>
      <c r="BK354" s="57">
        <f t="shared" si="63"/>
        <v>353</v>
      </c>
      <c r="BL354" s="57" t="str">
        <f t="shared" si="64"/>
        <v>K'Kree Lead Grav Skimmer (AoCS1)</v>
      </c>
    </row>
    <row r="355" spans="38:64" x14ac:dyDescent="0.3">
      <c r="AL355">
        <f t="shared" si="61"/>
        <v>4</v>
      </c>
      <c r="AM355">
        <f t="shared" si="62"/>
        <v>354</v>
      </c>
      <c r="AN355">
        <v>12</v>
      </c>
      <c r="AO355" t="s">
        <v>3013</v>
      </c>
      <c r="AP355" s="4">
        <v>21100000</v>
      </c>
      <c r="AQ355" s="431">
        <v>50</v>
      </c>
      <c r="AR355">
        <f>IF($N$63="No",-20,1)</f>
        <v>1</v>
      </c>
      <c r="AS355">
        <f>IF($N$64="No",-20,1)</f>
        <v>1</v>
      </c>
      <c r="BH355">
        <f>IF($P$63=0,1,IF(AQ355&lt;=$P$63,1,-20))</f>
        <v>1</v>
      </c>
      <c r="BJ355">
        <f t="shared" si="66"/>
        <v>1</v>
      </c>
      <c r="BK355" s="57">
        <f t="shared" si="63"/>
        <v>354</v>
      </c>
      <c r="BL355" s="57" t="str">
        <f t="shared" si="64"/>
        <v>K'Kree Mobile Fighting Platform (AoCS1)</v>
      </c>
    </row>
    <row r="356" spans="38:64" x14ac:dyDescent="0.3">
      <c r="AL356">
        <f t="shared" si="61"/>
        <v>3</v>
      </c>
      <c r="AM356">
        <f t="shared" si="62"/>
        <v>355</v>
      </c>
      <c r="AN356">
        <v>9</v>
      </c>
      <c r="AO356" t="s">
        <v>3014</v>
      </c>
      <c r="AP356" s="4">
        <v>314700</v>
      </c>
      <c r="AQ356" s="431">
        <v>5</v>
      </c>
      <c r="AR356">
        <f>IF($N$62="No",-20,1)</f>
        <v>1</v>
      </c>
      <c r="BG356">
        <f>IF($P$62=0,1,IF(AQ356&lt;=$P$62,1,-20))</f>
        <v>1</v>
      </c>
      <c r="BJ356">
        <f t="shared" si="66"/>
        <v>1</v>
      </c>
      <c r="BK356" s="57">
        <f t="shared" si="63"/>
        <v>355</v>
      </c>
      <c r="BL356" s="57" t="str">
        <f t="shared" si="64"/>
        <v>K'Kree Personal Grav Skimmer (AoCS1)</v>
      </c>
    </row>
    <row r="357" spans="38:64" x14ac:dyDescent="0.3">
      <c r="AL357">
        <f t="shared" si="61"/>
        <v>3</v>
      </c>
      <c r="AM357">
        <f t="shared" si="62"/>
        <v>356</v>
      </c>
      <c r="AN357">
        <v>12</v>
      </c>
      <c r="AO357" t="s">
        <v>3015</v>
      </c>
      <c r="AP357" s="4">
        <v>29360000</v>
      </c>
      <c r="AQ357" s="431">
        <v>30</v>
      </c>
      <c r="AR357">
        <f>IF($N$62="No",-20,1)</f>
        <v>1</v>
      </c>
      <c r="BG357">
        <f>IF($P$62=0,1,IF(AQ357&lt;=$P$62,1,-20))</f>
        <v>1</v>
      </c>
      <c r="BJ357">
        <f t="shared" si="66"/>
        <v>1</v>
      </c>
      <c r="BK357" s="57">
        <f t="shared" si="63"/>
        <v>356</v>
      </c>
      <c r="BL357" s="57" t="str">
        <f t="shared" si="64"/>
        <v>K'Kree Quickening Thunder Robotic Fighter (AoCS1)</v>
      </c>
    </row>
    <row r="358" spans="38:64" ht="15.6" x14ac:dyDescent="0.3">
      <c r="AL358">
        <f t="shared" si="61"/>
        <v>5</v>
      </c>
      <c r="AM358">
        <f t="shared" si="62"/>
        <v>357</v>
      </c>
      <c r="AN358" s="437">
        <v>12</v>
      </c>
      <c r="AO358" s="437" t="s">
        <v>1983</v>
      </c>
      <c r="AP358" s="438">
        <v>350000</v>
      </c>
      <c r="AQ358" s="439">
        <v>10</v>
      </c>
      <c r="AR358">
        <f>IF($N$63="No",-20,1)</f>
        <v>1</v>
      </c>
      <c r="AS358">
        <f>IF($N$64="No",-20,1)</f>
        <v>1</v>
      </c>
      <c r="AU358">
        <f>IF($N$68="No",-20,1)</f>
        <v>1</v>
      </c>
      <c r="BH358">
        <f>IF($P$63=0,1,IF(AQ358&lt;=$P$63,1,-20))</f>
        <v>1</v>
      </c>
      <c r="BJ358">
        <f t="shared" si="66"/>
        <v>1</v>
      </c>
      <c r="BK358" s="57">
        <f t="shared" si="63"/>
        <v>357</v>
      </c>
      <c r="BL358" s="57" t="str">
        <f t="shared" si="64"/>
        <v>Kokoro (Ornothopter) (Solomani Adventure 2)</v>
      </c>
    </row>
    <row r="359" spans="38:64" ht="15.6" x14ac:dyDescent="0.3">
      <c r="AL359">
        <f t="shared" si="61"/>
        <v>4</v>
      </c>
      <c r="AM359">
        <f t="shared" si="62"/>
        <v>358</v>
      </c>
      <c r="AN359" s="437">
        <v>12</v>
      </c>
      <c r="AO359" s="437" t="s">
        <v>1827</v>
      </c>
      <c r="AP359" s="438">
        <v>949000</v>
      </c>
      <c r="AQ359" s="439">
        <v>20</v>
      </c>
      <c r="AR359">
        <f>IF($N$63="No",-20,1)</f>
        <v>1</v>
      </c>
      <c r="AU359">
        <f>IF($N$68="No",-20,1)</f>
        <v>1</v>
      </c>
      <c r="BH359">
        <f>IF($P$63=0,1,IF(AQ359&lt;=$P$63,1,-20))</f>
        <v>1</v>
      </c>
      <c r="BJ359">
        <f t="shared" si="66"/>
        <v>1</v>
      </c>
      <c r="BK359" s="57">
        <f t="shared" si="63"/>
        <v>358</v>
      </c>
      <c r="BL359" s="57" t="str">
        <f t="shared" si="64"/>
        <v>Large ATV (JTAS Vol. 1)</v>
      </c>
    </row>
    <row r="360" spans="38:64" x14ac:dyDescent="0.3">
      <c r="AL360">
        <f t="shared" si="61"/>
        <v>4</v>
      </c>
      <c r="AM360">
        <f t="shared" si="62"/>
        <v>359</v>
      </c>
      <c r="AN360">
        <v>12</v>
      </c>
      <c r="AO360" t="s">
        <v>3016</v>
      </c>
      <c r="AP360" s="4">
        <v>21699000</v>
      </c>
      <c r="AQ360" s="431">
        <v>50</v>
      </c>
      <c r="AR360">
        <f>IF($N$65="No",-20,1)</f>
        <v>1</v>
      </c>
      <c r="BF360">
        <f>IF($N$79="No",-20,1)</f>
        <v>1</v>
      </c>
      <c r="BI360">
        <f>IF($P$65=0,1,IF(AQ360&lt;=$P$65,1,-20))</f>
        <v>1</v>
      </c>
      <c r="BJ360">
        <f t="shared" si="66"/>
        <v>1</v>
      </c>
      <c r="BK360" s="57">
        <f t="shared" si="63"/>
        <v>359</v>
      </c>
      <c r="BL360" s="57" t="str">
        <f t="shared" si="64"/>
        <v>Larshan -Defender Light Patrol Boat (Warfleet of the 5FW)</v>
      </c>
    </row>
    <row r="361" spans="38:64" x14ac:dyDescent="0.3">
      <c r="AL361">
        <f t="shared" si="61"/>
        <v>4</v>
      </c>
      <c r="AM361">
        <f t="shared" si="62"/>
        <v>360</v>
      </c>
      <c r="AN361">
        <v>12</v>
      </c>
      <c r="AO361" t="s">
        <v>3017</v>
      </c>
      <c r="AP361" s="4">
        <v>16582500</v>
      </c>
      <c r="AQ361" s="431">
        <v>50</v>
      </c>
      <c r="AR361">
        <f>IF($N$62="No",-20,1)</f>
        <v>1</v>
      </c>
      <c r="BF361">
        <f>IF($N$79="No",-20,1)</f>
        <v>1</v>
      </c>
      <c r="BG361">
        <f>IF($P$62=0,1,IF(AQ361&lt;=$P$62,1,-20))</f>
        <v>1</v>
      </c>
      <c r="BJ361">
        <f t="shared" si="66"/>
        <v>1</v>
      </c>
      <c r="BK361" s="57">
        <f t="shared" si="63"/>
        <v>360</v>
      </c>
      <c r="BL361" s="57" t="str">
        <f t="shared" si="64"/>
        <v>Larshan Utility Craft (Warfeets of the 5FW)</v>
      </c>
    </row>
    <row r="362" spans="38:64" x14ac:dyDescent="0.3">
      <c r="AL362">
        <f t="shared" si="61"/>
        <v>4</v>
      </c>
      <c r="AM362">
        <f t="shared" si="62"/>
        <v>361</v>
      </c>
      <c r="AN362">
        <v>12</v>
      </c>
      <c r="AO362" t="s">
        <v>3018</v>
      </c>
      <c r="AP362" s="4">
        <v>2630000</v>
      </c>
      <c r="AQ362">
        <v>20</v>
      </c>
      <c r="AR362">
        <f>IF($N$62="No",-20,1)</f>
        <v>1</v>
      </c>
      <c r="BF362">
        <f>IF($N$79="No",-20,1)</f>
        <v>1</v>
      </c>
      <c r="BG362">
        <f>IF($P$62=0,1,IF(AQ362&lt;=$P$62,1,-20))</f>
        <v>1</v>
      </c>
      <c r="BJ362">
        <f t="shared" si="66"/>
        <v>1</v>
      </c>
      <c r="BK362" s="57">
        <f t="shared" si="63"/>
        <v>361</v>
      </c>
      <c r="BL362" s="57" t="str">
        <f t="shared" si="64"/>
        <v>Launch (Core'24)</v>
      </c>
    </row>
    <row r="363" spans="38:64" x14ac:dyDescent="0.3">
      <c r="AL363">
        <f t="shared" si="61"/>
        <v>4</v>
      </c>
      <c r="AM363">
        <f t="shared" si="62"/>
        <v>362</v>
      </c>
      <c r="AN363">
        <v>12</v>
      </c>
      <c r="AO363" t="s">
        <v>3019</v>
      </c>
      <c r="AP363" s="4">
        <v>2630000</v>
      </c>
      <c r="AQ363">
        <v>20</v>
      </c>
      <c r="AR363">
        <f>IF($N$63="No",-20,1)</f>
        <v>1</v>
      </c>
      <c r="AW363">
        <f>IF($N$70="No",-20,1)</f>
        <v>1</v>
      </c>
      <c r="BH363">
        <f>IF($P$63=0,1,IF(AQ363&lt;=$P$63,1,-20))</f>
        <v>1</v>
      </c>
      <c r="BJ363">
        <f t="shared" si="66"/>
        <v>1</v>
      </c>
      <c r="BK363" s="57">
        <f t="shared" si="63"/>
        <v>362</v>
      </c>
      <c r="BL363" s="57" t="str">
        <f t="shared" si="64"/>
        <v>Launch (HG22)</v>
      </c>
    </row>
    <row r="364" spans="38:64" x14ac:dyDescent="0.3">
      <c r="AL364">
        <f t="shared" si="61"/>
        <v>4</v>
      </c>
      <c r="AM364">
        <f t="shared" si="62"/>
        <v>363</v>
      </c>
      <c r="AN364">
        <v>8</v>
      </c>
      <c r="AO364" t="s">
        <v>3020</v>
      </c>
      <c r="AP364" s="4">
        <v>2860000</v>
      </c>
      <c r="AQ364">
        <v>30</v>
      </c>
      <c r="AR364">
        <f>IF($N$63="No",-20,1)</f>
        <v>1</v>
      </c>
      <c r="AT364">
        <f>IF($N$67="No",-20,1)</f>
        <v>1</v>
      </c>
      <c r="BH364">
        <f>IF($P$63=0,1,IF(AQ364&lt;=$P$63,1,-20))</f>
        <v>1</v>
      </c>
      <c r="BJ364">
        <f t="shared" si="66"/>
        <v>1</v>
      </c>
      <c r="BK364" s="57">
        <f t="shared" si="63"/>
        <v>363</v>
      </c>
      <c r="BL364" s="57" t="str">
        <f t="shared" si="64"/>
        <v>Legionary Battle Tank (Vehicle Handbook)</v>
      </c>
    </row>
    <row r="365" spans="38:64" x14ac:dyDescent="0.3">
      <c r="AL365">
        <f t="shared" si="61"/>
        <v>4</v>
      </c>
      <c r="AM365">
        <f t="shared" si="62"/>
        <v>364</v>
      </c>
      <c r="AN365">
        <v>12</v>
      </c>
      <c r="AO365" t="s">
        <v>3021</v>
      </c>
      <c r="AP365" s="4">
        <v>932555000</v>
      </c>
      <c r="AQ365">
        <v>1800</v>
      </c>
      <c r="AR365">
        <f>IF($N$62="No",-20,1)</f>
        <v>1</v>
      </c>
      <c r="BF365">
        <f>IF($N$79="No",-20,1)</f>
        <v>1</v>
      </c>
      <c r="BG365">
        <f>IF($P$62=0,1,IF(AQ365&lt;=$P$62,1,-20))</f>
        <v>1</v>
      </c>
      <c r="BJ365">
        <f t="shared" si="66"/>
        <v>1</v>
      </c>
      <c r="BK365" s="57">
        <f t="shared" si="63"/>
        <v>364</v>
      </c>
      <c r="BL365" s="57" t="str">
        <f t="shared" si="64"/>
        <v>Leviathan Merchant Cruiser (HG'22)</v>
      </c>
    </row>
    <row r="366" spans="38:64" x14ac:dyDescent="0.3">
      <c r="AL366">
        <f t="shared" si="61"/>
        <v>4</v>
      </c>
      <c r="AM366">
        <f t="shared" si="62"/>
        <v>365</v>
      </c>
      <c r="AN366">
        <v>10</v>
      </c>
      <c r="AO366" t="s">
        <v>3022</v>
      </c>
      <c r="AP366" s="4">
        <v>7240000</v>
      </c>
      <c r="AQ366">
        <v>15</v>
      </c>
      <c r="AR366">
        <f>IF($N$63="No",-20,1)</f>
        <v>1</v>
      </c>
      <c r="AU366">
        <f>IF($N$68="No",-20,1)</f>
        <v>1</v>
      </c>
      <c r="BH366">
        <f>IF($P$63=0,1,IF(AQ366&lt;=$P$63,1,-20))</f>
        <v>1</v>
      </c>
      <c r="BJ366">
        <f t="shared" si="66"/>
        <v>1</v>
      </c>
      <c r="BK366" s="57">
        <f t="shared" si="63"/>
        <v>365</v>
      </c>
      <c r="BL366" s="57" t="str">
        <f t="shared" si="64"/>
        <v>Liberator G/Carrier (Vehicle Handbook)</v>
      </c>
    </row>
    <row r="367" spans="38:64" x14ac:dyDescent="0.3">
      <c r="AL367">
        <f t="shared" si="61"/>
        <v>4</v>
      </c>
      <c r="AM367">
        <f t="shared" si="62"/>
        <v>366</v>
      </c>
      <c r="AN367">
        <v>4</v>
      </c>
      <c r="AO367" t="s">
        <v>3023</v>
      </c>
      <c r="AP367" s="4">
        <v>666000</v>
      </c>
      <c r="AQ367">
        <v>50</v>
      </c>
      <c r="AR367">
        <f>IF($N$63="No",-20,1)</f>
        <v>1</v>
      </c>
      <c r="AU367">
        <f>IF($N$68="No",-20,1)</f>
        <v>1</v>
      </c>
      <c r="BH367">
        <f>IF($P$63=0,1,IF(AQ367&lt;=$P$63,1,-20))</f>
        <v>1</v>
      </c>
      <c r="BJ367">
        <f t="shared" si="66"/>
        <v>1</v>
      </c>
      <c r="BK367" s="57">
        <f t="shared" si="63"/>
        <v>366</v>
      </c>
      <c r="BL367" s="57" t="str">
        <f t="shared" si="64"/>
        <v>Liberty Ironclad (Vehicle Handbook)</v>
      </c>
    </row>
    <row r="368" spans="38:64" x14ac:dyDescent="0.3">
      <c r="AL368">
        <f t="shared" si="61"/>
        <v>4</v>
      </c>
      <c r="AM368">
        <f t="shared" si="62"/>
        <v>367</v>
      </c>
      <c r="AN368">
        <v>9</v>
      </c>
      <c r="AO368" t="s">
        <v>3024</v>
      </c>
      <c r="AP368" s="4">
        <v>3730000</v>
      </c>
      <c r="AQ368">
        <v>20</v>
      </c>
      <c r="AR368">
        <f>IF($N$63="No",-20,1)</f>
        <v>1</v>
      </c>
      <c r="AW368">
        <f>IF($N$70="No",-20,1)</f>
        <v>1</v>
      </c>
      <c r="BH368">
        <f>IF($P$63=0,1,IF(AQ368&lt;=$P$63,1,-20))</f>
        <v>1</v>
      </c>
      <c r="BJ368">
        <f t="shared" si="66"/>
        <v>1</v>
      </c>
      <c r="BK368" s="57">
        <f t="shared" si="63"/>
        <v>367</v>
      </c>
      <c r="BL368" s="57" t="str">
        <f t="shared" si="64"/>
        <v>Lifeboat (SCC)</v>
      </c>
    </row>
    <row r="369" spans="38:64" ht="15.6" x14ac:dyDescent="0.3">
      <c r="AL369">
        <f t="shared" si="61"/>
        <v>3</v>
      </c>
      <c r="AM369">
        <f t="shared" si="62"/>
        <v>368</v>
      </c>
      <c r="AN369" s="437">
        <v>9</v>
      </c>
      <c r="AO369" s="437" t="s">
        <v>1831</v>
      </c>
      <c r="AP369" s="438">
        <v>73600</v>
      </c>
      <c r="AQ369" s="439">
        <v>7.5</v>
      </c>
      <c r="AR369">
        <f>IF($N$62="No",-20,1)</f>
        <v>1</v>
      </c>
      <c r="BG369">
        <f>IF($P$62=0,1,IF(AQ369&lt;=$P$62,1,-20))</f>
        <v>1</v>
      </c>
      <c r="BJ369">
        <f t="shared" si="66"/>
        <v>1</v>
      </c>
      <c r="BK369" s="57">
        <f t="shared" si="63"/>
        <v>368</v>
      </c>
      <c r="BL369" s="57" t="str">
        <f t="shared" si="64"/>
        <v>Light APC (JTAS Vol. 1)</v>
      </c>
    </row>
    <row r="370" spans="38:64" x14ac:dyDescent="0.3">
      <c r="AL370">
        <f t="shared" si="61"/>
        <v>3</v>
      </c>
      <c r="AM370">
        <f t="shared" si="62"/>
        <v>369</v>
      </c>
      <c r="AN370">
        <v>12</v>
      </c>
      <c r="AO370" t="s">
        <v>3025</v>
      </c>
      <c r="AP370" s="4">
        <v>10280000</v>
      </c>
      <c r="AQ370">
        <v>10</v>
      </c>
      <c r="AR370">
        <f>IF($N$62="No",-20,1)</f>
        <v>1</v>
      </c>
      <c r="BG370">
        <f>IF($P$62=0,1,IF(AQ370&lt;=$P$62,1,-20))</f>
        <v>1</v>
      </c>
      <c r="BJ370">
        <f t="shared" si="66"/>
        <v>1</v>
      </c>
      <c r="BK370" s="57">
        <f t="shared" si="63"/>
        <v>369</v>
      </c>
      <c r="BL370" s="57" t="str">
        <f t="shared" si="64"/>
        <v>Light Fighter (Core'24)</v>
      </c>
    </row>
    <row r="371" spans="38:64" x14ac:dyDescent="0.3">
      <c r="AL371">
        <f t="shared" si="61"/>
        <v>3</v>
      </c>
      <c r="AM371">
        <f t="shared" si="62"/>
        <v>370</v>
      </c>
      <c r="AN371">
        <v>12</v>
      </c>
      <c r="AO371" t="s">
        <v>1630</v>
      </c>
      <c r="AP371" s="4">
        <v>10480000</v>
      </c>
      <c r="AQ371">
        <v>10</v>
      </c>
      <c r="AR371">
        <f>IF($N$62="No",-20,1)</f>
        <v>1</v>
      </c>
      <c r="BG371">
        <f>IF($P$62=0,1,IF(AQ371&lt;=$P$62,1,-20))</f>
        <v>1</v>
      </c>
      <c r="BJ371">
        <f t="shared" si="66"/>
        <v>1</v>
      </c>
      <c r="BK371" s="57">
        <f t="shared" si="63"/>
        <v>370</v>
      </c>
      <c r="BL371" s="57" t="str">
        <f t="shared" si="64"/>
        <v>Light Fighter (HG'22)</v>
      </c>
    </row>
    <row r="372" spans="38:64" ht="15.6" x14ac:dyDescent="0.3">
      <c r="AL372">
        <f t="shared" si="61"/>
        <v>4</v>
      </c>
      <c r="AM372">
        <f t="shared" si="62"/>
        <v>371</v>
      </c>
      <c r="AN372" s="437">
        <v>9</v>
      </c>
      <c r="AO372" s="437" t="s">
        <v>1830</v>
      </c>
      <c r="AP372" s="438">
        <v>132000</v>
      </c>
      <c r="AQ372" s="439">
        <v>7.5</v>
      </c>
      <c r="AR372">
        <f>IF($N$62="No",-20,1)</f>
        <v>1</v>
      </c>
      <c r="BE372">
        <f>IF($N$78="No",-20,1)</f>
        <v>1</v>
      </c>
      <c r="BG372">
        <f>IF($P$62=0,1,IF(AQ372&lt;=$P$62,1,-20))</f>
        <v>1</v>
      </c>
      <c r="BJ372">
        <f t="shared" si="66"/>
        <v>1</v>
      </c>
      <c r="BK372" s="57">
        <f t="shared" si="63"/>
        <v>371</v>
      </c>
      <c r="BL372" s="57" t="str">
        <f t="shared" si="64"/>
        <v>Light Patrol Vehicle (JTAS Vol. 1)</v>
      </c>
    </row>
    <row r="373" spans="38:64" ht="15.6" x14ac:dyDescent="0.3">
      <c r="AL373">
        <f t="shared" si="61"/>
        <v>4</v>
      </c>
      <c r="AM373">
        <f t="shared" si="62"/>
        <v>372</v>
      </c>
      <c r="AN373" s="437">
        <v>7</v>
      </c>
      <c r="AO373" s="437" t="s">
        <v>1835</v>
      </c>
      <c r="AP373" s="438">
        <v>1900000</v>
      </c>
      <c r="AQ373" s="439">
        <v>20</v>
      </c>
      <c r="AR373">
        <f>IF($N$63="No",-20,1)</f>
        <v>1</v>
      </c>
      <c r="AW373">
        <f>IF($N$70="No",-20,1)</f>
        <v>1</v>
      </c>
      <c r="BH373">
        <f>IF($P$63=0,1,IF(AQ373&lt;=$P$63,1,-20))</f>
        <v>1</v>
      </c>
      <c r="BJ373">
        <f t="shared" si="66"/>
        <v>1</v>
      </c>
      <c r="BK373" s="57">
        <f t="shared" si="63"/>
        <v>372</v>
      </c>
      <c r="BL373" s="57" t="str">
        <f t="shared" si="64"/>
        <v>Lightning Ground-Attack Aitcraft (JTAS Vol. 2)</v>
      </c>
    </row>
    <row r="374" spans="38:64" ht="15.6" x14ac:dyDescent="0.3">
      <c r="AL374">
        <f t="shared" si="61"/>
        <v>4</v>
      </c>
      <c r="AM374">
        <f t="shared" si="62"/>
        <v>373</v>
      </c>
      <c r="AN374" s="437">
        <v>12</v>
      </c>
      <c r="AO374" s="437" t="s">
        <v>1970</v>
      </c>
      <c r="AP374" s="438">
        <v>19670000</v>
      </c>
      <c r="AQ374" s="439">
        <v>95</v>
      </c>
      <c r="AR374">
        <f>IF($N$63="No",-20,1)</f>
        <v>1</v>
      </c>
      <c r="AT374">
        <f>IF($N$67="No",-20,1)</f>
        <v>1</v>
      </c>
      <c r="BH374">
        <f>IF($P$63=0,1,IF(AQ374&lt;=$P$63,1,-20))</f>
        <v>1</v>
      </c>
      <c r="BJ374">
        <f t="shared" si="66"/>
        <v>1</v>
      </c>
      <c r="BK374" s="57">
        <f t="shared" si="63"/>
        <v>373</v>
      </c>
      <c r="BL374" s="57" t="str">
        <f t="shared" si="64"/>
        <v>Little Betty (Modified Shuttle) (Reach Adventure 6)</v>
      </c>
    </row>
    <row r="375" spans="38:64" x14ac:dyDescent="0.3">
      <c r="AL375">
        <f t="shared" si="61"/>
        <v>4</v>
      </c>
      <c r="AM375">
        <f t="shared" si="62"/>
        <v>374</v>
      </c>
      <c r="AN375">
        <v>15</v>
      </c>
      <c r="AO375" t="s">
        <v>1901</v>
      </c>
      <c r="AP375" s="4">
        <v>21019000</v>
      </c>
      <c r="AQ375" s="471">
        <v>20</v>
      </c>
      <c r="AR375">
        <f>IF($N$63="No",-20,1)</f>
        <v>1</v>
      </c>
      <c r="AW375">
        <f>IF($N$70="No",-20,1)</f>
        <v>1</v>
      </c>
      <c r="BH375">
        <f>IF($P$63=0,1,IF(AQ375&lt;=$P$63,1,-20))</f>
        <v>1</v>
      </c>
      <c r="BJ375">
        <f t="shared" si="66"/>
        <v>1</v>
      </c>
      <c r="BK375" s="57">
        <f t="shared" si="63"/>
        <v>374</v>
      </c>
      <c r="BL375" s="57" t="str">
        <f t="shared" si="64"/>
        <v>Little Sister Fighting Gig (JTAS Vol. 16)</v>
      </c>
    </row>
    <row r="376" spans="38:64" ht="15.6" x14ac:dyDescent="0.3">
      <c r="AL376">
        <f t="shared" si="61"/>
        <v>3</v>
      </c>
      <c r="AM376">
        <f t="shared" si="62"/>
        <v>375</v>
      </c>
      <c r="AN376" s="437">
        <v>13</v>
      </c>
      <c r="AO376" s="437" t="s">
        <v>3026</v>
      </c>
      <c r="AP376" s="4">
        <v>136430000</v>
      </c>
      <c r="AQ376" s="431">
        <v>600</v>
      </c>
      <c r="AR376">
        <f>IF($N$65="No",-20,1)</f>
        <v>1</v>
      </c>
      <c r="BI376">
        <f>IF($P$65=0,1,IF(AQ376&lt;=$P$65,1,-20))</f>
        <v>1</v>
      </c>
      <c r="BJ376">
        <f t="shared" si="66"/>
        <v>1</v>
      </c>
      <c r="BK376" s="57">
        <f t="shared" si="63"/>
        <v>375</v>
      </c>
      <c r="BL376" s="57" t="str">
        <f t="shared" si="64"/>
        <v>Lurent Fweet-eh-# Trader (B&amp;Edt5FW)</v>
      </c>
    </row>
    <row r="377" spans="38:64" x14ac:dyDescent="0.3">
      <c r="AL377">
        <f t="shared" si="61"/>
        <v>4</v>
      </c>
      <c r="AM377">
        <f t="shared" si="62"/>
        <v>376</v>
      </c>
      <c r="AN377">
        <v>12</v>
      </c>
      <c r="AO377" t="s">
        <v>3027</v>
      </c>
      <c r="AP377" s="4">
        <v>28330000</v>
      </c>
      <c r="AQ377">
        <v>90</v>
      </c>
      <c r="AR377">
        <f>IF($N$63="No",-20,1)</f>
        <v>1</v>
      </c>
      <c r="AU377">
        <f>IF($N$68="No",-20,1)</f>
        <v>1</v>
      </c>
      <c r="BH377">
        <f>IF($P$63=0,1,IF(AQ377&lt;=$P$63,1,-20))</f>
        <v>1</v>
      </c>
      <c r="BJ377">
        <f t="shared" si="66"/>
        <v>1</v>
      </c>
      <c r="BK377" s="57">
        <f t="shared" si="63"/>
        <v>376</v>
      </c>
      <c r="BL377" s="57" t="str">
        <f t="shared" si="64"/>
        <v>Luxury Shuttle (SCC)</v>
      </c>
    </row>
    <row r="378" spans="38:64" x14ac:dyDescent="0.3">
      <c r="AL378">
        <f t="shared" si="61"/>
        <v>4</v>
      </c>
      <c r="AM378">
        <f t="shared" si="62"/>
        <v>377</v>
      </c>
      <c r="AN378">
        <v>12</v>
      </c>
      <c r="AO378" t="s">
        <v>3028</v>
      </c>
      <c r="AP378" s="4">
        <v>1100000</v>
      </c>
      <c r="AQ378">
        <v>12.5</v>
      </c>
      <c r="AR378">
        <f>IF($N$62="No",-20,1)</f>
        <v>1</v>
      </c>
      <c r="BE378">
        <f>IF($N$78="No",-20,1)</f>
        <v>1</v>
      </c>
      <c r="BG378">
        <f>IF($P$62=0,1,IF(AQ378&lt;=$P$62,1,-20))</f>
        <v>1</v>
      </c>
      <c r="BJ378">
        <f t="shared" si="66"/>
        <v>1</v>
      </c>
      <c r="BK378" s="57">
        <f t="shared" si="63"/>
        <v>377</v>
      </c>
      <c r="BL378" s="57" t="str">
        <f t="shared" si="64"/>
        <v>Lynx Fast Assault Tank (Vehicle Handbook)</v>
      </c>
    </row>
    <row r="379" spans="38:64" x14ac:dyDescent="0.3">
      <c r="AL379">
        <f t="shared" si="61"/>
        <v>3</v>
      </c>
      <c r="AM379">
        <f t="shared" si="62"/>
        <v>378</v>
      </c>
      <c r="AN379">
        <v>11</v>
      </c>
      <c r="AO379" t="s">
        <v>3029</v>
      </c>
      <c r="AP379" s="4">
        <v>565000</v>
      </c>
      <c r="AQ379">
        <v>15</v>
      </c>
      <c r="AR379">
        <f>IF($N$63="No",-20,1)</f>
        <v>1</v>
      </c>
      <c r="BH379">
        <f>IF($P$63=0,1,IF(AQ379&lt;=$P$63,1,-20))</f>
        <v>1</v>
      </c>
      <c r="BJ379">
        <f t="shared" si="66"/>
        <v>1</v>
      </c>
      <c r="BK379" s="57">
        <f t="shared" si="63"/>
        <v>378</v>
      </c>
      <c r="BL379" s="57" t="str">
        <f t="shared" si="64"/>
        <v>M-90 Urban Assault Vehicle (Vehicle Handbook)</v>
      </c>
    </row>
    <row r="380" spans="38:64" x14ac:dyDescent="0.3">
      <c r="AL380">
        <f t="shared" si="61"/>
        <v>4</v>
      </c>
      <c r="AM380">
        <f t="shared" si="62"/>
        <v>379</v>
      </c>
      <c r="AN380">
        <v>13</v>
      </c>
      <c r="AO380" t="s">
        <v>3030</v>
      </c>
      <c r="AP380" s="4">
        <v>48027000</v>
      </c>
      <c r="AQ380" s="471">
        <v>45</v>
      </c>
      <c r="AR380">
        <f>IF($N$62="No",-20,1)</f>
        <v>1</v>
      </c>
      <c r="BE380">
        <f>IF($N$78="No",-20,1)</f>
        <v>1</v>
      </c>
      <c r="BG380">
        <f>IF($P$62=0,1,IF(AQ380&lt;=$P$62,1,-20))</f>
        <v>1</v>
      </c>
      <c r="BJ380">
        <f t="shared" ref="BJ380:BJ410" si="67">IF($N$61="Yes",1,IF(AN380&gt;TL,-20,1))</f>
        <v>1</v>
      </c>
      <c r="BK380" s="57">
        <f t="shared" si="63"/>
        <v>379</v>
      </c>
      <c r="BL380" s="57" t="str">
        <f t="shared" si="64"/>
        <v>Makamda Main Battle Tank (Armies of the 5FW)</v>
      </c>
    </row>
    <row r="381" spans="38:64" x14ac:dyDescent="0.3">
      <c r="AL381">
        <f t="shared" si="61"/>
        <v>4</v>
      </c>
      <c r="AM381">
        <f t="shared" si="62"/>
        <v>380</v>
      </c>
      <c r="AN381">
        <v>13</v>
      </c>
      <c r="AO381" t="s">
        <v>3031</v>
      </c>
      <c r="AP381" s="4">
        <v>10800000</v>
      </c>
      <c r="AQ381">
        <v>30</v>
      </c>
      <c r="AR381">
        <f>IF($N$65="No",-20,1)</f>
        <v>1</v>
      </c>
      <c r="AY381">
        <f>IF($N$72="No",-20,1)</f>
        <v>1</v>
      </c>
      <c r="BI381">
        <f>IF($P$65=0,1,IF(AQ381&lt;=$P$65,1,-20))</f>
        <v>1</v>
      </c>
      <c r="BJ381">
        <f t="shared" si="67"/>
        <v>1</v>
      </c>
      <c r="BK381" s="57">
        <f t="shared" si="63"/>
        <v>380</v>
      </c>
      <c r="BL381" s="57" t="str">
        <f t="shared" si="64"/>
        <v>Manticore Fighting Walker (Vehicle Handbook)</v>
      </c>
    </row>
    <row r="382" spans="38:64" ht="15.6" x14ac:dyDescent="0.3">
      <c r="AL382">
        <f t="shared" si="61"/>
        <v>4</v>
      </c>
      <c r="AM382">
        <f t="shared" si="62"/>
        <v>381</v>
      </c>
      <c r="AN382" s="437">
        <v>15</v>
      </c>
      <c r="AO382" s="437" t="s">
        <v>1756</v>
      </c>
      <c r="AP382" s="438">
        <v>908650000</v>
      </c>
      <c r="AQ382" s="439">
        <v>2600</v>
      </c>
      <c r="AR382">
        <f>IF($N$63="No",-20,1)</f>
        <v>1</v>
      </c>
      <c r="AY382">
        <f>IF($N$72="No",-20,1)</f>
        <v>1</v>
      </c>
      <c r="BH382">
        <f>IF($P$63=0,1,IF(AQ382&lt;=$P$63,1,-20))</f>
        <v>1</v>
      </c>
      <c r="BJ382">
        <f t="shared" si="67"/>
        <v>1</v>
      </c>
      <c r="BK382" s="57">
        <f t="shared" si="63"/>
        <v>381</v>
      </c>
      <c r="BL382" s="57" t="str">
        <f t="shared" si="64"/>
        <v>Marine Operations Pod (ECC)</v>
      </c>
    </row>
    <row r="383" spans="38:64" x14ac:dyDescent="0.3">
      <c r="AL383">
        <f t="shared" si="61"/>
        <v>4</v>
      </c>
      <c r="AM383">
        <f t="shared" si="62"/>
        <v>382</v>
      </c>
      <c r="AN383">
        <v>9</v>
      </c>
      <c r="AO383" t="s">
        <v>1806</v>
      </c>
      <c r="AP383" s="4">
        <v>334500</v>
      </c>
      <c r="AQ383" s="471">
        <v>15</v>
      </c>
      <c r="AR383">
        <f>IF($N$63="No",-20,1)</f>
        <v>1</v>
      </c>
      <c r="AY383">
        <f>IF($N$72="No",-20,1)</f>
        <v>1</v>
      </c>
      <c r="BH383">
        <f>IF($P$63=0,1,IF(AQ383&lt;=$P$63,1,-20))</f>
        <v>1</v>
      </c>
      <c r="BJ383">
        <f t="shared" si="67"/>
        <v>1</v>
      </c>
      <c r="BK383" s="57">
        <f t="shared" si="63"/>
        <v>382</v>
      </c>
      <c r="BL383" s="57" t="str">
        <f t="shared" si="64"/>
        <v>Marrix Light Armoured Combat Vehicle (Field Catalogue)</v>
      </c>
    </row>
    <row r="384" spans="38:64" ht="15.6" x14ac:dyDescent="0.3">
      <c r="AL384">
        <f t="shared" si="61"/>
        <v>4</v>
      </c>
      <c r="AM384">
        <f t="shared" si="62"/>
        <v>383</v>
      </c>
      <c r="AN384" s="437">
        <v>12</v>
      </c>
      <c r="AO384" s="437" t="s">
        <v>3032</v>
      </c>
      <c r="AP384" s="438">
        <v>37560000</v>
      </c>
      <c r="AQ384" s="439">
        <v>200</v>
      </c>
      <c r="AR384">
        <f>IF($N$65="No",-20,1)</f>
        <v>1</v>
      </c>
      <c r="AY384">
        <f>IF($N$72="No",-20,1)</f>
        <v>1</v>
      </c>
      <c r="BI384">
        <f>IF($P$65=0,1,IF(AQ384&lt;=$P$65,1,-20))</f>
        <v>1</v>
      </c>
      <c r="BJ384">
        <f t="shared" si="67"/>
        <v>1</v>
      </c>
      <c r="BK384" s="57">
        <f t="shared" si="63"/>
        <v>383</v>
      </c>
      <c r="BL384" s="57" t="str">
        <f t="shared" si="64"/>
        <v>Maus Smallhauler (Great Rift Adventure 3)</v>
      </c>
    </row>
    <row r="385" spans="38:64" x14ac:dyDescent="0.3">
      <c r="AL385">
        <f t="shared" si="61"/>
        <v>4</v>
      </c>
      <c r="AM385">
        <f t="shared" si="62"/>
        <v>384</v>
      </c>
      <c r="AN385">
        <v>12</v>
      </c>
      <c r="AO385" t="s">
        <v>3033</v>
      </c>
      <c r="AP385" s="4">
        <v>9330000</v>
      </c>
      <c r="AQ385">
        <v>20</v>
      </c>
      <c r="AR385">
        <f>IF($N$63="No",-20,1)</f>
        <v>1</v>
      </c>
      <c r="AU385">
        <f>IF($N$68="No",-20,1)</f>
        <v>1</v>
      </c>
      <c r="BH385">
        <f>IF($P$63=0,1,IF(AQ385&lt;=$P$63,1,-20))</f>
        <v>1</v>
      </c>
      <c r="BJ385">
        <f t="shared" si="67"/>
        <v>1</v>
      </c>
      <c r="BK385" s="57">
        <f t="shared" si="63"/>
        <v>384</v>
      </c>
      <c r="BL385" s="57" t="str">
        <f t="shared" si="64"/>
        <v>Medical Launch (SCC)</v>
      </c>
    </row>
    <row r="386" spans="38:64" x14ac:dyDescent="0.3">
      <c r="AL386">
        <f t="shared" si="61"/>
        <v>4</v>
      </c>
      <c r="AM386">
        <f t="shared" si="62"/>
        <v>385</v>
      </c>
      <c r="AN386">
        <v>10</v>
      </c>
      <c r="AO386" t="s">
        <v>3034</v>
      </c>
      <c r="AP386" s="4">
        <v>67925000</v>
      </c>
      <c r="AQ386" s="431">
        <v>550</v>
      </c>
      <c r="AR386">
        <f>IF($N$62="No",-20,1)</f>
        <v>1</v>
      </c>
      <c r="BF386">
        <f>IF($N$79="No",-20,1)</f>
        <v>1</v>
      </c>
      <c r="BG386">
        <f>IF($P$62=0,1,IF(AQ386&lt;=$P$62,1,-20))</f>
        <v>1</v>
      </c>
      <c r="BJ386">
        <f t="shared" si="67"/>
        <v>1</v>
      </c>
      <c r="BK386" s="57">
        <f t="shared" si="63"/>
        <v>385</v>
      </c>
      <c r="BL386" s="57" t="str">
        <f t="shared" si="64"/>
        <v>Mercenary Company Transport Module (Specialist Forces)</v>
      </c>
    </row>
    <row r="387" spans="38:64" x14ac:dyDescent="0.3">
      <c r="AL387">
        <f t="shared" si="61"/>
        <v>3</v>
      </c>
      <c r="AM387">
        <f t="shared" si="62"/>
        <v>386</v>
      </c>
      <c r="AN387">
        <v>10</v>
      </c>
      <c r="AO387" t="s">
        <v>3035</v>
      </c>
      <c r="AP387" s="4">
        <v>25000000</v>
      </c>
      <c r="AQ387" s="431">
        <v>160</v>
      </c>
      <c r="AR387">
        <f>IF($N$63="No",-20,1)</f>
        <v>1</v>
      </c>
      <c r="BH387">
        <f>IF($P$63=0,1,IF(AQ387&lt;=$P$63,1,-20))</f>
        <v>1</v>
      </c>
      <c r="BJ387">
        <f t="shared" si="67"/>
        <v>1</v>
      </c>
      <c r="BK387" s="57">
        <f t="shared" si="63"/>
        <v>386</v>
      </c>
      <c r="BL387" s="57" t="str">
        <f t="shared" si="64"/>
        <v>Mercenary Platoon Assault Module (Specialist Forces)</v>
      </c>
    </row>
    <row r="388" spans="38:64" x14ac:dyDescent="0.3">
      <c r="AL388">
        <f t="shared" ref="AL388:AL427" si="68">SUM(AR388:BJ388)</f>
        <v>4</v>
      </c>
      <c r="AM388">
        <f t="shared" ref="AM388:AM451" si="69">IF(AL388&gt;0,AM387+1,AM387)</f>
        <v>387</v>
      </c>
      <c r="AN388">
        <v>10</v>
      </c>
      <c r="AO388" t="s">
        <v>3036</v>
      </c>
      <c r="AP388" s="4">
        <v>11550000</v>
      </c>
      <c r="AQ388" s="431">
        <v>60</v>
      </c>
      <c r="AR388">
        <f>IF($N$62="No",-20,1)</f>
        <v>1</v>
      </c>
      <c r="BF388">
        <f>IF($N$79="No",-20,1)</f>
        <v>1</v>
      </c>
      <c r="BG388">
        <f>IF($P$62=0,1,IF(AQ388&lt;=$P$62,1,-20))</f>
        <v>1</v>
      </c>
      <c r="BJ388">
        <f t="shared" si="67"/>
        <v>1</v>
      </c>
      <c r="BK388" s="57">
        <f t="shared" ref="BK388:BK451" si="70">BK387+1</f>
        <v>387</v>
      </c>
      <c r="BL388" s="57" t="str">
        <f t="shared" si="64"/>
        <v>Mercenary Platoon Cold Transport Module (Specialist Forces)</v>
      </c>
    </row>
    <row r="389" spans="38:64" x14ac:dyDescent="0.3">
      <c r="AL389">
        <f t="shared" si="68"/>
        <v>3</v>
      </c>
      <c r="AM389">
        <f t="shared" si="69"/>
        <v>388</v>
      </c>
      <c r="AN389">
        <v>10</v>
      </c>
      <c r="AO389" t="s">
        <v>3037</v>
      </c>
      <c r="AP389" s="4">
        <v>13700000</v>
      </c>
      <c r="AQ389" s="431">
        <v>112</v>
      </c>
      <c r="AR389">
        <f>IF($N$62="No",-20,1)</f>
        <v>1</v>
      </c>
      <c r="BG389">
        <f>IF($P$62=0,1,IF(AQ389&lt;=$P$62,1,-20))</f>
        <v>1</v>
      </c>
      <c r="BJ389">
        <f t="shared" si="67"/>
        <v>1</v>
      </c>
      <c r="BK389" s="57">
        <f t="shared" si="70"/>
        <v>388</v>
      </c>
      <c r="BL389" s="57" t="str">
        <f t="shared" ref="BL389:BL452" si="71">IF(BK389&gt;$BK$1,"",INDEX($AM$2:$AO$495,MATCH(BK389,$AM$2:$AM$495,0),3))</f>
        <v>Mercenary Platoon Transport Module (Specialist Forces)</v>
      </c>
    </row>
    <row r="390" spans="38:64" x14ac:dyDescent="0.3">
      <c r="AL390">
        <f t="shared" si="68"/>
        <v>4</v>
      </c>
      <c r="AM390">
        <f t="shared" si="69"/>
        <v>389</v>
      </c>
      <c r="AN390">
        <v>10</v>
      </c>
      <c r="AO390" t="s">
        <v>3038</v>
      </c>
      <c r="AP390" s="4">
        <v>3550000</v>
      </c>
      <c r="AQ390" s="431">
        <v>32</v>
      </c>
      <c r="AR390">
        <f>IF($N$62="No",-20,1)</f>
        <v>1</v>
      </c>
      <c r="BF390">
        <f>IF($N$79="No",-20,1)</f>
        <v>1</v>
      </c>
      <c r="BG390">
        <f>IF($P$62=0,1,IF(AQ390&lt;=$P$62,1,-20))</f>
        <v>1</v>
      </c>
      <c r="BJ390">
        <f t="shared" si="67"/>
        <v>1</v>
      </c>
      <c r="BK390" s="57">
        <f t="shared" si="70"/>
        <v>389</v>
      </c>
      <c r="BL390" s="57" t="str">
        <f t="shared" si="71"/>
        <v>Mercenary Ship's Troops Barracks Module, Section (Specialist Forces)</v>
      </c>
    </row>
    <row r="391" spans="38:64" x14ac:dyDescent="0.3">
      <c r="AL391">
        <f t="shared" si="68"/>
        <v>4</v>
      </c>
      <c r="AM391">
        <f t="shared" si="69"/>
        <v>390</v>
      </c>
      <c r="AN391">
        <v>10</v>
      </c>
      <c r="AO391" t="s">
        <v>3039</v>
      </c>
      <c r="AP391" s="4">
        <v>8937500</v>
      </c>
      <c r="AQ391" s="431">
        <v>53</v>
      </c>
      <c r="AR391">
        <f>IF($N$63="No",-20,1)</f>
        <v>1</v>
      </c>
      <c r="BF391">
        <f>IF($N$79="No",-20,1)</f>
        <v>1</v>
      </c>
      <c r="BH391">
        <f>IF($P$63=0,1,IF(AQ391&lt;=$P$63,1,-20))</f>
        <v>1</v>
      </c>
      <c r="BJ391">
        <f t="shared" si="67"/>
        <v>1</v>
      </c>
      <c r="BK391" s="57">
        <f t="shared" si="70"/>
        <v>390</v>
      </c>
      <c r="BL391" s="57" t="str">
        <f t="shared" si="71"/>
        <v>Mercenary Ship's Troops Ready Module, Section (Specialist Forces)</v>
      </c>
    </row>
    <row r="392" spans="38:64" x14ac:dyDescent="0.3">
      <c r="AL392">
        <f t="shared" si="68"/>
        <v>4</v>
      </c>
      <c r="AM392">
        <f t="shared" si="69"/>
        <v>391</v>
      </c>
      <c r="AN392">
        <v>12</v>
      </c>
      <c r="AO392" t="s">
        <v>1876</v>
      </c>
      <c r="AP392" s="4">
        <v>345000</v>
      </c>
      <c r="AQ392" s="471">
        <v>5</v>
      </c>
      <c r="AR392">
        <f>IF($N$62="No",-20,1)</f>
        <v>1</v>
      </c>
      <c r="BC392">
        <f>IF($N$76="No",-20,1)</f>
        <v>1</v>
      </c>
      <c r="BG392">
        <f>IF($P$62=0,1,IF(AQ392&lt;=$P$62,1,-20))</f>
        <v>1</v>
      </c>
      <c r="BJ392">
        <f t="shared" si="67"/>
        <v>1</v>
      </c>
      <c r="BK392" s="57">
        <f t="shared" si="70"/>
        <v>391</v>
      </c>
      <c r="BL392" s="57" t="str">
        <f t="shared" si="71"/>
        <v>Merla Light Grav Vehicle (JTAS Vol. 9)</v>
      </c>
    </row>
    <row r="393" spans="38:64" x14ac:dyDescent="0.3">
      <c r="AL393">
        <f t="shared" si="68"/>
        <v>4</v>
      </c>
      <c r="AM393">
        <f t="shared" si="69"/>
        <v>392</v>
      </c>
      <c r="AN393">
        <v>15</v>
      </c>
      <c r="AO393" t="s">
        <v>3040</v>
      </c>
      <c r="AP393" s="4">
        <v>2056260000</v>
      </c>
      <c r="AQ393" s="471">
        <v>3000</v>
      </c>
      <c r="AR393">
        <f>IF($N$65="No",-20,1)</f>
        <v>1</v>
      </c>
      <c r="BF393">
        <f>IF($N$79="No",-20,1)</f>
        <v>1</v>
      </c>
      <c r="BI393">
        <f>IF($P$65=0,1,IF(AQ393&lt;=$P$65,1,-20))</f>
        <v>1</v>
      </c>
      <c r="BJ393">
        <f t="shared" si="67"/>
        <v>1</v>
      </c>
      <c r="BK393" s="57">
        <f t="shared" si="70"/>
        <v>392</v>
      </c>
      <c r="BL393" s="57" t="str">
        <f t="shared" si="71"/>
        <v>Midu Agasham Destroyer (HG'22)</v>
      </c>
    </row>
    <row r="394" spans="38:64" x14ac:dyDescent="0.3">
      <c r="AL394">
        <f t="shared" si="68"/>
        <v>4</v>
      </c>
      <c r="AM394">
        <f t="shared" si="69"/>
        <v>393</v>
      </c>
      <c r="AN394">
        <v>8</v>
      </c>
      <c r="AO394" t="s">
        <v>1881</v>
      </c>
      <c r="AP394" s="4">
        <v>648000</v>
      </c>
      <c r="AQ394" s="471">
        <v>15</v>
      </c>
      <c r="AR394">
        <f>IF($N$65="No",-20,1)</f>
        <v>1</v>
      </c>
      <c r="BF394">
        <f>IF($N$79="No",-20,1)</f>
        <v>1</v>
      </c>
      <c r="BI394">
        <f>IF($P$65=0,1,IF(AQ394&lt;=$P$65,1,-20))</f>
        <v>1</v>
      </c>
      <c r="BJ394">
        <f t="shared" si="67"/>
        <v>1</v>
      </c>
      <c r="BK394" s="57">
        <f t="shared" si="70"/>
        <v>393</v>
      </c>
      <c r="BL394" s="57" t="str">
        <f t="shared" si="71"/>
        <v>Mighty Maus Mobile Crane (JTAS Vol. 11)</v>
      </c>
    </row>
    <row r="395" spans="38:64" x14ac:dyDescent="0.3">
      <c r="AL395">
        <f t="shared" si="68"/>
        <v>4</v>
      </c>
      <c r="AM395">
        <f t="shared" si="69"/>
        <v>394</v>
      </c>
      <c r="AN395">
        <v>8</v>
      </c>
      <c r="AO395" t="s">
        <v>3041</v>
      </c>
      <c r="AP395" s="4">
        <v>2392000</v>
      </c>
      <c r="AQ395" s="471">
        <v>16</v>
      </c>
      <c r="AR395">
        <f>IF($N$65="No",-20,1)</f>
        <v>1</v>
      </c>
      <c r="BF395">
        <f>IF($N$79="No",-20,1)</f>
        <v>1</v>
      </c>
      <c r="BI395">
        <f>IF($P$65=0,1,IF(AQ395&lt;=$P$65,1,-20))</f>
        <v>1</v>
      </c>
      <c r="BJ395">
        <f t="shared" si="67"/>
        <v>1</v>
      </c>
      <c r="BK395" s="57">
        <f t="shared" si="70"/>
        <v>394</v>
      </c>
      <c r="BL395" s="57" t="str">
        <f t="shared" si="71"/>
        <v>Miin Khirki Atmospheric Fighter (Singularity Act 2)</v>
      </c>
    </row>
    <row r="396" spans="38:64" x14ac:dyDescent="0.3">
      <c r="AL396">
        <f t="shared" si="68"/>
        <v>4</v>
      </c>
      <c r="AM396">
        <f t="shared" si="69"/>
        <v>395</v>
      </c>
      <c r="AN396">
        <v>14</v>
      </c>
      <c r="AO396" t="s">
        <v>3042</v>
      </c>
      <c r="AP396" s="4">
        <v>15187000</v>
      </c>
      <c r="AQ396">
        <v>20</v>
      </c>
      <c r="AR396">
        <f>IF($N$65="No",-20,1)</f>
        <v>1</v>
      </c>
      <c r="BF396">
        <f>IF($N$79="No",-20,1)</f>
        <v>1</v>
      </c>
      <c r="BI396">
        <f>IF($P$65=0,1,IF(AQ396&lt;=$P$65,1,-20))</f>
        <v>1</v>
      </c>
      <c r="BJ396">
        <f t="shared" si="67"/>
        <v>1</v>
      </c>
      <c r="BK396" s="57">
        <f t="shared" si="70"/>
        <v>395</v>
      </c>
      <c r="BL396" s="57" t="str">
        <f t="shared" si="71"/>
        <v>Military Gig (HG'22)</v>
      </c>
    </row>
    <row r="397" spans="38:64" x14ac:dyDescent="0.3">
      <c r="AL397">
        <f t="shared" si="68"/>
        <v>4</v>
      </c>
      <c r="AM397">
        <f t="shared" si="69"/>
        <v>396</v>
      </c>
      <c r="AN397">
        <v>12</v>
      </c>
      <c r="AO397" t="s">
        <v>1865</v>
      </c>
      <c r="AP397" s="4">
        <v>15240000</v>
      </c>
      <c r="AQ397" s="471">
        <v>40</v>
      </c>
      <c r="AR397">
        <f>IF($N$65="No",-20,1)</f>
        <v>1</v>
      </c>
      <c r="BF397">
        <f>IF($N$79="No",-20,1)</f>
        <v>1</v>
      </c>
      <c r="BI397">
        <f>IF($P$65=0,1,IF(AQ397&lt;=$P$65,1,-20))</f>
        <v>1</v>
      </c>
      <c r="BJ397">
        <f t="shared" si="67"/>
        <v>1</v>
      </c>
      <c r="BK397" s="57">
        <f t="shared" si="70"/>
        <v>396</v>
      </c>
      <c r="BL397" s="57" t="str">
        <f t="shared" si="71"/>
        <v>Minnow Slow Pinnace (JTAS Vol. 7)</v>
      </c>
    </row>
    <row r="398" spans="38:64" ht="15.6" x14ac:dyDescent="0.3">
      <c r="AL398">
        <f t="shared" si="68"/>
        <v>4</v>
      </c>
      <c r="AM398">
        <f t="shared" si="69"/>
        <v>397</v>
      </c>
      <c r="AN398" s="437">
        <v>15</v>
      </c>
      <c r="AO398" s="437" t="s">
        <v>1753</v>
      </c>
      <c r="AP398" s="438">
        <v>985900000</v>
      </c>
      <c r="AQ398" s="439">
        <v>2600</v>
      </c>
      <c r="AR398">
        <f>IF($N$63="No",-20,1)</f>
        <v>1</v>
      </c>
      <c r="AU398">
        <f>IF($N$68="No",-20,1)</f>
        <v>1</v>
      </c>
      <c r="BH398">
        <f>IF($P$63=0,1,IF(AQ398&lt;=$P$63,1,-20))</f>
        <v>1</v>
      </c>
      <c r="BJ398">
        <f t="shared" si="67"/>
        <v>1</v>
      </c>
      <c r="BK398" s="57">
        <f t="shared" si="70"/>
        <v>397</v>
      </c>
      <c r="BL398" s="57" t="str">
        <f t="shared" si="71"/>
        <v>Missile Pod (ECC)</v>
      </c>
    </row>
    <row r="399" spans="38:64" ht="15.6" x14ac:dyDescent="0.3">
      <c r="AL399">
        <f t="shared" si="68"/>
        <v>5</v>
      </c>
      <c r="AM399">
        <f t="shared" si="69"/>
        <v>398</v>
      </c>
      <c r="AN399" s="437">
        <v>15</v>
      </c>
      <c r="AO399" s="437" t="s">
        <v>1962</v>
      </c>
      <c r="AP399" s="438">
        <v>40340000000</v>
      </c>
      <c r="AQ399" s="439">
        <v>2600</v>
      </c>
      <c r="AR399">
        <f>IF($N$63="No",-20,1)</f>
        <v>1</v>
      </c>
      <c r="AS399">
        <f>IF($N$64="No",-20,1)</f>
        <v>1</v>
      </c>
      <c r="BD399">
        <f>IF($N$77="No",-20,1)</f>
        <v>1</v>
      </c>
      <c r="BH399">
        <f>IF($P$63=0,1,IF(AQ399&lt;=$P$63,1,-20))</f>
        <v>1</v>
      </c>
      <c r="BJ399">
        <f t="shared" si="67"/>
        <v>1</v>
      </c>
      <c r="BK399" s="57">
        <f t="shared" si="70"/>
        <v>398</v>
      </c>
      <c r="BL399" s="57" t="str">
        <f t="shared" si="71"/>
        <v>Missile Pod (Opening Moves)</v>
      </c>
    </row>
    <row r="400" spans="38:64" ht="15.6" x14ac:dyDescent="0.3">
      <c r="AL400">
        <f t="shared" si="68"/>
        <v>4</v>
      </c>
      <c r="AM400">
        <f t="shared" si="69"/>
        <v>399</v>
      </c>
      <c r="AN400" s="437">
        <v>15</v>
      </c>
      <c r="AO400" s="437" t="s">
        <v>1752</v>
      </c>
      <c r="AP400" s="438">
        <v>2874360000</v>
      </c>
      <c r="AQ400" s="439">
        <v>2600</v>
      </c>
      <c r="AR400">
        <f>IF($N$62="No",-20,1)</f>
        <v>1</v>
      </c>
      <c r="BC400">
        <f>IF($N$76="No",-20,1)</f>
        <v>1</v>
      </c>
      <c r="BG400">
        <f>IF($P$62=0,1,IF(AQ400&lt;=$P$62,1,-20))</f>
        <v>1</v>
      </c>
      <c r="BJ400">
        <f t="shared" si="67"/>
        <v>1</v>
      </c>
      <c r="BK400" s="57">
        <f t="shared" si="70"/>
        <v>399</v>
      </c>
      <c r="BL400" s="57" t="str">
        <f t="shared" si="71"/>
        <v>Mission Pod (DRCG)</v>
      </c>
    </row>
    <row r="401" spans="38:64" x14ac:dyDescent="0.3">
      <c r="AL401">
        <f t="shared" si="68"/>
        <v>4</v>
      </c>
      <c r="AM401">
        <f t="shared" si="69"/>
        <v>400</v>
      </c>
      <c r="AN401">
        <v>8</v>
      </c>
      <c r="AO401" t="s">
        <v>3043</v>
      </c>
      <c r="AP401" s="4">
        <v>6000000</v>
      </c>
      <c r="AQ401" s="431">
        <v>60</v>
      </c>
      <c r="AR401">
        <f>IF($N$65="No",-20,1)</f>
        <v>1</v>
      </c>
      <c r="BA401">
        <f>IF($N$74="No",-20,1)</f>
        <v>1</v>
      </c>
      <c r="BI401">
        <f>IF($P$65=0,1,IF(AQ401&lt;=$P$65,1,-20))</f>
        <v>1</v>
      </c>
      <c r="BJ401">
        <f t="shared" si="67"/>
        <v>1</v>
      </c>
      <c r="BK401" s="57">
        <f t="shared" si="70"/>
        <v>400</v>
      </c>
      <c r="BL401" s="57" t="str">
        <f t="shared" si="71"/>
        <v>Missionary Barracks Module (Sylean Dream)</v>
      </c>
    </row>
    <row r="402" spans="38:64" x14ac:dyDescent="0.3">
      <c r="AL402">
        <f t="shared" si="68"/>
        <v>3</v>
      </c>
      <c r="AM402">
        <f t="shared" si="69"/>
        <v>401</v>
      </c>
      <c r="AN402">
        <v>8</v>
      </c>
      <c r="AO402" t="s">
        <v>3044</v>
      </c>
      <c r="AP402" s="4">
        <v>6000000</v>
      </c>
      <c r="AQ402" s="431">
        <v>60</v>
      </c>
      <c r="AR402">
        <f>IF($N$65="No",-20,1)</f>
        <v>1</v>
      </c>
      <c r="BI402">
        <f>IF($P$65=0,1,IF(AQ402&lt;=$P$65,1,-20))</f>
        <v>1</v>
      </c>
      <c r="BJ402">
        <f t="shared" si="67"/>
        <v>1</v>
      </c>
      <c r="BK402" s="57">
        <f t="shared" si="70"/>
        <v>401</v>
      </c>
      <c r="BL402" s="57" t="str">
        <f t="shared" si="71"/>
        <v>Missionary Storage Module (Sylean Dream)</v>
      </c>
    </row>
    <row r="403" spans="38:64" x14ac:dyDescent="0.3">
      <c r="AL403">
        <f t="shared" si="68"/>
        <v>3</v>
      </c>
      <c r="AM403">
        <f t="shared" si="69"/>
        <v>402</v>
      </c>
      <c r="AN403">
        <v>15</v>
      </c>
      <c r="AO403" t="s">
        <v>3045</v>
      </c>
      <c r="AP403" s="4">
        <v>1100500000</v>
      </c>
      <c r="AQ403" s="471">
        <v>3000</v>
      </c>
      <c r="AR403">
        <f>IF($N$62="No",-20,1)</f>
        <v>1</v>
      </c>
      <c r="BG403">
        <f>IF($P$62=0,1,IF(AQ403&lt;=$P$62,1,-20))</f>
        <v>1</v>
      </c>
      <c r="BJ403">
        <f t="shared" si="67"/>
        <v>1</v>
      </c>
      <c r="BK403" s="57">
        <f t="shared" si="70"/>
        <v>402</v>
      </c>
      <c r="BL403" s="57" t="str">
        <f t="shared" si="71"/>
        <v>MK Mora Cargo Carrier (HG'22)</v>
      </c>
    </row>
    <row r="404" spans="38:64" ht="15.6" x14ac:dyDescent="0.3">
      <c r="AL404">
        <f t="shared" si="68"/>
        <v>5</v>
      </c>
      <c r="AM404">
        <f t="shared" si="69"/>
        <v>403</v>
      </c>
      <c r="AN404" s="437">
        <v>13</v>
      </c>
      <c r="AO404" s="437" t="s">
        <v>1984</v>
      </c>
      <c r="AP404" s="438">
        <v>175200000</v>
      </c>
      <c r="AQ404" s="439">
        <v>300</v>
      </c>
      <c r="AR404">
        <f>IF($N$63="No",-20,1)</f>
        <v>1</v>
      </c>
      <c r="AS404">
        <f>IF($N$64="No",-20,1)</f>
        <v>1</v>
      </c>
      <c r="AU404">
        <f>IF($N$68="No",-20,1)</f>
        <v>1</v>
      </c>
      <c r="BH404">
        <f>IF($P$63=0,1,IF(AQ404&lt;=$P$63,1,-20))</f>
        <v>1</v>
      </c>
      <c r="BJ404">
        <f t="shared" si="67"/>
        <v>1</v>
      </c>
      <c r="BK404" s="57">
        <f t="shared" si="70"/>
        <v>403</v>
      </c>
      <c r="BL404" s="57" t="str">
        <f t="shared" si="71"/>
        <v>Modified Addumsa-Class System Defense Boat (Solomani Front)</v>
      </c>
    </row>
    <row r="405" spans="38:64" x14ac:dyDescent="0.3">
      <c r="AL405">
        <f t="shared" si="68"/>
        <v>4</v>
      </c>
      <c r="AM405">
        <f t="shared" si="69"/>
        <v>404</v>
      </c>
      <c r="AN405">
        <v>12</v>
      </c>
      <c r="AO405" t="s">
        <v>1869</v>
      </c>
      <c r="AP405" s="4">
        <v>122010000</v>
      </c>
      <c r="AQ405" s="471">
        <v>400</v>
      </c>
      <c r="AR405">
        <f>IF($N$63="No",-20,1)</f>
        <v>1</v>
      </c>
      <c r="AU405">
        <f>IF($N$68="No",-20,1)</f>
        <v>1</v>
      </c>
      <c r="BH405">
        <f>IF($P$63=0,1,IF(AQ405&lt;=$P$63,1,-20))</f>
        <v>1</v>
      </c>
      <c r="BJ405">
        <f t="shared" si="67"/>
        <v>1</v>
      </c>
      <c r="BK405" s="57">
        <f t="shared" si="70"/>
        <v>404</v>
      </c>
      <c r="BL405" s="57" t="str">
        <f t="shared" si="71"/>
        <v>Modified System Defense Boat (JTAS Vol. 8)</v>
      </c>
    </row>
    <row r="406" spans="38:64" ht="15.6" x14ac:dyDescent="0.3">
      <c r="AL406">
        <f t="shared" si="68"/>
        <v>4</v>
      </c>
      <c r="AM406">
        <f t="shared" si="69"/>
        <v>405</v>
      </c>
      <c r="AN406" s="437">
        <v>12</v>
      </c>
      <c r="AO406" s="437" t="s">
        <v>3046</v>
      </c>
      <c r="AP406" s="4">
        <v>11230000</v>
      </c>
      <c r="AQ406" s="471">
        <v>50</v>
      </c>
      <c r="AR406">
        <f>IF($N$63="No",-20,1)</f>
        <v>1</v>
      </c>
      <c r="AS406">
        <f>IF($N$64="No",-20,1)</f>
        <v>1</v>
      </c>
      <c r="BH406">
        <f>IF($P$63=0,1,IF(AQ406&lt;=$P$63,1,-20))</f>
        <v>1</v>
      </c>
      <c r="BJ406">
        <f t="shared" si="67"/>
        <v>1</v>
      </c>
      <c r="BK406" s="57">
        <f t="shared" si="70"/>
        <v>405</v>
      </c>
      <c r="BL406" s="57" t="str">
        <f t="shared" si="71"/>
        <v>Modular Cutter (Core.24)</v>
      </c>
    </row>
    <row r="407" spans="38:64" x14ac:dyDescent="0.3">
      <c r="AL407">
        <f t="shared" si="68"/>
        <v>5</v>
      </c>
      <c r="AM407">
        <f t="shared" si="69"/>
        <v>406</v>
      </c>
      <c r="AN407">
        <v>12</v>
      </c>
      <c r="AO407" t="s">
        <v>3047</v>
      </c>
      <c r="AP407" s="4">
        <v>11930000</v>
      </c>
      <c r="AQ407">
        <v>50</v>
      </c>
      <c r="AR407">
        <f>IF($N$63="No",-20,1)</f>
        <v>1</v>
      </c>
      <c r="AS407">
        <f>IF($N$64="No",-20,1)</f>
        <v>1</v>
      </c>
      <c r="AU407">
        <f>IF($N$68="No",-20,1)</f>
        <v>1</v>
      </c>
      <c r="BH407">
        <f>IF($P$63=0,1,IF(AQ407&lt;=$P$63,1,-20))</f>
        <v>1</v>
      </c>
      <c r="BJ407">
        <f t="shared" si="67"/>
        <v>1</v>
      </c>
      <c r="BK407" s="57">
        <f t="shared" si="70"/>
        <v>406</v>
      </c>
      <c r="BL407" s="57" t="str">
        <f t="shared" si="71"/>
        <v>Modular Cutter (HG'22)</v>
      </c>
    </row>
    <row r="408" spans="38:64" x14ac:dyDescent="0.3">
      <c r="AL408">
        <f t="shared" si="68"/>
        <v>5</v>
      </c>
      <c r="AM408">
        <f t="shared" si="69"/>
        <v>407</v>
      </c>
      <c r="AN408">
        <v>8</v>
      </c>
      <c r="AO408" t="s">
        <v>3048</v>
      </c>
      <c r="AP408" s="4">
        <v>7400000</v>
      </c>
      <c r="AQ408">
        <v>30</v>
      </c>
      <c r="AR408">
        <f>IF($N$63="No",-20,1)</f>
        <v>1</v>
      </c>
      <c r="AS408">
        <f>IF($N$64="No",-20,1)</f>
        <v>1</v>
      </c>
      <c r="AU408">
        <f>IF($N$68="No",-20,1)</f>
        <v>1</v>
      </c>
      <c r="BH408">
        <f>IF($P$63=0,1,IF(AQ408&lt;=$P$63,1,-20))</f>
        <v>1</v>
      </c>
      <c r="BJ408">
        <f t="shared" si="67"/>
        <v>1</v>
      </c>
      <c r="BK408" s="57">
        <f t="shared" si="70"/>
        <v>407</v>
      </c>
      <c r="BL408" s="57" t="str">
        <f t="shared" si="71"/>
        <v>Modular Cutter Armory Module (SCC)</v>
      </c>
    </row>
    <row r="409" spans="38:64" x14ac:dyDescent="0.3">
      <c r="AL409">
        <f t="shared" si="68"/>
        <v>4</v>
      </c>
      <c r="AM409">
        <f t="shared" si="69"/>
        <v>408</v>
      </c>
      <c r="AN409">
        <v>12</v>
      </c>
      <c r="AO409" t="s">
        <v>3049</v>
      </c>
      <c r="AP409" s="4">
        <v>1430000</v>
      </c>
      <c r="AQ409">
        <v>30</v>
      </c>
      <c r="AR409">
        <f>IF($N$65="No",-20,1)</f>
        <v>1</v>
      </c>
      <c r="AW409">
        <f>IF($N$70="No",-20,1)</f>
        <v>1</v>
      </c>
      <c r="BI409">
        <f>IF($P$65=0,1,IF(AQ409&lt;=$P$65,1,-20))</f>
        <v>1</v>
      </c>
      <c r="BJ409">
        <f t="shared" si="67"/>
        <v>1</v>
      </c>
      <c r="BK409" s="57">
        <f t="shared" si="70"/>
        <v>408</v>
      </c>
      <c r="BL409" s="57" t="str">
        <f t="shared" si="71"/>
        <v>Modular Cutter Assault Boat Module (HG'22)</v>
      </c>
    </row>
    <row r="410" spans="38:64" x14ac:dyDescent="0.3">
      <c r="AL410">
        <f t="shared" si="68"/>
        <v>4</v>
      </c>
      <c r="AM410">
        <f t="shared" si="69"/>
        <v>409</v>
      </c>
      <c r="AN410">
        <v>12</v>
      </c>
      <c r="AO410" t="s">
        <v>3050</v>
      </c>
      <c r="AP410" s="4">
        <v>4560000</v>
      </c>
      <c r="AQ410" s="431">
        <v>30</v>
      </c>
      <c r="AR410">
        <f>IF($N$63="No",-20,1)</f>
        <v>1</v>
      </c>
      <c r="AU410">
        <f>IF($N$68="No",-20,1)</f>
        <v>1</v>
      </c>
      <c r="BH410">
        <f>IF($P$63=0,1,IF(AQ410&lt;=$P$63,1,-20))</f>
        <v>1</v>
      </c>
      <c r="BJ410">
        <f t="shared" si="67"/>
        <v>1</v>
      </c>
      <c r="BK410" s="57">
        <f t="shared" si="70"/>
        <v>409</v>
      </c>
      <c r="BL410" s="57" t="str">
        <f t="shared" si="71"/>
        <v>Modular Cutter Assault Boat Module (JTAS Vol.3)</v>
      </c>
    </row>
    <row r="411" spans="38:64" x14ac:dyDescent="0.3">
      <c r="AL411">
        <f t="shared" si="68"/>
        <v>2</v>
      </c>
      <c r="AM411">
        <f t="shared" si="69"/>
        <v>410</v>
      </c>
      <c r="AN411">
        <v>12</v>
      </c>
      <c r="AO411" t="s">
        <v>3051</v>
      </c>
      <c r="AP411" s="4">
        <v>1805000</v>
      </c>
      <c r="AQ411" s="431">
        <v>30</v>
      </c>
      <c r="AR411">
        <f>IF($N$63="No",-20,1)</f>
        <v>1</v>
      </c>
      <c r="BH411">
        <f>IF($P$63=0,1,IF(AQ411&lt;=$P$63,1,-20))</f>
        <v>1</v>
      </c>
      <c r="BK411" s="57">
        <f t="shared" si="70"/>
        <v>410</v>
      </c>
      <c r="BL411" s="57" t="str">
        <f t="shared" si="71"/>
        <v>Modular Cutter ATV Module (Core'24)</v>
      </c>
    </row>
    <row r="412" spans="38:64" x14ac:dyDescent="0.3">
      <c r="AL412">
        <f t="shared" si="68"/>
        <v>3</v>
      </c>
      <c r="AM412">
        <f t="shared" si="69"/>
        <v>411</v>
      </c>
      <c r="AN412">
        <v>12</v>
      </c>
      <c r="AO412" t="s">
        <v>3052</v>
      </c>
      <c r="AP412" s="4">
        <v>2100000</v>
      </c>
      <c r="AQ412" s="431">
        <v>30</v>
      </c>
      <c r="AR412">
        <f>IF($N$62="No",-20,1)</f>
        <v>1</v>
      </c>
      <c r="BG412">
        <f>IF($P$62=0,1,IF(AQ412&lt;=$P$62,1,-20))</f>
        <v>1</v>
      </c>
      <c r="BJ412">
        <f t="shared" ref="BJ412:BJ446" si="72">IF($N$61="Yes",1,IF(AN412&gt;TL,-20,1))</f>
        <v>1</v>
      </c>
      <c r="BK412" s="57">
        <f t="shared" si="70"/>
        <v>411</v>
      </c>
      <c r="BL412" s="57" t="str">
        <f t="shared" si="71"/>
        <v>Modular Cutter ATV Module (JTAS Vol.3)</v>
      </c>
    </row>
    <row r="413" spans="38:64" x14ac:dyDescent="0.3">
      <c r="AL413">
        <f t="shared" si="68"/>
        <v>4</v>
      </c>
      <c r="AM413">
        <f t="shared" si="69"/>
        <v>412</v>
      </c>
      <c r="AN413">
        <v>7</v>
      </c>
      <c r="AO413" t="s">
        <v>3053</v>
      </c>
      <c r="AP413" s="4">
        <v>1050000</v>
      </c>
      <c r="AQ413">
        <v>30</v>
      </c>
      <c r="AR413">
        <f>IF($N$62="No",-20,1)</f>
        <v>1</v>
      </c>
      <c r="BF413">
        <f>IF($N$79="No",-20,1)</f>
        <v>1</v>
      </c>
      <c r="BG413">
        <f>IF($P$62=0,1,IF(AQ413&lt;=$P$62,1,-20))</f>
        <v>1</v>
      </c>
      <c r="BJ413">
        <f t="shared" si="72"/>
        <v>1</v>
      </c>
      <c r="BK413" s="57">
        <f t="shared" si="70"/>
        <v>412</v>
      </c>
      <c r="BL413" s="57" t="str">
        <f t="shared" si="71"/>
        <v>Modular Cutter Cargo Transport Module (HG'22)</v>
      </c>
    </row>
    <row r="414" spans="38:64" x14ac:dyDescent="0.3">
      <c r="AL414">
        <f t="shared" si="68"/>
        <v>4</v>
      </c>
      <c r="AM414">
        <f t="shared" si="69"/>
        <v>413</v>
      </c>
      <c r="AN414">
        <v>8</v>
      </c>
      <c r="AO414" t="s">
        <v>3054</v>
      </c>
      <c r="AP414" s="4">
        <v>1450000</v>
      </c>
      <c r="AQ414">
        <v>30</v>
      </c>
      <c r="AR414">
        <f>IF($N$63="No",-20,1)</f>
        <v>1</v>
      </c>
      <c r="BF414">
        <f>IF($N$79="No",-20,1)</f>
        <v>1</v>
      </c>
      <c r="BH414">
        <f>IF($P$63=0,1,IF(AQ414&lt;=$P$63,1,-20))</f>
        <v>1</v>
      </c>
      <c r="BJ414">
        <f t="shared" si="72"/>
        <v>1</v>
      </c>
      <c r="BK414" s="57">
        <f t="shared" si="70"/>
        <v>413</v>
      </c>
      <c r="BL414" s="57" t="str">
        <f t="shared" si="71"/>
        <v>Modular Cutter Cattle Transport Module (SCC)</v>
      </c>
    </row>
    <row r="415" spans="38:64" x14ac:dyDescent="0.3">
      <c r="AL415">
        <f t="shared" si="68"/>
        <v>5</v>
      </c>
      <c r="AM415">
        <f t="shared" si="69"/>
        <v>414</v>
      </c>
      <c r="AN415">
        <v>8</v>
      </c>
      <c r="AO415" t="s">
        <v>3055</v>
      </c>
      <c r="AP415" s="4">
        <v>4050000</v>
      </c>
      <c r="AQ415">
        <v>30</v>
      </c>
      <c r="AR415">
        <f>IF($N$63="No",-20,1)</f>
        <v>1</v>
      </c>
      <c r="AS415">
        <f>IF($N$64="No",-20,1)</f>
        <v>1</v>
      </c>
      <c r="BA415">
        <f t="shared" ref="BA415:BA423" si="73">IF($N$74="No",-20,1)</f>
        <v>1</v>
      </c>
      <c r="BH415">
        <f>IF($P$63=0,1,IF(AQ415&lt;=$P$63,1,-20))</f>
        <v>1</v>
      </c>
      <c r="BJ415">
        <f t="shared" si="72"/>
        <v>1</v>
      </c>
      <c r="BK415" s="57">
        <f t="shared" si="70"/>
        <v>414</v>
      </c>
      <c r="BL415" s="57" t="str">
        <f t="shared" si="71"/>
        <v>Modular Cutter Cold Passage Module (SCC)</v>
      </c>
    </row>
    <row r="416" spans="38:64" ht="15.6" x14ac:dyDescent="0.3">
      <c r="AL416">
        <f t="shared" si="68"/>
        <v>5</v>
      </c>
      <c r="AM416">
        <f t="shared" si="69"/>
        <v>415</v>
      </c>
      <c r="AN416" s="437">
        <v>12</v>
      </c>
      <c r="AO416" s="437" t="s">
        <v>1839</v>
      </c>
      <c r="AP416" s="438">
        <v>4620000</v>
      </c>
      <c r="AQ416" s="439">
        <v>30</v>
      </c>
      <c r="AR416">
        <f>IF($N$65="No",-20,1)</f>
        <v>1</v>
      </c>
      <c r="AS416">
        <f>IF($N$64="No",-20,1)</f>
        <v>1</v>
      </c>
      <c r="BA416">
        <f t="shared" si="73"/>
        <v>1</v>
      </c>
      <c r="BI416">
        <f>IF($P$65=0,1,IF(AQ416&lt;=$P$65,1,-20))</f>
        <v>1</v>
      </c>
      <c r="BJ416">
        <f t="shared" si="72"/>
        <v>1</v>
      </c>
      <c r="BK416" s="57">
        <f t="shared" si="70"/>
        <v>415</v>
      </c>
      <c r="BL416" s="57" t="str">
        <f t="shared" si="71"/>
        <v>Modular Cutter Field Workshop Module (JTAS V3)</v>
      </c>
    </row>
    <row r="417" spans="38:64" x14ac:dyDescent="0.3">
      <c r="AL417">
        <f t="shared" si="68"/>
        <v>4</v>
      </c>
      <c r="AM417">
        <f t="shared" si="69"/>
        <v>416</v>
      </c>
      <c r="AN417">
        <v>7</v>
      </c>
      <c r="AO417" t="s">
        <v>3056</v>
      </c>
      <c r="AP417" s="4">
        <v>28079600</v>
      </c>
      <c r="AQ417">
        <v>30</v>
      </c>
      <c r="AR417">
        <f>IF($N$63="No",-20,1)</f>
        <v>1</v>
      </c>
      <c r="BA417">
        <f t="shared" si="73"/>
        <v>1</v>
      </c>
      <c r="BH417">
        <f>IF($P$63=0,1,IF(AQ417&lt;=$P$63,1,-20))</f>
        <v>1</v>
      </c>
      <c r="BJ417">
        <f t="shared" si="72"/>
        <v>1</v>
      </c>
      <c r="BK417" s="57">
        <f t="shared" si="70"/>
        <v>416</v>
      </c>
      <c r="BL417" s="57" t="str">
        <f t="shared" si="71"/>
        <v>Modular Cutter Fighter Frame Module (HG'22)</v>
      </c>
    </row>
    <row r="418" spans="38:64" x14ac:dyDescent="0.3">
      <c r="AL418">
        <f t="shared" si="68"/>
        <v>5</v>
      </c>
      <c r="AM418">
        <f t="shared" si="69"/>
        <v>417</v>
      </c>
      <c r="AN418">
        <v>12</v>
      </c>
      <c r="AO418" t="s">
        <v>3057</v>
      </c>
      <c r="AP418" s="4">
        <v>26760000</v>
      </c>
      <c r="AQ418">
        <v>30</v>
      </c>
      <c r="AR418">
        <f>IF($N$63="No",-20,1)</f>
        <v>1</v>
      </c>
      <c r="AS418">
        <f>IF($N$64="No",-20,1)</f>
        <v>1</v>
      </c>
      <c r="BA418">
        <f t="shared" si="73"/>
        <v>1</v>
      </c>
      <c r="BH418">
        <f>IF($P$63=0,1,IF(AQ418&lt;=$P$63,1,-20))</f>
        <v>1</v>
      </c>
      <c r="BJ418">
        <f t="shared" si="72"/>
        <v>1</v>
      </c>
      <c r="BK418" s="57">
        <f t="shared" si="70"/>
        <v>417</v>
      </c>
      <c r="BL418" s="57" t="str">
        <f t="shared" si="71"/>
        <v>Modular Cutter Fighter hangar Module (SCC)</v>
      </c>
    </row>
    <row r="419" spans="38:64" x14ac:dyDescent="0.3">
      <c r="AL419">
        <f t="shared" si="68"/>
        <v>5</v>
      </c>
      <c r="AM419">
        <f t="shared" si="69"/>
        <v>418</v>
      </c>
      <c r="AN419">
        <v>8</v>
      </c>
      <c r="AO419" t="s">
        <v>3058</v>
      </c>
      <c r="AP419" s="4">
        <v>13900000</v>
      </c>
      <c r="AQ419">
        <v>30</v>
      </c>
      <c r="AR419">
        <f>IF($N$63="No",-20,1)</f>
        <v>1</v>
      </c>
      <c r="AS419">
        <f>IF($N$64="No",-20,1)</f>
        <v>1</v>
      </c>
      <c r="BA419">
        <f t="shared" si="73"/>
        <v>1</v>
      </c>
      <c r="BH419">
        <f>IF($P$63=0,1,IF(AQ419&lt;=$P$63,1,-20))</f>
        <v>1</v>
      </c>
      <c r="BJ419">
        <f t="shared" si="72"/>
        <v>1</v>
      </c>
      <c r="BK419" s="57">
        <f t="shared" si="70"/>
        <v>418</v>
      </c>
      <c r="BL419" s="57" t="str">
        <f t="shared" si="71"/>
        <v>Modular Cutter Frontier Medical Module (SCC)</v>
      </c>
    </row>
    <row r="420" spans="38:64" x14ac:dyDescent="0.3">
      <c r="AL420">
        <f t="shared" si="68"/>
        <v>4</v>
      </c>
      <c r="AM420">
        <f t="shared" si="69"/>
        <v>419</v>
      </c>
      <c r="AN420">
        <v>8</v>
      </c>
      <c r="AO420" t="s">
        <v>3059</v>
      </c>
      <c r="AP420" s="4">
        <v>1000000</v>
      </c>
      <c r="AQ420">
        <v>30</v>
      </c>
      <c r="AR420">
        <f>IF($N$65="No",-20,1)</f>
        <v>1</v>
      </c>
      <c r="BA420">
        <f t="shared" si="73"/>
        <v>1</v>
      </c>
      <c r="BI420">
        <f>IF($P$65=0,1,IF(AQ420&lt;=$P$65,1,-20))</f>
        <v>1</v>
      </c>
      <c r="BJ420">
        <f t="shared" si="72"/>
        <v>1</v>
      </c>
      <c r="BK420" s="57">
        <f t="shared" si="70"/>
        <v>419</v>
      </c>
      <c r="BL420" s="57" t="str">
        <f t="shared" si="71"/>
        <v>Modular Cutter Fuel Module (Core'24)</v>
      </c>
    </row>
    <row r="421" spans="38:64" x14ac:dyDescent="0.3">
      <c r="AL421">
        <f t="shared" si="68"/>
        <v>5</v>
      </c>
      <c r="AM421">
        <f t="shared" si="69"/>
        <v>420</v>
      </c>
      <c r="AN421">
        <v>7</v>
      </c>
      <c r="AO421" t="s">
        <v>3060</v>
      </c>
      <c r="AP421" s="4">
        <v>1750000</v>
      </c>
      <c r="AQ421">
        <v>30</v>
      </c>
      <c r="AR421">
        <f>IF($N$63="No",-20,1)</f>
        <v>1</v>
      </c>
      <c r="AS421">
        <f>IF($N$64="No",-20,1)</f>
        <v>1</v>
      </c>
      <c r="BA421">
        <f t="shared" si="73"/>
        <v>1</v>
      </c>
      <c r="BH421">
        <f>IF($P$63=0,1,IF(AQ421&lt;=$P$63,1,-20))</f>
        <v>1</v>
      </c>
      <c r="BJ421">
        <f t="shared" si="72"/>
        <v>1</v>
      </c>
      <c r="BK421" s="57">
        <f t="shared" si="70"/>
        <v>420</v>
      </c>
      <c r="BL421" s="57" t="str">
        <f t="shared" si="71"/>
        <v>Modular Cutter Fuel Skimmer Module (HG'22)</v>
      </c>
    </row>
    <row r="422" spans="38:64" x14ac:dyDescent="0.3">
      <c r="AL422">
        <f t="shared" si="68"/>
        <v>5</v>
      </c>
      <c r="AM422">
        <f t="shared" si="69"/>
        <v>421</v>
      </c>
      <c r="AN422">
        <v>12</v>
      </c>
      <c r="AO422" t="s">
        <v>3061</v>
      </c>
      <c r="AP422" s="4">
        <v>10039000</v>
      </c>
      <c r="AQ422">
        <v>30</v>
      </c>
      <c r="AR422">
        <f>IF($N$65="No",-20,1)</f>
        <v>1</v>
      </c>
      <c r="AS422">
        <f>IF($N$64="No",-20,1)</f>
        <v>1</v>
      </c>
      <c r="BA422">
        <f t="shared" si="73"/>
        <v>1</v>
      </c>
      <c r="BI422">
        <f>IF($P$65=0,1,IF(AQ422&lt;=$P$65,1,-20))</f>
        <v>1</v>
      </c>
      <c r="BJ422">
        <f t="shared" si="72"/>
        <v>1</v>
      </c>
      <c r="BK422" s="57">
        <f t="shared" si="70"/>
        <v>421</v>
      </c>
      <c r="BL422" s="57" t="str">
        <f t="shared" si="71"/>
        <v>Modular Cutter Gunship Module (HG'22)</v>
      </c>
    </row>
    <row r="423" spans="38:64" x14ac:dyDescent="0.3">
      <c r="AL423">
        <f t="shared" si="68"/>
        <v>5</v>
      </c>
      <c r="AM423">
        <f t="shared" si="69"/>
        <v>422</v>
      </c>
      <c r="AN423">
        <v>15</v>
      </c>
      <c r="AO423" t="s">
        <v>3062</v>
      </c>
      <c r="AP423" s="4">
        <v>9900000</v>
      </c>
      <c r="AQ423">
        <v>30</v>
      </c>
      <c r="AR423">
        <f>IF($N$63="No",-20,1)</f>
        <v>1</v>
      </c>
      <c r="AS423">
        <f>IF($N$64="No",-20,1)</f>
        <v>1</v>
      </c>
      <c r="BA423">
        <f t="shared" si="73"/>
        <v>1</v>
      </c>
      <c r="BH423">
        <f>IF($P$63=0,1,IF(AQ423&lt;=$P$63,1,-20))</f>
        <v>1</v>
      </c>
      <c r="BJ423">
        <f t="shared" si="72"/>
        <v>1</v>
      </c>
      <c r="BK423" s="57">
        <f t="shared" si="70"/>
        <v>422</v>
      </c>
      <c r="BL423" s="57" t="str">
        <f t="shared" si="71"/>
        <v>Modular Cutter Life Support module (SCC)</v>
      </c>
    </row>
    <row r="424" spans="38:64" ht="15.6" x14ac:dyDescent="0.3">
      <c r="AL424">
        <f t="shared" si="68"/>
        <v>3</v>
      </c>
      <c r="AM424">
        <f t="shared" si="69"/>
        <v>423</v>
      </c>
      <c r="AN424" s="437">
        <v>12</v>
      </c>
      <c r="AO424" s="437" t="s">
        <v>1837</v>
      </c>
      <c r="AP424" s="438">
        <v>11800000</v>
      </c>
      <c r="AQ424" s="439">
        <v>30</v>
      </c>
      <c r="AR424">
        <f>IF($N$65="No",-20,1)</f>
        <v>1</v>
      </c>
      <c r="BI424">
        <f>IF($P$65=0,1,IF(AQ424&lt;=$P$65,1,-20))</f>
        <v>1</v>
      </c>
      <c r="BJ424">
        <f t="shared" si="72"/>
        <v>1</v>
      </c>
      <c r="BK424" s="57">
        <f t="shared" si="70"/>
        <v>423</v>
      </c>
      <c r="BL424" s="57" t="str">
        <f t="shared" si="71"/>
        <v>Modular Cutter Mining Module (JTAS Vol. 3)</v>
      </c>
    </row>
    <row r="425" spans="38:64" x14ac:dyDescent="0.3">
      <c r="AL425">
        <f t="shared" si="68"/>
        <v>3</v>
      </c>
      <c r="AM425">
        <f t="shared" si="69"/>
        <v>424</v>
      </c>
      <c r="AN425">
        <v>8</v>
      </c>
      <c r="AO425" t="s">
        <v>3063</v>
      </c>
      <c r="AP425" s="4">
        <v>6530000</v>
      </c>
      <c r="AQ425">
        <v>30</v>
      </c>
      <c r="AR425">
        <f>IF($N$65="No",-20,1)</f>
        <v>1</v>
      </c>
      <c r="BI425">
        <f>IF($P$65=0,1,IF(AQ425&lt;=$P$65,1,-20))</f>
        <v>1</v>
      </c>
      <c r="BJ425">
        <f t="shared" si="72"/>
        <v>1</v>
      </c>
      <c r="BK425" s="57">
        <f t="shared" si="70"/>
        <v>424</v>
      </c>
      <c r="BL425" s="57" t="str">
        <f t="shared" si="71"/>
        <v>Modular Cutter Missile Support Module (SCC)</v>
      </c>
    </row>
    <row r="426" spans="38:64" x14ac:dyDescent="0.3">
      <c r="AL426">
        <f t="shared" si="68"/>
        <v>3</v>
      </c>
      <c r="AM426">
        <f t="shared" si="69"/>
        <v>425</v>
      </c>
      <c r="AN426">
        <v>12</v>
      </c>
      <c r="AO426" t="s">
        <v>3064</v>
      </c>
      <c r="AP426" s="4">
        <v>2000000</v>
      </c>
      <c r="AQ426" s="431">
        <v>30</v>
      </c>
      <c r="AR426">
        <f>IF($N$65="No",-20,1)</f>
        <v>1</v>
      </c>
      <c r="BI426">
        <f>IF($P$65=0,1,IF(AQ426&lt;=$P$65,1,-20))</f>
        <v>1</v>
      </c>
      <c r="BJ426">
        <f t="shared" si="72"/>
        <v>1</v>
      </c>
      <c r="BK426" s="57">
        <f t="shared" si="70"/>
        <v>425</v>
      </c>
      <c r="BL426" s="57" t="str">
        <f t="shared" si="71"/>
        <v>Modular Cutter Open Module (Core'24)</v>
      </c>
    </row>
    <row r="427" spans="38:64" x14ac:dyDescent="0.3">
      <c r="AL427">
        <f t="shared" si="68"/>
        <v>4</v>
      </c>
      <c r="AM427">
        <f t="shared" si="69"/>
        <v>426</v>
      </c>
      <c r="AN427">
        <v>12</v>
      </c>
      <c r="AO427" t="s">
        <v>3065</v>
      </c>
      <c r="AP427" s="4">
        <v>1800000</v>
      </c>
      <c r="AQ427" s="431">
        <v>30</v>
      </c>
      <c r="AR427">
        <f>IF($N$65="No",-20,1)</f>
        <v>1</v>
      </c>
      <c r="BB427">
        <f>IF($N$75="No",-20,1)</f>
        <v>1</v>
      </c>
      <c r="BI427">
        <f>IF($P$65=0,1,IF(AQ427&lt;=$P$65,1,-20))</f>
        <v>1</v>
      </c>
      <c r="BJ427">
        <f t="shared" si="72"/>
        <v>1</v>
      </c>
      <c r="BK427" s="57">
        <f t="shared" si="70"/>
        <v>426</v>
      </c>
      <c r="BL427" s="57" t="str">
        <f t="shared" si="71"/>
        <v>Modular Cutter Open Module (JTAS Vol.3)</v>
      </c>
    </row>
    <row r="428" spans="38:64" x14ac:dyDescent="0.3">
      <c r="AL428">
        <f t="shared" ref="AL428:AL433" si="74">SUM(AR428:BJ428)</f>
        <v>3</v>
      </c>
      <c r="AM428">
        <f t="shared" si="69"/>
        <v>427</v>
      </c>
      <c r="AN428">
        <v>9</v>
      </c>
      <c r="AO428" t="s">
        <v>3066</v>
      </c>
      <c r="AP428" s="4">
        <v>6580000</v>
      </c>
      <c r="AQ428">
        <v>30</v>
      </c>
      <c r="AR428">
        <f>IF($N$62="No",-20,1)</f>
        <v>1</v>
      </c>
      <c r="BG428">
        <f>IF($P$62=0,1,IF(AQ428&lt;=$P$62,1,-20))</f>
        <v>1</v>
      </c>
      <c r="BJ428">
        <f t="shared" si="72"/>
        <v>1</v>
      </c>
      <c r="BK428" s="57">
        <f t="shared" si="70"/>
        <v>427</v>
      </c>
      <c r="BL428" s="57" t="str">
        <f t="shared" si="71"/>
        <v>Modular Cutter Orbital Outpost Module (SCC)</v>
      </c>
    </row>
    <row r="429" spans="38:64" x14ac:dyDescent="0.3">
      <c r="AL429">
        <f t="shared" si="74"/>
        <v>5</v>
      </c>
      <c r="AM429">
        <f t="shared" si="69"/>
        <v>428</v>
      </c>
      <c r="AN429">
        <v>7</v>
      </c>
      <c r="AO429" t="s">
        <v>3067</v>
      </c>
      <c r="AP429" s="4">
        <v>4300000</v>
      </c>
      <c r="AQ429">
        <v>30</v>
      </c>
      <c r="AR429">
        <f>IF($N$63="No",-20,1)</f>
        <v>1</v>
      </c>
      <c r="AS429">
        <f>IF($N$64="No",-20,1)</f>
        <v>1</v>
      </c>
      <c r="AT429">
        <f>IF($N$67="No",-20,1)</f>
        <v>1</v>
      </c>
      <c r="BH429">
        <f>IF($P$63=0,1,IF(AQ429&lt;=$P$63,1,-20))</f>
        <v>1</v>
      </c>
      <c r="BJ429">
        <f t="shared" si="72"/>
        <v>1</v>
      </c>
      <c r="BK429" s="57">
        <f t="shared" si="70"/>
        <v>428</v>
      </c>
      <c r="BL429" s="57" t="str">
        <f t="shared" si="71"/>
        <v>Modular Cutter Passenger Transport Module (SCC)</v>
      </c>
    </row>
    <row r="430" spans="38:64" x14ac:dyDescent="0.3">
      <c r="AL430">
        <f t="shared" si="74"/>
        <v>3</v>
      </c>
      <c r="AM430">
        <f t="shared" si="69"/>
        <v>429</v>
      </c>
      <c r="AN430">
        <v>7</v>
      </c>
      <c r="AO430" t="s">
        <v>3068</v>
      </c>
      <c r="AP430" s="4">
        <v>2550000</v>
      </c>
      <c r="AQ430">
        <v>30</v>
      </c>
      <c r="AR430">
        <f>IF($N$65="No",-20,1)</f>
        <v>1</v>
      </c>
      <c r="BI430">
        <f>IF($P$65=0,1,IF(AQ430&lt;=$P$65,1,-20))</f>
        <v>1</v>
      </c>
      <c r="BJ430">
        <f t="shared" si="72"/>
        <v>1</v>
      </c>
      <c r="BK430" s="57">
        <f t="shared" si="70"/>
        <v>429</v>
      </c>
      <c r="BL430" s="57" t="str">
        <f t="shared" si="71"/>
        <v>Modular Cutter Personnel Transport Module (HG'22)</v>
      </c>
    </row>
    <row r="431" spans="38:64" x14ac:dyDescent="0.3">
      <c r="AL431">
        <f t="shared" si="74"/>
        <v>4</v>
      </c>
      <c r="AM431">
        <f t="shared" si="69"/>
        <v>430</v>
      </c>
      <c r="AN431">
        <v>10</v>
      </c>
      <c r="AO431" t="s">
        <v>3069</v>
      </c>
      <c r="AP431" s="4">
        <v>3950000</v>
      </c>
      <c r="AQ431">
        <v>30</v>
      </c>
      <c r="AR431">
        <f>IF($N$63="No",-20,1)</f>
        <v>1</v>
      </c>
      <c r="BF431">
        <f>IF($N$79="No",-20,1)</f>
        <v>1</v>
      </c>
      <c r="BH431">
        <f>IF($P$63=0,1,IF(AQ431&lt;=$P$63,1,-20))</f>
        <v>1</v>
      </c>
      <c r="BJ431">
        <f t="shared" si="72"/>
        <v>1</v>
      </c>
      <c r="BK431" s="57">
        <f t="shared" si="70"/>
        <v>430</v>
      </c>
      <c r="BL431" s="57" t="str">
        <f t="shared" si="71"/>
        <v>Modular Cutter Planetary Assault Module (SCC)</v>
      </c>
    </row>
    <row r="432" spans="38:64" x14ac:dyDescent="0.3">
      <c r="AL432">
        <f t="shared" si="74"/>
        <v>4</v>
      </c>
      <c r="AM432">
        <f t="shared" si="69"/>
        <v>431</v>
      </c>
      <c r="AN432">
        <v>8</v>
      </c>
      <c r="AO432" t="s">
        <v>3070</v>
      </c>
      <c r="AP432" s="4">
        <v>4600000</v>
      </c>
      <c r="AQ432">
        <v>30</v>
      </c>
      <c r="AR432">
        <f>IF($N$63="No",-20,1)</f>
        <v>1</v>
      </c>
      <c r="AU432">
        <f>IF($N$68="No",-20,1)</f>
        <v>1</v>
      </c>
      <c r="BH432">
        <f>IF($P$63=0,1,IF(AQ432&lt;=$P$63,1,-20))</f>
        <v>1</v>
      </c>
      <c r="BJ432">
        <f t="shared" si="72"/>
        <v>1</v>
      </c>
      <c r="BK432" s="57">
        <f t="shared" si="70"/>
        <v>431</v>
      </c>
      <c r="BL432" s="57" t="str">
        <f t="shared" si="71"/>
        <v>Modular Cutter Planetary Outpost Module (SCC)</v>
      </c>
    </row>
    <row r="433" spans="38:64" x14ac:dyDescent="0.3">
      <c r="AL433">
        <f t="shared" si="74"/>
        <v>4</v>
      </c>
      <c r="AM433">
        <f t="shared" si="69"/>
        <v>432</v>
      </c>
      <c r="AN433">
        <v>12</v>
      </c>
      <c r="AO433" t="s">
        <v>3071</v>
      </c>
      <c r="AP433" s="4">
        <v>20900000</v>
      </c>
      <c r="AQ433">
        <v>30</v>
      </c>
      <c r="AR433">
        <f>IF($N$63="No",-20,1)</f>
        <v>1</v>
      </c>
      <c r="AU433">
        <f>IF($N$68="No",-20,1)</f>
        <v>1</v>
      </c>
      <c r="BH433">
        <f>IF($P$63=0,1,IF(AQ433&lt;=$P$63,1,-20))</f>
        <v>1</v>
      </c>
      <c r="BJ433">
        <f t="shared" si="72"/>
        <v>1</v>
      </c>
      <c r="BK433" s="57">
        <f t="shared" si="70"/>
        <v>432</v>
      </c>
      <c r="BL433" s="57" t="str">
        <f t="shared" si="71"/>
        <v>Modular Cutter Power Module (SCC)</v>
      </c>
    </row>
    <row r="434" spans="38:64" x14ac:dyDescent="0.3">
      <c r="AL434">
        <f t="shared" ref="AL434:AL482" si="75">SUM(AR434:BJ434)</f>
        <v>4</v>
      </c>
      <c r="AM434">
        <f t="shared" si="69"/>
        <v>433</v>
      </c>
      <c r="AN434">
        <v>8</v>
      </c>
      <c r="AO434" t="s">
        <v>3072</v>
      </c>
      <c r="AP434" s="4">
        <v>3880000</v>
      </c>
      <c r="AQ434">
        <v>30</v>
      </c>
      <c r="AR434">
        <f>IF($N$63="No",-20,1)</f>
        <v>1</v>
      </c>
      <c r="AU434">
        <f>IF($N$68="No",-20,1)</f>
        <v>1</v>
      </c>
      <c r="BH434">
        <f>IF($P$63=0,1,IF(AQ434&lt;=$P$63,1,-20))</f>
        <v>1</v>
      </c>
      <c r="BJ434">
        <f t="shared" si="72"/>
        <v>1</v>
      </c>
      <c r="BK434" s="57">
        <f t="shared" si="70"/>
        <v>433</v>
      </c>
      <c r="BL434" s="57" t="str">
        <f t="shared" si="71"/>
        <v>Modular Cutter Pressurized Shelter Module (HG'22)</v>
      </c>
    </row>
    <row r="435" spans="38:64" x14ac:dyDescent="0.3">
      <c r="AL435">
        <f t="shared" si="75"/>
        <v>4</v>
      </c>
      <c r="AM435">
        <f t="shared" si="69"/>
        <v>434</v>
      </c>
      <c r="AN435">
        <v>8</v>
      </c>
      <c r="AO435" t="s">
        <v>3073</v>
      </c>
      <c r="AP435" s="4">
        <v>3207000</v>
      </c>
      <c r="AQ435">
        <v>30</v>
      </c>
      <c r="AR435">
        <f>IF($N$62="No",-20,1)</f>
        <v>1</v>
      </c>
      <c r="BC435">
        <f>IF($N$76="No",-20,1)</f>
        <v>1</v>
      </c>
      <c r="BG435">
        <f>IF($P$62=0,1,IF(AQ435&lt;=$P$62,1,-20))</f>
        <v>1</v>
      </c>
      <c r="BJ435">
        <f t="shared" si="72"/>
        <v>1</v>
      </c>
      <c r="BK435" s="57">
        <f t="shared" si="70"/>
        <v>434</v>
      </c>
      <c r="BL435" s="57" t="str">
        <f t="shared" si="71"/>
        <v>Modular Cutter Public House Module (SCC)</v>
      </c>
    </row>
    <row r="436" spans="38:64" x14ac:dyDescent="0.3">
      <c r="AL436">
        <f t="shared" si="75"/>
        <v>4</v>
      </c>
      <c r="AM436">
        <f t="shared" si="69"/>
        <v>435</v>
      </c>
      <c r="AN436">
        <v>8</v>
      </c>
      <c r="AO436" t="s">
        <v>3074</v>
      </c>
      <c r="AP436" s="4">
        <v>4675000</v>
      </c>
      <c r="AQ436">
        <v>30</v>
      </c>
      <c r="AR436">
        <f>IF($N$63="No",-20,1)</f>
        <v>1</v>
      </c>
      <c r="AU436">
        <f>IF($N$68="No",-20,1)</f>
        <v>1</v>
      </c>
      <c r="BH436">
        <f>IF($P$63=0,1,IF(AQ436&lt;=$P$63,1,-20))</f>
        <v>1</v>
      </c>
      <c r="BJ436">
        <f t="shared" si="72"/>
        <v>1</v>
      </c>
      <c r="BK436" s="57">
        <f t="shared" si="70"/>
        <v>435</v>
      </c>
      <c r="BL436" s="57" t="str">
        <f t="shared" si="71"/>
        <v>Modular Cutter Relaxation Module (SCC)</v>
      </c>
    </row>
    <row r="437" spans="38:64" x14ac:dyDescent="0.3">
      <c r="AL437">
        <f t="shared" si="75"/>
        <v>3</v>
      </c>
      <c r="AM437">
        <f t="shared" si="69"/>
        <v>436</v>
      </c>
      <c r="AN437">
        <v>7</v>
      </c>
      <c r="AO437" t="s">
        <v>3075</v>
      </c>
      <c r="AP437" s="4">
        <v>3800000</v>
      </c>
      <c r="AQ437">
        <v>30</v>
      </c>
      <c r="AR437">
        <f>IF($N$62="No",-20,1)</f>
        <v>1</v>
      </c>
      <c r="BG437">
        <f>IF($P$62=0,1,IF(AQ437&lt;=$P$62,1,-20))</f>
        <v>1</v>
      </c>
      <c r="BJ437">
        <f t="shared" si="72"/>
        <v>1</v>
      </c>
      <c r="BK437" s="57">
        <f t="shared" si="70"/>
        <v>436</v>
      </c>
      <c r="BL437" s="57" t="str">
        <f t="shared" si="71"/>
        <v>Modular Cutter Salvage Module (SCC)</v>
      </c>
    </row>
    <row r="438" spans="38:64" x14ac:dyDescent="0.3">
      <c r="AL438">
        <f t="shared" si="75"/>
        <v>4</v>
      </c>
      <c r="AM438">
        <f t="shared" si="69"/>
        <v>437</v>
      </c>
      <c r="AN438">
        <v>12</v>
      </c>
      <c r="AO438" t="s">
        <v>3076</v>
      </c>
      <c r="AP438" s="4">
        <v>6100000</v>
      </c>
      <c r="AQ438" s="431">
        <v>30</v>
      </c>
      <c r="AR438">
        <f>IF($N$63="No",-20,1)</f>
        <v>1</v>
      </c>
      <c r="AT438">
        <f>IF($N$67="No",-20,1)</f>
        <v>1</v>
      </c>
      <c r="BH438">
        <f>IF($P$63=0,1,IF(AQ438&lt;=$P$63,1,-20))</f>
        <v>1</v>
      </c>
      <c r="BJ438">
        <f t="shared" si="72"/>
        <v>1</v>
      </c>
      <c r="BK438" s="57">
        <f t="shared" si="70"/>
        <v>437</v>
      </c>
      <c r="BL438" s="57" t="str">
        <f t="shared" si="71"/>
        <v>Modular Cutter Shelter Module (JTAS Vol.3)</v>
      </c>
    </row>
    <row r="439" spans="38:64" x14ac:dyDescent="0.3">
      <c r="AL439">
        <f t="shared" si="75"/>
        <v>4</v>
      </c>
      <c r="AM439">
        <f t="shared" si="69"/>
        <v>438</v>
      </c>
      <c r="AN439">
        <v>15</v>
      </c>
      <c r="AO439" t="s">
        <v>3077</v>
      </c>
      <c r="AP439" s="4">
        <v>53500000</v>
      </c>
      <c r="AQ439">
        <v>30</v>
      </c>
      <c r="AR439">
        <f>IF($N$63="No",-20,1)</f>
        <v>1</v>
      </c>
      <c r="AS439">
        <f>IF($N$64="No",-20,1)</f>
        <v>1</v>
      </c>
      <c r="BH439">
        <f>IF($P$63=0,1,IF(AQ439&lt;=$P$63,1,-20))</f>
        <v>1</v>
      </c>
      <c r="BJ439">
        <f t="shared" si="72"/>
        <v>1</v>
      </c>
      <c r="BK439" s="57">
        <f t="shared" si="70"/>
        <v>438</v>
      </c>
      <c r="BL439" s="57" t="str">
        <f t="shared" si="71"/>
        <v>Modular Cutter Spaceborne Early Warning Module (SCC)</v>
      </c>
    </row>
    <row r="440" spans="38:64" ht="15.6" x14ac:dyDescent="0.3">
      <c r="AL440">
        <f t="shared" si="75"/>
        <v>4</v>
      </c>
      <c r="AM440">
        <f t="shared" si="69"/>
        <v>439</v>
      </c>
      <c r="AN440" s="437">
        <v>12</v>
      </c>
      <c r="AO440" s="437" t="s">
        <v>1838</v>
      </c>
      <c r="AP440" s="438">
        <v>3120000</v>
      </c>
      <c r="AQ440" s="439">
        <v>30</v>
      </c>
      <c r="AR440">
        <f>IF($N$65="No",-20,1)</f>
        <v>1</v>
      </c>
      <c r="AW440">
        <f>IF($N$70="No",-20,1)</f>
        <v>1</v>
      </c>
      <c r="BI440">
        <f>IF($P$65=0,1,IF(AQ440&lt;=$P$65,1,-20))</f>
        <v>1</v>
      </c>
      <c r="BJ440">
        <f t="shared" si="72"/>
        <v>1</v>
      </c>
      <c r="BK440" s="57">
        <f t="shared" si="70"/>
        <v>439</v>
      </c>
      <c r="BL440" s="57" t="str">
        <f t="shared" si="71"/>
        <v>Modular Cutter Starport Shuttle Module (JTAS V3)</v>
      </c>
    </row>
    <row r="441" spans="38:64" x14ac:dyDescent="0.3">
      <c r="AL441">
        <f t="shared" si="75"/>
        <v>3</v>
      </c>
      <c r="AM441">
        <f t="shared" si="69"/>
        <v>440</v>
      </c>
      <c r="AN441">
        <v>15</v>
      </c>
      <c r="AO441" t="s">
        <v>3078</v>
      </c>
      <c r="AP441" s="4">
        <v>19460000</v>
      </c>
      <c r="AQ441" s="431">
        <v>30</v>
      </c>
      <c r="AR441">
        <f>IF($N$63="No",-20,1)</f>
        <v>1</v>
      </c>
      <c r="BH441">
        <f>IF($P$63=0,1,IF(AQ441&lt;=$P$63,1,-20))</f>
        <v>1</v>
      </c>
      <c r="BJ441">
        <f t="shared" si="72"/>
        <v>1</v>
      </c>
      <c r="BK441" s="57">
        <f t="shared" si="70"/>
        <v>440</v>
      </c>
      <c r="BL441" s="57" t="str">
        <f t="shared" si="71"/>
        <v>Modular Cutter Surveyor Cutter Module (World Builder's Handbook)</v>
      </c>
    </row>
    <row r="442" spans="38:64" x14ac:dyDescent="0.3">
      <c r="AL442">
        <f t="shared" si="75"/>
        <v>3</v>
      </c>
      <c r="AM442">
        <f t="shared" si="69"/>
        <v>441</v>
      </c>
      <c r="AN442">
        <v>7</v>
      </c>
      <c r="AO442" t="s">
        <v>3079</v>
      </c>
      <c r="AP442" s="4">
        <v>1655000</v>
      </c>
      <c r="AQ442">
        <v>30</v>
      </c>
      <c r="AR442">
        <f>IF($N$63="No",-20,1)</f>
        <v>1</v>
      </c>
      <c r="BH442">
        <f>IF($P$63=0,1,IF(AQ442&lt;=$P$63,1,-20))</f>
        <v>1</v>
      </c>
      <c r="BJ442">
        <f t="shared" si="72"/>
        <v>1</v>
      </c>
      <c r="BK442" s="57">
        <f t="shared" si="70"/>
        <v>441</v>
      </c>
      <c r="BL442" s="57" t="str">
        <f t="shared" si="71"/>
        <v>Modular Cutter Tanker Module (SCC)</v>
      </c>
    </row>
    <row r="443" spans="38:64" x14ac:dyDescent="0.3">
      <c r="AL443">
        <f t="shared" si="75"/>
        <v>5</v>
      </c>
      <c r="AM443">
        <f t="shared" si="69"/>
        <v>442</v>
      </c>
      <c r="AN443">
        <v>7</v>
      </c>
      <c r="AO443" t="s">
        <v>3080</v>
      </c>
      <c r="AP443" s="4">
        <v>6200000</v>
      </c>
      <c r="AQ443">
        <v>30</v>
      </c>
      <c r="AR443">
        <f>IF($N$63="No",-20,1)</f>
        <v>1</v>
      </c>
      <c r="AS443">
        <f>IF($N$64="No",-20,1)</f>
        <v>1</v>
      </c>
      <c r="AT443">
        <f>IF($N$67="No",-20,1)</f>
        <v>1</v>
      </c>
      <c r="BH443">
        <f>IF($P$63=0,1,IF(AQ443&lt;=$P$63,1,-20))</f>
        <v>1</v>
      </c>
      <c r="BJ443">
        <f t="shared" si="72"/>
        <v>1</v>
      </c>
      <c r="BK443" s="57">
        <f t="shared" si="70"/>
        <v>442</v>
      </c>
      <c r="BL443" s="57" t="str">
        <f t="shared" si="71"/>
        <v>Modular Cutter Urban Module (SCC)</v>
      </c>
    </row>
    <row r="444" spans="38:64" x14ac:dyDescent="0.3">
      <c r="AL444">
        <f t="shared" si="75"/>
        <v>3</v>
      </c>
      <c r="AM444">
        <f t="shared" si="69"/>
        <v>443</v>
      </c>
      <c r="AN444">
        <v>7</v>
      </c>
      <c r="AO444" t="s">
        <v>3081</v>
      </c>
      <c r="AP444" s="4">
        <v>5360000</v>
      </c>
      <c r="AQ444">
        <v>30</v>
      </c>
      <c r="AR444">
        <f>IF($N$62="No",-20,1)</f>
        <v>1</v>
      </c>
      <c r="BG444">
        <f>IF($P$62=0,1,IF(AQ444&lt;=$P$62,1,-20))</f>
        <v>1</v>
      </c>
      <c r="BJ444">
        <f t="shared" si="72"/>
        <v>1</v>
      </c>
      <c r="BK444" s="57">
        <f t="shared" si="70"/>
        <v>443</v>
      </c>
      <c r="BL444" s="57" t="str">
        <f t="shared" si="71"/>
        <v>Modular Cutter Vehicle Cradle Module (HG'22)</v>
      </c>
    </row>
    <row r="445" spans="38:64" x14ac:dyDescent="0.3">
      <c r="AL445">
        <f t="shared" si="75"/>
        <v>4</v>
      </c>
      <c r="AM445">
        <f t="shared" si="69"/>
        <v>444</v>
      </c>
      <c r="AN445">
        <v>10</v>
      </c>
      <c r="AO445" t="s">
        <v>3082</v>
      </c>
      <c r="AP445" s="4">
        <v>7530000</v>
      </c>
      <c r="AQ445">
        <v>40</v>
      </c>
      <c r="AR445">
        <f>IF($N$62="No",-20,1)</f>
        <v>1</v>
      </c>
      <c r="BF445">
        <f>IF($N$79="No",-20,1)</f>
        <v>1</v>
      </c>
      <c r="BG445">
        <f>IF($P$62=0,1,IF(AQ445&lt;=$P$62,1,-20))</f>
        <v>1</v>
      </c>
      <c r="BJ445">
        <f t="shared" si="72"/>
        <v>1</v>
      </c>
      <c r="BK445" s="57">
        <f t="shared" si="70"/>
        <v>444</v>
      </c>
      <c r="BL445" s="57" t="str">
        <f t="shared" si="71"/>
        <v>Modular Skiff (SCC)</v>
      </c>
    </row>
    <row r="446" spans="38:64" x14ac:dyDescent="0.3">
      <c r="AL446">
        <f t="shared" si="75"/>
        <v>4</v>
      </c>
      <c r="AM446">
        <f t="shared" si="69"/>
        <v>445</v>
      </c>
      <c r="AN446">
        <v>12</v>
      </c>
      <c r="AO446" t="s">
        <v>3083</v>
      </c>
      <c r="AP446" s="4">
        <v>4172000</v>
      </c>
      <c r="AQ446" s="471">
        <v>10</v>
      </c>
      <c r="AR446">
        <f>IF($N$62="No",-20,1)</f>
        <v>1</v>
      </c>
      <c r="BF446">
        <f>IF($N$79="No",-20,1)</f>
        <v>1</v>
      </c>
      <c r="BG446">
        <f>IF($P$62=0,1,IF(AQ446&lt;=$P$62,1,-20))</f>
        <v>1</v>
      </c>
      <c r="BJ446">
        <f t="shared" si="72"/>
        <v>1</v>
      </c>
      <c r="BK446" s="57">
        <f t="shared" si="70"/>
        <v>445</v>
      </c>
      <c r="BL446" s="57" t="str">
        <f t="shared" si="71"/>
        <v>Moongoose Attack Speeder (Armies of the 5FW)</v>
      </c>
    </row>
    <row r="447" spans="38:64" x14ac:dyDescent="0.3">
      <c r="AL447">
        <f t="shared" si="75"/>
        <v>2</v>
      </c>
      <c r="AM447">
        <f t="shared" si="69"/>
        <v>446</v>
      </c>
      <c r="AN447">
        <v>8</v>
      </c>
      <c r="AO447" t="s">
        <v>3084</v>
      </c>
      <c r="AP447" s="4">
        <v>3400000</v>
      </c>
      <c r="AQ447">
        <v>10</v>
      </c>
      <c r="AR447">
        <f>IF($N$62="No",-20,1)</f>
        <v>1</v>
      </c>
      <c r="BG447">
        <f>IF($P$62=0,1,IF(AQ447&lt;=$P$62,1,-20))</f>
        <v>1</v>
      </c>
      <c r="BK447" s="57">
        <f t="shared" si="70"/>
        <v>446</v>
      </c>
      <c r="BL447" s="57" t="str">
        <f t="shared" si="71"/>
        <v>Moray Antique Fighter (SCC)</v>
      </c>
    </row>
    <row r="448" spans="38:64" x14ac:dyDescent="0.3">
      <c r="AL448">
        <f t="shared" si="75"/>
        <v>4</v>
      </c>
      <c r="AM448">
        <f t="shared" si="69"/>
        <v>447</v>
      </c>
      <c r="AN448">
        <v>9</v>
      </c>
      <c r="AO448" t="s">
        <v>1805</v>
      </c>
      <c r="AP448" s="4">
        <v>208800</v>
      </c>
      <c r="AQ448" s="471">
        <v>20</v>
      </c>
      <c r="AR448">
        <f>IF($N$63="No",-20,1)</f>
        <v>1</v>
      </c>
      <c r="AU448">
        <f>IF($N$68="No",-20,1)</f>
        <v>1</v>
      </c>
      <c r="BH448">
        <f>IF($P$63=0,1,IF(AQ448&lt;=$P$63,1,-20))</f>
        <v>1</v>
      </c>
      <c r="BJ448">
        <f t="shared" ref="BJ448:BJ511" si="76">IF($N$61="Yes",1,IF(AN448&gt;TL,-20,1))</f>
        <v>1</v>
      </c>
      <c r="BK448" s="57">
        <f t="shared" si="70"/>
        <v>447</v>
      </c>
      <c r="BL448" s="57" t="str">
        <f t="shared" si="71"/>
        <v>Negav Ten-Wheel Off-Road Transport Vehicle (Field Catalogue)</v>
      </c>
    </row>
    <row r="449" spans="38:64" x14ac:dyDescent="0.3">
      <c r="AL449">
        <f t="shared" si="75"/>
        <v>5</v>
      </c>
      <c r="AM449">
        <f t="shared" si="69"/>
        <v>448</v>
      </c>
      <c r="AN449">
        <v>13</v>
      </c>
      <c r="AO449" t="s">
        <v>3085</v>
      </c>
      <c r="AP449" s="4">
        <v>49230000</v>
      </c>
      <c r="AQ449">
        <v>12</v>
      </c>
      <c r="AR449">
        <f>IF($N$63="No",-20,1)</f>
        <v>1</v>
      </c>
      <c r="AS449">
        <f>IF($N$64="No",-20,1)</f>
        <v>1</v>
      </c>
      <c r="AU449">
        <f>IF($N$68="No",-20,1)</f>
        <v>1</v>
      </c>
      <c r="BH449">
        <f>IF($P$63=0,1,IF(AQ449&lt;=$P$63,1,-20))</f>
        <v>1</v>
      </c>
      <c r="BJ449">
        <f t="shared" si="76"/>
        <v>1</v>
      </c>
      <c r="BK449" s="57">
        <f t="shared" si="70"/>
        <v>448</v>
      </c>
      <c r="BL449" s="57" t="str">
        <f t="shared" si="71"/>
        <v>Newpoint G/APC (Vehicle Handbook)</v>
      </c>
    </row>
    <row r="450" spans="38:64" x14ac:dyDescent="0.3">
      <c r="AL450">
        <f t="shared" si="75"/>
        <v>4</v>
      </c>
      <c r="AM450">
        <f t="shared" si="69"/>
        <v>449</v>
      </c>
      <c r="AN450">
        <v>12</v>
      </c>
      <c r="AO450" t="s">
        <v>3086</v>
      </c>
      <c r="AP450" s="4">
        <v>1441000</v>
      </c>
      <c r="AQ450" s="471">
        <v>8</v>
      </c>
      <c r="AR450">
        <f>IF($N$62="No",-20,1)</f>
        <v>1</v>
      </c>
      <c r="AX450">
        <f>IF($N$71="No",-20,1)</f>
        <v>1</v>
      </c>
      <c r="BG450">
        <f>IF($P$62=0,1,IF(AQ450&lt;=$P$62,1,-20))</f>
        <v>1</v>
      </c>
      <c r="BJ450">
        <f t="shared" si="76"/>
        <v>1</v>
      </c>
      <c r="BK450" s="57">
        <f t="shared" si="70"/>
        <v>449</v>
      </c>
      <c r="BL450" s="57" t="str">
        <f t="shared" si="71"/>
        <v>Ninua Tactical Police Vehicle (Sylean Dream)</v>
      </c>
    </row>
    <row r="451" spans="38:64" ht="15.6" x14ac:dyDescent="0.3">
      <c r="AL451">
        <f t="shared" si="75"/>
        <v>4</v>
      </c>
      <c r="AM451">
        <f t="shared" si="69"/>
        <v>450</v>
      </c>
      <c r="AN451" s="437">
        <v>15</v>
      </c>
      <c r="AO451" s="437" t="s">
        <v>3087</v>
      </c>
      <c r="AP451" s="438">
        <v>108860000</v>
      </c>
      <c r="AQ451" s="439">
        <v>400</v>
      </c>
      <c r="AR451">
        <f>IF($N$63="No",-20,1)</f>
        <v>1</v>
      </c>
      <c r="AS451">
        <f>IF($N$64="No",-20,1)</f>
        <v>1</v>
      </c>
      <c r="BH451">
        <f>IF($P$63=0,1,IF(AQ451&lt;=$P$63,1,-20))</f>
        <v>1</v>
      </c>
      <c r="BJ451">
        <f t="shared" si="76"/>
        <v>1</v>
      </c>
      <c r="BK451" s="57">
        <f t="shared" si="70"/>
        <v>450</v>
      </c>
      <c r="BL451" s="57" t="str">
        <f t="shared" si="71"/>
        <v>Nishemani Corsair (HG'22)</v>
      </c>
    </row>
    <row r="452" spans="38:64" x14ac:dyDescent="0.3">
      <c r="AL452">
        <f t="shared" si="75"/>
        <v>5</v>
      </c>
      <c r="AM452">
        <f t="shared" ref="AM452:AM495" si="77">IF(AL452&gt;0,AM451+1,AM451)</f>
        <v>451</v>
      </c>
      <c r="AN452">
        <v>12</v>
      </c>
      <c r="AO452" t="s">
        <v>1903</v>
      </c>
      <c r="AP452" s="4">
        <v>105000</v>
      </c>
      <c r="AQ452" s="471">
        <v>5.5</v>
      </c>
      <c r="AR452">
        <f>IF($N$63="No",-20,1)</f>
        <v>1</v>
      </c>
      <c r="AS452">
        <f>IF($N$64="No",-20,1)</f>
        <v>1</v>
      </c>
      <c r="AX452">
        <f>IF($N$71="No",-20,1)</f>
        <v>1</v>
      </c>
      <c r="BH452">
        <f>IF($P$63=0,1,IF(AQ452&lt;=$P$63,1,-20))</f>
        <v>1</v>
      </c>
      <c r="BJ452">
        <f t="shared" si="76"/>
        <v>1</v>
      </c>
      <c r="BK452" s="57">
        <f t="shared" ref="BK452:BK515" si="78">BK451+1</f>
        <v>451</v>
      </c>
      <c r="BL452" s="57" t="str">
        <f t="shared" si="71"/>
        <v>Ocean Cleanup Boat (JTAS Vol. 16)</v>
      </c>
    </row>
    <row r="453" spans="38:64" ht="15.6" x14ac:dyDescent="0.3">
      <c r="AL453">
        <f t="shared" si="75"/>
        <v>4</v>
      </c>
      <c r="AM453">
        <f t="shared" si="77"/>
        <v>452</v>
      </c>
      <c r="AN453" s="437">
        <v>15</v>
      </c>
      <c r="AO453" s="437" t="s">
        <v>1758</v>
      </c>
      <c r="AP453" s="438">
        <v>1110350000</v>
      </c>
      <c r="AQ453" s="439">
        <v>2600</v>
      </c>
      <c r="AR453">
        <f>IF($N$65="No",-20,1)</f>
        <v>1</v>
      </c>
      <c r="AX453">
        <f>IF($N$71="No",-20,1)</f>
        <v>1</v>
      </c>
      <c r="BI453">
        <f>IF($P$65=0,1,IF(AQ453&lt;=$P$65,1,-20))</f>
        <v>1</v>
      </c>
      <c r="BJ453">
        <f t="shared" si="76"/>
        <v>1</v>
      </c>
      <c r="BK453" s="57">
        <f t="shared" si="78"/>
        <v>452</v>
      </c>
      <c r="BL453" s="57" t="str">
        <f t="shared" ref="BL453:BL495" si="79">IF(BK453&gt;$BK$1,"",INDEX($AM$2:$AO$495,MATCH(BK453,$AM$2:$AM$495,0),3))</f>
        <v>Orbiral Assualt Pod (ECC)</v>
      </c>
    </row>
    <row r="454" spans="38:64" x14ac:dyDescent="0.3">
      <c r="AL454">
        <f t="shared" si="75"/>
        <v>4</v>
      </c>
      <c r="AM454">
        <f t="shared" si="77"/>
        <v>453</v>
      </c>
      <c r="AN454">
        <v>12</v>
      </c>
      <c r="AO454" t="s">
        <v>3088</v>
      </c>
      <c r="AP454" s="4">
        <v>42097700</v>
      </c>
      <c r="AQ454" s="471">
        <v>300</v>
      </c>
      <c r="AR454">
        <f>IF($N$63="No",-20,1)</f>
        <v>1</v>
      </c>
      <c r="AU454">
        <f>IF($N$68="No",-20,1)</f>
        <v>1</v>
      </c>
      <c r="BH454">
        <f>IF($P$63=0,1,IF(AQ454&lt;=$P$63,1,-20))</f>
        <v>1</v>
      </c>
      <c r="BJ454">
        <f t="shared" si="76"/>
        <v>1</v>
      </c>
      <c r="BK454" s="57">
        <f t="shared" si="78"/>
        <v>453</v>
      </c>
      <c r="BL454" s="57" t="str">
        <f t="shared" si="79"/>
        <v>Orbital Defense Submarine (Great Rifts Book 1)</v>
      </c>
    </row>
    <row r="455" spans="38:64" ht="15.6" x14ac:dyDescent="0.3">
      <c r="AL455">
        <f t="shared" si="75"/>
        <v>4</v>
      </c>
      <c r="AM455">
        <f t="shared" si="77"/>
        <v>454</v>
      </c>
      <c r="AN455" s="437">
        <v>12</v>
      </c>
      <c r="AO455" s="437" t="s">
        <v>1976</v>
      </c>
      <c r="AP455" s="438">
        <v>631700</v>
      </c>
      <c r="AQ455" s="439">
        <v>3</v>
      </c>
      <c r="AR455">
        <f>IF($N$62="No",-20,1)</f>
        <v>1</v>
      </c>
      <c r="AX455">
        <f>IF($N$71="No",-20,1)</f>
        <v>1</v>
      </c>
      <c r="BG455">
        <f>IF($P$62=0,1,IF(AQ455&lt;=$P$62,1,-20))</f>
        <v>1</v>
      </c>
      <c r="BJ455">
        <f t="shared" si="76"/>
        <v>1</v>
      </c>
      <c r="BK455" s="57">
        <f t="shared" si="78"/>
        <v>454</v>
      </c>
      <c r="BL455" s="57" t="str">
        <f t="shared" si="79"/>
        <v>Outrider Grav Platform (Rim Expeditions)</v>
      </c>
    </row>
    <row r="456" spans="38:64" ht="15.6" x14ac:dyDescent="0.3">
      <c r="AL456">
        <f t="shared" si="75"/>
        <v>4</v>
      </c>
      <c r="AM456">
        <f t="shared" si="77"/>
        <v>455</v>
      </c>
      <c r="AN456" s="437">
        <v>15</v>
      </c>
      <c r="AO456" s="437" t="s">
        <v>3089</v>
      </c>
      <c r="AP456" s="438">
        <v>3286440000</v>
      </c>
      <c r="AQ456" s="439">
        <v>5000</v>
      </c>
      <c r="AR456">
        <f>IF($N$63="No",-20,1)</f>
        <v>1</v>
      </c>
      <c r="AU456">
        <f>IF($N$68="No",-20,1)</f>
        <v>1</v>
      </c>
      <c r="BH456">
        <f>IF($P$63=0,1,IF(AQ456&lt;=$P$63,1,-20))</f>
        <v>1</v>
      </c>
      <c r="BJ456">
        <f t="shared" si="76"/>
        <v>1</v>
      </c>
      <c r="BK456" s="57">
        <f t="shared" si="78"/>
        <v>455</v>
      </c>
      <c r="BL456" s="57" t="str">
        <f t="shared" si="79"/>
        <v>P.F. Sloan Fleet Escort (HG'22)</v>
      </c>
    </row>
    <row r="457" spans="38:64" x14ac:dyDescent="0.3">
      <c r="AL457">
        <f t="shared" si="75"/>
        <v>4</v>
      </c>
      <c r="AM457">
        <f t="shared" si="77"/>
        <v>456</v>
      </c>
      <c r="AN457">
        <v>9</v>
      </c>
      <c r="AO457" t="s">
        <v>3090</v>
      </c>
      <c r="AP457" s="4">
        <v>24390000</v>
      </c>
      <c r="AQ457" s="471">
        <v>34</v>
      </c>
      <c r="AR457">
        <f>IF($N$62="No",-20,1)</f>
        <v>1</v>
      </c>
      <c r="BB457">
        <f>IF($N$75="No",-20,1)</f>
        <v>1</v>
      </c>
      <c r="BG457">
        <f>IF($P$62=0,1,IF(AQ457&lt;=$P$62,1,-20))</f>
        <v>1</v>
      </c>
      <c r="BJ457">
        <f t="shared" si="76"/>
        <v>1</v>
      </c>
      <c r="BK457" s="57">
        <f t="shared" si="78"/>
        <v>456</v>
      </c>
      <c r="BL457" s="57" t="str">
        <f t="shared" si="79"/>
        <v>Paladin Laser Grav Tank (The Riverlands)</v>
      </c>
    </row>
    <row r="458" spans="38:64" ht="15.6" x14ac:dyDescent="0.3">
      <c r="AL458">
        <f t="shared" si="75"/>
        <v>5</v>
      </c>
      <c r="AM458">
        <f t="shared" si="77"/>
        <v>457</v>
      </c>
      <c r="AN458" s="437">
        <v>5</v>
      </c>
      <c r="AO458" s="437" t="s">
        <v>1834</v>
      </c>
      <c r="AP458" s="438">
        <v>197000</v>
      </c>
      <c r="AQ458" s="439">
        <v>4</v>
      </c>
      <c r="AR458">
        <f>IF($N$63="No",-20,1)</f>
        <v>1</v>
      </c>
      <c r="AS458">
        <f>IF($N$64="No",-20,1)</f>
        <v>1</v>
      </c>
      <c r="AU458">
        <f>IF($N$68="No",-20,1)</f>
        <v>1</v>
      </c>
      <c r="BH458">
        <f>IF($P$63=0,1,IF(AQ458&lt;=$P$63,1,-20))</f>
        <v>1</v>
      </c>
      <c r="BJ458">
        <f t="shared" si="76"/>
        <v>1</v>
      </c>
      <c r="BK458" s="57">
        <f t="shared" si="78"/>
        <v>457</v>
      </c>
      <c r="BL458" s="57" t="str">
        <f t="shared" si="79"/>
        <v>Palomino Light Strike Aircraft (JTAS Vol. 2)</v>
      </c>
    </row>
    <row r="459" spans="38:64" x14ac:dyDescent="0.3">
      <c r="AL459">
        <f t="shared" si="75"/>
        <v>4</v>
      </c>
      <c r="AM459">
        <f t="shared" si="77"/>
        <v>458</v>
      </c>
      <c r="AN459">
        <v>7</v>
      </c>
      <c r="AO459" t="s">
        <v>3091</v>
      </c>
      <c r="AP459" s="4">
        <v>150000</v>
      </c>
      <c r="AQ459">
        <v>6</v>
      </c>
      <c r="AR459">
        <f>IF($N$62="No",-20,1)</f>
        <v>1</v>
      </c>
      <c r="AX459">
        <f>IF($N$71="No",-20,1)</f>
        <v>1</v>
      </c>
      <c r="BG459">
        <f>IF($P$62=0,1,IF(AQ459&lt;=$P$62,1,-20))</f>
        <v>1</v>
      </c>
      <c r="BJ459">
        <f t="shared" si="76"/>
        <v>1</v>
      </c>
      <c r="BK459" s="57">
        <f t="shared" si="78"/>
        <v>458</v>
      </c>
      <c r="BL459" s="57" t="str">
        <f t="shared" si="79"/>
        <v>Parthian Wheeled Scout (Vehicle Handbook)</v>
      </c>
    </row>
    <row r="460" spans="38:64" x14ac:dyDescent="0.3">
      <c r="AL460">
        <f t="shared" si="75"/>
        <v>4</v>
      </c>
      <c r="AM460">
        <f t="shared" si="77"/>
        <v>459</v>
      </c>
      <c r="AN460">
        <v>12</v>
      </c>
      <c r="AO460" t="s">
        <v>3092</v>
      </c>
      <c r="AP460" s="4">
        <v>15380000</v>
      </c>
      <c r="AQ460" s="431">
        <v>100</v>
      </c>
      <c r="AR460">
        <f>IF($N$62="No",-20,1)</f>
        <v>1</v>
      </c>
      <c r="AX460">
        <f>IF($N$71="No",-20,1)</f>
        <v>1</v>
      </c>
      <c r="BG460">
        <f>IF($P$62=0,1,IF(AQ460&lt;=$P$62,1,-20))</f>
        <v>1</v>
      </c>
      <c r="BJ460">
        <f t="shared" si="76"/>
        <v>1</v>
      </c>
      <c r="BK460" s="57">
        <f t="shared" si="78"/>
        <v>459</v>
      </c>
      <c r="BL460" s="57" t="str">
        <f t="shared" si="79"/>
        <v>Passenger Lighter (Behind the Claw)</v>
      </c>
    </row>
    <row r="461" spans="38:64" x14ac:dyDescent="0.3">
      <c r="AL461">
        <f t="shared" si="75"/>
        <v>5</v>
      </c>
      <c r="AM461">
        <f t="shared" si="77"/>
        <v>460</v>
      </c>
      <c r="AN461">
        <v>12</v>
      </c>
      <c r="AO461" t="s">
        <v>3093</v>
      </c>
      <c r="AP461" s="4">
        <v>11030000</v>
      </c>
      <c r="AQ461">
        <v>95</v>
      </c>
      <c r="AR461">
        <f>IF($N$63="No",-20,1)</f>
        <v>1</v>
      </c>
      <c r="AS461">
        <f>IF($N$64="No",-20,1)</f>
        <v>1</v>
      </c>
      <c r="AU461">
        <f>IF($N$68="No",-20,1)</f>
        <v>1</v>
      </c>
      <c r="BH461">
        <f>IF($P$63=0,1,IF(AQ461&lt;=$P$63,1,-20))</f>
        <v>1</v>
      </c>
      <c r="BJ461">
        <f t="shared" si="76"/>
        <v>1</v>
      </c>
      <c r="BK461" s="57">
        <f t="shared" si="78"/>
        <v>460</v>
      </c>
      <c r="BL461" s="57" t="str">
        <f t="shared" si="79"/>
        <v>Passenger Shuttle (Core'24)</v>
      </c>
    </row>
    <row r="462" spans="38:64" x14ac:dyDescent="0.3">
      <c r="AL462">
        <f t="shared" si="75"/>
        <v>4</v>
      </c>
      <c r="AM462">
        <f t="shared" si="77"/>
        <v>461</v>
      </c>
      <c r="AN462">
        <v>9</v>
      </c>
      <c r="AO462" t="s">
        <v>1718</v>
      </c>
      <c r="AP462" s="4">
        <v>14305000</v>
      </c>
      <c r="AQ462" s="431">
        <v>95</v>
      </c>
      <c r="AR462">
        <f t="shared" ref="AR462:AR470" si="80">IF($N$62="No",-20,1)</f>
        <v>1</v>
      </c>
      <c r="AX462">
        <f>IF($N$71="No",-20,1)</f>
        <v>1</v>
      </c>
      <c r="BG462">
        <f t="shared" ref="BG462:BG470" si="81">IF($P$62=0,1,IF(AQ462&lt;=$P$62,1,-20))</f>
        <v>1</v>
      </c>
      <c r="BJ462">
        <f t="shared" si="76"/>
        <v>1</v>
      </c>
      <c r="BK462" s="57">
        <f t="shared" si="78"/>
        <v>461</v>
      </c>
      <c r="BL462" s="57" t="str">
        <f t="shared" si="79"/>
        <v>Passenger Shuttle (HG'22)</v>
      </c>
    </row>
    <row r="463" spans="38:64" ht="15.6" x14ac:dyDescent="0.3">
      <c r="AL463">
        <f t="shared" si="75"/>
        <v>4</v>
      </c>
      <c r="AM463">
        <f t="shared" si="77"/>
        <v>462</v>
      </c>
      <c r="AN463" s="437">
        <v>10</v>
      </c>
      <c r="AO463" s="437" t="s">
        <v>1965</v>
      </c>
      <c r="AP463" s="438">
        <v>14967000</v>
      </c>
      <c r="AQ463" s="439">
        <v>95</v>
      </c>
      <c r="AR463">
        <f t="shared" si="80"/>
        <v>1</v>
      </c>
      <c r="BE463">
        <f>IF($N$78="No",-20,1)</f>
        <v>1</v>
      </c>
      <c r="BG463">
        <f t="shared" si="81"/>
        <v>1</v>
      </c>
      <c r="BJ463">
        <f t="shared" si="76"/>
        <v>1</v>
      </c>
      <c r="BK463" s="57">
        <f t="shared" si="78"/>
        <v>462</v>
      </c>
      <c r="BL463" s="57" t="str">
        <f t="shared" si="79"/>
        <v>Passenger Shuttle (Reach Adventure 1)</v>
      </c>
    </row>
    <row r="464" spans="38:64" ht="15.6" x14ac:dyDescent="0.3">
      <c r="AL464">
        <f t="shared" si="75"/>
        <v>4</v>
      </c>
      <c r="AM464">
        <f t="shared" si="77"/>
        <v>463</v>
      </c>
      <c r="AN464" s="437">
        <v>10</v>
      </c>
      <c r="AO464" s="437" t="s">
        <v>1987</v>
      </c>
      <c r="AP464" s="438">
        <v>225261000</v>
      </c>
      <c r="AQ464" s="439">
        <v>800</v>
      </c>
      <c r="AR464">
        <f t="shared" si="80"/>
        <v>1</v>
      </c>
      <c r="BF464">
        <f>IF($N$79="No",-20,1)</f>
        <v>1</v>
      </c>
      <c r="BG464">
        <f t="shared" si="81"/>
        <v>1</v>
      </c>
      <c r="BJ464">
        <f t="shared" si="76"/>
        <v>1</v>
      </c>
      <c r="BK464" s="57">
        <f t="shared" si="78"/>
        <v>463</v>
      </c>
      <c r="BL464" s="57" t="str">
        <f t="shared" si="79"/>
        <v>PBC-10 Heavy System Defense Boat (War Fleets of the Fifth Frontier War)</v>
      </c>
    </row>
    <row r="465" spans="38:64" ht="15.6" x14ac:dyDescent="0.3">
      <c r="AL465">
        <f t="shared" si="75"/>
        <v>3</v>
      </c>
      <c r="AM465">
        <f t="shared" si="77"/>
        <v>464</v>
      </c>
      <c r="AN465" s="437">
        <v>12</v>
      </c>
      <c r="AO465" s="437" t="s">
        <v>3094</v>
      </c>
      <c r="AP465" s="438">
        <v>13915000</v>
      </c>
      <c r="AQ465" s="439">
        <v>20</v>
      </c>
      <c r="AR465">
        <f t="shared" si="80"/>
        <v>1</v>
      </c>
      <c r="BG465">
        <f t="shared" si="81"/>
        <v>1</v>
      </c>
      <c r="BJ465">
        <f t="shared" si="76"/>
        <v>1</v>
      </c>
      <c r="BK465" s="57">
        <f t="shared" si="78"/>
        <v>464</v>
      </c>
      <c r="BL465" s="57" t="str">
        <f t="shared" si="79"/>
        <v>Pecah Breacher Shuttle (Specialist Forces)</v>
      </c>
    </row>
    <row r="466" spans="38:64" x14ac:dyDescent="0.3">
      <c r="AL466">
        <f t="shared" si="75"/>
        <v>4</v>
      </c>
      <c r="AM466">
        <f t="shared" si="77"/>
        <v>465</v>
      </c>
      <c r="AN466">
        <v>12</v>
      </c>
      <c r="AO466" t="s">
        <v>3095</v>
      </c>
      <c r="AP466" s="4">
        <v>125000</v>
      </c>
      <c r="AQ466">
        <v>3</v>
      </c>
      <c r="AR466">
        <f t="shared" si="80"/>
        <v>1</v>
      </c>
      <c r="AV466">
        <f>IF($N$69="No",-20,1)</f>
        <v>1</v>
      </c>
      <c r="BG466">
        <f t="shared" si="81"/>
        <v>1</v>
      </c>
      <c r="BJ466">
        <f t="shared" si="76"/>
        <v>1</v>
      </c>
      <c r="BK466" s="57">
        <f t="shared" si="78"/>
        <v>465</v>
      </c>
      <c r="BL466" s="57" t="str">
        <f t="shared" si="79"/>
        <v>Pegasus Personal Ornithopter (Vehicle Handbook)</v>
      </c>
    </row>
    <row r="467" spans="38:64" ht="15.6" x14ac:dyDescent="0.3">
      <c r="AL467">
        <f t="shared" si="75"/>
        <v>3</v>
      </c>
      <c r="AM467">
        <f t="shared" si="77"/>
        <v>466</v>
      </c>
      <c r="AN467" s="437">
        <v>3</v>
      </c>
      <c r="AO467" s="437" t="s">
        <v>3096</v>
      </c>
      <c r="AP467" s="438">
        <v>600</v>
      </c>
      <c r="AQ467" s="439">
        <v>1</v>
      </c>
      <c r="AR467">
        <f t="shared" si="80"/>
        <v>1</v>
      </c>
      <c r="BG467">
        <f t="shared" si="81"/>
        <v>1</v>
      </c>
      <c r="BJ467">
        <f t="shared" si="76"/>
        <v>1</v>
      </c>
      <c r="BK467" s="57">
        <f t="shared" si="78"/>
        <v>466</v>
      </c>
      <c r="BL467" s="57" t="str">
        <f t="shared" si="79"/>
        <v>Personal Land Yacht (Core'24)</v>
      </c>
    </row>
    <row r="468" spans="38:64" x14ac:dyDescent="0.3">
      <c r="AL468">
        <f t="shared" si="75"/>
        <v>4</v>
      </c>
      <c r="AM468">
        <f t="shared" si="77"/>
        <v>467</v>
      </c>
      <c r="AN468">
        <v>12</v>
      </c>
      <c r="AO468" t="s">
        <v>3097</v>
      </c>
      <c r="AP468" s="4">
        <v>372870000</v>
      </c>
      <c r="AQ468" s="431">
        <v>800</v>
      </c>
      <c r="AR468">
        <f t="shared" si="80"/>
        <v>1</v>
      </c>
      <c r="BA468">
        <f t="shared" ref="BA468:BA476" si="82">IF($N$74="No",-20,1)</f>
        <v>1</v>
      </c>
      <c r="BG468">
        <f t="shared" si="81"/>
        <v>1</v>
      </c>
      <c r="BJ468">
        <f t="shared" si="76"/>
        <v>1</v>
      </c>
      <c r="BK468" s="57">
        <f t="shared" si="78"/>
        <v>467</v>
      </c>
      <c r="BL468" s="57" t="str">
        <f t="shared" si="79"/>
        <v>Piankir Class Light Monitor (War Fleets of the Fifth Frontier War)</v>
      </c>
    </row>
    <row r="469" spans="38:64" x14ac:dyDescent="0.3">
      <c r="AL469">
        <f t="shared" si="75"/>
        <v>4</v>
      </c>
      <c r="AM469">
        <f t="shared" si="77"/>
        <v>468</v>
      </c>
      <c r="AN469">
        <v>12</v>
      </c>
      <c r="AO469" t="s">
        <v>3098</v>
      </c>
      <c r="AP469" s="4">
        <v>175513500</v>
      </c>
      <c r="AQ469" s="431">
        <v>600</v>
      </c>
      <c r="AR469">
        <f t="shared" si="80"/>
        <v>1</v>
      </c>
      <c r="BA469">
        <f t="shared" si="82"/>
        <v>1</v>
      </c>
      <c r="BG469">
        <f t="shared" si="81"/>
        <v>1</v>
      </c>
      <c r="BJ469">
        <f t="shared" si="76"/>
        <v>1</v>
      </c>
      <c r="BK469" s="57">
        <f t="shared" si="78"/>
        <v>468</v>
      </c>
      <c r="BL469" s="57" t="str">
        <f t="shared" si="79"/>
        <v>Piankir Combat Outrigger (War Fleets of the Fifth Frontier War)</v>
      </c>
    </row>
    <row r="470" spans="38:64" x14ac:dyDescent="0.3">
      <c r="AL470">
        <f t="shared" si="75"/>
        <v>4</v>
      </c>
      <c r="AM470">
        <f t="shared" si="77"/>
        <v>469</v>
      </c>
      <c r="AN470">
        <v>12</v>
      </c>
      <c r="AO470" t="s">
        <v>3099</v>
      </c>
      <c r="AP470" s="4">
        <v>152743500</v>
      </c>
      <c r="AQ470" s="431">
        <v>600</v>
      </c>
      <c r="AR470">
        <f t="shared" si="80"/>
        <v>1</v>
      </c>
      <c r="BA470">
        <f t="shared" si="82"/>
        <v>1</v>
      </c>
      <c r="BG470">
        <f t="shared" si="81"/>
        <v>1</v>
      </c>
      <c r="BJ470">
        <f t="shared" si="76"/>
        <v>1</v>
      </c>
      <c r="BK470" s="57">
        <f t="shared" si="78"/>
        <v>469</v>
      </c>
      <c r="BL470" s="57" t="str">
        <f t="shared" si="79"/>
        <v>Piankir Patrol Outrigger (War Fleets of the Fifth Frontier War)</v>
      </c>
    </row>
    <row r="471" spans="38:64" ht="15.6" x14ac:dyDescent="0.3">
      <c r="AL471">
        <f t="shared" si="75"/>
        <v>5</v>
      </c>
      <c r="AM471">
        <f t="shared" si="77"/>
        <v>470</v>
      </c>
      <c r="AN471" s="437">
        <v>7</v>
      </c>
      <c r="AO471" s="437" t="s">
        <v>1677</v>
      </c>
      <c r="AP471" s="438">
        <v>167780000</v>
      </c>
      <c r="AQ471" s="439">
        <v>2000</v>
      </c>
      <c r="AR471">
        <f>IF($N$63="No",-20,1)</f>
        <v>1</v>
      </c>
      <c r="AS471">
        <f>IF($N$64="No",-20,1)</f>
        <v>1</v>
      </c>
      <c r="BA471">
        <f t="shared" si="82"/>
        <v>1</v>
      </c>
      <c r="BH471">
        <f>IF($P$63=0,1,IF(AQ471&lt;=$P$63,1,-20))</f>
        <v>1</v>
      </c>
      <c r="BJ471">
        <f t="shared" si="76"/>
        <v>1</v>
      </c>
      <c r="BK471" s="57">
        <f t="shared" si="78"/>
        <v>470</v>
      </c>
      <c r="BL471" s="57" t="str">
        <f t="shared" si="79"/>
        <v>Pimane Fuel Shuttle (B&amp;ESG)</v>
      </c>
    </row>
    <row r="472" spans="38:64" ht="15.6" x14ac:dyDescent="0.3">
      <c r="AL472">
        <f t="shared" si="75"/>
        <v>5</v>
      </c>
      <c r="AM472">
        <f t="shared" si="77"/>
        <v>471</v>
      </c>
      <c r="AN472" s="437">
        <v>12</v>
      </c>
      <c r="AO472" s="437" t="s">
        <v>3100</v>
      </c>
      <c r="AP472" s="4">
        <v>9480000</v>
      </c>
      <c r="AQ472" s="439">
        <v>40</v>
      </c>
      <c r="AR472">
        <f>IF($N$63="No",-20,1)</f>
        <v>1</v>
      </c>
      <c r="AS472">
        <f>IF($N$64="No",-20,1)</f>
        <v>1</v>
      </c>
      <c r="BA472">
        <f t="shared" si="82"/>
        <v>1</v>
      </c>
      <c r="BH472">
        <f>IF($P$63=0,1,IF(AQ472&lt;=$P$63,1,-20))</f>
        <v>1</v>
      </c>
      <c r="BJ472">
        <f t="shared" si="76"/>
        <v>1</v>
      </c>
      <c r="BK472" s="57">
        <f t="shared" si="78"/>
        <v>471</v>
      </c>
      <c r="BL472" s="57" t="str">
        <f t="shared" si="79"/>
        <v>Pinnace (Core'24))</v>
      </c>
    </row>
    <row r="473" spans="38:64" x14ac:dyDescent="0.3">
      <c r="AL473">
        <f t="shared" si="75"/>
        <v>4</v>
      </c>
      <c r="AM473">
        <f t="shared" si="77"/>
        <v>472</v>
      </c>
      <c r="AN473">
        <v>12</v>
      </c>
      <c r="AO473" t="s">
        <v>3101</v>
      </c>
      <c r="AP473" s="4">
        <v>9680000</v>
      </c>
      <c r="AQ473">
        <v>40</v>
      </c>
      <c r="AR473">
        <f>IF($N$62="No",-20,1)</f>
        <v>1</v>
      </c>
      <c r="BA473">
        <f t="shared" si="82"/>
        <v>1</v>
      </c>
      <c r="BG473">
        <f>IF($P$62=0,1,IF(AQ473&lt;=$P$62,1,-20))</f>
        <v>1</v>
      </c>
      <c r="BJ473">
        <f t="shared" si="76"/>
        <v>1</v>
      </c>
      <c r="BK473" s="57">
        <f t="shared" si="78"/>
        <v>472</v>
      </c>
      <c r="BL473" s="57" t="str">
        <f t="shared" si="79"/>
        <v>Pinnace (HG'22)</v>
      </c>
    </row>
    <row r="474" spans="38:64" x14ac:dyDescent="0.3">
      <c r="AL474">
        <f t="shared" si="75"/>
        <v>5</v>
      </c>
      <c r="AM474">
        <f t="shared" si="77"/>
        <v>473</v>
      </c>
      <c r="AN474">
        <v>15</v>
      </c>
      <c r="AO474" t="s">
        <v>3102</v>
      </c>
      <c r="AP474" s="4">
        <v>45188000</v>
      </c>
      <c r="AQ474">
        <v>90</v>
      </c>
      <c r="AR474">
        <f>IF($N$63="No",-20,1)</f>
        <v>1</v>
      </c>
      <c r="AS474">
        <f>IF($N$64="No",-20,1)</f>
        <v>1</v>
      </c>
      <c r="BA474">
        <f t="shared" si="82"/>
        <v>1</v>
      </c>
      <c r="BH474">
        <f>IF($P$63=0,1,IF(AQ474&lt;=$P$63,1,-20))</f>
        <v>1</v>
      </c>
      <c r="BJ474">
        <f t="shared" si="76"/>
        <v>1</v>
      </c>
      <c r="BK474" s="57">
        <f t="shared" si="78"/>
        <v>473</v>
      </c>
      <c r="BL474" s="57" t="str">
        <f t="shared" si="79"/>
        <v>Planetary Assault Barge (SCC)</v>
      </c>
    </row>
    <row r="475" spans="38:64" x14ac:dyDescent="0.3">
      <c r="AL475">
        <f t="shared" si="75"/>
        <v>4</v>
      </c>
      <c r="AM475">
        <f t="shared" si="77"/>
        <v>474</v>
      </c>
      <c r="AN475">
        <v>15</v>
      </c>
      <c r="AO475" t="s">
        <v>3103</v>
      </c>
      <c r="AP475" s="4">
        <v>27812655000</v>
      </c>
      <c r="AQ475">
        <v>50000</v>
      </c>
      <c r="AR475">
        <f>IF($N$63="No",-20,1)</f>
        <v>1</v>
      </c>
      <c r="BA475">
        <f t="shared" si="82"/>
        <v>1</v>
      </c>
      <c r="BH475">
        <f>IF($P$63=0,1,IF(AQ475&lt;=$P$63,1,-20))</f>
        <v>1</v>
      </c>
      <c r="BJ475">
        <f t="shared" si="76"/>
        <v>1</v>
      </c>
      <c r="BK475" s="57">
        <f t="shared" si="78"/>
        <v>474</v>
      </c>
      <c r="BL475" s="57" t="str">
        <f t="shared" si="79"/>
        <v>Planetoid Monitor (HG'22)</v>
      </c>
    </row>
    <row r="476" spans="38:64" ht="15.6" x14ac:dyDescent="0.3">
      <c r="AL476">
        <f t="shared" si="75"/>
        <v>4</v>
      </c>
      <c r="AM476">
        <f t="shared" si="77"/>
        <v>475</v>
      </c>
      <c r="AN476" s="437">
        <v>12</v>
      </c>
      <c r="AO476" s="437" t="s">
        <v>1988</v>
      </c>
      <c r="AP476" s="438">
        <v>148200000</v>
      </c>
      <c r="AQ476" s="439">
        <v>400</v>
      </c>
      <c r="AR476">
        <f>IF($N$62="No",-20,1)</f>
        <v>1</v>
      </c>
      <c r="BA476">
        <f t="shared" si="82"/>
        <v>1</v>
      </c>
      <c r="BG476">
        <f>IF($P$62=0,1,IF(AQ476&lt;=$P$62,1,-20))</f>
        <v>1</v>
      </c>
      <c r="BJ476">
        <f t="shared" si="76"/>
        <v>1</v>
      </c>
      <c r="BK476" s="57">
        <f t="shared" si="78"/>
        <v>475</v>
      </c>
      <c r="BL476" s="57" t="str">
        <f t="shared" si="79"/>
        <v>PLD-12 Patrol Boat (War Fleets of the Fifth Frontier War)</v>
      </c>
    </row>
    <row r="477" spans="38:64" x14ac:dyDescent="0.3">
      <c r="AL477">
        <f t="shared" si="75"/>
        <v>4</v>
      </c>
      <c r="AM477">
        <f t="shared" si="77"/>
        <v>476</v>
      </c>
      <c r="AN477">
        <v>12</v>
      </c>
      <c r="AO477" t="s">
        <v>3104</v>
      </c>
      <c r="AP477" s="4">
        <v>9282500</v>
      </c>
      <c r="AQ477" s="431">
        <v>20</v>
      </c>
      <c r="AR477">
        <f>IF($N$63="No",-20,1)</f>
        <v>1</v>
      </c>
      <c r="AU477">
        <f>IF($N$68="No",-20,1)</f>
        <v>1</v>
      </c>
      <c r="BH477">
        <f>IF($P$63=0,1,IF(AQ477&lt;=$P$63,1,-20))</f>
        <v>1</v>
      </c>
      <c r="BJ477">
        <f t="shared" si="76"/>
        <v>1</v>
      </c>
      <c r="BK477" s="57">
        <f t="shared" si="78"/>
        <v>476</v>
      </c>
      <c r="BL477" s="57" t="str">
        <f t="shared" si="79"/>
        <v>Poignard Assault Boat</v>
      </c>
    </row>
    <row r="478" spans="38:64" ht="15.6" x14ac:dyDescent="0.3">
      <c r="AL478">
        <f t="shared" si="75"/>
        <v>4</v>
      </c>
      <c r="AM478">
        <f t="shared" si="77"/>
        <v>477</v>
      </c>
      <c r="AN478" s="437">
        <v>8</v>
      </c>
      <c r="AO478" s="437" t="s">
        <v>1918</v>
      </c>
      <c r="AP478" s="438">
        <v>95000</v>
      </c>
      <c r="AQ478" s="439">
        <v>6</v>
      </c>
      <c r="AR478">
        <f>IF($N$63="No",-20,1)</f>
        <v>1</v>
      </c>
      <c r="BD478">
        <f>IF($N$77="No",-20,1)</f>
        <v>1</v>
      </c>
      <c r="BH478">
        <f>IF($P$63=0,1,IF(AQ478&lt;=$P$63,1,-20))</f>
        <v>1</v>
      </c>
      <c r="BJ478">
        <f t="shared" si="76"/>
        <v>1</v>
      </c>
      <c r="BK478" s="57">
        <f t="shared" si="78"/>
        <v>477</v>
      </c>
      <c r="BL478" s="57" t="str">
        <f t="shared" si="79"/>
        <v>Port Porter Transport Vehicle (JTAS Vol. 3)</v>
      </c>
    </row>
    <row r="479" spans="38:64" ht="15.6" x14ac:dyDescent="0.3">
      <c r="AL479">
        <f t="shared" si="75"/>
        <v>4</v>
      </c>
      <c r="AM479">
        <f t="shared" si="77"/>
        <v>478</v>
      </c>
      <c r="AN479" s="437">
        <v>8</v>
      </c>
      <c r="AO479" s="437" t="s">
        <v>1919</v>
      </c>
      <c r="AP479" s="438">
        <v>46000</v>
      </c>
      <c r="AQ479" s="439">
        <v>6</v>
      </c>
      <c r="AR479">
        <f>IF($N$63="No",-20,1)</f>
        <v>1</v>
      </c>
      <c r="AU479">
        <f>IF($N$68="No",-20,1)</f>
        <v>1</v>
      </c>
      <c r="BH479">
        <f>IF($P$63=0,1,IF(AQ479&lt;=$P$63,1,-20))</f>
        <v>1</v>
      </c>
      <c r="BJ479">
        <f t="shared" si="76"/>
        <v>1</v>
      </c>
      <c r="BK479" s="57">
        <f t="shared" si="78"/>
        <v>478</v>
      </c>
      <c r="BL479" s="57" t="str">
        <f t="shared" si="79"/>
        <v>Port Protector Light Security Vehicle (JTAS Vol. 3)</v>
      </c>
    </row>
    <row r="480" spans="38:64" x14ac:dyDescent="0.3">
      <c r="AL480">
        <f t="shared" si="75"/>
        <v>4</v>
      </c>
      <c r="AM480">
        <f t="shared" si="77"/>
        <v>479</v>
      </c>
      <c r="AN480">
        <v>7</v>
      </c>
      <c r="AO480" t="s">
        <v>3105</v>
      </c>
      <c r="AP480" s="4">
        <v>40000</v>
      </c>
      <c r="AQ480">
        <v>2.5</v>
      </c>
      <c r="AR480">
        <f>IF($N$63="No",-20,1)</f>
        <v>1</v>
      </c>
      <c r="AU480">
        <f>IF($N$68="No",-20,1)</f>
        <v>1</v>
      </c>
      <c r="BH480">
        <f>IF($P$63=0,1,IF(AQ480&lt;=$P$63,1,-20))</f>
        <v>1</v>
      </c>
      <c r="BJ480">
        <f t="shared" si="76"/>
        <v>1</v>
      </c>
      <c r="BK480" s="57">
        <f t="shared" si="78"/>
        <v>479</v>
      </c>
      <c r="BL480" s="57" t="str">
        <f t="shared" si="79"/>
        <v>Power Boat (Vehicle Handbook)</v>
      </c>
    </row>
    <row r="481" spans="38:64" x14ac:dyDescent="0.3">
      <c r="AL481">
        <f t="shared" si="75"/>
        <v>5</v>
      </c>
      <c r="AM481">
        <f t="shared" si="77"/>
        <v>480</v>
      </c>
      <c r="AN481">
        <v>13</v>
      </c>
      <c r="AO481" t="s">
        <v>3106</v>
      </c>
      <c r="AP481" s="4">
        <v>1130000</v>
      </c>
      <c r="AQ481">
        <v>24</v>
      </c>
      <c r="AR481">
        <f>IF($N$63="No",-20,1)</f>
        <v>1</v>
      </c>
      <c r="AS481">
        <f>IF($N$64="No",-20,1)</f>
        <v>1</v>
      </c>
      <c r="AU481">
        <f>IF($N$68="No",-20,1)</f>
        <v>1</v>
      </c>
      <c r="BH481">
        <f>IF($P$63=0,1,IF(AQ481&lt;=$P$63,1,-20))</f>
        <v>1</v>
      </c>
      <c r="BJ481">
        <f t="shared" si="76"/>
        <v>1</v>
      </c>
      <c r="BK481" s="57">
        <f t="shared" si="78"/>
        <v>480</v>
      </c>
      <c r="BL481" s="57" t="str">
        <f t="shared" si="79"/>
        <v>Predator Ambush-Hunter Tank (Vehicle Handbook)</v>
      </c>
    </row>
    <row r="482" spans="38:64" x14ac:dyDescent="0.3">
      <c r="AL482">
        <f t="shared" si="75"/>
        <v>3</v>
      </c>
      <c r="AM482">
        <f t="shared" si="77"/>
        <v>481</v>
      </c>
      <c r="AN482">
        <v>10</v>
      </c>
      <c r="AO482" t="s">
        <v>3107</v>
      </c>
      <c r="AP482" s="4">
        <v>23018000</v>
      </c>
      <c r="AQ482" s="431">
        <v>80</v>
      </c>
      <c r="AR482">
        <f>IF($N$62="No",-20,1)</f>
        <v>1</v>
      </c>
      <c r="BG482">
        <f>IF($P$62=0,1,IF(AQ482&lt;=$P$62,1,-20))</f>
        <v>1</v>
      </c>
      <c r="BJ482">
        <f t="shared" si="76"/>
        <v>1</v>
      </c>
      <c r="BK482" s="57">
        <f t="shared" si="78"/>
        <v>481</v>
      </c>
      <c r="BL482" s="57" t="str">
        <f t="shared" si="79"/>
        <v>Predator Gunship (TTF)</v>
      </c>
    </row>
    <row r="483" spans="38:64" x14ac:dyDescent="0.3">
      <c r="AL483">
        <f t="shared" ref="AL483:AL488" si="83">SUM(AR483:BJ483)</f>
        <v>4</v>
      </c>
      <c r="AM483">
        <f t="shared" si="77"/>
        <v>482</v>
      </c>
      <c r="AN483">
        <v>12</v>
      </c>
      <c r="AO483" t="s">
        <v>1808</v>
      </c>
      <c r="AP483" s="4">
        <v>1195000</v>
      </c>
      <c r="AQ483" s="471">
        <v>3</v>
      </c>
      <c r="AR483">
        <f>IF($N$63="No",-20,1)</f>
        <v>1</v>
      </c>
      <c r="AU483">
        <f>IF($N$68="No",-20,1)</f>
        <v>1</v>
      </c>
      <c r="BH483">
        <f>IF($P$63=0,1,IF(AQ483&lt;=$P$63,1,-20))</f>
        <v>1</v>
      </c>
      <c r="BJ483">
        <f t="shared" si="76"/>
        <v>1</v>
      </c>
      <c r="BK483" s="57">
        <f t="shared" si="78"/>
        <v>482</v>
      </c>
      <c r="BL483" s="57" t="str">
        <f t="shared" si="79"/>
        <v>Preplenn Fast Attack Platform (Field Catalogue)</v>
      </c>
    </row>
    <row r="484" spans="38:64" x14ac:dyDescent="0.3">
      <c r="AL484">
        <f t="shared" si="83"/>
        <v>3</v>
      </c>
      <c r="AM484">
        <f t="shared" si="77"/>
        <v>483</v>
      </c>
      <c r="AN484">
        <v>12</v>
      </c>
      <c r="AO484" t="s">
        <v>3108</v>
      </c>
      <c r="AP484" s="4">
        <v>49560000</v>
      </c>
      <c r="AQ484">
        <v>60</v>
      </c>
      <c r="AR484">
        <f>IF($N$63="No",-20,1)</f>
        <v>1</v>
      </c>
      <c r="BH484">
        <f>IF($P$63=0,1,IF(AQ485&lt;=$P$63,1,-20))</f>
        <v>1</v>
      </c>
      <c r="BJ484">
        <f t="shared" si="76"/>
        <v>1</v>
      </c>
      <c r="BK484" s="57">
        <f t="shared" si="78"/>
        <v>483</v>
      </c>
      <c r="BL484" s="57" t="str">
        <f t="shared" si="79"/>
        <v>Pressurized Yacht (SCC)</v>
      </c>
    </row>
    <row r="485" spans="38:64" x14ac:dyDescent="0.3">
      <c r="AL485">
        <f t="shared" si="83"/>
        <v>5</v>
      </c>
      <c r="AM485">
        <f t="shared" si="77"/>
        <v>484</v>
      </c>
      <c r="AN485">
        <v>12</v>
      </c>
      <c r="AO485" t="s">
        <v>3109</v>
      </c>
      <c r="AP485" s="4">
        <v>270000</v>
      </c>
      <c r="AQ485">
        <v>4</v>
      </c>
      <c r="AR485">
        <f>IF($N$63="No",-20,1)</f>
        <v>1</v>
      </c>
      <c r="AS485">
        <f>IF($N$64="No",-20,1)</f>
        <v>1</v>
      </c>
      <c r="AU485">
        <f>IF($N$68="No",-20,1)</f>
        <v>1</v>
      </c>
      <c r="BH485">
        <f>IF($P$63=0,1,IF(AQ485&lt;=$P$63,1,-20))</f>
        <v>1</v>
      </c>
      <c r="BJ485">
        <f t="shared" si="76"/>
        <v>1</v>
      </c>
      <c r="BK485" s="57">
        <f t="shared" si="78"/>
        <v>484</v>
      </c>
      <c r="BL485" s="57" t="str">
        <f t="shared" si="79"/>
        <v>Prospecting Buggy (HG'22)</v>
      </c>
    </row>
    <row r="486" spans="38:64" x14ac:dyDescent="0.3">
      <c r="AL486">
        <f t="shared" si="83"/>
        <v>5</v>
      </c>
      <c r="AM486">
        <f t="shared" si="77"/>
        <v>485</v>
      </c>
      <c r="AN486">
        <v>12</v>
      </c>
      <c r="AO486" t="s">
        <v>3110</v>
      </c>
      <c r="AP486" s="4">
        <v>33295000</v>
      </c>
      <c r="AQ486">
        <v>50</v>
      </c>
      <c r="AR486">
        <f>IF($N$63="No",-20,1)</f>
        <v>1</v>
      </c>
      <c r="AS486">
        <f>IF($N$64="No",-20,1)</f>
        <v>1</v>
      </c>
      <c r="BD486">
        <f>IF($N$77="No",-20,1)</f>
        <v>1</v>
      </c>
      <c r="BH486">
        <f>IF($P$63=0,1,IF(AQ486&lt;=$P$63,1,-20))</f>
        <v>1</v>
      </c>
      <c r="BJ486">
        <f t="shared" si="76"/>
        <v>1</v>
      </c>
      <c r="BK486" s="57">
        <f t="shared" si="78"/>
        <v>485</v>
      </c>
      <c r="BL486" s="57" t="str">
        <f t="shared" si="79"/>
        <v>Protective Shuttle (SCC)</v>
      </c>
    </row>
    <row r="487" spans="38:64" x14ac:dyDescent="0.3">
      <c r="AL487">
        <f t="shared" si="83"/>
        <v>4</v>
      </c>
      <c r="AM487">
        <f t="shared" si="77"/>
        <v>486</v>
      </c>
      <c r="AN487">
        <v>12</v>
      </c>
      <c r="AO487" t="s">
        <v>1875</v>
      </c>
      <c r="AP487" s="4">
        <v>44655000</v>
      </c>
      <c r="AQ487" s="471">
        <v>75</v>
      </c>
      <c r="AR487">
        <f>IF($N$62="No",-20,1)</f>
        <v>1</v>
      </c>
      <c r="AX487">
        <f t="shared" ref="AX487:AX494" si="84">IF($N$71="No",-20,1)</f>
        <v>1</v>
      </c>
      <c r="BG487">
        <f>IF($P$62=0,1,IF(AQ487&lt;=$P$62,1,-20))</f>
        <v>1</v>
      </c>
      <c r="BJ487">
        <f t="shared" si="76"/>
        <v>1</v>
      </c>
      <c r="BK487" s="57">
        <f t="shared" si="78"/>
        <v>486</v>
      </c>
      <c r="BL487" s="57" t="str">
        <f t="shared" si="79"/>
        <v>Psara Fast Transport Vessel (JTAS Vol. 9)</v>
      </c>
    </row>
    <row r="488" spans="38:64" ht="15.6" x14ac:dyDescent="0.3">
      <c r="AL488">
        <f t="shared" si="83"/>
        <v>4</v>
      </c>
      <c r="AM488">
        <f t="shared" si="77"/>
        <v>487</v>
      </c>
      <c r="AN488" s="437">
        <v>12</v>
      </c>
      <c r="AO488" s="437" t="s">
        <v>3111</v>
      </c>
      <c r="AP488" s="438">
        <v>360945000</v>
      </c>
      <c r="AQ488" s="439">
        <v>1500</v>
      </c>
      <c r="AR488">
        <f>IF($N$62="No",-20,1)</f>
        <v>1</v>
      </c>
      <c r="AX488">
        <f t="shared" si="84"/>
        <v>1</v>
      </c>
      <c r="BG488">
        <f>IF($P$62=0,1,IF(AQ488&lt;=$P$62,1,-20))</f>
        <v>1</v>
      </c>
      <c r="BJ488">
        <f t="shared" si="76"/>
        <v>1</v>
      </c>
      <c r="BK488" s="57">
        <f t="shared" si="78"/>
        <v>487</v>
      </c>
      <c r="BL488" s="57" t="str">
        <f t="shared" si="79"/>
        <v>Quiet Vigilance Outsystem Patrol Boat (JTAS Vol. 2)</v>
      </c>
    </row>
    <row r="489" spans="38:64" ht="15.6" x14ac:dyDescent="0.3">
      <c r="AL489">
        <f t="shared" ref="AL489:AL490" si="85">SUM(AR489:BJ489)</f>
        <v>4</v>
      </c>
      <c r="AM489">
        <f t="shared" si="77"/>
        <v>488</v>
      </c>
      <c r="AN489" s="437">
        <v>15</v>
      </c>
      <c r="AO489" s="437" t="s">
        <v>3112</v>
      </c>
      <c r="AP489" s="438">
        <v>65560000</v>
      </c>
      <c r="AQ489" s="439">
        <v>100</v>
      </c>
      <c r="AR489">
        <f>IF($N$65="No",-20,1)</f>
        <v>1</v>
      </c>
      <c r="AX489">
        <f t="shared" si="84"/>
        <v>1</v>
      </c>
      <c r="BI489">
        <f>IF($P$65=0,1,IF(AQ489&lt;=$P$65,1,-20))</f>
        <v>1</v>
      </c>
      <c r="BJ489">
        <f t="shared" si="76"/>
        <v>1</v>
      </c>
      <c r="BK489" s="57">
        <f t="shared" si="78"/>
        <v>488</v>
      </c>
      <c r="BL489" s="57" t="str">
        <f t="shared" si="79"/>
        <v>Quvar-Class Hiver Shuttle (Traders &amp; Gunboats)</v>
      </c>
    </row>
    <row r="490" spans="38:64" x14ac:dyDescent="0.3">
      <c r="AL490">
        <f t="shared" si="85"/>
        <v>4</v>
      </c>
      <c r="AM490">
        <f t="shared" si="77"/>
        <v>489</v>
      </c>
      <c r="AN490">
        <v>12</v>
      </c>
      <c r="AO490" t="s">
        <v>3113</v>
      </c>
      <c r="AP490" s="4">
        <v>2750000</v>
      </c>
      <c r="AQ490" s="431">
        <v>20</v>
      </c>
      <c r="AR490">
        <f t="shared" ref="AR490:AR553" si="86">IF($N$62="No",-20,1)</f>
        <v>1</v>
      </c>
      <c r="AX490">
        <f t="shared" si="84"/>
        <v>1</v>
      </c>
      <c r="BG490">
        <f t="shared" ref="BG490:BG495" si="87">IF($P$62=0,1,IF(AQ490&lt;=$P$62,1,-20))</f>
        <v>1</v>
      </c>
      <c r="BJ490">
        <f t="shared" si="76"/>
        <v>1</v>
      </c>
      <c r="BK490" s="57">
        <f t="shared" si="78"/>
        <v>489</v>
      </c>
      <c r="BL490" s="57" t="str">
        <f t="shared" si="79"/>
        <v>R2A4 Prototype Accomodations Suite Module (Whispers of the Abyss)</v>
      </c>
    </row>
    <row r="491" spans="38:64" x14ac:dyDescent="0.3">
      <c r="AL491">
        <f t="shared" ref="AL491:AL495" si="88">SUM(AR491:BJ491)</f>
        <v>4</v>
      </c>
      <c r="AM491">
        <f t="shared" si="77"/>
        <v>490</v>
      </c>
      <c r="AN491">
        <v>12</v>
      </c>
      <c r="AO491" t="s">
        <v>3114</v>
      </c>
      <c r="AP491" s="4">
        <v>7000000</v>
      </c>
      <c r="AQ491" s="431">
        <v>20</v>
      </c>
      <c r="AR491">
        <f t="shared" si="86"/>
        <v>1</v>
      </c>
      <c r="AX491">
        <f t="shared" si="84"/>
        <v>1</v>
      </c>
      <c r="BG491">
        <f t="shared" si="87"/>
        <v>1</v>
      </c>
      <c r="BJ491">
        <f t="shared" si="76"/>
        <v>1</v>
      </c>
      <c r="BK491" s="57">
        <f t="shared" si="78"/>
        <v>490</v>
      </c>
      <c r="BL491" s="57" t="str">
        <f t="shared" si="79"/>
        <v>R2A4 Prototype Hospitality Suite Module (Whispers of the Abyss)</v>
      </c>
    </row>
    <row r="492" spans="38:64" x14ac:dyDescent="0.3">
      <c r="AL492">
        <f t="shared" si="88"/>
        <v>4</v>
      </c>
      <c r="AM492">
        <f t="shared" si="77"/>
        <v>491</v>
      </c>
      <c r="AN492">
        <v>12</v>
      </c>
      <c r="AO492" t="s">
        <v>3115</v>
      </c>
      <c r="AP492" s="4">
        <v>5120000</v>
      </c>
      <c r="AQ492" s="431">
        <v>20</v>
      </c>
      <c r="AR492">
        <f t="shared" si="86"/>
        <v>1</v>
      </c>
      <c r="AX492">
        <f t="shared" si="84"/>
        <v>1</v>
      </c>
      <c r="BG492">
        <f t="shared" si="87"/>
        <v>1</v>
      </c>
      <c r="BJ492">
        <f t="shared" si="76"/>
        <v>1</v>
      </c>
      <c r="BK492" s="57">
        <f t="shared" si="78"/>
        <v>491</v>
      </c>
      <c r="BL492" s="57" t="str">
        <f t="shared" si="79"/>
        <v>R2A4 Prototype Internal Accomodations Unit Module (Whispers of the Abyss)</v>
      </c>
    </row>
    <row r="493" spans="38:64" x14ac:dyDescent="0.3">
      <c r="AL493">
        <f t="shared" si="88"/>
        <v>4</v>
      </c>
      <c r="AM493">
        <f t="shared" si="77"/>
        <v>492</v>
      </c>
      <c r="AN493">
        <v>12</v>
      </c>
      <c r="AO493" t="s">
        <v>3116</v>
      </c>
      <c r="AP493" s="4">
        <v>10000000</v>
      </c>
      <c r="AQ493" s="431">
        <v>20</v>
      </c>
      <c r="AR493">
        <f t="shared" si="86"/>
        <v>1</v>
      </c>
      <c r="AX493">
        <f t="shared" si="84"/>
        <v>1</v>
      </c>
      <c r="BG493">
        <f t="shared" si="87"/>
        <v>1</v>
      </c>
      <c r="BJ493">
        <f t="shared" si="76"/>
        <v>1</v>
      </c>
      <c r="BK493" s="57">
        <f t="shared" si="78"/>
        <v>492</v>
      </c>
      <c r="BL493" s="57" t="str">
        <f t="shared" si="79"/>
        <v>R2A4 Prototype Missile Battery Module (Whispers of the Abyss)</v>
      </c>
    </row>
    <row r="494" spans="38:64" x14ac:dyDescent="0.3">
      <c r="AL494">
        <f t="shared" si="88"/>
        <v>4</v>
      </c>
      <c r="AM494">
        <f t="shared" si="77"/>
        <v>493</v>
      </c>
      <c r="AN494">
        <v>12</v>
      </c>
      <c r="AO494" t="s">
        <v>3117</v>
      </c>
      <c r="AP494" s="4">
        <v>3260000</v>
      </c>
      <c r="AQ494" s="431">
        <v>20</v>
      </c>
      <c r="AR494">
        <f t="shared" si="86"/>
        <v>1</v>
      </c>
      <c r="AX494">
        <f t="shared" si="84"/>
        <v>1</v>
      </c>
      <c r="BG494">
        <f t="shared" si="87"/>
        <v>1</v>
      </c>
      <c r="BJ494">
        <f t="shared" si="76"/>
        <v>1</v>
      </c>
      <c r="BK494" s="57">
        <f t="shared" si="78"/>
        <v>493</v>
      </c>
      <c r="BL494" s="57" t="str">
        <f t="shared" si="79"/>
        <v>R2A4 Prototype Secure Trasnsport Unit Module (Whispers of the Abyss)</v>
      </c>
    </row>
    <row r="495" spans="38:64" x14ac:dyDescent="0.3">
      <c r="AL495">
        <f t="shared" si="88"/>
        <v>4</v>
      </c>
      <c r="AM495">
        <f t="shared" si="77"/>
        <v>494</v>
      </c>
      <c r="AN495">
        <v>12</v>
      </c>
      <c r="AO495" t="s">
        <v>3118</v>
      </c>
      <c r="AP495" s="4">
        <v>900000</v>
      </c>
      <c r="AQ495" s="431">
        <v>20</v>
      </c>
      <c r="AR495">
        <f t="shared" si="86"/>
        <v>1</v>
      </c>
      <c r="BF495">
        <f>IF($N$79="No",-20,1)</f>
        <v>1</v>
      </c>
      <c r="BG495">
        <f t="shared" si="87"/>
        <v>1</v>
      </c>
      <c r="BJ495">
        <f t="shared" si="76"/>
        <v>1</v>
      </c>
      <c r="BK495" s="57">
        <f t="shared" si="78"/>
        <v>494</v>
      </c>
      <c r="BL495" s="57" t="str">
        <f t="shared" si="79"/>
        <v>R2A4 Prototype Vehicle Garage Module (Whispers of the Abyss)</v>
      </c>
    </row>
    <row r="496" spans="38:64" x14ac:dyDescent="0.3">
      <c r="AM496">
        <v>495</v>
      </c>
      <c r="AN496">
        <v>13</v>
      </c>
      <c r="AO496" t="s">
        <v>1882</v>
      </c>
      <c r="AP496" s="4">
        <v>1686000</v>
      </c>
      <c r="AQ496" s="471">
        <v>5</v>
      </c>
      <c r="AR496">
        <f t="shared" si="86"/>
        <v>1</v>
      </c>
      <c r="BJ496">
        <f t="shared" si="76"/>
        <v>1</v>
      </c>
      <c r="BK496" s="57">
        <f t="shared" si="78"/>
        <v>495</v>
      </c>
      <c r="BL496" s="57" t="str">
        <f>IF(BK496&gt;$BK$1,"",INDEX($AM$2:$AO$758,MATCH(BK496,$AM$2:$AM$758,0),3))</f>
        <v>Ragno Walker (JTAS Vol. 11)</v>
      </c>
    </row>
    <row r="497" spans="39:64" x14ac:dyDescent="0.3">
      <c r="AM497">
        <v>496</v>
      </c>
      <c r="AN497">
        <v>3</v>
      </c>
      <c r="AO497" t="s">
        <v>3119</v>
      </c>
      <c r="AP497" s="4">
        <v>4000</v>
      </c>
      <c r="AQ497">
        <v>5</v>
      </c>
      <c r="AR497">
        <f t="shared" si="86"/>
        <v>1</v>
      </c>
      <c r="BJ497">
        <f t="shared" si="76"/>
        <v>1</v>
      </c>
      <c r="BK497" s="57">
        <f t="shared" si="78"/>
        <v>496</v>
      </c>
      <c r="BL497" s="57" t="str">
        <f t="shared" ref="BL497:BL560" si="89">IF(BK497&gt;$BK$1,"",INDEX($AM$2:$AO$758,MATCH(BK497,$AM$2:$AM$758,0),3))</f>
        <v>Raider's Land Yacht (Vehicle Handbook)</v>
      </c>
    </row>
    <row r="498" spans="39:64" x14ac:dyDescent="0.3">
      <c r="AM498">
        <v>497</v>
      </c>
      <c r="AN498">
        <v>15</v>
      </c>
      <c r="AO498" t="s">
        <v>3120</v>
      </c>
      <c r="AP498" s="4">
        <v>11580000</v>
      </c>
      <c r="AQ498">
        <v>15</v>
      </c>
      <c r="AR498">
        <f t="shared" si="86"/>
        <v>1</v>
      </c>
      <c r="BJ498">
        <f t="shared" si="76"/>
        <v>1</v>
      </c>
      <c r="BK498" s="57">
        <f t="shared" si="78"/>
        <v>497</v>
      </c>
      <c r="BL498" s="57" t="str">
        <f t="shared" si="89"/>
        <v>Rakatama G/Carrier (Vehicle Handbook)</v>
      </c>
    </row>
    <row r="499" spans="39:64" ht="15.6" x14ac:dyDescent="0.3">
      <c r="AM499">
        <v>498</v>
      </c>
      <c r="AN499" s="437">
        <v>8</v>
      </c>
      <c r="AO499" s="437" t="s">
        <v>1682</v>
      </c>
      <c r="AP499" s="438">
        <v>3075600</v>
      </c>
      <c r="AQ499" s="439">
        <v>30</v>
      </c>
      <c r="AR499">
        <f t="shared" si="86"/>
        <v>1</v>
      </c>
      <c r="BJ499">
        <f t="shared" si="76"/>
        <v>1</v>
      </c>
      <c r="BK499" s="57">
        <f t="shared" si="78"/>
        <v>498</v>
      </c>
      <c r="BL499" s="57" t="str">
        <f t="shared" si="89"/>
        <v>Rammiakhiidru Shuttle (CA 2)</v>
      </c>
    </row>
    <row r="500" spans="39:64" ht="15.6" x14ac:dyDescent="0.3">
      <c r="AM500">
        <v>499</v>
      </c>
      <c r="AN500" s="437">
        <v>15</v>
      </c>
      <c r="AO500" s="437" t="s">
        <v>1832</v>
      </c>
      <c r="AP500" s="438">
        <v>18547750</v>
      </c>
      <c r="AQ500" s="439">
        <v>10</v>
      </c>
      <c r="AR500">
        <f t="shared" si="86"/>
        <v>1</v>
      </c>
      <c r="BJ500">
        <f t="shared" si="76"/>
        <v>1</v>
      </c>
      <c r="BK500" s="57">
        <f t="shared" si="78"/>
        <v>499</v>
      </c>
      <c r="BL500" s="57" t="str">
        <f t="shared" si="89"/>
        <v>Rampart Atmosphere-Capable Fighter (JTAS Vol. 2)</v>
      </c>
    </row>
    <row r="501" spans="39:64" ht="15.6" x14ac:dyDescent="0.3">
      <c r="AM501">
        <v>500</v>
      </c>
      <c r="AN501" s="437">
        <v>15</v>
      </c>
      <c r="AO501" s="437" t="s">
        <v>1715</v>
      </c>
      <c r="AP501" s="438">
        <v>179950</v>
      </c>
      <c r="AQ501" s="439">
        <v>8</v>
      </c>
      <c r="AR501">
        <f t="shared" si="86"/>
        <v>1</v>
      </c>
      <c r="BJ501">
        <f t="shared" si="76"/>
        <v>1</v>
      </c>
      <c r="BK501" s="57">
        <f t="shared" si="78"/>
        <v>500</v>
      </c>
      <c r="BL501" s="57" t="str">
        <f t="shared" si="89"/>
        <v>Ranger (DR:CG)</v>
      </c>
    </row>
    <row r="502" spans="39:64" ht="15.6" x14ac:dyDescent="0.3">
      <c r="AM502">
        <v>501</v>
      </c>
      <c r="AN502" s="437">
        <v>8</v>
      </c>
      <c r="AO502" s="437" t="s">
        <v>1836</v>
      </c>
      <c r="AP502" s="438">
        <v>5600000</v>
      </c>
      <c r="AQ502" s="439">
        <v>80</v>
      </c>
      <c r="AR502">
        <f t="shared" si="86"/>
        <v>1</v>
      </c>
      <c r="BJ502">
        <f t="shared" si="76"/>
        <v>1</v>
      </c>
      <c r="BK502" s="57">
        <f t="shared" si="78"/>
        <v>501</v>
      </c>
      <c r="BL502" s="57" t="str">
        <f t="shared" si="89"/>
        <v>Raven Heavy Strike Jet (JTAS Vol. 2)</v>
      </c>
    </row>
    <row r="503" spans="39:64" ht="15.6" x14ac:dyDescent="0.3">
      <c r="AM503">
        <v>502</v>
      </c>
      <c r="AN503" s="437">
        <v>7</v>
      </c>
      <c r="AO503" s="437" t="s">
        <v>2186</v>
      </c>
      <c r="AP503" s="438">
        <v>0</v>
      </c>
      <c r="AQ503" s="439">
        <v>50</v>
      </c>
      <c r="AR503">
        <f t="shared" si="86"/>
        <v>1</v>
      </c>
      <c r="BJ503">
        <f t="shared" si="76"/>
        <v>1</v>
      </c>
      <c r="BK503" s="57">
        <f t="shared" si="78"/>
        <v>502</v>
      </c>
      <c r="BL503" s="57" t="str">
        <f t="shared" si="89"/>
        <v>Reacher Military Airship ‘High Warrior' (The Borderlands)</v>
      </c>
    </row>
    <row r="504" spans="39:64" ht="15.6" x14ac:dyDescent="0.3">
      <c r="AM504">
        <v>503</v>
      </c>
      <c r="AN504" s="437">
        <v>12</v>
      </c>
      <c r="AO504" s="437" t="s">
        <v>1916</v>
      </c>
      <c r="AP504" s="438">
        <v>32250000</v>
      </c>
      <c r="AQ504" s="439">
        <v>100</v>
      </c>
      <c r="AR504">
        <f t="shared" si="86"/>
        <v>1</v>
      </c>
      <c r="BJ504">
        <f t="shared" si="76"/>
        <v>1</v>
      </c>
      <c r="BK504" s="57">
        <f t="shared" si="78"/>
        <v>503</v>
      </c>
      <c r="BL504" s="57" t="str">
        <f t="shared" si="89"/>
        <v>Reiplau All-Terrain Vehicle (Mysteries of the Ancients)</v>
      </c>
    </row>
    <row r="505" spans="39:64" x14ac:dyDescent="0.3">
      <c r="AM505">
        <v>504</v>
      </c>
      <c r="AN505">
        <v>12</v>
      </c>
      <c r="AO505" t="s">
        <v>3121</v>
      </c>
      <c r="AP505" s="4">
        <v>22896500</v>
      </c>
      <c r="AQ505">
        <v>30</v>
      </c>
      <c r="AR505">
        <f t="shared" si="86"/>
        <v>1</v>
      </c>
      <c r="BJ505">
        <f t="shared" si="76"/>
        <v>1</v>
      </c>
      <c r="BK505" s="57">
        <f t="shared" si="78"/>
        <v>504</v>
      </c>
      <c r="BL505" s="57" t="str">
        <f t="shared" si="89"/>
        <v>Rescue Boat (SCC)</v>
      </c>
    </row>
    <row r="506" spans="39:64" ht="15.6" x14ac:dyDescent="0.3">
      <c r="AM506">
        <v>505</v>
      </c>
      <c r="AN506" s="437">
        <v>12</v>
      </c>
      <c r="AO506" s="437" t="s">
        <v>1686</v>
      </c>
      <c r="AP506" s="438">
        <v>9480000</v>
      </c>
      <c r="AQ506" s="439">
        <v>40</v>
      </c>
      <c r="AR506">
        <f t="shared" si="86"/>
        <v>1</v>
      </c>
      <c r="BJ506">
        <f t="shared" si="76"/>
        <v>1</v>
      </c>
      <c r="BK506" s="57">
        <f t="shared" si="78"/>
        <v>505</v>
      </c>
      <c r="BL506" s="57" t="str">
        <f t="shared" si="89"/>
        <v>Research Pinnace (DS)</v>
      </c>
    </row>
    <row r="507" spans="39:64" x14ac:dyDescent="0.3">
      <c r="AM507">
        <v>506</v>
      </c>
      <c r="AN507">
        <v>12</v>
      </c>
      <c r="AO507" t="s">
        <v>3122</v>
      </c>
      <c r="AP507" s="4">
        <v>13510000</v>
      </c>
      <c r="AQ507">
        <v>40</v>
      </c>
      <c r="AR507">
        <f t="shared" si="86"/>
        <v>1</v>
      </c>
      <c r="BJ507">
        <f t="shared" si="76"/>
        <v>1</v>
      </c>
      <c r="BK507" s="57">
        <f t="shared" si="78"/>
        <v>506</v>
      </c>
      <c r="BL507" s="57" t="str">
        <f t="shared" si="89"/>
        <v>Research Pinnace (SCC)</v>
      </c>
    </row>
    <row r="508" spans="39:64" x14ac:dyDescent="0.3">
      <c r="AM508">
        <v>507</v>
      </c>
      <c r="AN508">
        <v>12</v>
      </c>
      <c r="AO508" t="s">
        <v>1899</v>
      </c>
      <c r="AP508" s="4">
        <v>62712500</v>
      </c>
      <c r="AQ508" s="471">
        <v>100</v>
      </c>
      <c r="AR508">
        <f t="shared" si="86"/>
        <v>1</v>
      </c>
      <c r="BJ508">
        <f t="shared" si="76"/>
        <v>1</v>
      </c>
      <c r="BK508" s="57">
        <f t="shared" si="78"/>
        <v>507</v>
      </c>
      <c r="BL508" s="57" t="str">
        <f t="shared" si="89"/>
        <v>Research Scout (JTAS Vol. 15)</v>
      </c>
    </row>
    <row r="509" spans="39:64" x14ac:dyDescent="0.3">
      <c r="AM509">
        <v>508</v>
      </c>
      <c r="AN509">
        <v>9</v>
      </c>
      <c r="AO509" t="s">
        <v>3123</v>
      </c>
      <c r="AP509" s="4">
        <v>3310000</v>
      </c>
      <c r="AQ509">
        <v>150</v>
      </c>
      <c r="AR509">
        <f t="shared" si="86"/>
        <v>1</v>
      </c>
      <c r="BJ509">
        <f t="shared" si="76"/>
        <v>1</v>
      </c>
      <c r="BK509" s="57">
        <f t="shared" si="78"/>
        <v>508</v>
      </c>
      <c r="BL509" s="57" t="str">
        <f t="shared" si="89"/>
        <v>Research Ship (Vehicle Handbook)</v>
      </c>
    </row>
    <row r="510" spans="39:64" x14ac:dyDescent="0.3">
      <c r="AM510">
        <v>509</v>
      </c>
      <c r="AN510">
        <v>12</v>
      </c>
      <c r="AO510" t="s">
        <v>3124</v>
      </c>
      <c r="AP510" s="4">
        <v>3920000</v>
      </c>
      <c r="AQ510" s="431">
        <v>20</v>
      </c>
      <c r="AR510">
        <f t="shared" si="86"/>
        <v>1</v>
      </c>
      <c r="BJ510">
        <f t="shared" si="76"/>
        <v>1</v>
      </c>
      <c r="BK510" s="57">
        <f t="shared" si="78"/>
        <v>509</v>
      </c>
      <c r="BL510" s="57" t="str">
        <f t="shared" si="89"/>
        <v>Retrofit Launch (Bounty Hunter)</v>
      </c>
    </row>
    <row r="511" spans="39:64" x14ac:dyDescent="0.3">
      <c r="AM511">
        <v>510</v>
      </c>
      <c r="AN511">
        <v>12</v>
      </c>
      <c r="AO511" t="s">
        <v>3125</v>
      </c>
      <c r="AP511" s="4">
        <v>11880000</v>
      </c>
      <c r="AQ511" s="431">
        <v>40</v>
      </c>
      <c r="AR511">
        <f t="shared" si="86"/>
        <v>1</v>
      </c>
      <c r="BJ511">
        <f t="shared" si="76"/>
        <v>1</v>
      </c>
      <c r="BK511" s="57">
        <f t="shared" si="78"/>
        <v>510</v>
      </c>
      <c r="BL511" s="57" t="str">
        <f t="shared" si="89"/>
        <v>Retrofit Pinnace (Bounty Hunter)</v>
      </c>
    </row>
    <row r="512" spans="39:64" ht="15.6" x14ac:dyDescent="0.3">
      <c r="AM512">
        <v>511</v>
      </c>
      <c r="AN512" s="437">
        <v>10</v>
      </c>
      <c r="AO512" s="437" t="s">
        <v>2187</v>
      </c>
      <c r="AP512" s="438">
        <v>775000</v>
      </c>
      <c r="AQ512" s="439">
        <v>48</v>
      </c>
      <c r="AR512">
        <f t="shared" si="86"/>
        <v>1</v>
      </c>
      <c r="BJ512">
        <f t="shared" ref="BJ512:BJ575" si="90">IF($N$61="Yes",1,IF(AN512&gt;TL,-20,1))</f>
        <v>1</v>
      </c>
      <c r="BK512" s="57">
        <f t="shared" si="78"/>
        <v>511</v>
      </c>
      <c r="BL512" s="57" t="str">
        <f t="shared" si="89"/>
        <v>Roadhauler XM (The Borderlands)</v>
      </c>
    </row>
    <row r="513" spans="39:64" x14ac:dyDescent="0.3">
      <c r="AM513">
        <v>512</v>
      </c>
      <c r="AN513">
        <v>15</v>
      </c>
      <c r="AO513" t="s">
        <v>3126</v>
      </c>
      <c r="AP513" s="4">
        <v>111637500</v>
      </c>
      <c r="AQ513" s="471">
        <v>300</v>
      </c>
      <c r="AR513">
        <f t="shared" si="86"/>
        <v>1</v>
      </c>
      <c r="BJ513">
        <f t="shared" si="90"/>
        <v>1</v>
      </c>
      <c r="BK513" s="57">
        <f t="shared" si="78"/>
        <v>512</v>
      </c>
      <c r="BL513" s="57" t="str">
        <f t="shared" si="89"/>
        <v>Rock Twelve (Stealthed) Fuel Alpha Fuel Shuttle (Flashpoints)</v>
      </c>
    </row>
    <row r="514" spans="39:64" x14ac:dyDescent="0.3">
      <c r="AM514">
        <v>513</v>
      </c>
      <c r="AN514">
        <v>15</v>
      </c>
      <c r="AO514" t="s">
        <v>3127</v>
      </c>
      <c r="AP514" s="4">
        <v>9805000</v>
      </c>
      <c r="AQ514">
        <v>15</v>
      </c>
      <c r="AR514">
        <f t="shared" si="86"/>
        <v>1</v>
      </c>
      <c r="BJ514">
        <f t="shared" si="90"/>
        <v>1</v>
      </c>
      <c r="BK514" s="57">
        <f t="shared" si="78"/>
        <v>513</v>
      </c>
      <c r="BL514" s="57" t="str">
        <f t="shared" si="89"/>
        <v>Runabout (SCC)</v>
      </c>
    </row>
    <row r="515" spans="39:64" x14ac:dyDescent="0.3">
      <c r="AM515">
        <v>514</v>
      </c>
      <c r="AN515">
        <v>4</v>
      </c>
      <c r="AO515" t="s">
        <v>3128</v>
      </c>
      <c r="AP515" s="4">
        <v>30300000</v>
      </c>
      <c r="AQ515" s="471">
        <v>1000</v>
      </c>
      <c r="AR515">
        <f t="shared" si="86"/>
        <v>1</v>
      </c>
      <c r="BJ515">
        <f t="shared" si="90"/>
        <v>1</v>
      </c>
      <c r="BK515" s="57">
        <f t="shared" si="78"/>
        <v>514</v>
      </c>
      <c r="BL515" s="57" t="str">
        <f t="shared" si="89"/>
        <v>Ryo Steamship (Great Rift Book 2)</v>
      </c>
    </row>
    <row r="516" spans="39:64" x14ac:dyDescent="0.3">
      <c r="AM516">
        <v>515</v>
      </c>
      <c r="AN516">
        <v>11</v>
      </c>
      <c r="AO516" t="s">
        <v>3129</v>
      </c>
      <c r="AP516" s="4">
        <v>11465000</v>
      </c>
      <c r="AQ516" s="431">
        <v>40</v>
      </c>
      <c r="AR516">
        <f t="shared" si="86"/>
        <v>1</v>
      </c>
      <c r="BJ516">
        <f t="shared" si="90"/>
        <v>1</v>
      </c>
      <c r="BK516" s="57">
        <f t="shared" ref="BK516:BK579" si="91">BK515+1</f>
        <v>515</v>
      </c>
      <c r="BL516" s="57" t="str">
        <f t="shared" si="89"/>
        <v>S-40 Gunship (TTF)</v>
      </c>
    </row>
    <row r="517" spans="39:64" x14ac:dyDescent="0.3">
      <c r="AM517">
        <v>516</v>
      </c>
      <c r="AN517">
        <v>12</v>
      </c>
      <c r="AO517" t="s">
        <v>1810</v>
      </c>
      <c r="AP517" s="4">
        <v>12299000</v>
      </c>
      <c r="AQ517" s="471">
        <v>20</v>
      </c>
      <c r="AR517">
        <f t="shared" si="86"/>
        <v>1</v>
      </c>
      <c r="BJ517">
        <f t="shared" si="90"/>
        <v>1</v>
      </c>
      <c r="BK517" s="57">
        <f t="shared" si="91"/>
        <v>516</v>
      </c>
      <c r="BL517" s="57" t="str">
        <f t="shared" si="89"/>
        <v>Saita Grav Tank (Field Catalogue)</v>
      </c>
    </row>
    <row r="518" spans="39:64" ht="15.6" x14ac:dyDescent="0.3">
      <c r="AM518">
        <v>517</v>
      </c>
      <c r="AN518" s="437">
        <v>15</v>
      </c>
      <c r="AO518" s="437" t="s">
        <v>1751</v>
      </c>
      <c r="AP518" s="438">
        <v>3575200000</v>
      </c>
      <c r="AQ518" s="439">
        <v>2600</v>
      </c>
      <c r="AR518">
        <f t="shared" si="86"/>
        <v>1</v>
      </c>
      <c r="BJ518">
        <f t="shared" si="90"/>
        <v>1</v>
      </c>
      <c r="BK518" s="57">
        <f t="shared" si="91"/>
        <v>517</v>
      </c>
      <c r="BL518" s="57" t="str">
        <f t="shared" si="89"/>
        <v>Scientific Pod (DRCG)</v>
      </c>
    </row>
    <row r="519" spans="39:64" x14ac:dyDescent="0.3">
      <c r="AM519">
        <v>518</v>
      </c>
      <c r="AN519">
        <v>3</v>
      </c>
      <c r="AO519" t="s">
        <v>1894</v>
      </c>
      <c r="AP519" s="4">
        <v>100</v>
      </c>
      <c r="AQ519" s="471">
        <v>0.5</v>
      </c>
      <c r="AR519">
        <f t="shared" si="86"/>
        <v>1</v>
      </c>
      <c r="BJ519">
        <f t="shared" si="90"/>
        <v>1</v>
      </c>
      <c r="BK519" s="57">
        <f t="shared" si="91"/>
        <v>518</v>
      </c>
      <c r="BL519" s="57" t="str">
        <f t="shared" si="89"/>
        <v>Scooter (JTAS Vol. 14)</v>
      </c>
    </row>
    <row r="520" spans="39:64" x14ac:dyDescent="0.3">
      <c r="AM520">
        <v>519</v>
      </c>
      <c r="AN520">
        <v>12</v>
      </c>
      <c r="AO520" t="s">
        <v>3130</v>
      </c>
      <c r="AP520" s="4">
        <v>39160000</v>
      </c>
      <c r="AQ520" s="471">
        <v>30</v>
      </c>
      <c r="AR520">
        <f t="shared" si="86"/>
        <v>1</v>
      </c>
      <c r="BJ520">
        <f t="shared" si="90"/>
        <v>1</v>
      </c>
      <c r="BK520" s="57">
        <f t="shared" si="91"/>
        <v>519</v>
      </c>
      <c r="BL520" s="57" t="str">
        <f t="shared" si="89"/>
        <v>Sea Dragon (JTAS Vol. 18)</v>
      </c>
    </row>
    <row r="521" spans="39:64" ht="15.6" x14ac:dyDescent="0.3">
      <c r="AM521">
        <v>520</v>
      </c>
      <c r="AN521" s="437">
        <v>8</v>
      </c>
      <c r="AO521" s="437" t="s">
        <v>1966</v>
      </c>
      <c r="AP521" s="438">
        <v>271000</v>
      </c>
      <c r="AQ521" s="439">
        <v>4</v>
      </c>
      <c r="AR521">
        <f t="shared" si="86"/>
        <v>1</v>
      </c>
      <c r="BJ521">
        <f t="shared" si="90"/>
        <v>1</v>
      </c>
      <c r="BK521" s="57">
        <f t="shared" si="91"/>
        <v>520</v>
      </c>
      <c r="BL521" s="57" t="str">
        <f t="shared" si="89"/>
        <v>Sealed Air/Raft (Reach Adventure 2)</v>
      </c>
    </row>
    <row r="522" spans="39:64" ht="15.6" x14ac:dyDescent="0.3">
      <c r="AM522">
        <v>521</v>
      </c>
      <c r="AN522" s="437">
        <v>8</v>
      </c>
      <c r="AO522" s="437" t="s">
        <v>1681</v>
      </c>
      <c r="AP522" s="438">
        <v>415500</v>
      </c>
      <c r="AQ522" s="439">
        <v>2</v>
      </c>
      <c r="AR522">
        <f t="shared" si="86"/>
        <v>1</v>
      </c>
      <c r="BJ522">
        <f t="shared" si="90"/>
        <v>1</v>
      </c>
      <c r="BK522" s="57">
        <f t="shared" si="91"/>
        <v>521</v>
      </c>
      <c r="BL522" s="57" t="str">
        <f t="shared" si="89"/>
        <v>Seaskimmer (CA 2)</v>
      </c>
    </row>
    <row r="523" spans="39:64" x14ac:dyDescent="0.3">
      <c r="AM523">
        <v>522</v>
      </c>
      <c r="AN523">
        <v>9</v>
      </c>
      <c r="AO523" t="s">
        <v>3131</v>
      </c>
      <c r="AP523" s="4">
        <v>15076175000</v>
      </c>
      <c r="AQ523">
        <v>50000</v>
      </c>
      <c r="AR523">
        <f t="shared" si="86"/>
        <v>1</v>
      </c>
      <c r="BJ523">
        <f t="shared" si="90"/>
        <v>1</v>
      </c>
      <c r="BK523" s="57">
        <f t="shared" si="91"/>
        <v>522</v>
      </c>
      <c r="BL523" s="57" t="str">
        <f t="shared" si="89"/>
        <v>Seeder Segment (Far Colony Postulant) (DR6)</v>
      </c>
    </row>
    <row r="524" spans="39:64" x14ac:dyDescent="0.3">
      <c r="AM524">
        <v>523</v>
      </c>
      <c r="AN524">
        <v>10</v>
      </c>
      <c r="AO524" t="s">
        <v>3132</v>
      </c>
      <c r="AP524" s="4">
        <v>10095000</v>
      </c>
      <c r="AQ524">
        <v>10</v>
      </c>
      <c r="AR524">
        <f t="shared" si="86"/>
        <v>1</v>
      </c>
      <c r="BJ524">
        <f t="shared" si="90"/>
        <v>1</v>
      </c>
      <c r="BK524" s="57">
        <f t="shared" si="91"/>
        <v>523</v>
      </c>
      <c r="BL524" s="57" t="str">
        <f t="shared" si="89"/>
        <v>Sentinel Escort Fighter (SCC)</v>
      </c>
    </row>
    <row r="525" spans="39:64" ht="15.6" x14ac:dyDescent="0.3">
      <c r="AM525">
        <v>524</v>
      </c>
      <c r="AN525" s="437">
        <v>12</v>
      </c>
      <c r="AO525" s="437" t="s">
        <v>3133</v>
      </c>
      <c r="AP525" s="438">
        <v>1088202000</v>
      </c>
      <c r="AQ525" s="439">
        <v>2800</v>
      </c>
      <c r="AR525">
        <f t="shared" si="86"/>
        <v>1</v>
      </c>
      <c r="BJ525">
        <f t="shared" si="90"/>
        <v>1</v>
      </c>
      <c r="BK525" s="57">
        <f t="shared" si="91"/>
        <v>524</v>
      </c>
      <c r="BL525" s="57" t="str">
        <f t="shared" si="89"/>
        <v>Serendip Belt Construction Ship (Great Rift Book 1)</v>
      </c>
    </row>
    <row r="526" spans="39:64" ht="15.6" x14ac:dyDescent="0.3">
      <c r="AM526">
        <v>525</v>
      </c>
      <c r="AN526" s="437">
        <v>14</v>
      </c>
      <c r="AO526" s="437" t="s">
        <v>3134</v>
      </c>
      <c r="AP526" s="4">
        <v>47265000</v>
      </c>
      <c r="AQ526" s="439">
        <v>100</v>
      </c>
      <c r="AR526">
        <f t="shared" si="86"/>
        <v>1</v>
      </c>
      <c r="BJ526">
        <f t="shared" si="90"/>
        <v>1</v>
      </c>
      <c r="BK526" s="57">
        <f t="shared" si="91"/>
        <v>525</v>
      </c>
      <c r="BL526" s="57" t="str">
        <f t="shared" si="89"/>
        <v>Serpent Scout (HG'22)</v>
      </c>
    </row>
    <row r="527" spans="39:64" x14ac:dyDescent="0.3">
      <c r="AM527">
        <v>526</v>
      </c>
      <c r="AN527">
        <v>15</v>
      </c>
      <c r="AO527" t="s">
        <v>3135</v>
      </c>
      <c r="AP527" s="4">
        <v>114775000</v>
      </c>
      <c r="AQ527">
        <v>40</v>
      </c>
      <c r="AR527">
        <f t="shared" si="86"/>
        <v>1</v>
      </c>
      <c r="BJ527">
        <f t="shared" si="90"/>
        <v>1</v>
      </c>
      <c r="BK527" s="57">
        <f t="shared" si="91"/>
        <v>526</v>
      </c>
      <c r="BL527" s="57" t="str">
        <f t="shared" si="89"/>
        <v>SEW Boat (SCC)</v>
      </c>
    </row>
    <row r="528" spans="39:64" x14ac:dyDescent="0.3">
      <c r="AM528">
        <v>527</v>
      </c>
      <c r="AN528">
        <v>14</v>
      </c>
      <c r="AO528" t="s">
        <v>3136</v>
      </c>
      <c r="AP528" s="4">
        <v>13630000</v>
      </c>
      <c r="AQ528" s="471">
        <v>30</v>
      </c>
      <c r="AR528">
        <f t="shared" si="86"/>
        <v>1</v>
      </c>
      <c r="BJ528">
        <f t="shared" si="90"/>
        <v>1</v>
      </c>
      <c r="BK528" s="57">
        <f t="shared" si="91"/>
        <v>527</v>
      </c>
      <c r="BL528" s="57" t="str">
        <f t="shared" si="89"/>
        <v>Shasiimkir Multi-Purpose Vehicle (Singularity Act 2)</v>
      </c>
    </row>
    <row r="529" spans="39:64" ht="15.6" x14ac:dyDescent="0.3">
      <c r="AM529">
        <v>528</v>
      </c>
      <c r="AN529" s="437">
        <v>12</v>
      </c>
      <c r="AO529" s="437" t="s">
        <v>1842</v>
      </c>
      <c r="AP529" s="438">
        <v>38500000</v>
      </c>
      <c r="AQ529" s="439">
        <v>100</v>
      </c>
      <c r="AR529">
        <f t="shared" si="86"/>
        <v>1</v>
      </c>
      <c r="BJ529">
        <f t="shared" si="90"/>
        <v>1</v>
      </c>
      <c r="BK529" s="57">
        <f t="shared" si="91"/>
        <v>528</v>
      </c>
      <c r="BL529" s="57" t="str">
        <f t="shared" si="89"/>
        <v>Shepherd Picket Boat (JTAS Vol. 5)</v>
      </c>
    </row>
    <row r="530" spans="39:64" x14ac:dyDescent="0.3">
      <c r="AM530">
        <v>529</v>
      </c>
      <c r="AN530">
        <v>12</v>
      </c>
      <c r="AO530" t="s">
        <v>1888</v>
      </c>
      <c r="AP530" s="4">
        <v>705000</v>
      </c>
      <c r="AQ530" s="471">
        <v>4</v>
      </c>
      <c r="AR530">
        <f t="shared" si="86"/>
        <v>1</v>
      </c>
      <c r="BJ530">
        <f t="shared" si="90"/>
        <v>1</v>
      </c>
      <c r="BK530" s="57">
        <f t="shared" si="91"/>
        <v>529</v>
      </c>
      <c r="BL530" s="57" t="str">
        <f t="shared" si="89"/>
        <v>Shimmerlight Luxury Sealed Air/Raft (JTAS Vol. 9)</v>
      </c>
    </row>
    <row r="531" spans="39:64" x14ac:dyDescent="0.3">
      <c r="AM531">
        <v>530</v>
      </c>
      <c r="AN531">
        <v>3</v>
      </c>
      <c r="AO531" t="s">
        <v>1895</v>
      </c>
      <c r="AP531" s="4">
        <v>100</v>
      </c>
      <c r="AQ531" s="471">
        <v>0.5</v>
      </c>
      <c r="AR531">
        <f t="shared" si="86"/>
        <v>1</v>
      </c>
      <c r="BJ531">
        <f t="shared" si="90"/>
        <v>1</v>
      </c>
      <c r="BK531" s="57">
        <f t="shared" si="91"/>
        <v>530</v>
      </c>
      <c r="BL531" s="57" t="str">
        <f t="shared" si="89"/>
        <v>Ship's Bike (JTAS Vol. 14)</v>
      </c>
    </row>
    <row r="532" spans="39:64" x14ac:dyDescent="0.3">
      <c r="AM532">
        <v>531</v>
      </c>
      <c r="AN532">
        <v>12</v>
      </c>
      <c r="AO532" t="s">
        <v>3137</v>
      </c>
      <c r="AP532" s="4">
        <v>7880000</v>
      </c>
      <c r="AQ532">
        <v>30</v>
      </c>
      <c r="AR532">
        <f t="shared" si="86"/>
        <v>1</v>
      </c>
      <c r="BJ532">
        <f t="shared" si="90"/>
        <v>1</v>
      </c>
      <c r="BK532" s="57">
        <f t="shared" si="91"/>
        <v>531</v>
      </c>
      <c r="BL532" s="57" t="str">
        <f t="shared" si="89"/>
        <v>Ship's Boat (Core'24)</v>
      </c>
    </row>
    <row r="533" spans="39:64" x14ac:dyDescent="0.3">
      <c r="AM533">
        <v>532</v>
      </c>
      <c r="AN533">
        <v>12</v>
      </c>
      <c r="AO533" t="s">
        <v>1716</v>
      </c>
      <c r="AP533" s="4">
        <v>7613333.333333334</v>
      </c>
      <c r="AQ533" s="431">
        <v>30</v>
      </c>
      <c r="AR533">
        <f t="shared" si="86"/>
        <v>1</v>
      </c>
      <c r="BJ533">
        <f t="shared" si="90"/>
        <v>1</v>
      </c>
      <c r="BK533" s="57">
        <f t="shared" si="91"/>
        <v>532</v>
      </c>
      <c r="BL533" s="57" t="str">
        <f t="shared" si="89"/>
        <v>Ship's Boat (HG'22)</v>
      </c>
    </row>
    <row r="534" spans="39:64" x14ac:dyDescent="0.3">
      <c r="AM534">
        <v>533</v>
      </c>
      <c r="AN534">
        <v>5</v>
      </c>
      <c r="AO534" t="s">
        <v>1893</v>
      </c>
      <c r="AP534" s="4">
        <v>3900</v>
      </c>
      <c r="AQ534" s="471">
        <v>2</v>
      </c>
      <c r="AR534">
        <f t="shared" si="86"/>
        <v>1</v>
      </c>
      <c r="BJ534">
        <f t="shared" si="90"/>
        <v>1</v>
      </c>
      <c r="BK534" s="57">
        <f t="shared" si="91"/>
        <v>533</v>
      </c>
      <c r="BL534" s="57" t="str">
        <f t="shared" si="89"/>
        <v>Ship's Cart (JTAS Vol. 14)</v>
      </c>
    </row>
    <row r="535" spans="39:64" x14ac:dyDescent="0.3">
      <c r="AM535">
        <v>534</v>
      </c>
      <c r="AN535">
        <v>10</v>
      </c>
      <c r="AO535" t="s">
        <v>3138</v>
      </c>
      <c r="AP535" s="4">
        <v>8033000</v>
      </c>
      <c r="AQ535">
        <v>50</v>
      </c>
      <c r="AR535">
        <f t="shared" si="86"/>
        <v>1</v>
      </c>
      <c r="BJ535">
        <f t="shared" si="90"/>
        <v>1</v>
      </c>
      <c r="BK535" s="57">
        <f t="shared" si="91"/>
        <v>534</v>
      </c>
      <c r="BL535" s="57" t="str">
        <f t="shared" si="89"/>
        <v>Ship-To-Ship Shuttle (SCC)</v>
      </c>
    </row>
    <row r="536" spans="39:64" x14ac:dyDescent="0.3">
      <c r="AM536">
        <v>535</v>
      </c>
      <c r="AN536">
        <v>14</v>
      </c>
      <c r="AO536" t="s">
        <v>3139</v>
      </c>
      <c r="AP536" s="4">
        <v>19545000</v>
      </c>
      <c r="AQ536" s="431">
        <v>20</v>
      </c>
      <c r="AR536">
        <f t="shared" si="86"/>
        <v>1</v>
      </c>
      <c r="BJ536">
        <f t="shared" si="90"/>
        <v>1</v>
      </c>
      <c r="BK536" s="57">
        <f t="shared" si="91"/>
        <v>535</v>
      </c>
      <c r="BL536" s="57" t="str">
        <f t="shared" si="89"/>
        <v>Shiv Meteoric Assault Craft (Singularity Act 2)</v>
      </c>
    </row>
    <row r="537" spans="39:64" x14ac:dyDescent="0.3">
      <c r="AM537">
        <v>536</v>
      </c>
      <c r="AN537">
        <v>9</v>
      </c>
      <c r="AO537" t="s">
        <v>3140</v>
      </c>
      <c r="AP537" s="4">
        <v>8560000</v>
      </c>
      <c r="AQ537">
        <v>60</v>
      </c>
      <c r="AR537">
        <f t="shared" si="86"/>
        <v>1</v>
      </c>
      <c r="BJ537">
        <f t="shared" si="90"/>
        <v>1</v>
      </c>
      <c r="BK537" s="57">
        <f t="shared" si="91"/>
        <v>536</v>
      </c>
      <c r="BL537" s="57" t="str">
        <f t="shared" si="89"/>
        <v>Short Shuttle (SCC)</v>
      </c>
    </row>
    <row r="538" spans="39:64" x14ac:dyDescent="0.3">
      <c r="AM538">
        <v>537</v>
      </c>
      <c r="AN538">
        <v>12</v>
      </c>
      <c r="AO538" t="s">
        <v>3141</v>
      </c>
      <c r="AP538" s="4">
        <v>16630000</v>
      </c>
      <c r="AQ538">
        <v>95</v>
      </c>
      <c r="AR538">
        <f t="shared" si="86"/>
        <v>1</v>
      </c>
      <c r="BJ538">
        <f t="shared" si="90"/>
        <v>1</v>
      </c>
      <c r="BK538" s="57">
        <f t="shared" si="91"/>
        <v>537</v>
      </c>
      <c r="BL538" s="57" t="str">
        <f t="shared" si="89"/>
        <v>Shuttle (Core'24)</v>
      </c>
    </row>
    <row r="539" spans="39:64" x14ac:dyDescent="0.3">
      <c r="AM539">
        <v>538</v>
      </c>
      <c r="AN539">
        <v>12</v>
      </c>
      <c r="AO539" t="s">
        <v>3142</v>
      </c>
      <c r="AP539" s="4">
        <v>16505000</v>
      </c>
      <c r="AQ539">
        <v>95</v>
      </c>
      <c r="AR539">
        <f t="shared" si="86"/>
        <v>1</v>
      </c>
      <c r="BJ539">
        <f t="shared" si="90"/>
        <v>1</v>
      </c>
      <c r="BK539" s="57">
        <f t="shared" si="91"/>
        <v>538</v>
      </c>
      <c r="BL539" s="57" t="str">
        <f t="shared" si="89"/>
        <v>Shuttle (HG'22)</v>
      </c>
    </row>
    <row r="540" spans="39:64" ht="15.6" x14ac:dyDescent="0.3">
      <c r="AM540">
        <v>539</v>
      </c>
      <c r="AN540" s="437">
        <v>12</v>
      </c>
      <c r="AO540" s="437" t="s">
        <v>1973</v>
      </c>
      <c r="AP540" s="438">
        <v>87000</v>
      </c>
      <c r="AQ540" s="439">
        <v>5</v>
      </c>
      <c r="AR540">
        <f t="shared" si="86"/>
        <v>1</v>
      </c>
      <c r="BJ540">
        <f t="shared" si="90"/>
        <v>1</v>
      </c>
      <c r="BK540" s="57">
        <f t="shared" si="91"/>
        <v>539</v>
      </c>
      <c r="BL540" s="57" t="str">
        <f t="shared" si="89"/>
        <v>Sir Willard's Pickup (Reach Adventure 7)</v>
      </c>
    </row>
    <row r="541" spans="39:64" ht="15.6" x14ac:dyDescent="0.3">
      <c r="AM541">
        <v>540</v>
      </c>
      <c r="AN541" s="437">
        <v>12</v>
      </c>
      <c r="AO541" s="437" t="s">
        <v>1972</v>
      </c>
      <c r="AP541" s="438">
        <v>100000</v>
      </c>
      <c r="AQ541" s="439">
        <v>5</v>
      </c>
      <c r="AR541">
        <f t="shared" si="86"/>
        <v>1</v>
      </c>
      <c r="BJ541">
        <f t="shared" si="90"/>
        <v>1</v>
      </c>
      <c r="BK541" s="57">
        <f t="shared" si="91"/>
        <v>540</v>
      </c>
      <c r="BL541" s="57" t="str">
        <f t="shared" si="89"/>
        <v>Sir Willard's SUV (Reach Adventure 7)</v>
      </c>
    </row>
    <row r="542" spans="39:64" ht="15.6" x14ac:dyDescent="0.3">
      <c r="AM542">
        <v>541</v>
      </c>
      <c r="AN542" s="437">
        <v>10</v>
      </c>
      <c r="AO542" s="437" t="s">
        <v>1981</v>
      </c>
      <c r="AP542" s="438">
        <v>36000</v>
      </c>
      <c r="AQ542" s="439">
        <v>6</v>
      </c>
      <c r="AR542">
        <f t="shared" si="86"/>
        <v>1</v>
      </c>
      <c r="BJ542">
        <f t="shared" si="90"/>
        <v>1</v>
      </c>
      <c r="BK542" s="57">
        <f t="shared" si="91"/>
        <v>541</v>
      </c>
      <c r="BL542" s="57" t="str">
        <f t="shared" si="89"/>
        <v>Skander SUV and Pickup (Skandervic)</v>
      </c>
    </row>
    <row r="543" spans="39:64" ht="15.6" x14ac:dyDescent="0.3">
      <c r="AM543">
        <v>542</v>
      </c>
      <c r="AN543" s="437">
        <v>15</v>
      </c>
      <c r="AO543" s="437" t="s">
        <v>1687</v>
      </c>
      <c r="AP543" s="438">
        <v>160800</v>
      </c>
      <c r="AQ543" s="439">
        <v>4</v>
      </c>
      <c r="AR543">
        <f t="shared" si="86"/>
        <v>1</v>
      </c>
      <c r="BJ543">
        <f t="shared" si="90"/>
        <v>1</v>
      </c>
      <c r="BK543" s="57">
        <f t="shared" si="91"/>
        <v>542</v>
      </c>
      <c r="BL543" s="57" t="str">
        <f t="shared" si="89"/>
        <v>Skerrier (DR:CG)</v>
      </c>
    </row>
    <row r="544" spans="39:64" ht="15.6" x14ac:dyDescent="0.3">
      <c r="AM544">
        <v>543</v>
      </c>
      <c r="AN544" s="437">
        <v>15</v>
      </c>
      <c r="AO544" s="437" t="s">
        <v>3143</v>
      </c>
      <c r="AP544" s="438">
        <v>21625950000</v>
      </c>
      <c r="AQ544" s="439">
        <v>29000</v>
      </c>
      <c r="AR544">
        <f t="shared" si="86"/>
        <v>1</v>
      </c>
      <c r="BJ544">
        <f t="shared" si="90"/>
        <v>1</v>
      </c>
      <c r="BK544" s="57">
        <f t="shared" si="91"/>
        <v>543</v>
      </c>
      <c r="BL544" s="57" t="str">
        <f t="shared" si="89"/>
        <v>Skimkish Light Carrier (HG'22)</v>
      </c>
    </row>
    <row r="545" spans="39:64" x14ac:dyDescent="0.3">
      <c r="AM545">
        <v>544</v>
      </c>
      <c r="AN545">
        <v>5</v>
      </c>
      <c r="AO545" t="s">
        <v>3144</v>
      </c>
      <c r="AP545" s="4">
        <v>82000</v>
      </c>
      <c r="AQ545" s="471">
        <v>20</v>
      </c>
      <c r="AR545">
        <f t="shared" si="86"/>
        <v>1</v>
      </c>
      <c r="BJ545">
        <f t="shared" si="90"/>
        <v>1</v>
      </c>
      <c r="BK545" s="57">
        <f t="shared" si="91"/>
        <v>544</v>
      </c>
      <c r="BL545" s="57" t="str">
        <f t="shared" si="89"/>
        <v>Sky Whale Airship Bomber (JTAS2)</v>
      </c>
    </row>
    <row r="546" spans="39:64" x14ac:dyDescent="0.3">
      <c r="AM546">
        <v>545</v>
      </c>
      <c r="AN546">
        <v>9</v>
      </c>
      <c r="AO546" t="s">
        <v>3145</v>
      </c>
      <c r="AP546" s="4">
        <v>2750000</v>
      </c>
      <c r="AQ546">
        <v>7</v>
      </c>
      <c r="AR546">
        <f t="shared" si="86"/>
        <v>1</v>
      </c>
      <c r="BJ546">
        <f t="shared" si="90"/>
        <v>1</v>
      </c>
      <c r="BK546" s="57">
        <f t="shared" si="91"/>
        <v>545</v>
      </c>
      <c r="BL546" s="57" t="str">
        <f t="shared" si="89"/>
        <v>Skystrike G/Fighter (Vehicle Handbook)</v>
      </c>
    </row>
    <row r="547" spans="39:64" x14ac:dyDescent="0.3">
      <c r="AM547">
        <v>546</v>
      </c>
      <c r="AN547">
        <v>3</v>
      </c>
      <c r="AO547" t="s">
        <v>3146</v>
      </c>
      <c r="AP547" s="4">
        <v>65000</v>
      </c>
      <c r="AQ547">
        <v>36</v>
      </c>
      <c r="AR547">
        <f t="shared" si="86"/>
        <v>1</v>
      </c>
      <c r="BJ547">
        <f t="shared" si="90"/>
        <v>1</v>
      </c>
      <c r="BK547" s="57">
        <f t="shared" si="91"/>
        <v>546</v>
      </c>
      <c r="BL547" s="57" t="str">
        <f t="shared" si="89"/>
        <v>Sloop (Vehicle Handbook)</v>
      </c>
    </row>
    <row r="548" spans="39:64" x14ac:dyDescent="0.3">
      <c r="AM548">
        <v>547</v>
      </c>
      <c r="AN548">
        <v>12</v>
      </c>
      <c r="AO548" t="s">
        <v>3147</v>
      </c>
      <c r="AP548" s="4">
        <v>5380000</v>
      </c>
      <c r="AQ548">
        <v>30</v>
      </c>
      <c r="AR548">
        <f t="shared" si="86"/>
        <v>1</v>
      </c>
      <c r="BJ548">
        <f t="shared" si="90"/>
        <v>1</v>
      </c>
      <c r="BK548" s="57">
        <f t="shared" si="91"/>
        <v>547</v>
      </c>
      <c r="BL548" s="57" t="str">
        <f t="shared" si="89"/>
        <v>Slow Boat (Core'24)</v>
      </c>
    </row>
    <row r="549" spans="39:64" x14ac:dyDescent="0.3">
      <c r="AM549">
        <v>548</v>
      </c>
      <c r="AN549">
        <v>12</v>
      </c>
      <c r="AO549" t="s">
        <v>1717</v>
      </c>
      <c r="AP549" s="4">
        <v>5580000</v>
      </c>
      <c r="AQ549" s="431">
        <v>30</v>
      </c>
      <c r="AR549">
        <f t="shared" si="86"/>
        <v>1</v>
      </c>
      <c r="BJ549">
        <f t="shared" si="90"/>
        <v>1</v>
      </c>
      <c r="BK549" s="57">
        <f t="shared" si="91"/>
        <v>548</v>
      </c>
      <c r="BL549" s="57" t="str">
        <f t="shared" si="89"/>
        <v>Slow Boat (HG'22)</v>
      </c>
    </row>
    <row r="550" spans="39:64" ht="15.6" x14ac:dyDescent="0.3">
      <c r="AM550">
        <v>549</v>
      </c>
      <c r="AN550" s="437">
        <v>12</v>
      </c>
      <c r="AO550" s="437" t="s">
        <v>3148</v>
      </c>
      <c r="AP550" s="4">
        <v>6430000</v>
      </c>
      <c r="AQ550" s="431">
        <v>40</v>
      </c>
      <c r="AR550">
        <f t="shared" si="86"/>
        <v>1</v>
      </c>
      <c r="BJ550">
        <f t="shared" si="90"/>
        <v>1</v>
      </c>
      <c r="BK550" s="57">
        <f t="shared" si="91"/>
        <v>549</v>
      </c>
      <c r="BL550" s="57" t="str">
        <f t="shared" si="89"/>
        <v>Slow Pinnace (Core'24)</v>
      </c>
    </row>
    <row r="551" spans="39:64" x14ac:dyDescent="0.3">
      <c r="AM551">
        <v>550</v>
      </c>
      <c r="AN551">
        <v>12</v>
      </c>
      <c r="AO551" t="s">
        <v>3149</v>
      </c>
      <c r="AP551" s="4">
        <v>6630000</v>
      </c>
      <c r="AQ551">
        <v>40</v>
      </c>
      <c r="AR551">
        <f t="shared" si="86"/>
        <v>1</v>
      </c>
      <c r="BJ551">
        <f t="shared" si="90"/>
        <v>1</v>
      </c>
      <c r="BK551" s="57">
        <f t="shared" si="91"/>
        <v>550</v>
      </c>
      <c r="BL551" s="57" t="str">
        <f t="shared" si="89"/>
        <v>Slow Pinnace (HG'22)</v>
      </c>
    </row>
    <row r="552" spans="39:64" x14ac:dyDescent="0.3">
      <c r="AM552">
        <v>551</v>
      </c>
      <c r="AN552">
        <v>12</v>
      </c>
      <c r="AO552" t="s">
        <v>3150</v>
      </c>
      <c r="AP552" s="4">
        <v>433660000</v>
      </c>
      <c r="AQ552" s="471">
        <v>1000</v>
      </c>
      <c r="AR552">
        <f t="shared" si="86"/>
        <v>1</v>
      </c>
      <c r="BJ552">
        <f t="shared" si="90"/>
        <v>1</v>
      </c>
      <c r="BK552" s="57">
        <f t="shared" si="91"/>
        <v>551</v>
      </c>
      <c r="BL552" s="57" t="str">
        <f t="shared" si="89"/>
        <v>Smuggler Packet (Singularity Act 3)</v>
      </c>
    </row>
    <row r="553" spans="39:64" x14ac:dyDescent="0.3">
      <c r="AM553">
        <v>552</v>
      </c>
      <c r="AN553">
        <v>12</v>
      </c>
      <c r="AO553" t="s">
        <v>3151</v>
      </c>
      <c r="AP553" s="4">
        <v>10400000</v>
      </c>
      <c r="AQ553">
        <v>40</v>
      </c>
      <c r="AR553">
        <f t="shared" si="86"/>
        <v>1</v>
      </c>
      <c r="BJ553">
        <f t="shared" si="90"/>
        <v>1</v>
      </c>
      <c r="BK553" s="57">
        <f t="shared" si="91"/>
        <v>552</v>
      </c>
      <c r="BL553" s="57" t="str">
        <f t="shared" si="89"/>
        <v>Smuggler's Pinnace (SCC)</v>
      </c>
    </row>
    <row r="554" spans="39:64" x14ac:dyDescent="0.3">
      <c r="AM554">
        <v>553</v>
      </c>
      <c r="AN554">
        <v>9</v>
      </c>
      <c r="AO554" t="s">
        <v>3152</v>
      </c>
      <c r="AP554" s="4">
        <v>143000</v>
      </c>
      <c r="AQ554">
        <v>5</v>
      </c>
      <c r="AR554">
        <f t="shared" ref="AR554:AR617" si="92">IF($N$62="No",-20,1)</f>
        <v>1</v>
      </c>
      <c r="BJ554">
        <f t="shared" si="90"/>
        <v>1</v>
      </c>
      <c r="BK554" s="57">
        <f t="shared" si="91"/>
        <v>553</v>
      </c>
      <c r="BL554" s="57" t="str">
        <f t="shared" si="89"/>
        <v>Socrates Field Car (Vehicle Handbook)</v>
      </c>
    </row>
    <row r="555" spans="39:64" x14ac:dyDescent="0.3">
      <c r="AM555">
        <v>554</v>
      </c>
      <c r="AN555">
        <v>12</v>
      </c>
      <c r="AO555" t="s">
        <v>3153</v>
      </c>
      <c r="AP555" s="4">
        <v>513000</v>
      </c>
      <c r="AQ555" s="471">
        <v>15</v>
      </c>
      <c r="AR555">
        <f t="shared" si="92"/>
        <v>1</v>
      </c>
      <c r="BJ555">
        <f t="shared" si="90"/>
        <v>1</v>
      </c>
      <c r="BK555" s="57">
        <f t="shared" si="91"/>
        <v>554</v>
      </c>
      <c r="BL555" s="57" t="str">
        <f t="shared" si="89"/>
        <v>Solar Sailer (Sylean Dream)</v>
      </c>
    </row>
    <row r="556" spans="39:64" x14ac:dyDescent="0.3">
      <c r="AM556">
        <v>555</v>
      </c>
      <c r="AN556">
        <v>12</v>
      </c>
      <c r="AO556" t="s">
        <v>3154</v>
      </c>
      <c r="AP556" s="4">
        <v>172450000</v>
      </c>
      <c r="AQ556" s="471">
        <v>1000</v>
      </c>
      <c r="AR556">
        <f t="shared" si="92"/>
        <v>1</v>
      </c>
      <c r="BJ556">
        <f t="shared" si="90"/>
        <v>1</v>
      </c>
      <c r="BK556" s="57">
        <f t="shared" si="91"/>
        <v>555</v>
      </c>
      <c r="BL556" s="57" t="str">
        <f t="shared" si="89"/>
        <v>Solomani Cimarron Support Vessel (Rim Expeditions)</v>
      </c>
    </row>
    <row r="557" spans="39:64" ht="15.6" x14ac:dyDescent="0.3">
      <c r="AM557">
        <v>556</v>
      </c>
      <c r="AN557" s="437">
        <v>12</v>
      </c>
      <c r="AO557" s="437" t="s">
        <v>1700</v>
      </c>
      <c r="AP557" s="438">
        <v>2241900</v>
      </c>
      <c r="AQ557" s="439">
        <v>15</v>
      </c>
      <c r="AR557">
        <f t="shared" si="92"/>
        <v>1</v>
      </c>
      <c r="BJ557">
        <f t="shared" si="90"/>
        <v>1</v>
      </c>
      <c r="BK557" s="57">
        <f t="shared" si="91"/>
        <v>556</v>
      </c>
      <c r="BL557" s="57" t="str">
        <f t="shared" si="89"/>
        <v>Solomani FAMAT-12 ATV (DR:V)</v>
      </c>
    </row>
    <row r="558" spans="39:64" ht="15.6" x14ac:dyDescent="0.3">
      <c r="AM558">
        <v>557</v>
      </c>
      <c r="AN558" s="437">
        <v>14</v>
      </c>
      <c r="AO558" s="437" t="s">
        <v>3155</v>
      </c>
      <c r="AP558" s="438">
        <v>7335000</v>
      </c>
      <c r="AQ558" s="439">
        <v>20</v>
      </c>
      <c r="AR558">
        <f t="shared" si="92"/>
        <v>1</v>
      </c>
      <c r="BJ558">
        <f t="shared" si="90"/>
        <v>1</v>
      </c>
      <c r="BK558" s="57">
        <f t="shared" si="91"/>
        <v>557</v>
      </c>
      <c r="BL558" s="57" t="str">
        <f t="shared" si="89"/>
        <v>Solomani Gig (Traders &amp; Gunboats)</v>
      </c>
    </row>
    <row r="559" spans="39:64" ht="15.6" x14ac:dyDescent="0.3">
      <c r="AM559">
        <v>558</v>
      </c>
      <c r="AN559" s="437">
        <v>13</v>
      </c>
      <c r="AO559" s="437" t="s">
        <v>3156</v>
      </c>
      <c r="AP559" s="438">
        <v>563990000</v>
      </c>
      <c r="AQ559" s="688">
        <v>600</v>
      </c>
      <c r="AR559">
        <f t="shared" si="92"/>
        <v>1</v>
      </c>
      <c r="BJ559">
        <f t="shared" si="90"/>
        <v>1</v>
      </c>
      <c r="BK559" s="57">
        <f t="shared" si="91"/>
        <v>558</v>
      </c>
      <c r="BL559" s="57" t="str">
        <f t="shared" si="89"/>
        <v>Solomani Gladys Ei System Defense Boat (Traders &amp; Gunboats)</v>
      </c>
    </row>
    <row r="560" spans="39:64" ht="15.6" x14ac:dyDescent="0.3">
      <c r="AM560">
        <v>559</v>
      </c>
      <c r="AN560" s="437">
        <v>14</v>
      </c>
      <c r="AO560" s="437" t="s">
        <v>3157</v>
      </c>
      <c r="AP560" s="438">
        <v>21971000</v>
      </c>
      <c r="AQ560" s="439">
        <v>15</v>
      </c>
      <c r="AR560">
        <f t="shared" si="92"/>
        <v>1</v>
      </c>
      <c r="BJ560">
        <f t="shared" si="90"/>
        <v>1</v>
      </c>
      <c r="BK560" s="57">
        <f t="shared" si="91"/>
        <v>559</v>
      </c>
      <c r="BL560" s="57" t="str">
        <f t="shared" si="89"/>
        <v>Solomani Kestrel Aerospace Fighter (Solomani Front)</v>
      </c>
    </row>
    <row r="561" spans="39:64" ht="15.6" x14ac:dyDescent="0.3">
      <c r="AM561">
        <v>560</v>
      </c>
      <c r="AN561" s="437">
        <v>14</v>
      </c>
      <c r="AO561" s="437" t="s">
        <v>3158</v>
      </c>
      <c r="AP561" s="438">
        <v>31108900000</v>
      </c>
      <c r="AQ561" s="439">
        <v>100000</v>
      </c>
      <c r="AR561">
        <f t="shared" si="92"/>
        <v>1</v>
      </c>
      <c r="BJ561">
        <f t="shared" si="90"/>
        <v>1</v>
      </c>
      <c r="BK561" s="57">
        <f t="shared" si="91"/>
        <v>560</v>
      </c>
      <c r="BL561" s="57" t="str">
        <f t="shared" ref="BL561:BL624" si="93">IF(BK561&gt;$BK$1,"",INDEX($AM$2:$AO$758,MATCH(BK561,$AM$2:$AM$758,0),3))</f>
        <v>Solomani Mountain Logistics Barge (Solomani Front)</v>
      </c>
    </row>
    <row r="562" spans="39:64" x14ac:dyDescent="0.3">
      <c r="AM562">
        <v>561</v>
      </c>
      <c r="AN562">
        <v>15</v>
      </c>
      <c r="AO562" t="s">
        <v>3159</v>
      </c>
      <c r="AP562" s="4">
        <v>5711350000</v>
      </c>
      <c r="AQ562">
        <v>100000</v>
      </c>
      <c r="AR562">
        <f t="shared" si="92"/>
        <v>1</v>
      </c>
      <c r="BJ562">
        <f t="shared" si="90"/>
        <v>1</v>
      </c>
      <c r="BK562" s="57">
        <f t="shared" si="91"/>
        <v>561</v>
      </c>
      <c r="BL562" s="57" t="str">
        <f t="shared" si="93"/>
        <v>Solomani Murat Battle Monitor (Solomani Front)</v>
      </c>
    </row>
    <row r="563" spans="39:64" ht="15.6" x14ac:dyDescent="0.3">
      <c r="AM563">
        <v>562</v>
      </c>
      <c r="AN563" s="437">
        <v>12</v>
      </c>
      <c r="AO563" s="437" t="s">
        <v>1701</v>
      </c>
      <c r="AP563" s="438">
        <v>631750</v>
      </c>
      <c r="AQ563" s="439">
        <v>3</v>
      </c>
      <c r="AR563">
        <f t="shared" si="92"/>
        <v>1</v>
      </c>
      <c r="BJ563">
        <f t="shared" si="90"/>
        <v>1</v>
      </c>
      <c r="BK563" s="57">
        <f t="shared" si="91"/>
        <v>562</v>
      </c>
      <c r="BL563" s="57" t="str">
        <f t="shared" si="93"/>
        <v>Solomani Outrider Grav Platform (DR:V)</v>
      </c>
    </row>
    <row r="564" spans="39:64" ht="15.6" x14ac:dyDescent="0.3">
      <c r="AM564">
        <v>563</v>
      </c>
      <c r="AN564" s="437">
        <v>14</v>
      </c>
      <c r="AO564" s="437" t="s">
        <v>3160</v>
      </c>
      <c r="AP564" s="438">
        <v>10114700</v>
      </c>
      <c r="AQ564" s="439">
        <v>8</v>
      </c>
      <c r="AR564">
        <f t="shared" si="92"/>
        <v>1</v>
      </c>
      <c r="BJ564">
        <f t="shared" si="90"/>
        <v>1</v>
      </c>
      <c r="BK564" s="57">
        <f t="shared" si="91"/>
        <v>563</v>
      </c>
      <c r="BL564" s="57" t="str">
        <f t="shared" si="93"/>
        <v>Solomani Prasad Light Fighter (Traders &amp; Gunboats)</v>
      </c>
    </row>
    <row r="565" spans="39:64" x14ac:dyDescent="0.3">
      <c r="AM565">
        <v>564</v>
      </c>
      <c r="AN565">
        <v>12</v>
      </c>
      <c r="AO565" t="s">
        <v>3161</v>
      </c>
      <c r="AP565" s="4">
        <v>344490000</v>
      </c>
      <c r="AQ565" s="431">
        <v>600</v>
      </c>
      <c r="AR565">
        <f t="shared" si="92"/>
        <v>1</v>
      </c>
      <c r="BJ565">
        <f t="shared" si="90"/>
        <v>1</v>
      </c>
      <c r="BK565" s="57">
        <f t="shared" si="91"/>
        <v>564</v>
      </c>
      <c r="BL565" s="57" t="str">
        <f t="shared" si="93"/>
        <v>Solomani Saxby-Class System Defense Boat (AoCS2)</v>
      </c>
    </row>
    <row r="566" spans="39:64" ht="15.6" x14ac:dyDescent="0.3">
      <c r="AM566">
        <v>565</v>
      </c>
      <c r="AN566" s="437">
        <v>14</v>
      </c>
      <c r="AO566" s="437" t="s">
        <v>3162</v>
      </c>
      <c r="AP566" s="438">
        <v>68005000</v>
      </c>
      <c r="AQ566" s="439">
        <v>75</v>
      </c>
      <c r="AR566">
        <f t="shared" si="92"/>
        <v>1</v>
      </c>
      <c r="BJ566">
        <f t="shared" si="90"/>
        <v>1</v>
      </c>
      <c r="BK566" s="57">
        <f t="shared" si="91"/>
        <v>565</v>
      </c>
      <c r="BL566" s="57" t="str">
        <f t="shared" si="93"/>
        <v>Solomani Scorpion Strike Boat (Solomani Front)</v>
      </c>
    </row>
    <row r="567" spans="39:64" x14ac:dyDescent="0.3">
      <c r="AM567">
        <v>566</v>
      </c>
      <c r="AN567">
        <v>14</v>
      </c>
      <c r="AO567" t="s">
        <v>3163</v>
      </c>
      <c r="AP567" s="4">
        <v>9790000</v>
      </c>
      <c r="AQ567" s="431">
        <v>25</v>
      </c>
      <c r="AR567">
        <f t="shared" si="92"/>
        <v>1</v>
      </c>
      <c r="BJ567">
        <f t="shared" si="90"/>
        <v>1</v>
      </c>
      <c r="BK567" s="57">
        <f t="shared" si="91"/>
        <v>566</v>
      </c>
      <c r="BL567" s="57" t="str">
        <f t="shared" si="93"/>
        <v>Solomani UB-25-Class Small Utility Boat (AoCS2)</v>
      </c>
    </row>
    <row r="568" spans="39:64" ht="15.6" x14ac:dyDescent="0.3">
      <c r="AM568">
        <v>567</v>
      </c>
      <c r="AN568" s="437">
        <v>14</v>
      </c>
      <c r="AO568" s="437" t="s">
        <v>3164</v>
      </c>
      <c r="AP568" s="438">
        <v>10910000</v>
      </c>
      <c r="AQ568" s="439">
        <v>25</v>
      </c>
      <c r="AR568">
        <f t="shared" si="92"/>
        <v>1</v>
      </c>
      <c r="BJ568">
        <f t="shared" si="90"/>
        <v>1</v>
      </c>
      <c r="BK568" s="57">
        <f t="shared" si="91"/>
        <v>567</v>
      </c>
      <c r="BL568" s="57" t="str">
        <f t="shared" si="93"/>
        <v>Solomani UB-25EV Utility Boat, Exploration Variant (Rim Expeditions)</v>
      </c>
    </row>
    <row r="569" spans="39:64" x14ac:dyDescent="0.3">
      <c r="AM569">
        <v>568</v>
      </c>
      <c r="AN569">
        <v>14</v>
      </c>
      <c r="AO569" t="s">
        <v>3165</v>
      </c>
      <c r="AP569" s="4">
        <v>20380000</v>
      </c>
      <c r="AQ569" s="431">
        <v>75</v>
      </c>
      <c r="AR569">
        <f t="shared" si="92"/>
        <v>1</v>
      </c>
      <c r="BJ569">
        <f t="shared" si="90"/>
        <v>1</v>
      </c>
      <c r="BK569" s="57">
        <f t="shared" si="91"/>
        <v>568</v>
      </c>
      <c r="BL569" s="57" t="str">
        <f t="shared" si="93"/>
        <v>Solomani UB-75-Class Large Utility Boat (AoCS2)</v>
      </c>
    </row>
    <row r="570" spans="39:64" ht="15.6" x14ac:dyDescent="0.3">
      <c r="AM570">
        <v>569</v>
      </c>
      <c r="AN570" s="437">
        <v>14</v>
      </c>
      <c r="AO570" s="437" t="s">
        <v>3166</v>
      </c>
      <c r="AP570" s="438">
        <v>25110000</v>
      </c>
      <c r="AQ570" s="439">
        <v>75</v>
      </c>
      <c r="AR570">
        <f t="shared" si="92"/>
        <v>1</v>
      </c>
      <c r="BJ570">
        <f t="shared" si="90"/>
        <v>1</v>
      </c>
      <c r="BK570" s="57">
        <f t="shared" si="91"/>
        <v>569</v>
      </c>
      <c r="BL570" s="57" t="str">
        <f t="shared" si="93"/>
        <v>Solomani UB-75EV Large Utility Boat, Exploration Variant (Rim Expeditions)</v>
      </c>
    </row>
    <row r="571" spans="39:64" x14ac:dyDescent="0.3">
      <c r="AM571">
        <v>570</v>
      </c>
      <c r="AN571">
        <v>12</v>
      </c>
      <c r="AO571" t="s">
        <v>3167</v>
      </c>
      <c r="AP571" s="4">
        <v>51575000</v>
      </c>
      <c r="AQ571" s="431">
        <v>100</v>
      </c>
      <c r="AR571">
        <f t="shared" si="92"/>
        <v>1</v>
      </c>
      <c r="BJ571">
        <f t="shared" si="90"/>
        <v>1</v>
      </c>
      <c r="BK571" s="57">
        <f t="shared" si="91"/>
        <v>570</v>
      </c>
      <c r="BL571" s="57" t="str">
        <f t="shared" si="93"/>
        <v>Solomani USC-3A-Class Small Packet Boat AoCS2)</v>
      </c>
    </row>
    <row r="572" spans="39:64" x14ac:dyDescent="0.3">
      <c r="AM572">
        <v>571</v>
      </c>
      <c r="AN572">
        <v>12</v>
      </c>
      <c r="AO572" t="s">
        <v>3168</v>
      </c>
      <c r="AP572" s="4">
        <v>15355000</v>
      </c>
      <c r="AQ572">
        <v>10</v>
      </c>
      <c r="AR572">
        <f t="shared" si="92"/>
        <v>1</v>
      </c>
      <c r="BJ572">
        <f t="shared" si="90"/>
        <v>1</v>
      </c>
      <c r="BK572" s="57">
        <f t="shared" si="91"/>
        <v>571</v>
      </c>
      <c r="BL572" s="57" t="str">
        <f t="shared" si="93"/>
        <v>Space Surveillance Boat (SCC)</v>
      </c>
    </row>
    <row r="573" spans="39:64" x14ac:dyDescent="0.3">
      <c r="AM573">
        <v>572</v>
      </c>
      <c r="AN573">
        <v>10</v>
      </c>
      <c r="AO573" t="s">
        <v>3169</v>
      </c>
      <c r="AP573" s="4">
        <v>599350</v>
      </c>
      <c r="AQ573" s="471">
        <v>2.5</v>
      </c>
      <c r="AR573">
        <f t="shared" si="92"/>
        <v>1</v>
      </c>
      <c r="BJ573">
        <f t="shared" si="90"/>
        <v>1</v>
      </c>
      <c r="BK573" s="57">
        <f t="shared" si="91"/>
        <v>572</v>
      </c>
      <c r="BL573" s="57" t="str">
        <f t="shared" si="93"/>
        <v>Speeder w/Fusion+ (JTAS Vol. 16)</v>
      </c>
    </row>
    <row r="574" spans="39:64" ht="15.6" x14ac:dyDescent="0.3">
      <c r="AM574">
        <v>573</v>
      </c>
      <c r="AN574" s="437">
        <v>7</v>
      </c>
      <c r="AO574" s="437" t="s">
        <v>1749</v>
      </c>
      <c r="AP574" s="438">
        <v>200000</v>
      </c>
      <c r="AQ574" s="439">
        <v>4</v>
      </c>
      <c r="AR574">
        <f t="shared" si="92"/>
        <v>1</v>
      </c>
      <c r="BJ574">
        <f t="shared" si="90"/>
        <v>1</v>
      </c>
      <c r="BK574" s="57">
        <f t="shared" si="91"/>
        <v>573</v>
      </c>
      <c r="BL574" s="57" t="str">
        <f t="shared" si="93"/>
        <v>Sperle Searcher (DC)</v>
      </c>
    </row>
    <row r="575" spans="39:64" ht="15.6" x14ac:dyDescent="0.3">
      <c r="AM575">
        <v>574</v>
      </c>
      <c r="AN575" s="437">
        <v>10</v>
      </c>
      <c r="AO575" s="437" t="s">
        <v>1840</v>
      </c>
      <c r="AP575" s="438">
        <v>169000</v>
      </c>
      <c r="AQ575" s="439">
        <v>6</v>
      </c>
      <c r="AR575">
        <f t="shared" si="92"/>
        <v>1</v>
      </c>
      <c r="BJ575">
        <f t="shared" si="90"/>
        <v>1</v>
      </c>
      <c r="BK575" s="57">
        <f t="shared" si="91"/>
        <v>574</v>
      </c>
      <c r="BL575" s="57" t="str">
        <f t="shared" si="93"/>
        <v>Splorabug (JTAS Vol. 4)</v>
      </c>
    </row>
    <row r="576" spans="39:64" x14ac:dyDescent="0.3">
      <c r="AM576">
        <v>575</v>
      </c>
      <c r="AN576">
        <v>12</v>
      </c>
      <c r="AO576" t="s">
        <v>3170</v>
      </c>
      <c r="AP576" s="4">
        <v>24540000</v>
      </c>
      <c r="AQ576" s="431">
        <v>30</v>
      </c>
      <c r="AR576">
        <f t="shared" si="92"/>
        <v>1</v>
      </c>
      <c r="BJ576">
        <f t="shared" ref="BJ576:BJ639" si="94">IF($N$61="Yes",1,IF(AN576&gt;TL,-20,1))</f>
        <v>1</v>
      </c>
      <c r="BK576" s="57">
        <f t="shared" si="91"/>
        <v>575</v>
      </c>
      <c r="BL576" s="57" t="str">
        <f t="shared" si="93"/>
        <v>Sred*Ni Excursion Boat (Spinward Extents)</v>
      </c>
    </row>
    <row r="577" spans="39:64" x14ac:dyDescent="0.3">
      <c r="AM577">
        <v>576</v>
      </c>
      <c r="AN577">
        <v>9</v>
      </c>
      <c r="AO577" t="s">
        <v>1811</v>
      </c>
      <c r="AP577" s="4">
        <v>5421000</v>
      </c>
      <c r="AQ577" s="471">
        <v>30</v>
      </c>
      <c r="AR577">
        <f t="shared" si="92"/>
        <v>1</v>
      </c>
      <c r="BJ577">
        <f t="shared" si="94"/>
        <v>1</v>
      </c>
      <c r="BK577" s="57">
        <f t="shared" si="91"/>
        <v>576</v>
      </c>
      <c r="BL577" s="57" t="str">
        <f t="shared" si="93"/>
        <v>S-Series Grav Transport (Field Catalogue)</v>
      </c>
    </row>
    <row r="578" spans="39:64" ht="15.6" x14ac:dyDescent="0.3">
      <c r="AM578">
        <v>577</v>
      </c>
      <c r="AN578" s="437">
        <v>12</v>
      </c>
      <c r="AO578" s="437" t="s">
        <v>1917</v>
      </c>
      <c r="AP578" s="438">
        <v>155000</v>
      </c>
      <c r="AQ578" s="439">
        <v>10</v>
      </c>
      <c r="AR578">
        <f t="shared" si="92"/>
        <v>1</v>
      </c>
      <c r="BJ578">
        <f t="shared" si="94"/>
        <v>1</v>
      </c>
      <c r="BK578" s="57">
        <f t="shared" si="91"/>
        <v>577</v>
      </c>
      <c r="BL578" s="57" t="str">
        <f t="shared" si="93"/>
        <v>Standard Eight-Wheel ATV (JTAS Vol. 1)</v>
      </c>
    </row>
    <row r="579" spans="39:64" x14ac:dyDescent="0.3">
      <c r="AM579">
        <v>578</v>
      </c>
      <c r="AN579">
        <v>12</v>
      </c>
      <c r="AO579" t="s">
        <v>1889</v>
      </c>
      <c r="AP579" s="4">
        <v>24480000</v>
      </c>
      <c r="AQ579" s="471">
        <v>40</v>
      </c>
      <c r="AR579">
        <f t="shared" si="92"/>
        <v>1</v>
      </c>
      <c r="BJ579">
        <f t="shared" si="94"/>
        <v>1</v>
      </c>
      <c r="BK579" s="57">
        <f t="shared" si="91"/>
        <v>578</v>
      </c>
      <c r="BL579" s="57" t="str">
        <f t="shared" si="93"/>
        <v>Star Angel Ambulance Pinnace (JTAS Vol. 13)</v>
      </c>
    </row>
    <row r="580" spans="39:64" x14ac:dyDescent="0.3">
      <c r="AM580">
        <v>579</v>
      </c>
      <c r="AN580">
        <v>10</v>
      </c>
      <c r="AO580" t="s">
        <v>3171</v>
      </c>
      <c r="AP580" s="4">
        <v>395000</v>
      </c>
      <c r="AQ580" s="471">
        <v>5</v>
      </c>
      <c r="AR580">
        <f t="shared" si="92"/>
        <v>1</v>
      </c>
      <c r="BJ580">
        <f t="shared" si="94"/>
        <v>1</v>
      </c>
      <c r="BK580" s="57">
        <f t="shared" ref="BK580:BK643" si="95">BK579+1</f>
        <v>579</v>
      </c>
      <c r="BL580" s="57" t="str">
        <f t="shared" si="93"/>
        <v>Statesman Luxury Grav Car (Great Rifts Book 1)</v>
      </c>
    </row>
    <row r="581" spans="39:64" x14ac:dyDescent="0.3">
      <c r="AM581">
        <v>580</v>
      </c>
      <c r="AN581">
        <v>11</v>
      </c>
      <c r="AO581" t="s">
        <v>3172</v>
      </c>
      <c r="AP581" s="4">
        <v>122700</v>
      </c>
      <c r="AQ581" s="431">
        <v>1</v>
      </c>
      <c r="AR581">
        <f t="shared" si="92"/>
        <v>1</v>
      </c>
      <c r="BJ581">
        <f t="shared" si="94"/>
        <v>1</v>
      </c>
      <c r="BK581" s="57">
        <f t="shared" si="95"/>
        <v>580</v>
      </c>
      <c r="BL581" s="57" t="str">
        <f t="shared" si="93"/>
        <v>Stealth G/Bike (Bounty Hunter)</v>
      </c>
    </row>
    <row r="582" spans="39:64" x14ac:dyDescent="0.3">
      <c r="AM582">
        <v>581</v>
      </c>
      <c r="AN582">
        <v>4</v>
      </c>
      <c r="AO582" t="s">
        <v>3173</v>
      </c>
      <c r="AP582" s="4">
        <v>2025</v>
      </c>
      <c r="AQ582">
        <v>1.5</v>
      </c>
      <c r="AR582">
        <f t="shared" si="92"/>
        <v>1</v>
      </c>
      <c r="BJ582">
        <f t="shared" si="94"/>
        <v>1</v>
      </c>
      <c r="BK582" s="57">
        <f t="shared" si="95"/>
        <v>581</v>
      </c>
      <c r="BL582" s="57" t="str">
        <f t="shared" si="93"/>
        <v>Steam Car (Vehicle Handbook)</v>
      </c>
    </row>
    <row r="583" spans="39:64" ht="15.6" x14ac:dyDescent="0.3">
      <c r="AM583">
        <v>582</v>
      </c>
      <c r="AN583" s="437">
        <v>15</v>
      </c>
      <c r="AO583" s="437" t="s">
        <v>1853</v>
      </c>
      <c r="AP583" s="438">
        <v>683850000</v>
      </c>
      <c r="AQ583" s="439">
        <v>500</v>
      </c>
      <c r="AR583">
        <f t="shared" si="92"/>
        <v>1</v>
      </c>
      <c r="BJ583">
        <f t="shared" si="94"/>
        <v>1</v>
      </c>
      <c r="BK583" s="57">
        <f t="shared" si="95"/>
        <v>582</v>
      </c>
      <c r="BL583" s="57" t="str">
        <f t="shared" si="93"/>
        <v>Steppehauler-Class Carrier Module (JTAS Vol. 6)</v>
      </c>
    </row>
    <row r="584" spans="39:64" ht="15.6" x14ac:dyDescent="0.3">
      <c r="AM584">
        <v>583</v>
      </c>
      <c r="AN584" s="437">
        <v>7</v>
      </c>
      <c r="AO584" s="437" t="s">
        <v>1850</v>
      </c>
      <c r="AP584" s="438">
        <v>25000000</v>
      </c>
      <c r="AQ584" s="439">
        <v>500</v>
      </c>
      <c r="AR584">
        <f t="shared" si="92"/>
        <v>1</v>
      </c>
      <c r="BJ584">
        <f t="shared" si="94"/>
        <v>1</v>
      </c>
      <c r="BK584" s="57">
        <f t="shared" si="95"/>
        <v>583</v>
      </c>
      <c r="BL584" s="57" t="str">
        <f t="shared" si="93"/>
        <v>Steppehauler-Class Default Module (JTAS Vol. 6)</v>
      </c>
    </row>
    <row r="585" spans="39:64" ht="15.6" x14ac:dyDescent="0.3">
      <c r="AM585">
        <v>584</v>
      </c>
      <c r="AN585" s="437">
        <v>13</v>
      </c>
      <c r="AO585" s="437" t="s">
        <v>1851</v>
      </c>
      <c r="AP585" s="438">
        <v>261900000</v>
      </c>
      <c r="AQ585" s="439">
        <v>500</v>
      </c>
      <c r="AR585">
        <f t="shared" si="92"/>
        <v>1</v>
      </c>
      <c r="BJ585">
        <f t="shared" si="94"/>
        <v>1</v>
      </c>
      <c r="BK585" s="57">
        <f t="shared" si="95"/>
        <v>584</v>
      </c>
      <c r="BL585" s="57" t="str">
        <f t="shared" si="93"/>
        <v>Steppehauler-Class Downport Module (JTAS Vol. 6)</v>
      </c>
    </row>
    <row r="586" spans="39:64" ht="15.6" x14ac:dyDescent="0.3">
      <c r="AM586">
        <v>585</v>
      </c>
      <c r="AN586" s="437">
        <v>15</v>
      </c>
      <c r="AO586" s="437" t="s">
        <v>1852</v>
      </c>
      <c r="AP586" s="438">
        <v>84400000</v>
      </c>
      <c r="AQ586" s="439">
        <v>500</v>
      </c>
      <c r="AR586">
        <f t="shared" si="92"/>
        <v>1</v>
      </c>
      <c r="BJ586">
        <f t="shared" si="94"/>
        <v>1</v>
      </c>
      <c r="BK586" s="57">
        <f t="shared" si="95"/>
        <v>585</v>
      </c>
      <c r="BL586" s="57" t="str">
        <f t="shared" si="93"/>
        <v>Steppehauler-Class Low Berth Module (JTAS Vol. 6)</v>
      </c>
    </row>
    <row r="587" spans="39:64" ht="15.6" x14ac:dyDescent="0.3">
      <c r="AM587">
        <v>586</v>
      </c>
      <c r="AN587" s="437">
        <v>14</v>
      </c>
      <c r="AO587" s="437" t="s">
        <v>1854</v>
      </c>
      <c r="AP587" s="438">
        <v>120000000</v>
      </c>
      <c r="AQ587" s="439">
        <v>500</v>
      </c>
      <c r="AR587">
        <f t="shared" si="92"/>
        <v>1</v>
      </c>
      <c r="BJ587">
        <f t="shared" si="94"/>
        <v>1</v>
      </c>
      <c r="BK587" s="57">
        <f t="shared" si="95"/>
        <v>586</v>
      </c>
      <c r="BL587" s="57" t="str">
        <f t="shared" si="93"/>
        <v>Steppehauler-Class Torpedo Module (JTAS Vol. 6)</v>
      </c>
    </row>
    <row r="588" spans="39:64" x14ac:dyDescent="0.3">
      <c r="AM588">
        <v>587</v>
      </c>
      <c r="AN588">
        <v>12</v>
      </c>
      <c r="AO588" t="s">
        <v>3174</v>
      </c>
      <c r="AP588" s="4">
        <v>12413750</v>
      </c>
      <c r="AQ588" s="431">
        <v>10</v>
      </c>
      <c r="AR588">
        <f t="shared" si="92"/>
        <v>1</v>
      </c>
      <c r="BJ588">
        <f t="shared" si="94"/>
        <v>1</v>
      </c>
      <c r="BK588" s="57">
        <f t="shared" si="95"/>
        <v>587</v>
      </c>
      <c r="BL588" s="57" t="str">
        <f t="shared" si="93"/>
        <v>Storm Knights Katar Light Fighter (Spinward Extents)</v>
      </c>
    </row>
    <row r="589" spans="39:64" x14ac:dyDescent="0.3">
      <c r="AM589">
        <v>588</v>
      </c>
      <c r="AN589">
        <v>12</v>
      </c>
      <c r="AO589" t="s">
        <v>3175</v>
      </c>
      <c r="AP589" s="4">
        <v>17181000</v>
      </c>
      <c r="AQ589" s="431">
        <v>20</v>
      </c>
      <c r="AR589">
        <f t="shared" si="92"/>
        <v>1</v>
      </c>
      <c r="BJ589">
        <f t="shared" si="94"/>
        <v>1</v>
      </c>
      <c r="BK589" s="57">
        <f t="shared" si="95"/>
        <v>588</v>
      </c>
      <c r="BL589" s="57" t="str">
        <f t="shared" si="93"/>
        <v>Storm Knights Mule Utility Tug (Spinward Extents)</v>
      </c>
    </row>
    <row r="590" spans="39:64" x14ac:dyDescent="0.3">
      <c r="AM590">
        <v>589</v>
      </c>
      <c r="AN590">
        <v>12</v>
      </c>
      <c r="AO590" t="s">
        <v>3176</v>
      </c>
      <c r="AP590" s="4">
        <v>31850000</v>
      </c>
      <c r="AQ590" s="431">
        <v>40</v>
      </c>
      <c r="AR590">
        <f t="shared" si="92"/>
        <v>1</v>
      </c>
      <c r="BJ590">
        <f t="shared" si="94"/>
        <v>1</v>
      </c>
      <c r="BK590" s="57">
        <f t="shared" si="95"/>
        <v>589</v>
      </c>
      <c r="BL590" s="57" t="str">
        <f t="shared" si="93"/>
        <v>Storm Knights Sabre Pinnace (Spinward Extents)</v>
      </c>
    </row>
    <row r="591" spans="39:64" x14ac:dyDescent="0.3">
      <c r="AM591">
        <v>590</v>
      </c>
      <c r="AN591">
        <v>12</v>
      </c>
      <c r="AO591" t="s">
        <v>3177</v>
      </c>
      <c r="AP591" s="4">
        <v>104525000</v>
      </c>
      <c r="AQ591" s="431">
        <v>100</v>
      </c>
      <c r="AR591">
        <f t="shared" si="92"/>
        <v>1</v>
      </c>
      <c r="BJ591">
        <f t="shared" si="94"/>
        <v>1</v>
      </c>
      <c r="BK591" s="57">
        <f t="shared" si="95"/>
        <v>590</v>
      </c>
      <c r="BL591" s="57" t="str">
        <f t="shared" si="93"/>
        <v>Storm Knights Starfighter Starship (Spinward Extents)</v>
      </c>
    </row>
    <row r="592" spans="39:64" x14ac:dyDescent="0.3">
      <c r="AM592">
        <v>591</v>
      </c>
      <c r="AN592">
        <v>15</v>
      </c>
      <c r="AO592" t="s">
        <v>3178</v>
      </c>
      <c r="AP592" s="4">
        <v>51175000</v>
      </c>
      <c r="AQ592">
        <v>40</v>
      </c>
      <c r="AR592">
        <f t="shared" si="92"/>
        <v>1</v>
      </c>
      <c r="BJ592">
        <f t="shared" si="94"/>
        <v>1</v>
      </c>
      <c r="BK592" s="57">
        <f t="shared" si="95"/>
        <v>591</v>
      </c>
      <c r="BL592" s="57" t="str">
        <f t="shared" si="93"/>
        <v>Strike Boat (SCC)</v>
      </c>
    </row>
    <row r="593" spans="39:64" x14ac:dyDescent="0.3">
      <c r="AM593">
        <v>592</v>
      </c>
      <c r="AN593">
        <v>10</v>
      </c>
      <c r="AO593" t="s">
        <v>3179</v>
      </c>
      <c r="AP593" s="4">
        <v>13600000</v>
      </c>
      <c r="AQ593" s="431">
        <v>35</v>
      </c>
      <c r="AR593">
        <f t="shared" si="92"/>
        <v>1</v>
      </c>
      <c r="BJ593">
        <f t="shared" si="94"/>
        <v>1</v>
      </c>
      <c r="BK593" s="57">
        <f t="shared" si="95"/>
        <v>592</v>
      </c>
      <c r="BL593" s="57" t="str">
        <f t="shared" si="93"/>
        <v>Sua Kai Heavy Fighter (Warfleet of the 5FW)</v>
      </c>
    </row>
    <row r="594" spans="39:64" x14ac:dyDescent="0.3">
      <c r="AM594">
        <v>593</v>
      </c>
      <c r="AN594">
        <v>12</v>
      </c>
      <c r="AO594" t="s">
        <v>3180</v>
      </c>
      <c r="AP594" s="4">
        <v>1620000</v>
      </c>
      <c r="AQ594" s="431">
        <v>7.5</v>
      </c>
      <c r="AR594">
        <f t="shared" si="92"/>
        <v>1</v>
      </c>
      <c r="BJ594">
        <f t="shared" si="94"/>
        <v>1</v>
      </c>
      <c r="BK594" s="57">
        <f t="shared" si="95"/>
        <v>593</v>
      </c>
      <c r="BL594" s="57" t="str">
        <f t="shared" si="93"/>
        <v>Submersible Command Hub (Bounty Hunter)</v>
      </c>
    </row>
    <row r="595" spans="39:64" x14ac:dyDescent="0.3">
      <c r="AM595">
        <v>594</v>
      </c>
      <c r="AN595">
        <v>14</v>
      </c>
      <c r="AO595" t="s">
        <v>3181</v>
      </c>
      <c r="AP595" s="4">
        <v>2500000</v>
      </c>
      <c r="AQ595" s="471">
        <v>6</v>
      </c>
      <c r="AR595">
        <f t="shared" si="92"/>
        <v>1</v>
      </c>
      <c r="BJ595">
        <f t="shared" si="94"/>
        <v>1</v>
      </c>
      <c r="BK595" s="57">
        <f t="shared" si="95"/>
        <v>594</v>
      </c>
      <c r="BL595" s="57" t="str">
        <f t="shared" si="93"/>
        <v>Submersible Personal Tranport (Solomani Front)</v>
      </c>
    </row>
    <row r="596" spans="39:64" x14ac:dyDescent="0.3">
      <c r="AM596">
        <v>595</v>
      </c>
      <c r="AN596">
        <v>13</v>
      </c>
      <c r="AO596" t="s">
        <v>3182</v>
      </c>
      <c r="AP596" s="4">
        <v>59175000</v>
      </c>
      <c r="AQ596" s="431">
        <v>100</v>
      </c>
      <c r="AR596">
        <f t="shared" si="92"/>
        <v>1</v>
      </c>
      <c r="BJ596">
        <f t="shared" si="94"/>
        <v>1</v>
      </c>
      <c r="BK596" s="57">
        <f t="shared" si="95"/>
        <v>595</v>
      </c>
      <c r="BL596" s="57" t="str">
        <f t="shared" si="93"/>
        <v>Suerrat RCPO Courier (AoCS4)</v>
      </c>
    </row>
    <row r="597" spans="39:64" ht="15.6" x14ac:dyDescent="0.3">
      <c r="AM597">
        <v>596</v>
      </c>
      <c r="AN597" s="437">
        <v>12</v>
      </c>
      <c r="AO597" s="437" t="s">
        <v>1961</v>
      </c>
      <c r="AP597" s="438">
        <v>142920000</v>
      </c>
      <c r="AQ597" s="439">
        <v>100</v>
      </c>
      <c r="AR597">
        <f t="shared" si="92"/>
        <v>1</v>
      </c>
      <c r="BJ597">
        <f t="shared" si="94"/>
        <v>1</v>
      </c>
      <c r="BK597" s="57">
        <f t="shared" si="95"/>
        <v>596</v>
      </c>
      <c r="BL597" s="57" t="str">
        <f t="shared" si="93"/>
        <v>SuSag Stealth Courier (Naval Adventure 4)</v>
      </c>
    </row>
    <row r="598" spans="39:64" x14ac:dyDescent="0.3">
      <c r="AM598">
        <v>597</v>
      </c>
      <c r="AN598">
        <v>12</v>
      </c>
      <c r="AO598" t="s">
        <v>3183</v>
      </c>
      <c r="AP598" s="4">
        <v>9440000</v>
      </c>
      <c r="AQ598" s="431">
        <v>25</v>
      </c>
      <c r="AR598">
        <f t="shared" si="92"/>
        <v>1</v>
      </c>
      <c r="BJ598">
        <f t="shared" si="94"/>
        <v>1</v>
      </c>
      <c r="BK598" s="57">
        <f t="shared" si="95"/>
        <v>597</v>
      </c>
      <c r="BL598" s="57" t="str">
        <f t="shared" si="93"/>
        <v>Swiftstrike Interceptor (Great Rifts Book 1)</v>
      </c>
    </row>
    <row r="599" spans="39:64" ht="15.6" x14ac:dyDescent="0.3">
      <c r="AM599">
        <v>598</v>
      </c>
      <c r="AN599" s="437">
        <v>8</v>
      </c>
      <c r="AO599" s="438" t="s">
        <v>3184</v>
      </c>
      <c r="AP599" s="438">
        <v>429045000</v>
      </c>
      <c r="AQ599" s="439">
        <v>2000</v>
      </c>
      <c r="AR599">
        <f t="shared" si="92"/>
        <v>1</v>
      </c>
      <c r="BJ599">
        <f t="shared" si="94"/>
        <v>1</v>
      </c>
      <c r="BK599" s="57">
        <f t="shared" si="95"/>
        <v>598</v>
      </c>
      <c r="BL599" s="57" t="str">
        <f t="shared" si="93"/>
        <v>Sword Sworlds Drakesward System Defense Boat (Traders &amp; Gunboats)</v>
      </c>
    </row>
    <row r="600" spans="39:64" ht="15.6" x14ac:dyDescent="0.3">
      <c r="AM600">
        <v>599</v>
      </c>
      <c r="AN600" s="437">
        <v>12</v>
      </c>
      <c r="AO600" s="437" t="s">
        <v>3185</v>
      </c>
      <c r="AP600" s="438">
        <v>31045000</v>
      </c>
      <c r="AQ600" s="439">
        <v>200</v>
      </c>
      <c r="AR600">
        <f t="shared" si="92"/>
        <v>1</v>
      </c>
      <c r="BJ600">
        <f t="shared" si="94"/>
        <v>1</v>
      </c>
      <c r="BK600" s="57">
        <f t="shared" si="95"/>
        <v>599</v>
      </c>
      <c r="BL600" s="57" t="str">
        <f t="shared" si="93"/>
        <v>Sword Worlds Ahven Light Transport (Sword Worlds)</v>
      </c>
    </row>
    <row r="601" spans="39:64" ht="15.6" x14ac:dyDescent="0.3">
      <c r="AM601">
        <v>600</v>
      </c>
      <c r="AN601" s="437">
        <v>10</v>
      </c>
      <c r="AO601" s="437" t="s">
        <v>1911</v>
      </c>
      <c r="AP601" s="438">
        <v>2300000</v>
      </c>
      <c r="AQ601" s="439">
        <v>15</v>
      </c>
      <c r="AR601">
        <f t="shared" si="92"/>
        <v>1</v>
      </c>
      <c r="BJ601">
        <f t="shared" si="94"/>
        <v>1</v>
      </c>
      <c r="BK601" s="57">
        <f t="shared" si="95"/>
        <v>600</v>
      </c>
      <c r="BL601" s="57" t="str">
        <f t="shared" si="93"/>
        <v>Sword Worlds ATV (Marches Adventure 2)</v>
      </c>
    </row>
    <row r="602" spans="39:64" x14ac:dyDescent="0.3">
      <c r="AM602">
        <v>601</v>
      </c>
      <c r="AN602">
        <v>9</v>
      </c>
      <c r="AO602" t="s">
        <v>3186</v>
      </c>
      <c r="AP602" s="4">
        <v>7641000</v>
      </c>
      <c r="AQ602" s="431">
        <v>40</v>
      </c>
      <c r="AR602">
        <f t="shared" si="92"/>
        <v>1</v>
      </c>
      <c r="BJ602">
        <f t="shared" si="94"/>
        <v>1</v>
      </c>
      <c r="BK602" s="57">
        <f t="shared" si="95"/>
        <v>601</v>
      </c>
      <c r="BL602" s="57" t="str">
        <f t="shared" si="93"/>
        <v>Sword Worlds Baldr Attack Fighter (SCC)</v>
      </c>
    </row>
    <row r="603" spans="39:64" ht="15.6" x14ac:dyDescent="0.3">
      <c r="AM603">
        <v>602</v>
      </c>
      <c r="AN603" s="437">
        <v>12</v>
      </c>
      <c r="AO603" s="437" t="s">
        <v>3187</v>
      </c>
      <c r="AP603" s="438">
        <v>81400000</v>
      </c>
      <c r="AQ603" s="439">
        <v>200</v>
      </c>
      <c r="AR603">
        <f t="shared" si="92"/>
        <v>1</v>
      </c>
      <c r="BJ603">
        <f t="shared" si="94"/>
        <v>1</v>
      </c>
      <c r="BK603" s="57">
        <f t="shared" si="95"/>
        <v>602</v>
      </c>
      <c r="BL603" s="57" t="str">
        <f t="shared" si="93"/>
        <v>Sword Worlds Draken Light Strike Boat (Sword Worlds)</v>
      </c>
    </row>
    <row r="604" spans="39:64" x14ac:dyDescent="0.3">
      <c r="AM604">
        <v>603</v>
      </c>
      <c r="AN604">
        <v>12</v>
      </c>
      <c r="AO604" t="s">
        <v>3188</v>
      </c>
      <c r="AP604" s="4">
        <v>35625000</v>
      </c>
      <c r="AQ604" s="431">
        <v>80</v>
      </c>
      <c r="AR604">
        <f t="shared" si="92"/>
        <v>1</v>
      </c>
      <c r="BJ604">
        <f t="shared" si="94"/>
        <v>1</v>
      </c>
      <c r="BK604" s="57">
        <f t="shared" si="95"/>
        <v>603</v>
      </c>
      <c r="BL604" s="57" t="str">
        <f t="shared" si="93"/>
        <v>Sword Worlds Draug Torpedo Boat (Sword Worlds)</v>
      </c>
    </row>
    <row r="605" spans="39:64" x14ac:dyDescent="0.3">
      <c r="AM605">
        <v>604</v>
      </c>
      <c r="AN605">
        <v>10</v>
      </c>
      <c r="AO605" t="s">
        <v>3189</v>
      </c>
      <c r="AP605" s="4">
        <v>6380000</v>
      </c>
      <c r="AQ605" s="431">
        <v>10</v>
      </c>
      <c r="AR605">
        <f t="shared" si="92"/>
        <v>1</v>
      </c>
      <c r="BJ605">
        <f t="shared" si="94"/>
        <v>1</v>
      </c>
      <c r="BK605" s="57">
        <f t="shared" si="95"/>
        <v>604</v>
      </c>
      <c r="BL605" s="57" t="str">
        <f t="shared" si="93"/>
        <v>Sword Worlds Gripen Aerospace/Close Orbit Interceptor (Sword Worlds)</v>
      </c>
    </row>
    <row r="606" spans="39:64" x14ac:dyDescent="0.3">
      <c r="AM606">
        <v>605</v>
      </c>
      <c r="AN606">
        <v>10</v>
      </c>
      <c r="AO606" t="s">
        <v>3190</v>
      </c>
      <c r="AP606" s="4">
        <v>380900</v>
      </c>
      <c r="AQ606">
        <v>4.5</v>
      </c>
      <c r="AR606">
        <f t="shared" si="92"/>
        <v>1</v>
      </c>
      <c r="BJ606">
        <f t="shared" si="94"/>
        <v>1</v>
      </c>
      <c r="BK606" s="57">
        <f t="shared" si="95"/>
        <v>605</v>
      </c>
      <c r="BL606" s="57" t="str">
        <f t="shared" si="93"/>
        <v>Sword Worlds Hnaefir Militarised Air/Raft (Sword Worlds)</v>
      </c>
    </row>
    <row r="607" spans="39:64" x14ac:dyDescent="0.3">
      <c r="AM607">
        <v>606</v>
      </c>
      <c r="AN607">
        <v>9</v>
      </c>
      <c r="AO607" t="s">
        <v>3191</v>
      </c>
      <c r="AP607" s="4">
        <v>199000</v>
      </c>
      <c r="AQ607" s="431">
        <v>4</v>
      </c>
      <c r="AR607">
        <f t="shared" si="92"/>
        <v>1</v>
      </c>
      <c r="BJ607">
        <f t="shared" si="94"/>
        <v>1</v>
      </c>
      <c r="BK607" s="57">
        <f t="shared" si="95"/>
        <v>606</v>
      </c>
      <c r="BL607" s="57" t="str">
        <f t="shared" si="93"/>
        <v xml:space="preserve">Sword Worlds Hrunting Hnaefir Air/Raft (Behind the Claw) </v>
      </c>
    </row>
    <row r="608" spans="39:64" x14ac:dyDescent="0.3">
      <c r="AM608">
        <v>607</v>
      </c>
      <c r="AN608">
        <v>10</v>
      </c>
      <c r="AO608" t="s">
        <v>3192</v>
      </c>
      <c r="AP608" s="4">
        <v>7310000</v>
      </c>
      <c r="AQ608">
        <v>18</v>
      </c>
      <c r="AR608">
        <f t="shared" si="92"/>
        <v>1</v>
      </c>
      <c r="BJ608">
        <f t="shared" si="94"/>
        <v>1</v>
      </c>
      <c r="BK608" s="57">
        <f t="shared" si="95"/>
        <v>607</v>
      </c>
      <c r="BL608" s="57" t="str">
        <f t="shared" si="93"/>
        <v>Sword Worlds LK-1001 Light Grav Tank (Sword Worlds)</v>
      </c>
    </row>
    <row r="609" spans="39:64" x14ac:dyDescent="0.3">
      <c r="AM609">
        <v>608</v>
      </c>
      <c r="AN609">
        <v>12</v>
      </c>
      <c r="AO609" t="s">
        <v>3193</v>
      </c>
      <c r="AP609" s="4">
        <v>3500000</v>
      </c>
      <c r="AQ609">
        <v>8</v>
      </c>
      <c r="AR609">
        <f t="shared" si="92"/>
        <v>1</v>
      </c>
      <c r="BJ609">
        <f t="shared" si="94"/>
        <v>1</v>
      </c>
      <c r="BK609" s="57">
        <f t="shared" si="95"/>
        <v>608</v>
      </c>
      <c r="BL609" s="57" t="str">
        <f t="shared" si="93"/>
        <v>Sword Worlds LT-1067 Grav Gunship (Sword Worlds)</v>
      </c>
    </row>
    <row r="610" spans="39:64" x14ac:dyDescent="0.3">
      <c r="AM610">
        <v>609</v>
      </c>
      <c r="AN610">
        <v>10</v>
      </c>
      <c r="AO610" t="s">
        <v>3194</v>
      </c>
      <c r="AP610" s="4">
        <v>521275</v>
      </c>
      <c r="AQ610">
        <v>15</v>
      </c>
      <c r="AR610">
        <f t="shared" si="92"/>
        <v>1</v>
      </c>
      <c r="BJ610">
        <f t="shared" si="94"/>
        <v>1</v>
      </c>
      <c r="BK610" s="57">
        <f t="shared" si="95"/>
        <v>609</v>
      </c>
      <c r="BL610" s="57" t="str">
        <f t="shared" si="93"/>
        <v>Sword Worlds MTD-1088 Magnetisk Tankdampare (Sword Worlds)</v>
      </c>
    </row>
    <row r="611" spans="39:64" x14ac:dyDescent="0.3">
      <c r="AM611">
        <v>610</v>
      </c>
      <c r="AN611">
        <v>10</v>
      </c>
      <c r="AO611" t="s">
        <v>3195</v>
      </c>
      <c r="AP611" s="4">
        <v>5390000</v>
      </c>
      <c r="AQ611">
        <v>20</v>
      </c>
      <c r="AR611">
        <f t="shared" si="92"/>
        <v>1</v>
      </c>
      <c r="BJ611">
        <f t="shared" si="94"/>
        <v>1</v>
      </c>
      <c r="BK611" s="57">
        <f t="shared" si="95"/>
        <v>610</v>
      </c>
      <c r="BL611" s="57" t="str">
        <f t="shared" si="93"/>
        <v>Sword Worlds P-984 Armored Personnel Carrier (Sword Worlds)</v>
      </c>
    </row>
    <row r="612" spans="39:64" x14ac:dyDescent="0.3">
      <c r="AM612">
        <v>611</v>
      </c>
      <c r="AN612">
        <v>10</v>
      </c>
      <c r="AO612" t="s">
        <v>3196</v>
      </c>
      <c r="AP612" s="4">
        <v>284000</v>
      </c>
      <c r="AQ612">
        <v>15</v>
      </c>
      <c r="AR612">
        <f t="shared" si="92"/>
        <v>1</v>
      </c>
      <c r="BJ612">
        <f t="shared" si="94"/>
        <v>1</v>
      </c>
      <c r="BK612" s="57">
        <f t="shared" si="95"/>
        <v>611</v>
      </c>
      <c r="BL612" s="57" t="str">
        <f t="shared" si="93"/>
        <v>Sword Worlds PK-1065 Wheeled APC (Sword Worlds)</v>
      </c>
    </row>
    <row r="613" spans="39:64" ht="15.6" x14ac:dyDescent="0.3">
      <c r="AM613">
        <v>612</v>
      </c>
      <c r="AN613" s="437">
        <v>10</v>
      </c>
      <c r="AO613" s="437" t="s">
        <v>3197</v>
      </c>
      <c r="AP613" s="438">
        <v>337175000</v>
      </c>
      <c r="AQ613" s="439">
        <v>1200</v>
      </c>
      <c r="AR613">
        <f t="shared" si="92"/>
        <v>1</v>
      </c>
      <c r="BJ613">
        <f t="shared" si="94"/>
        <v>1</v>
      </c>
      <c r="BK613" s="57">
        <f t="shared" si="95"/>
        <v>612</v>
      </c>
      <c r="BL613" s="57" t="str">
        <f t="shared" si="93"/>
        <v>Sword Worlds Priest Vogel System Defense Boat (Traders &amp; Gunboats)</v>
      </c>
    </row>
    <row r="614" spans="39:64" x14ac:dyDescent="0.3">
      <c r="AM614">
        <v>613</v>
      </c>
      <c r="AN614">
        <v>12</v>
      </c>
      <c r="AO614" t="s">
        <v>3198</v>
      </c>
      <c r="AP614" s="4">
        <v>18825000</v>
      </c>
      <c r="AQ614" s="431">
        <v>40</v>
      </c>
      <c r="AR614">
        <f t="shared" si="92"/>
        <v>1</v>
      </c>
      <c r="BJ614">
        <f t="shared" si="94"/>
        <v>1</v>
      </c>
      <c r="BK614" s="57">
        <f t="shared" si="95"/>
        <v>613</v>
      </c>
      <c r="BL614" s="57" t="str">
        <f t="shared" si="93"/>
        <v>Sword Worlds Rauma Utility Boat (Sword Worlds)</v>
      </c>
    </row>
    <row r="615" spans="39:64" ht="15.6" x14ac:dyDescent="0.3">
      <c r="AM615">
        <v>614</v>
      </c>
      <c r="AN615" s="437">
        <v>12</v>
      </c>
      <c r="AO615" s="437" t="s">
        <v>3199</v>
      </c>
      <c r="AP615" s="438">
        <v>245457000</v>
      </c>
      <c r="AQ615" s="439">
        <v>600</v>
      </c>
      <c r="AR615">
        <f t="shared" si="92"/>
        <v>1</v>
      </c>
      <c r="BJ615">
        <f t="shared" si="94"/>
        <v>1</v>
      </c>
      <c r="BK615" s="57">
        <f t="shared" si="95"/>
        <v>614</v>
      </c>
      <c r="BL615" s="57" t="str">
        <f t="shared" si="93"/>
        <v>Sword Worlds SBC-12 Strike Boat (War Fleets of the Fifth Frontier War)</v>
      </c>
    </row>
    <row r="616" spans="39:64" x14ac:dyDescent="0.3">
      <c r="AM616">
        <v>615</v>
      </c>
      <c r="AN616">
        <v>12</v>
      </c>
      <c r="AO616" t="s">
        <v>3200</v>
      </c>
      <c r="AP616" s="4">
        <v>9010000</v>
      </c>
      <c r="AQ616" s="431">
        <v>30</v>
      </c>
      <c r="AR616">
        <f t="shared" si="92"/>
        <v>1</v>
      </c>
      <c r="BJ616">
        <f t="shared" si="94"/>
        <v>1</v>
      </c>
      <c r="BK616" s="57">
        <f t="shared" si="95"/>
        <v>615</v>
      </c>
      <c r="BL616" s="57" t="str">
        <f t="shared" si="93"/>
        <v>Sword Worlds Ship's Boat (SCC)</v>
      </c>
    </row>
    <row r="617" spans="39:64" ht="15.6" x14ac:dyDescent="0.3">
      <c r="AM617">
        <v>616</v>
      </c>
      <c r="AN617" s="437">
        <v>12</v>
      </c>
      <c r="AO617" s="437" t="s">
        <v>3201</v>
      </c>
      <c r="AP617" s="4">
        <v>417150000</v>
      </c>
      <c r="AQ617" s="431">
        <v>800</v>
      </c>
      <c r="AR617">
        <f t="shared" si="92"/>
        <v>1</v>
      </c>
      <c r="BJ617">
        <f t="shared" si="94"/>
        <v>1</v>
      </c>
      <c r="BK617" s="57">
        <f t="shared" si="95"/>
        <v>616</v>
      </c>
      <c r="BL617" s="57" t="str">
        <f t="shared" si="93"/>
        <v>Sword Worlds Sobjornen Heavy Gunboat (Sword Worlds)</v>
      </c>
    </row>
    <row r="618" spans="39:64" x14ac:dyDescent="0.3">
      <c r="AM618">
        <v>617</v>
      </c>
      <c r="AN618">
        <v>10</v>
      </c>
      <c r="AO618" t="s">
        <v>3202</v>
      </c>
      <c r="AP618" s="4">
        <v>5700000</v>
      </c>
      <c r="AQ618">
        <v>20</v>
      </c>
      <c r="AR618">
        <f t="shared" ref="AR618:AR681" si="96">IF($N$62="No",-20,1)</f>
        <v>1</v>
      </c>
      <c r="BJ618">
        <f t="shared" si="94"/>
        <v>1</v>
      </c>
      <c r="BK618" s="57">
        <f t="shared" si="95"/>
        <v>617</v>
      </c>
      <c r="BL618" s="57" t="str">
        <f t="shared" si="93"/>
        <v>Sword Worlds ST-1085 Tank Hunter (Sword Worlds)</v>
      </c>
    </row>
    <row r="619" spans="39:64" x14ac:dyDescent="0.3">
      <c r="AM619">
        <v>618</v>
      </c>
      <c r="AN619">
        <v>12</v>
      </c>
      <c r="AO619" t="s">
        <v>3203</v>
      </c>
      <c r="AP619" s="4">
        <v>22825000</v>
      </c>
      <c r="AQ619" s="431">
        <v>80</v>
      </c>
      <c r="AR619">
        <f t="shared" si="96"/>
        <v>1</v>
      </c>
      <c r="BJ619">
        <f t="shared" si="94"/>
        <v>1</v>
      </c>
      <c r="BK619" s="57">
        <f t="shared" si="95"/>
        <v>618</v>
      </c>
      <c r="BL619" s="57" t="str">
        <f t="shared" si="93"/>
        <v>Sword Worlds Tjell Shuttle (Sword Worlds)</v>
      </c>
    </row>
    <row r="620" spans="39:64" ht="15.6" x14ac:dyDescent="0.3">
      <c r="AM620">
        <v>619</v>
      </c>
      <c r="AN620" s="437">
        <v>12</v>
      </c>
      <c r="AO620" s="437" t="s">
        <v>3204</v>
      </c>
      <c r="AP620" s="438">
        <v>13975000</v>
      </c>
      <c r="AQ620" s="439">
        <v>20</v>
      </c>
      <c r="AR620">
        <f t="shared" si="96"/>
        <v>1</v>
      </c>
      <c r="BJ620">
        <f t="shared" si="94"/>
        <v>1</v>
      </c>
      <c r="BK620" s="57">
        <f t="shared" si="95"/>
        <v>619</v>
      </c>
      <c r="BL620" s="57" t="str">
        <f t="shared" si="93"/>
        <v>Sword Worlds Turunmaa Fighter (Opening Moves)</v>
      </c>
    </row>
    <row r="621" spans="39:64" x14ac:dyDescent="0.3">
      <c r="AM621">
        <v>620</v>
      </c>
      <c r="AN621">
        <v>12</v>
      </c>
      <c r="AO621" t="s">
        <v>3205</v>
      </c>
      <c r="AP621" s="4">
        <v>44510000</v>
      </c>
      <c r="AQ621" s="431">
        <v>70</v>
      </c>
      <c r="AR621">
        <f t="shared" si="96"/>
        <v>1</v>
      </c>
      <c r="BJ621">
        <f t="shared" si="94"/>
        <v>1</v>
      </c>
      <c r="BK621" s="57">
        <f t="shared" si="95"/>
        <v>620</v>
      </c>
      <c r="BL621" s="57" t="str">
        <f t="shared" si="93"/>
        <v>Sword Worlds Vanguard Fusion Boat (SCC)</v>
      </c>
    </row>
    <row r="622" spans="39:64" x14ac:dyDescent="0.3">
      <c r="AM622">
        <v>621</v>
      </c>
      <c r="AN622">
        <v>12</v>
      </c>
      <c r="AO622" t="s">
        <v>3206</v>
      </c>
      <c r="AP622" s="4">
        <v>37390000</v>
      </c>
      <c r="AQ622" s="431">
        <v>70</v>
      </c>
      <c r="AR622">
        <f t="shared" si="96"/>
        <v>1</v>
      </c>
      <c r="BJ622">
        <f t="shared" si="94"/>
        <v>1</v>
      </c>
      <c r="BK622" s="57">
        <f t="shared" si="95"/>
        <v>621</v>
      </c>
      <c r="BL622" s="57" t="str">
        <f t="shared" si="93"/>
        <v>Sword Worlds Vanguard-M Missile Boat (SCC)</v>
      </c>
    </row>
    <row r="623" spans="39:64" x14ac:dyDescent="0.3">
      <c r="AM623">
        <v>622</v>
      </c>
      <c r="AN623">
        <v>10</v>
      </c>
      <c r="AO623" t="s">
        <v>3207</v>
      </c>
      <c r="AP623" s="4">
        <v>12500</v>
      </c>
      <c r="AQ623" s="471">
        <v>6</v>
      </c>
      <c r="AR623">
        <f t="shared" si="96"/>
        <v>1</v>
      </c>
      <c r="BJ623">
        <f t="shared" si="94"/>
        <v>1</v>
      </c>
      <c r="BK623" s="57">
        <f t="shared" si="95"/>
        <v>622</v>
      </c>
      <c r="BL623" s="57" t="str">
        <f t="shared" si="93"/>
        <v>Sword Worlds Veijari Wheeled Utility Vehicle (Sword Worlds)</v>
      </c>
    </row>
    <row r="624" spans="39:64" x14ac:dyDescent="0.3">
      <c r="AM624">
        <v>623</v>
      </c>
      <c r="AN624">
        <v>15</v>
      </c>
      <c r="AO624" t="s">
        <v>3208</v>
      </c>
      <c r="AP624" s="4">
        <v>146030000</v>
      </c>
      <c r="AQ624">
        <v>200</v>
      </c>
      <c r="AR624">
        <f t="shared" si="96"/>
        <v>1</v>
      </c>
      <c r="BJ624">
        <f t="shared" si="94"/>
        <v>1</v>
      </c>
      <c r="BK624" s="57">
        <f t="shared" si="95"/>
        <v>623</v>
      </c>
      <c r="BL624" s="57" t="str">
        <f t="shared" si="93"/>
        <v>System Defence Boat (Core'24)</v>
      </c>
    </row>
    <row r="625" spans="39:64" x14ac:dyDescent="0.3">
      <c r="AM625">
        <v>624</v>
      </c>
      <c r="AN625">
        <v>15</v>
      </c>
      <c r="AO625" t="s">
        <v>3209</v>
      </c>
      <c r="AP625" s="4">
        <v>113015000</v>
      </c>
      <c r="AQ625">
        <v>95</v>
      </c>
      <c r="AR625">
        <f t="shared" si="96"/>
        <v>1</v>
      </c>
      <c r="BJ625">
        <f t="shared" si="94"/>
        <v>1</v>
      </c>
      <c r="BK625" s="57">
        <f t="shared" si="95"/>
        <v>624</v>
      </c>
      <c r="BL625" s="57" t="str">
        <f t="shared" ref="BL625:BL688" si="97">IF(BK625&gt;$BK$1,"",INDEX($AM$2:$AO$758,MATCH(BK625,$AM$2:$AM$758,0),3))</f>
        <v>System Defence Craft (SCC)</v>
      </c>
    </row>
    <row r="626" spans="39:64" x14ac:dyDescent="0.3">
      <c r="AM626">
        <v>625</v>
      </c>
      <c r="AN626">
        <v>15</v>
      </c>
      <c r="AO626" t="s">
        <v>3210</v>
      </c>
      <c r="AP626" s="4">
        <v>147130000</v>
      </c>
      <c r="AQ626">
        <v>200</v>
      </c>
      <c r="AR626">
        <f t="shared" si="96"/>
        <v>1</v>
      </c>
      <c r="BJ626">
        <f t="shared" si="94"/>
        <v>1</v>
      </c>
      <c r="BK626" s="57">
        <f t="shared" si="95"/>
        <v>625</v>
      </c>
      <c r="BL626" s="57" t="str">
        <f t="shared" si="97"/>
        <v>System Defense Boat (HG'22)</v>
      </c>
    </row>
    <row r="627" spans="39:64" x14ac:dyDescent="0.3">
      <c r="AM627">
        <v>626</v>
      </c>
      <c r="AN627">
        <v>13</v>
      </c>
      <c r="AO627" t="s">
        <v>3211</v>
      </c>
      <c r="AP627" s="4">
        <v>26575000</v>
      </c>
      <c r="AQ627">
        <v>50</v>
      </c>
      <c r="AR627">
        <f t="shared" si="96"/>
        <v>1</v>
      </c>
      <c r="BJ627">
        <f t="shared" si="94"/>
        <v>1</v>
      </c>
      <c r="BK627" s="57">
        <f t="shared" si="95"/>
        <v>626</v>
      </c>
      <c r="BL627" s="57" t="str">
        <f t="shared" si="97"/>
        <v>Sytem Defense Rock (SCC)</v>
      </c>
    </row>
    <row r="628" spans="39:64" ht="15.6" x14ac:dyDescent="0.3">
      <c r="AM628">
        <v>627</v>
      </c>
      <c r="AN628" s="437">
        <v>12</v>
      </c>
      <c r="AO628" s="437" t="s">
        <v>2183</v>
      </c>
      <c r="AP628" s="438">
        <v>16390000</v>
      </c>
      <c r="AQ628" s="439">
        <v>12</v>
      </c>
      <c r="AR628">
        <f t="shared" si="96"/>
        <v>1</v>
      </c>
      <c r="BJ628">
        <f t="shared" si="94"/>
        <v>1</v>
      </c>
      <c r="BK628" s="57">
        <f t="shared" si="95"/>
        <v>627</v>
      </c>
      <c r="BL628" s="57" t="str">
        <f t="shared" si="97"/>
        <v>T12-Class Fighter (The Borderlands)</v>
      </c>
    </row>
    <row r="629" spans="39:64" x14ac:dyDescent="0.3">
      <c r="AM629">
        <v>628</v>
      </c>
      <c r="AN629">
        <v>8</v>
      </c>
      <c r="AO629" t="s">
        <v>1807</v>
      </c>
      <c r="AP629" s="4">
        <v>256900</v>
      </c>
      <c r="AQ629" s="471">
        <v>6</v>
      </c>
      <c r="AR629">
        <f t="shared" si="96"/>
        <v>1</v>
      </c>
      <c r="BJ629">
        <f t="shared" si="94"/>
        <v>1</v>
      </c>
      <c r="BK629" s="57">
        <f t="shared" si="95"/>
        <v>628</v>
      </c>
      <c r="BL629" s="57" t="str">
        <f t="shared" si="97"/>
        <v>Taisben Military Grav Platform (Field Catalogue)</v>
      </c>
    </row>
    <row r="630" spans="39:64" x14ac:dyDescent="0.3">
      <c r="AM630">
        <v>629</v>
      </c>
      <c r="AN630">
        <v>12</v>
      </c>
      <c r="AO630" t="s">
        <v>3212</v>
      </c>
      <c r="AP630" s="4">
        <v>28477000</v>
      </c>
      <c r="AQ630" s="686">
        <v>50</v>
      </c>
      <c r="AR630">
        <f t="shared" si="96"/>
        <v>1</v>
      </c>
      <c r="BJ630">
        <f t="shared" si="94"/>
        <v>1</v>
      </c>
      <c r="BK630" s="57">
        <f t="shared" si="95"/>
        <v>629</v>
      </c>
      <c r="BL630" s="57" t="str">
        <f t="shared" si="97"/>
        <v>Takedown Cutter (Sylean Dream)</v>
      </c>
    </row>
    <row r="631" spans="39:64" ht="15.6" x14ac:dyDescent="0.3">
      <c r="AM631">
        <v>630</v>
      </c>
      <c r="AN631" s="437">
        <v>12</v>
      </c>
      <c r="AO631" s="437" t="s">
        <v>1841</v>
      </c>
      <c r="AP631" s="438">
        <v>316000</v>
      </c>
      <c r="AQ631" s="439">
        <v>5</v>
      </c>
      <c r="AR631">
        <f t="shared" si="96"/>
        <v>1</v>
      </c>
      <c r="BJ631">
        <f t="shared" si="94"/>
        <v>1</v>
      </c>
      <c r="BK631" s="57">
        <f t="shared" si="95"/>
        <v>630</v>
      </c>
      <c r="BL631" s="57" t="str">
        <f t="shared" si="97"/>
        <v>Talson Automotive ‘Challenger’ Ground Car (JTAS Vol. 4)</v>
      </c>
    </row>
    <row r="632" spans="39:64" x14ac:dyDescent="0.3">
      <c r="AM632">
        <v>631</v>
      </c>
      <c r="AN632">
        <v>12</v>
      </c>
      <c r="AO632" t="s">
        <v>3213</v>
      </c>
      <c r="AP632" s="4">
        <v>14327000</v>
      </c>
      <c r="AQ632" s="687">
        <v>50</v>
      </c>
      <c r="AR632">
        <f t="shared" si="96"/>
        <v>1</v>
      </c>
      <c r="BJ632">
        <f t="shared" si="94"/>
        <v>1</v>
      </c>
      <c r="BK632" s="57">
        <f t="shared" si="95"/>
        <v>631</v>
      </c>
      <c r="BL632" s="57" t="str">
        <f t="shared" si="97"/>
        <v>Teamster Logistics Vehicle (Armies of the 5FW)</v>
      </c>
    </row>
    <row r="633" spans="39:64" x14ac:dyDescent="0.3">
      <c r="AM633">
        <v>632</v>
      </c>
      <c r="AN633">
        <v>12</v>
      </c>
      <c r="AO633" t="s">
        <v>1874</v>
      </c>
      <c r="AP633" s="4">
        <v>23875000</v>
      </c>
      <c r="AQ633" s="687">
        <v>50</v>
      </c>
      <c r="AR633">
        <f t="shared" si="96"/>
        <v>1</v>
      </c>
      <c r="BJ633">
        <f t="shared" si="94"/>
        <v>1</v>
      </c>
      <c r="BK633" s="57">
        <f t="shared" si="95"/>
        <v>632</v>
      </c>
      <c r="BL633" s="57" t="str">
        <f t="shared" si="97"/>
        <v>Telchine Mining Craft (JTAS Vol. 9)</v>
      </c>
    </row>
    <row r="634" spans="39:64" x14ac:dyDescent="0.3">
      <c r="AM634">
        <v>633</v>
      </c>
      <c r="AN634">
        <v>11</v>
      </c>
      <c r="AO634" t="s">
        <v>3214</v>
      </c>
      <c r="AP634" s="4">
        <v>75000</v>
      </c>
      <c r="AQ634">
        <v>2</v>
      </c>
      <c r="AR634">
        <f t="shared" si="96"/>
        <v>1</v>
      </c>
      <c r="BJ634">
        <f t="shared" si="94"/>
        <v>1</v>
      </c>
      <c r="BK634" s="57">
        <f t="shared" si="95"/>
        <v>633</v>
      </c>
      <c r="BL634" s="57" t="str">
        <f t="shared" si="97"/>
        <v>Tempest Supercar (Vehicle Handbook)</v>
      </c>
    </row>
    <row r="635" spans="39:64" x14ac:dyDescent="0.3">
      <c r="AM635">
        <v>634</v>
      </c>
      <c r="AN635">
        <v>7</v>
      </c>
      <c r="AO635" t="s">
        <v>3215</v>
      </c>
      <c r="AP635" s="4">
        <v>760000</v>
      </c>
      <c r="AQ635">
        <v>10</v>
      </c>
      <c r="AR635">
        <f t="shared" si="96"/>
        <v>1</v>
      </c>
      <c r="BJ635">
        <f t="shared" si="94"/>
        <v>1</v>
      </c>
      <c r="BK635" s="57">
        <f t="shared" si="95"/>
        <v>634</v>
      </c>
      <c r="BL635" s="57" t="str">
        <f t="shared" si="97"/>
        <v>Termite Excavating Tunneller (Vehicle Handbook)</v>
      </c>
    </row>
    <row r="636" spans="39:64" x14ac:dyDescent="0.3">
      <c r="AM636">
        <v>635</v>
      </c>
      <c r="AN636">
        <v>4</v>
      </c>
      <c r="AO636" t="s">
        <v>3216</v>
      </c>
      <c r="AP636" s="4">
        <v>100000</v>
      </c>
      <c r="AQ636">
        <v>3</v>
      </c>
      <c r="AR636">
        <f t="shared" si="96"/>
        <v>1</v>
      </c>
      <c r="BJ636">
        <f t="shared" si="94"/>
        <v>1</v>
      </c>
      <c r="BK636" s="57">
        <f t="shared" si="95"/>
        <v>635</v>
      </c>
      <c r="BL636" s="57" t="str">
        <f t="shared" si="97"/>
        <v>Terror-Roc Patrol Fighter (Vehicle Handbook)</v>
      </c>
    </row>
    <row r="637" spans="39:64" x14ac:dyDescent="0.3">
      <c r="AM637">
        <v>636</v>
      </c>
      <c r="AN637">
        <v>12</v>
      </c>
      <c r="AO637" t="s">
        <v>3217</v>
      </c>
      <c r="AP637" s="4">
        <v>54572500</v>
      </c>
      <c r="AQ637" s="431">
        <v>35</v>
      </c>
      <c r="AR637">
        <f t="shared" si="96"/>
        <v>1</v>
      </c>
      <c r="BJ637">
        <f t="shared" si="94"/>
        <v>1</v>
      </c>
      <c r="BK637" s="57">
        <f t="shared" si="95"/>
        <v>636</v>
      </c>
      <c r="BL637" s="57" t="str">
        <f t="shared" si="97"/>
        <v>Tezcat Asjrou-Class Stealth Fighter (AoCS4)</v>
      </c>
    </row>
    <row r="638" spans="39:64" x14ac:dyDescent="0.3">
      <c r="AM638">
        <v>637</v>
      </c>
      <c r="AN638">
        <v>12</v>
      </c>
      <c r="AO638" t="s">
        <v>3218</v>
      </c>
      <c r="AP638" s="4">
        <v>56645000</v>
      </c>
      <c r="AQ638" s="431">
        <v>100</v>
      </c>
      <c r="AR638">
        <f t="shared" si="96"/>
        <v>1</v>
      </c>
      <c r="BJ638">
        <f t="shared" si="94"/>
        <v>1</v>
      </c>
      <c r="BK638" s="57">
        <f t="shared" si="95"/>
        <v>637</v>
      </c>
      <c r="BL638" s="57" t="str">
        <f t="shared" si="97"/>
        <v>Tezcat Grathriss-Class Gunboat (AoCS4)</v>
      </c>
    </row>
    <row r="639" spans="39:64" x14ac:dyDescent="0.3">
      <c r="AM639">
        <v>638</v>
      </c>
      <c r="AN639">
        <v>12</v>
      </c>
      <c r="AO639" t="s">
        <v>3219</v>
      </c>
      <c r="AP639" s="4">
        <v>6830000</v>
      </c>
      <c r="AQ639" s="431">
        <v>20</v>
      </c>
      <c r="AR639">
        <f t="shared" si="96"/>
        <v>1</v>
      </c>
      <c r="BJ639">
        <f t="shared" si="94"/>
        <v>1</v>
      </c>
      <c r="BK639" s="57">
        <f t="shared" si="95"/>
        <v>638</v>
      </c>
      <c r="BL639" s="57" t="str">
        <f t="shared" si="97"/>
        <v>Tezcat Gshahk-Class Gig (AoCS4)</v>
      </c>
    </row>
    <row r="640" spans="39:64" x14ac:dyDescent="0.3">
      <c r="AM640">
        <v>639</v>
      </c>
      <c r="AN640">
        <v>12</v>
      </c>
      <c r="AO640" t="s">
        <v>3220</v>
      </c>
      <c r="AP640" s="4">
        <v>31945000</v>
      </c>
      <c r="AQ640" s="431">
        <v>9</v>
      </c>
      <c r="AR640">
        <f t="shared" si="96"/>
        <v>1</v>
      </c>
      <c r="BJ640">
        <f t="shared" ref="BJ640:BJ703" si="98">IF($N$61="Yes",1,IF(AN640&gt;TL,-20,1))</f>
        <v>1</v>
      </c>
      <c r="BK640" s="57">
        <f t="shared" si="95"/>
        <v>639</v>
      </c>
      <c r="BL640" s="57" t="str">
        <f t="shared" si="97"/>
        <v>Tezcat Hrisshtou-Class Light Fighter (AoCS4)</v>
      </c>
    </row>
    <row r="641" spans="39:64" x14ac:dyDescent="0.3">
      <c r="AM641">
        <v>640</v>
      </c>
      <c r="AN641">
        <v>12</v>
      </c>
      <c r="AO641" t="s">
        <v>3221</v>
      </c>
      <c r="AP641" s="4">
        <v>33422500</v>
      </c>
      <c r="AQ641" s="431">
        <v>35</v>
      </c>
      <c r="AR641">
        <f t="shared" si="96"/>
        <v>1</v>
      </c>
      <c r="BJ641">
        <f t="shared" si="98"/>
        <v>1</v>
      </c>
      <c r="BK641" s="57">
        <f t="shared" si="95"/>
        <v>640</v>
      </c>
      <c r="BL641" s="57" t="str">
        <f t="shared" si="97"/>
        <v>Tezcat Kalahk-Class Medium Fighter (AoCS4)</v>
      </c>
    </row>
    <row r="642" spans="39:64" x14ac:dyDescent="0.3">
      <c r="AM642">
        <v>641</v>
      </c>
      <c r="AN642">
        <v>12</v>
      </c>
      <c r="AO642" t="s">
        <v>3222</v>
      </c>
      <c r="AP642" s="4">
        <v>116030000</v>
      </c>
      <c r="AQ642" s="431">
        <v>1000</v>
      </c>
      <c r="AR642">
        <f t="shared" si="96"/>
        <v>1</v>
      </c>
      <c r="BJ642">
        <f t="shared" si="98"/>
        <v>1</v>
      </c>
      <c r="BK642" s="57">
        <f t="shared" si="95"/>
        <v>641</v>
      </c>
      <c r="BL642" s="57" t="str">
        <f t="shared" si="97"/>
        <v>Tezcat Kilrashta-Class Refuelling Shuttle (AoCS 4)</v>
      </c>
    </row>
    <row r="643" spans="39:64" x14ac:dyDescent="0.3">
      <c r="AM643">
        <v>642</v>
      </c>
      <c r="AN643">
        <v>12</v>
      </c>
      <c r="AO643" t="s">
        <v>3223</v>
      </c>
      <c r="AP643" s="4">
        <v>29150000</v>
      </c>
      <c r="AQ643" s="686">
        <v>50</v>
      </c>
      <c r="AR643">
        <f t="shared" si="96"/>
        <v>1</v>
      </c>
      <c r="BJ643">
        <f t="shared" si="98"/>
        <v>1</v>
      </c>
      <c r="BK643" s="57">
        <f t="shared" si="95"/>
        <v>642</v>
      </c>
      <c r="BL643" s="57" t="str">
        <f t="shared" si="97"/>
        <v>Tezcat Rashkaaht-Class Boarding Skiff (AoCS4)</v>
      </c>
    </row>
    <row r="644" spans="39:64" x14ac:dyDescent="0.3">
      <c r="AM644">
        <v>643</v>
      </c>
      <c r="AN644">
        <v>12</v>
      </c>
      <c r="AO644" t="s">
        <v>3224</v>
      </c>
      <c r="AP644" s="4">
        <v>48625000</v>
      </c>
      <c r="AQ644" s="431">
        <v>100</v>
      </c>
      <c r="AR644">
        <f t="shared" si="96"/>
        <v>1</v>
      </c>
      <c r="BJ644">
        <f t="shared" si="98"/>
        <v>1</v>
      </c>
      <c r="BK644" s="57">
        <f t="shared" ref="BK644:BK707" si="99">BK643+1</f>
        <v>643</v>
      </c>
      <c r="BL644" s="57" t="str">
        <f t="shared" si="97"/>
        <v>Tezcat Vatha-Class Torpedo Boat (AoCS4)</v>
      </c>
    </row>
    <row r="645" spans="39:64" x14ac:dyDescent="0.3">
      <c r="AM645">
        <v>644</v>
      </c>
      <c r="AN645">
        <v>12</v>
      </c>
      <c r="AO645" t="s">
        <v>3225</v>
      </c>
      <c r="AP645" s="4">
        <v>45064000</v>
      </c>
      <c r="AQ645" s="431">
        <v>70</v>
      </c>
      <c r="AR645">
        <f t="shared" si="96"/>
        <v>1</v>
      </c>
      <c r="BJ645">
        <f t="shared" si="98"/>
        <v>1</v>
      </c>
      <c r="BK645" s="57">
        <f t="shared" si="99"/>
        <v>644</v>
      </c>
      <c r="BL645" s="57" t="str">
        <f t="shared" si="97"/>
        <v>Tezcat Yarlasth-Class Heavy Fighter (AoCS4)</v>
      </c>
    </row>
    <row r="646" spans="39:64" ht="15.6" x14ac:dyDescent="0.3">
      <c r="AM646">
        <v>645</v>
      </c>
      <c r="AN646" s="437">
        <v>15</v>
      </c>
      <c r="AO646" s="437" t="s">
        <v>1978</v>
      </c>
      <c r="AP646" s="438">
        <v>681832000</v>
      </c>
      <c r="AQ646" s="439">
        <v>1000</v>
      </c>
      <c r="AR646">
        <f t="shared" si="96"/>
        <v>1</v>
      </c>
      <c r="BJ646">
        <f t="shared" si="98"/>
        <v>1</v>
      </c>
      <c r="BK646" s="57">
        <f t="shared" si="99"/>
        <v>645</v>
      </c>
      <c r="BL646" s="57" t="str">
        <f t="shared" si="97"/>
        <v>The Alahir (Heavy Scout) (Secrets of the Ancients)</v>
      </c>
    </row>
    <row r="647" spans="39:64" ht="15.6" x14ac:dyDescent="0.3">
      <c r="AM647">
        <v>646</v>
      </c>
      <c r="AN647" s="437">
        <v>25</v>
      </c>
      <c r="AO647" s="437" t="s">
        <v>1980</v>
      </c>
      <c r="AP647" s="438"/>
      <c r="AQ647" s="439">
        <v>100</v>
      </c>
      <c r="AR647">
        <f t="shared" si="96"/>
        <v>1</v>
      </c>
      <c r="BJ647">
        <f t="shared" si="98"/>
        <v>1</v>
      </c>
      <c r="BK647" s="57">
        <f t="shared" si="99"/>
        <v>646</v>
      </c>
      <c r="BL647" s="57" t="str">
        <f t="shared" si="97"/>
        <v>The Dart (Ancients Scout Ship) (Secrets of the Ancients)</v>
      </c>
    </row>
    <row r="648" spans="39:64" ht="15.6" x14ac:dyDescent="0.3">
      <c r="AM648">
        <v>647</v>
      </c>
      <c r="AN648" s="437">
        <v>25</v>
      </c>
      <c r="AO648" s="437" t="s">
        <v>1989</v>
      </c>
      <c r="AP648" s="438">
        <v>0</v>
      </c>
      <c r="AQ648" s="439">
        <v>400</v>
      </c>
      <c r="AR648">
        <f t="shared" si="96"/>
        <v>1</v>
      </c>
      <c r="BJ648">
        <f t="shared" si="98"/>
        <v>1</v>
      </c>
      <c r="BK648" s="57">
        <f t="shared" si="99"/>
        <v>647</v>
      </c>
      <c r="BL648" s="57" t="str">
        <f t="shared" si="97"/>
        <v>The Nameless Ship (Wrath of the Ancients)</v>
      </c>
    </row>
    <row r="649" spans="39:64" x14ac:dyDescent="0.3">
      <c r="AM649">
        <v>648</v>
      </c>
      <c r="AN649">
        <v>12</v>
      </c>
      <c r="AO649" t="s">
        <v>3226</v>
      </c>
      <c r="AP649" s="4">
        <v>158850000</v>
      </c>
      <c r="AQ649" s="431">
        <v>1150</v>
      </c>
      <c r="AR649">
        <f t="shared" si="96"/>
        <v>1</v>
      </c>
      <c r="BJ649">
        <f t="shared" si="98"/>
        <v>1</v>
      </c>
      <c r="BK649" s="57">
        <f t="shared" si="99"/>
        <v>648</v>
      </c>
      <c r="BL649" s="57" t="str">
        <f t="shared" si="97"/>
        <v>Thousand-Class (In System) Freighter (BtC)</v>
      </c>
    </row>
    <row r="650" spans="39:64" x14ac:dyDescent="0.3">
      <c r="AM650">
        <v>649</v>
      </c>
      <c r="AN650">
        <v>8</v>
      </c>
      <c r="AO650" t="s">
        <v>3227</v>
      </c>
      <c r="AP650" s="4">
        <v>17200000</v>
      </c>
      <c r="AQ650">
        <v>15</v>
      </c>
      <c r="AR650">
        <f t="shared" si="96"/>
        <v>1</v>
      </c>
      <c r="BJ650">
        <f t="shared" si="98"/>
        <v>1</v>
      </c>
      <c r="BK650" s="57">
        <f t="shared" si="99"/>
        <v>649</v>
      </c>
      <c r="BL650" s="57" t="str">
        <f t="shared" si="97"/>
        <v>Thunder Hover Tank (Vehicle Handbook)</v>
      </c>
    </row>
    <row r="651" spans="39:64" ht="15.6" x14ac:dyDescent="0.3">
      <c r="AM651">
        <v>650</v>
      </c>
      <c r="AN651" s="437">
        <v>8</v>
      </c>
      <c r="AO651" s="437" t="s">
        <v>1685</v>
      </c>
      <c r="AP651" s="438">
        <v>4710000</v>
      </c>
      <c r="AQ651" s="439">
        <v>75</v>
      </c>
      <c r="AR651">
        <f t="shared" si="96"/>
        <v>1</v>
      </c>
      <c r="BJ651">
        <f t="shared" si="98"/>
        <v>1</v>
      </c>
      <c r="BK651" s="57">
        <f t="shared" si="99"/>
        <v>650</v>
      </c>
      <c r="BL651" s="57" t="str">
        <f t="shared" si="97"/>
        <v>Tilt-Rotor Cargo Plane (Scirocco) (CA 3)</v>
      </c>
    </row>
    <row r="652" spans="39:64" x14ac:dyDescent="0.3">
      <c r="AM652">
        <v>651</v>
      </c>
      <c r="AN652">
        <v>12</v>
      </c>
      <c r="AO652" t="s">
        <v>3228</v>
      </c>
      <c r="AP652" s="4">
        <v>7083000</v>
      </c>
      <c r="AQ652" s="471">
        <v>20</v>
      </c>
      <c r="AR652">
        <f t="shared" si="96"/>
        <v>1</v>
      </c>
      <c r="BJ652">
        <f t="shared" si="98"/>
        <v>1</v>
      </c>
      <c r="BK652" s="57">
        <f t="shared" si="99"/>
        <v>651</v>
      </c>
      <c r="BL652" s="57" t="str">
        <f t="shared" si="97"/>
        <v>Torana Grav Vehicle (Armies of the 5FW)</v>
      </c>
    </row>
    <row r="653" spans="39:64" x14ac:dyDescent="0.3">
      <c r="AM653">
        <v>652</v>
      </c>
      <c r="AN653">
        <v>13</v>
      </c>
      <c r="AO653" t="s">
        <v>3229</v>
      </c>
      <c r="AP653" s="4">
        <v>318000</v>
      </c>
      <c r="AQ653" s="471">
        <v>3</v>
      </c>
      <c r="AR653">
        <f t="shared" si="96"/>
        <v>1</v>
      </c>
      <c r="BJ653">
        <f t="shared" si="98"/>
        <v>1</v>
      </c>
      <c r="BK653" s="57">
        <f t="shared" si="99"/>
        <v>652</v>
      </c>
      <c r="BL653" s="57" t="str">
        <f t="shared" si="97"/>
        <v>Torbellino Grav Speeder (Solomani Front)</v>
      </c>
    </row>
    <row r="654" spans="39:64" x14ac:dyDescent="0.3">
      <c r="AM654">
        <v>653</v>
      </c>
      <c r="AN654">
        <v>11</v>
      </c>
      <c r="AO654" t="s">
        <v>3230</v>
      </c>
      <c r="AP654" s="4">
        <v>620530000</v>
      </c>
      <c r="AQ654" s="431">
        <v>2000</v>
      </c>
      <c r="AR654">
        <f t="shared" si="96"/>
        <v>1</v>
      </c>
      <c r="BJ654">
        <f t="shared" si="98"/>
        <v>1</v>
      </c>
      <c r="BK654" s="57">
        <f t="shared" si="99"/>
        <v>653</v>
      </c>
      <c r="BL654" s="57" t="str">
        <f t="shared" si="97"/>
        <v>Torcon Mining Module (TTF)</v>
      </c>
    </row>
    <row r="655" spans="39:64" x14ac:dyDescent="0.3">
      <c r="AM655">
        <v>654</v>
      </c>
      <c r="AN655">
        <v>12</v>
      </c>
      <c r="AO655" t="s">
        <v>3231</v>
      </c>
      <c r="AP655" s="4">
        <v>41992000</v>
      </c>
      <c r="AQ655">
        <v>70</v>
      </c>
      <c r="AR655">
        <f t="shared" si="96"/>
        <v>1</v>
      </c>
      <c r="BJ655">
        <f t="shared" si="98"/>
        <v>1</v>
      </c>
      <c r="BK655" s="57">
        <f t="shared" si="99"/>
        <v>654</v>
      </c>
      <c r="BL655" s="57" t="str">
        <f t="shared" si="97"/>
        <v>Torpedo Boat (HG'22)</v>
      </c>
    </row>
    <row r="656" spans="39:64" ht="15.6" x14ac:dyDescent="0.3">
      <c r="AM656">
        <v>655</v>
      </c>
      <c r="AN656" s="437">
        <v>15</v>
      </c>
      <c r="AO656" s="437" t="s">
        <v>1757</v>
      </c>
      <c r="AP656" s="438">
        <v>815500000</v>
      </c>
      <c r="AQ656" s="439">
        <v>2600</v>
      </c>
      <c r="AR656">
        <f t="shared" si="96"/>
        <v>1</v>
      </c>
      <c r="BJ656">
        <f t="shared" si="98"/>
        <v>1</v>
      </c>
      <c r="BK656" s="57">
        <f t="shared" si="99"/>
        <v>655</v>
      </c>
      <c r="BL656" s="57" t="str">
        <f t="shared" si="97"/>
        <v>Torpedo Pod (ECC)</v>
      </c>
    </row>
    <row r="657" spans="39:64" ht="15.6" x14ac:dyDescent="0.3">
      <c r="AM657">
        <v>656</v>
      </c>
      <c r="AN657" s="437">
        <v>10</v>
      </c>
      <c r="AO657" s="437" t="s">
        <v>1843</v>
      </c>
      <c r="AP657" s="438">
        <v>3530000</v>
      </c>
      <c r="AQ657" s="439">
        <v>10</v>
      </c>
      <c r="AR657">
        <f t="shared" si="96"/>
        <v>1</v>
      </c>
      <c r="BJ657">
        <f t="shared" si="98"/>
        <v>1</v>
      </c>
      <c r="BK657" s="57">
        <f t="shared" si="99"/>
        <v>656</v>
      </c>
      <c r="BL657" s="57" t="str">
        <f t="shared" si="97"/>
        <v>Towing Pod (JTAS Vol. 5)</v>
      </c>
    </row>
    <row r="658" spans="39:64" x14ac:dyDescent="0.3">
      <c r="AM658">
        <v>657</v>
      </c>
      <c r="AN658">
        <v>9</v>
      </c>
      <c r="AO658" t="s">
        <v>3232</v>
      </c>
      <c r="AP658" s="4">
        <v>2250000</v>
      </c>
      <c r="AQ658">
        <v>15</v>
      </c>
      <c r="AR658">
        <f t="shared" si="96"/>
        <v>1</v>
      </c>
      <c r="BJ658">
        <f t="shared" si="98"/>
        <v>1</v>
      </c>
      <c r="BK658" s="57">
        <f t="shared" si="99"/>
        <v>657</v>
      </c>
      <c r="BL658" s="57" t="str">
        <f t="shared" si="97"/>
        <v>Tracked Exploration Vehicle (Vehicle Handbook)</v>
      </c>
    </row>
    <row r="659" spans="39:64" x14ac:dyDescent="0.3">
      <c r="AM659">
        <v>658</v>
      </c>
      <c r="AN659">
        <v>8</v>
      </c>
      <c r="AO659" t="s">
        <v>3233</v>
      </c>
      <c r="AP659" s="4">
        <v>22480000</v>
      </c>
      <c r="AQ659">
        <v>90</v>
      </c>
      <c r="AR659">
        <f t="shared" si="96"/>
        <v>1</v>
      </c>
      <c r="BJ659">
        <f t="shared" si="98"/>
        <v>1</v>
      </c>
      <c r="BK659" s="57">
        <f t="shared" si="99"/>
        <v>658</v>
      </c>
      <c r="BL659" s="57" t="str">
        <f t="shared" si="97"/>
        <v>Trade Shuttle (SCC)</v>
      </c>
    </row>
    <row r="660" spans="39:64" x14ac:dyDescent="0.3">
      <c r="AM660">
        <v>659</v>
      </c>
      <c r="AN660">
        <v>9</v>
      </c>
      <c r="AO660" t="s">
        <v>3234</v>
      </c>
      <c r="AP660" s="4">
        <v>4355000</v>
      </c>
      <c r="AQ660">
        <v>15</v>
      </c>
      <c r="AR660">
        <f t="shared" si="96"/>
        <v>1</v>
      </c>
      <c r="BJ660">
        <f t="shared" si="98"/>
        <v>1</v>
      </c>
      <c r="BK660" s="57">
        <f t="shared" si="99"/>
        <v>659</v>
      </c>
      <c r="BL660" s="57" t="str">
        <f t="shared" si="97"/>
        <v>Tradesman's Gig (SCC)</v>
      </c>
    </row>
    <row r="661" spans="39:64" x14ac:dyDescent="0.3">
      <c r="AM661">
        <v>660</v>
      </c>
      <c r="AN661">
        <v>13</v>
      </c>
      <c r="AO661" t="s">
        <v>3235</v>
      </c>
      <c r="AP661" s="4">
        <v>41210000</v>
      </c>
      <c r="AQ661">
        <v>50</v>
      </c>
      <c r="AR661">
        <f t="shared" si="96"/>
        <v>1</v>
      </c>
      <c r="BJ661">
        <f t="shared" si="98"/>
        <v>1</v>
      </c>
      <c r="BK661" s="57">
        <f t="shared" si="99"/>
        <v>660</v>
      </c>
      <c r="BL661" s="57" t="str">
        <f t="shared" si="97"/>
        <v>Traffic Control Router (SCC)</v>
      </c>
    </row>
    <row r="662" spans="39:64" x14ac:dyDescent="0.3">
      <c r="AM662">
        <v>661</v>
      </c>
      <c r="AN662">
        <v>9</v>
      </c>
      <c r="AO662" t="s">
        <v>3236</v>
      </c>
      <c r="AP662" s="4">
        <v>8623000</v>
      </c>
      <c r="AQ662" s="431">
        <v>75</v>
      </c>
      <c r="AR662">
        <f t="shared" si="96"/>
        <v>1</v>
      </c>
      <c r="BJ662">
        <f t="shared" si="98"/>
        <v>1</v>
      </c>
      <c r="BK662" s="57">
        <f t="shared" si="99"/>
        <v>661</v>
      </c>
      <c r="BL662" s="57" t="str">
        <f t="shared" si="97"/>
        <v>Transfer Shuttle (Great Rifts Book 1)</v>
      </c>
    </row>
    <row r="663" spans="39:64" x14ac:dyDescent="0.3">
      <c r="AM663">
        <v>662</v>
      </c>
      <c r="AN663">
        <v>10</v>
      </c>
      <c r="AO663" t="s">
        <v>3237</v>
      </c>
      <c r="AP663" s="4">
        <v>283000</v>
      </c>
      <c r="AQ663" s="431">
        <v>10</v>
      </c>
      <c r="AR663">
        <f t="shared" si="96"/>
        <v>1</v>
      </c>
      <c r="BJ663">
        <f t="shared" si="98"/>
        <v>1</v>
      </c>
      <c r="BK663" s="57">
        <f t="shared" si="99"/>
        <v>662</v>
      </c>
      <c r="BL663" s="57" t="str">
        <f t="shared" si="97"/>
        <v>Transport Bus (Bounty Hunter)</v>
      </c>
    </row>
    <row r="664" spans="39:64" ht="15.6" x14ac:dyDescent="0.3">
      <c r="AM664">
        <v>663</v>
      </c>
      <c r="AN664" s="437">
        <v>8</v>
      </c>
      <c r="AO664" s="437" t="s">
        <v>3238</v>
      </c>
      <c r="AP664" s="4">
        <v>67100000</v>
      </c>
      <c r="AQ664" s="439">
        <v>200</v>
      </c>
      <c r="AR664">
        <f t="shared" si="96"/>
        <v>1</v>
      </c>
      <c r="BJ664">
        <f t="shared" si="98"/>
        <v>1</v>
      </c>
      <c r="BK664" s="57">
        <f t="shared" si="99"/>
        <v>663</v>
      </c>
      <c r="BL664" s="57" t="str">
        <f t="shared" si="97"/>
        <v>Transport Crawler (Behind the Claw)</v>
      </c>
    </row>
    <row r="665" spans="39:64" x14ac:dyDescent="0.3">
      <c r="AM665">
        <v>664</v>
      </c>
      <c r="AN665">
        <v>9</v>
      </c>
      <c r="AO665" t="s">
        <v>3239</v>
      </c>
      <c r="AP665" s="4">
        <v>4315500</v>
      </c>
      <c r="AQ665">
        <v>10</v>
      </c>
      <c r="AR665">
        <f t="shared" si="96"/>
        <v>1</v>
      </c>
      <c r="BJ665">
        <f t="shared" si="98"/>
        <v>1</v>
      </c>
      <c r="BK665" s="57">
        <f t="shared" si="99"/>
        <v>664</v>
      </c>
      <c r="BL665" s="57" t="str">
        <f t="shared" si="97"/>
        <v>Transporter (SCC)</v>
      </c>
    </row>
    <row r="666" spans="39:64" x14ac:dyDescent="0.3">
      <c r="AM666">
        <v>665</v>
      </c>
      <c r="AN666">
        <v>15</v>
      </c>
      <c r="AO666" t="s">
        <v>3240</v>
      </c>
      <c r="AP666" s="4">
        <v>47780000</v>
      </c>
      <c r="AQ666" s="471">
        <v>40</v>
      </c>
      <c r="AR666">
        <f t="shared" si="96"/>
        <v>1</v>
      </c>
      <c r="BJ666">
        <f t="shared" si="98"/>
        <v>1</v>
      </c>
      <c r="BK666" s="57">
        <f t="shared" si="99"/>
        <v>665</v>
      </c>
      <c r="BL666" s="57" t="str">
        <f t="shared" si="97"/>
        <v>Trencher Abyssal Depths Submarine (Sylean Dream)</v>
      </c>
    </row>
    <row r="667" spans="39:64" x14ac:dyDescent="0.3">
      <c r="AM667">
        <v>666</v>
      </c>
      <c r="AN667">
        <v>15</v>
      </c>
      <c r="AO667" t="s">
        <v>3241</v>
      </c>
      <c r="AP667" s="4">
        <v>31640000</v>
      </c>
      <c r="AQ667" s="431">
        <v>24</v>
      </c>
      <c r="AR667">
        <f t="shared" si="96"/>
        <v>1</v>
      </c>
      <c r="BJ667">
        <f t="shared" si="98"/>
        <v>1</v>
      </c>
      <c r="BK667" s="57">
        <f t="shared" si="99"/>
        <v>666</v>
      </c>
      <c r="BL667" s="57" t="str">
        <f t="shared" si="97"/>
        <v>Trepida Grav Tank (TTI)</v>
      </c>
    </row>
    <row r="668" spans="39:64" ht="15.6" x14ac:dyDescent="0.3">
      <c r="AM668">
        <v>667</v>
      </c>
      <c r="AN668" s="437">
        <v>5</v>
      </c>
      <c r="AO668" s="437" t="s">
        <v>3242</v>
      </c>
      <c r="AP668" s="438">
        <v>78669000</v>
      </c>
      <c r="AQ668" s="439">
        <v>140</v>
      </c>
      <c r="AR668">
        <f t="shared" si="96"/>
        <v>1</v>
      </c>
      <c r="BJ668">
        <f t="shared" si="98"/>
        <v>1</v>
      </c>
      <c r="BK668" s="57">
        <f t="shared" si="99"/>
        <v>667</v>
      </c>
      <c r="BL668" s="57" t="str">
        <f t="shared" si="97"/>
        <v>Tristira Type 7 Interplanetary Tug (Great Rifts Book 1)</v>
      </c>
    </row>
    <row r="669" spans="39:64" x14ac:dyDescent="0.3">
      <c r="AM669">
        <v>668</v>
      </c>
      <c r="AN669">
        <v>15</v>
      </c>
      <c r="AO669" t="s">
        <v>3243</v>
      </c>
      <c r="AP669" s="4">
        <v>50500000</v>
      </c>
      <c r="AQ669">
        <v>50</v>
      </c>
      <c r="AR669">
        <f t="shared" si="96"/>
        <v>1</v>
      </c>
      <c r="BJ669">
        <f t="shared" si="98"/>
        <v>1</v>
      </c>
      <c r="BK669" s="57">
        <f t="shared" si="99"/>
        <v>668</v>
      </c>
      <c r="BL669" s="57" t="str">
        <f t="shared" si="97"/>
        <v>Troop Transport (HG'22)</v>
      </c>
    </row>
    <row r="670" spans="39:64" ht="15.6" x14ac:dyDescent="0.3">
      <c r="AM670">
        <v>669</v>
      </c>
      <c r="AN670" s="437">
        <v>14</v>
      </c>
      <c r="AO670" s="437" t="s">
        <v>3244</v>
      </c>
      <c r="AP670" s="438">
        <v>3703370000</v>
      </c>
      <c r="AQ670" s="439">
        <v>1000</v>
      </c>
      <c r="AR670">
        <f t="shared" si="96"/>
        <v>1</v>
      </c>
      <c r="BJ670">
        <f t="shared" si="98"/>
        <v>1</v>
      </c>
      <c r="BK670" s="57">
        <f t="shared" si="99"/>
        <v>669</v>
      </c>
      <c r="BL670" s="57" t="str">
        <f t="shared" si="97"/>
        <v>TSS Resort Agropod (The Borderlands)</v>
      </c>
    </row>
    <row r="671" spans="39:64" ht="15.6" x14ac:dyDescent="0.3">
      <c r="AM671">
        <v>670</v>
      </c>
      <c r="AN671" s="437">
        <v>14</v>
      </c>
      <c r="AO671" s="437" t="s">
        <v>3245</v>
      </c>
      <c r="AP671" s="438">
        <v>3783560000</v>
      </c>
      <c r="AQ671" s="439">
        <v>10000</v>
      </c>
      <c r="AR671">
        <f t="shared" si="96"/>
        <v>1</v>
      </c>
      <c r="BJ671">
        <f t="shared" si="98"/>
        <v>1</v>
      </c>
      <c r="BK671" s="57">
        <f t="shared" si="99"/>
        <v>670</v>
      </c>
      <c r="BL671" s="57" t="str">
        <f t="shared" si="97"/>
        <v>TSS Standard Agropod (The Borderlands)</v>
      </c>
    </row>
    <row r="672" spans="39:64" ht="15.6" x14ac:dyDescent="0.3">
      <c r="AM672">
        <v>671</v>
      </c>
      <c r="AN672" s="437">
        <v>12</v>
      </c>
      <c r="AO672" s="437" t="s">
        <v>3246</v>
      </c>
      <c r="AP672" s="438">
        <v>51480000</v>
      </c>
      <c r="AQ672" s="439">
        <v>200</v>
      </c>
      <c r="AR672">
        <f t="shared" si="96"/>
        <v>1</v>
      </c>
      <c r="BJ672">
        <f t="shared" si="98"/>
        <v>1</v>
      </c>
      <c r="BK672" s="57">
        <f t="shared" si="99"/>
        <v>671</v>
      </c>
      <c r="BL672" s="57" t="str">
        <f t="shared" si="97"/>
        <v>Type A: Free Trader (Core'24)</v>
      </c>
    </row>
    <row r="673" spans="39:64" ht="15.6" x14ac:dyDescent="0.3">
      <c r="AM673">
        <v>672</v>
      </c>
      <c r="AN673" s="437">
        <v>12</v>
      </c>
      <c r="AO673" s="437" t="s">
        <v>3247</v>
      </c>
      <c r="AP673" s="438">
        <v>59245000</v>
      </c>
      <c r="AQ673" s="439">
        <v>200</v>
      </c>
      <c r="AR673">
        <f t="shared" si="96"/>
        <v>1</v>
      </c>
      <c r="BJ673">
        <f t="shared" si="98"/>
        <v>1</v>
      </c>
      <c r="BK673" s="57">
        <f t="shared" si="99"/>
        <v>672</v>
      </c>
      <c r="BL673" s="57" t="str">
        <f t="shared" si="97"/>
        <v>Type A2: Far Trader (Core'24)</v>
      </c>
    </row>
    <row r="674" spans="39:64" ht="15.6" x14ac:dyDescent="0.3">
      <c r="AM674">
        <v>673</v>
      </c>
      <c r="AN674">
        <v>12</v>
      </c>
      <c r="AO674" t="s">
        <v>3248</v>
      </c>
      <c r="AP674" s="4">
        <v>351624000</v>
      </c>
      <c r="AQ674" s="439">
        <v>800</v>
      </c>
      <c r="AR674">
        <f t="shared" si="96"/>
        <v>1</v>
      </c>
      <c r="BJ674">
        <f t="shared" si="98"/>
        <v>1</v>
      </c>
      <c r="BK674" s="57">
        <f t="shared" si="99"/>
        <v>673</v>
      </c>
      <c r="BL674" s="57" t="str">
        <f t="shared" si="97"/>
        <v>Type C: Mercenary Cruiser (Core'24)</v>
      </c>
    </row>
    <row r="675" spans="39:64" ht="15.6" x14ac:dyDescent="0.3">
      <c r="AM675">
        <v>674</v>
      </c>
      <c r="AN675">
        <v>12</v>
      </c>
      <c r="AO675" t="s">
        <v>3249</v>
      </c>
      <c r="AP675" s="4">
        <v>385510000</v>
      </c>
      <c r="AQ675" s="439">
        <v>800</v>
      </c>
      <c r="AR675">
        <f t="shared" si="96"/>
        <v>1</v>
      </c>
      <c r="BJ675">
        <f t="shared" si="98"/>
        <v>1</v>
      </c>
      <c r="BK675" s="57">
        <f t="shared" si="99"/>
        <v>674</v>
      </c>
      <c r="BL675" s="57" t="str">
        <f t="shared" si="97"/>
        <v>Type C: Mercenary Cruiser (HG'22)</v>
      </c>
    </row>
    <row r="676" spans="39:64" ht="15.6" x14ac:dyDescent="0.3">
      <c r="AM676">
        <v>675</v>
      </c>
      <c r="AN676" s="437">
        <v>12</v>
      </c>
      <c r="AO676" s="437" t="s">
        <v>3250</v>
      </c>
      <c r="AP676" s="438">
        <v>37795000</v>
      </c>
      <c r="AQ676" s="439">
        <v>100</v>
      </c>
      <c r="AR676">
        <f t="shared" si="96"/>
        <v>1</v>
      </c>
      <c r="BJ676">
        <f t="shared" si="98"/>
        <v>1</v>
      </c>
      <c r="BK676" s="57">
        <f t="shared" si="99"/>
        <v>675</v>
      </c>
      <c r="BL676" s="57" t="str">
        <f t="shared" si="97"/>
        <v>Type J: Seeker (HG'22)</v>
      </c>
    </row>
    <row r="677" spans="39:64" ht="15.6" x14ac:dyDescent="0.3">
      <c r="AM677">
        <v>676</v>
      </c>
      <c r="AN677" s="437">
        <v>12</v>
      </c>
      <c r="AO677" s="437" t="s">
        <v>3251</v>
      </c>
      <c r="AP677" s="438">
        <v>28115000</v>
      </c>
      <c r="AQ677" s="439">
        <v>100</v>
      </c>
      <c r="AR677">
        <f t="shared" si="96"/>
        <v>1</v>
      </c>
      <c r="BJ677">
        <f t="shared" si="98"/>
        <v>1</v>
      </c>
      <c r="BK677" s="57">
        <f t="shared" si="99"/>
        <v>676</v>
      </c>
      <c r="BL677" s="57" t="str">
        <f t="shared" si="97"/>
        <v>Type J: Seeker Mining Ship (CRB'24)</v>
      </c>
    </row>
    <row r="678" spans="39:64" ht="15.6" x14ac:dyDescent="0.3">
      <c r="AM678">
        <v>677</v>
      </c>
      <c r="AN678" s="437">
        <v>12</v>
      </c>
      <c r="AO678" s="437" t="s">
        <v>3252</v>
      </c>
      <c r="AP678" s="438">
        <v>67767000</v>
      </c>
      <c r="AQ678" s="437">
        <v>200</v>
      </c>
      <c r="AR678">
        <f t="shared" si="96"/>
        <v>1</v>
      </c>
      <c r="BJ678">
        <f t="shared" si="98"/>
        <v>1</v>
      </c>
      <c r="BK678" s="57">
        <f t="shared" si="99"/>
        <v>677</v>
      </c>
      <c r="BL678" s="57" t="str">
        <f t="shared" si="97"/>
        <v>Type K: Safari Ship (Core'24)</v>
      </c>
    </row>
    <row r="679" spans="39:64" ht="15.6" x14ac:dyDescent="0.3">
      <c r="AM679">
        <v>678</v>
      </c>
      <c r="AN679" s="437">
        <v>12</v>
      </c>
      <c r="AO679" s="437" t="s">
        <v>3253</v>
      </c>
      <c r="AP679" s="438">
        <v>141347000</v>
      </c>
      <c r="AQ679" s="437">
        <v>400</v>
      </c>
      <c r="AR679">
        <f t="shared" si="96"/>
        <v>1</v>
      </c>
      <c r="BJ679">
        <f t="shared" si="98"/>
        <v>1</v>
      </c>
      <c r="BK679" s="57">
        <f t="shared" si="99"/>
        <v>678</v>
      </c>
      <c r="BL679" s="57" t="str">
        <f t="shared" si="97"/>
        <v>Type L: Laboratory Ship (Core'24)</v>
      </c>
    </row>
    <row r="680" spans="39:64" ht="15.6" x14ac:dyDescent="0.3">
      <c r="AM680">
        <v>679</v>
      </c>
      <c r="AN680" s="437">
        <v>12</v>
      </c>
      <c r="AO680" s="437" t="s">
        <v>3254</v>
      </c>
      <c r="AP680" s="438">
        <v>127540000</v>
      </c>
      <c r="AQ680" s="437">
        <v>400</v>
      </c>
      <c r="AR680">
        <f t="shared" si="96"/>
        <v>1</v>
      </c>
      <c r="BJ680">
        <f t="shared" si="98"/>
        <v>1</v>
      </c>
      <c r="BK680" s="57">
        <f t="shared" si="99"/>
        <v>679</v>
      </c>
      <c r="BL680" s="57" t="str">
        <f t="shared" si="97"/>
        <v>Type L: Laboratory Ship (HG'22)</v>
      </c>
    </row>
    <row r="681" spans="39:64" ht="15.6" x14ac:dyDescent="0.3">
      <c r="AM681">
        <v>680</v>
      </c>
      <c r="AN681" s="437">
        <v>12</v>
      </c>
      <c r="AO681" s="437" t="s">
        <v>3255</v>
      </c>
      <c r="AP681" s="438">
        <v>175907000</v>
      </c>
      <c r="AQ681" s="437">
        <v>600</v>
      </c>
      <c r="AR681">
        <f t="shared" si="96"/>
        <v>1</v>
      </c>
      <c r="BJ681">
        <f t="shared" si="98"/>
        <v>1</v>
      </c>
      <c r="BK681" s="57">
        <f t="shared" si="99"/>
        <v>680</v>
      </c>
      <c r="BL681" s="57" t="str">
        <f t="shared" si="97"/>
        <v>Type M: Subsidized Liner (Core'24)</v>
      </c>
    </row>
    <row r="682" spans="39:64" ht="15.6" x14ac:dyDescent="0.3">
      <c r="AM682">
        <v>681</v>
      </c>
      <c r="AN682" s="437">
        <v>12</v>
      </c>
      <c r="AO682" s="437" t="s">
        <v>3256</v>
      </c>
      <c r="AP682" s="438">
        <v>186244000</v>
      </c>
      <c r="AQ682" s="437">
        <v>600</v>
      </c>
      <c r="AR682">
        <f t="shared" ref="AR682:AR745" si="100">IF($N$62="No",-20,1)</f>
        <v>1</v>
      </c>
      <c r="BJ682">
        <f t="shared" si="98"/>
        <v>1</v>
      </c>
      <c r="BK682" s="57">
        <f t="shared" si="99"/>
        <v>681</v>
      </c>
      <c r="BL682" s="57" t="str">
        <f t="shared" si="97"/>
        <v>Type M: Subsidized Liner (HG'22)</v>
      </c>
    </row>
    <row r="683" spans="39:64" x14ac:dyDescent="0.3">
      <c r="AM683">
        <v>682</v>
      </c>
      <c r="AN683">
        <v>12</v>
      </c>
      <c r="AO683" t="s">
        <v>3257</v>
      </c>
      <c r="AP683" s="4">
        <v>41445000</v>
      </c>
      <c r="AQ683">
        <v>100</v>
      </c>
      <c r="AR683">
        <f t="shared" si="100"/>
        <v>1</v>
      </c>
      <c r="BJ683">
        <f t="shared" si="98"/>
        <v>1</v>
      </c>
      <c r="BK683" s="57">
        <f t="shared" si="99"/>
        <v>682</v>
      </c>
      <c r="BL683" s="57" t="str">
        <f t="shared" si="97"/>
        <v>Type S: Scout/Courier (Core'24)</v>
      </c>
    </row>
    <row r="684" spans="39:64" x14ac:dyDescent="0.3">
      <c r="AM684">
        <v>683</v>
      </c>
      <c r="AN684">
        <v>12</v>
      </c>
      <c r="AO684" t="s">
        <v>3258</v>
      </c>
      <c r="AP684" s="4">
        <v>41445000</v>
      </c>
      <c r="AQ684" s="431">
        <v>100</v>
      </c>
      <c r="AR684">
        <f t="shared" si="100"/>
        <v>1</v>
      </c>
      <c r="BJ684">
        <f t="shared" si="98"/>
        <v>1</v>
      </c>
      <c r="BK684" s="57">
        <f t="shared" si="99"/>
        <v>683</v>
      </c>
      <c r="BL684" s="57" t="str">
        <f t="shared" si="97"/>
        <v>Type S: Sulieman Scout/Courier (HG'22)</v>
      </c>
    </row>
    <row r="685" spans="39:64" ht="15.6" x14ac:dyDescent="0.3">
      <c r="AM685">
        <v>684</v>
      </c>
      <c r="AN685" s="437">
        <v>12</v>
      </c>
      <c r="AO685" s="437" t="s">
        <v>3259</v>
      </c>
      <c r="AP685" s="4">
        <v>204879560</v>
      </c>
      <c r="AQ685" s="689">
        <v>400</v>
      </c>
      <c r="AR685">
        <f t="shared" si="100"/>
        <v>1</v>
      </c>
      <c r="BJ685">
        <f t="shared" si="98"/>
        <v>1</v>
      </c>
      <c r="BK685" s="57">
        <f t="shared" si="99"/>
        <v>684</v>
      </c>
      <c r="BL685" s="57" t="str">
        <f t="shared" si="97"/>
        <v>Type T: Patrol Corvette (Core'24)</v>
      </c>
    </row>
    <row r="686" spans="39:64" ht="15.6" x14ac:dyDescent="0.3">
      <c r="AM686">
        <v>685</v>
      </c>
      <c r="AN686" s="437">
        <v>12</v>
      </c>
      <c r="AO686" s="437" t="s">
        <v>3260</v>
      </c>
      <c r="AP686" s="4">
        <v>198260000</v>
      </c>
      <c r="AQ686" s="689">
        <v>400</v>
      </c>
      <c r="AR686">
        <f t="shared" si="100"/>
        <v>1</v>
      </c>
      <c r="BJ686">
        <f t="shared" si="98"/>
        <v>1</v>
      </c>
      <c r="BK686" s="57">
        <f t="shared" si="99"/>
        <v>685</v>
      </c>
      <c r="BL686" s="57" t="str">
        <f t="shared" si="97"/>
        <v>Type T: Patrol Corvette (HG'22)</v>
      </c>
    </row>
    <row r="687" spans="39:64" ht="15.6" x14ac:dyDescent="0.3">
      <c r="AM687">
        <v>686</v>
      </c>
      <c r="AN687" s="437">
        <v>12</v>
      </c>
      <c r="AO687" s="437" t="s">
        <v>3261</v>
      </c>
      <c r="AP687" s="4">
        <v>68827000</v>
      </c>
      <c r="AQ687" s="439">
        <v>200</v>
      </c>
      <c r="AR687">
        <f t="shared" si="100"/>
        <v>1</v>
      </c>
      <c r="BJ687">
        <f t="shared" si="98"/>
        <v>1</v>
      </c>
      <c r="BK687" s="57">
        <f t="shared" si="99"/>
        <v>686</v>
      </c>
      <c r="BL687" s="57" t="str">
        <f t="shared" si="97"/>
        <v>Type Y: Yacht (Core'24)</v>
      </c>
    </row>
    <row r="688" spans="39:64" ht="15.6" x14ac:dyDescent="0.3">
      <c r="AM688">
        <v>687</v>
      </c>
      <c r="AN688" s="437">
        <v>12</v>
      </c>
      <c r="AO688" s="437" t="s">
        <v>3262</v>
      </c>
      <c r="AP688" s="438">
        <v>69479000</v>
      </c>
      <c r="AQ688" s="439">
        <v>200</v>
      </c>
      <c r="AR688">
        <f t="shared" si="100"/>
        <v>1</v>
      </c>
      <c r="BJ688">
        <f t="shared" si="98"/>
        <v>1</v>
      </c>
      <c r="BK688" s="57">
        <f t="shared" si="99"/>
        <v>687</v>
      </c>
      <c r="BL688" s="57" t="str">
        <f t="shared" si="97"/>
        <v>Type Y: Yacht (HG'22)</v>
      </c>
    </row>
    <row r="689" spans="39:64" ht="15.6" x14ac:dyDescent="0.3">
      <c r="AM689">
        <v>688</v>
      </c>
      <c r="AN689" s="437">
        <v>12</v>
      </c>
      <c r="AO689" s="437" t="s">
        <v>3263</v>
      </c>
      <c r="AP689" s="438">
        <v>87049560</v>
      </c>
      <c r="AQ689" s="437">
        <v>400</v>
      </c>
      <c r="AR689">
        <f t="shared" si="100"/>
        <v>1</v>
      </c>
      <c r="BJ689">
        <f t="shared" si="98"/>
        <v>1</v>
      </c>
      <c r="BK689" s="57">
        <f t="shared" si="99"/>
        <v>688</v>
      </c>
      <c r="BL689" s="57" t="str">
        <f t="shared" ref="BL689:BL752" si="101">IF(BK689&gt;$BK$1,"",INDEX($AM$2:$AO$758,MATCH(BK689,$AM$2:$AM$758,0),3))</f>
        <v>Type: R Subsidized Merchant (Core'24)</v>
      </c>
    </row>
    <row r="690" spans="39:64" ht="15.6" x14ac:dyDescent="0.3">
      <c r="AM690">
        <v>689</v>
      </c>
      <c r="AN690" s="437">
        <v>12</v>
      </c>
      <c r="AO690" s="437" t="s">
        <v>3264</v>
      </c>
      <c r="AP690" s="438">
        <v>87310000</v>
      </c>
      <c r="AQ690" s="437">
        <v>400</v>
      </c>
      <c r="AR690">
        <f t="shared" si="100"/>
        <v>1</v>
      </c>
      <c r="BJ690">
        <f t="shared" si="98"/>
        <v>1</v>
      </c>
      <c r="BK690" s="57">
        <f t="shared" si="99"/>
        <v>689</v>
      </c>
      <c r="BL690" s="57" t="str">
        <f t="shared" si="101"/>
        <v>Type: R Subsidized Merchant (HG'22)</v>
      </c>
    </row>
    <row r="691" spans="39:64" x14ac:dyDescent="0.3">
      <c r="AM691">
        <v>690</v>
      </c>
      <c r="AN691">
        <v>12</v>
      </c>
      <c r="AO691" t="s">
        <v>3265</v>
      </c>
      <c r="AP691" s="4">
        <v>7036000</v>
      </c>
      <c r="AQ691">
        <v>6</v>
      </c>
      <c r="AR691">
        <f t="shared" si="100"/>
        <v>1</v>
      </c>
      <c r="BJ691">
        <f t="shared" si="98"/>
        <v>1</v>
      </c>
      <c r="BK691" s="57">
        <f t="shared" si="99"/>
        <v>690</v>
      </c>
      <c r="BL691" s="57" t="str">
        <f t="shared" si="101"/>
        <v>Ultralight Fighter (Core'24)</v>
      </c>
    </row>
    <row r="692" spans="39:64" ht="15.6" x14ac:dyDescent="0.3">
      <c r="AM692">
        <v>691</v>
      </c>
      <c r="AN692" s="437">
        <v>9</v>
      </c>
      <c r="AO692" s="437" t="s">
        <v>1986</v>
      </c>
      <c r="AP692" s="438">
        <v>792500</v>
      </c>
      <c r="AQ692" s="439">
        <v>12</v>
      </c>
      <c r="AR692">
        <f t="shared" si="100"/>
        <v>1</v>
      </c>
      <c r="BJ692">
        <f t="shared" si="98"/>
        <v>1</v>
      </c>
      <c r="BK692" s="57">
        <f t="shared" si="99"/>
        <v>691</v>
      </c>
      <c r="BL692" s="57" t="str">
        <f t="shared" si="101"/>
        <v>Umphathi-Class Security Sled, Military Variant (Specialist Forces)</v>
      </c>
    </row>
    <row r="693" spans="39:64" x14ac:dyDescent="0.3">
      <c r="AM693">
        <v>692</v>
      </c>
      <c r="AN693">
        <v>9</v>
      </c>
      <c r="AO693" t="s">
        <v>1878</v>
      </c>
      <c r="AP693" s="4">
        <v>79450</v>
      </c>
      <c r="AQ693" s="471">
        <v>1.5</v>
      </c>
      <c r="AR693">
        <f t="shared" si="100"/>
        <v>1</v>
      </c>
      <c r="BJ693">
        <f t="shared" si="98"/>
        <v>1</v>
      </c>
      <c r="BK693" s="57">
        <f t="shared" si="99"/>
        <v>692</v>
      </c>
      <c r="BL693" s="57" t="str">
        <f t="shared" si="101"/>
        <v>Unicycle of Mass Destruction (JTAS Vol. 10)</v>
      </c>
    </row>
    <row r="694" spans="39:64" x14ac:dyDescent="0.3">
      <c r="AM694">
        <v>693</v>
      </c>
      <c r="AN694">
        <v>7</v>
      </c>
      <c r="AO694" t="s">
        <v>1897</v>
      </c>
      <c r="AP694" s="4">
        <v>5400</v>
      </c>
      <c r="AQ694" s="471">
        <v>1.5</v>
      </c>
      <c r="AR694">
        <f t="shared" si="100"/>
        <v>1</v>
      </c>
      <c r="BJ694">
        <f t="shared" si="98"/>
        <v>1</v>
      </c>
      <c r="BK694" s="57">
        <f t="shared" si="99"/>
        <v>693</v>
      </c>
      <c r="BL694" s="57" t="str">
        <f t="shared" si="101"/>
        <v>Unpressurized Rover (JTAS Vol. 15)</v>
      </c>
    </row>
    <row r="695" spans="39:64" ht="15.6" x14ac:dyDescent="0.3">
      <c r="AM695">
        <v>694</v>
      </c>
      <c r="AN695" s="437">
        <v>12</v>
      </c>
      <c r="AO695" s="437" t="s">
        <v>2184</v>
      </c>
      <c r="AP695" s="438">
        <v>54800000</v>
      </c>
      <c r="AQ695" s="439">
        <v>125</v>
      </c>
      <c r="AR695">
        <f t="shared" si="100"/>
        <v>1</v>
      </c>
      <c r="BJ695">
        <f t="shared" si="98"/>
        <v>1</v>
      </c>
      <c r="BK695" s="57">
        <f t="shared" si="99"/>
        <v>694</v>
      </c>
      <c r="BL695" s="57" t="str">
        <f t="shared" si="101"/>
        <v>USI-175-Class System Defense Boat (The Borderlands)</v>
      </c>
    </row>
    <row r="696" spans="39:64" x14ac:dyDescent="0.3">
      <c r="AM696">
        <v>695</v>
      </c>
      <c r="AN696">
        <v>12</v>
      </c>
      <c r="AO696" t="s">
        <v>3266</v>
      </c>
      <c r="AP696" s="4">
        <v>4105500</v>
      </c>
      <c r="AQ696">
        <v>10</v>
      </c>
      <c r="AR696">
        <f t="shared" si="100"/>
        <v>1</v>
      </c>
      <c r="BJ696">
        <f t="shared" si="98"/>
        <v>1</v>
      </c>
      <c r="BK696" s="57">
        <f t="shared" si="99"/>
        <v>695</v>
      </c>
      <c r="BL696" s="57" t="str">
        <f t="shared" si="101"/>
        <v>Utility Pod (SCC)</v>
      </c>
    </row>
    <row r="697" spans="39:64" x14ac:dyDescent="0.3">
      <c r="AM697">
        <v>696</v>
      </c>
      <c r="AN697">
        <v>15</v>
      </c>
      <c r="AO697" t="s">
        <v>3267</v>
      </c>
      <c r="AP697" s="4">
        <v>20759000000</v>
      </c>
      <c r="AQ697">
        <v>30000</v>
      </c>
      <c r="AR697">
        <f t="shared" si="100"/>
        <v>1</v>
      </c>
      <c r="BJ697">
        <f t="shared" si="98"/>
        <v>1</v>
      </c>
      <c r="BK697" s="57">
        <f t="shared" si="99"/>
        <v>696</v>
      </c>
      <c r="BL697" s="57" t="str">
        <f t="shared" si="101"/>
        <v>Valiant Light Cruiser (HG'22)</v>
      </c>
    </row>
    <row r="698" spans="39:64" x14ac:dyDescent="0.3">
      <c r="AM698">
        <v>697</v>
      </c>
      <c r="AN698">
        <v>5</v>
      </c>
      <c r="AO698" t="s">
        <v>3268</v>
      </c>
      <c r="AP698" s="4">
        <v>376000</v>
      </c>
      <c r="AQ698">
        <v>5</v>
      </c>
      <c r="AR698">
        <f t="shared" si="100"/>
        <v>1</v>
      </c>
      <c r="BJ698">
        <f t="shared" si="98"/>
        <v>1</v>
      </c>
      <c r="BK698" s="57">
        <f t="shared" si="99"/>
        <v>697</v>
      </c>
      <c r="BL698" s="57" t="str">
        <f t="shared" si="101"/>
        <v>Vanguard Air Superiority Fighter (Vehicle Handbook)</v>
      </c>
    </row>
    <row r="699" spans="39:64" x14ac:dyDescent="0.3">
      <c r="AM699">
        <v>698</v>
      </c>
      <c r="AN699">
        <v>12</v>
      </c>
      <c r="AO699" t="s">
        <v>3269</v>
      </c>
      <c r="AP699" s="4">
        <v>31250000</v>
      </c>
      <c r="AQ699">
        <v>40</v>
      </c>
      <c r="AR699">
        <f t="shared" si="100"/>
        <v>1</v>
      </c>
      <c r="BJ699">
        <f t="shared" si="98"/>
        <v>1</v>
      </c>
      <c r="BK699" s="57">
        <f t="shared" si="99"/>
        <v>698</v>
      </c>
      <c r="BL699" s="57" t="str">
        <f t="shared" si="101"/>
        <v>Vanguard Assault Fighter (SCC)</v>
      </c>
    </row>
    <row r="700" spans="39:64" x14ac:dyDescent="0.3">
      <c r="AM700">
        <v>699</v>
      </c>
      <c r="AN700">
        <v>7</v>
      </c>
      <c r="AO700" t="s">
        <v>3270</v>
      </c>
      <c r="AP700" s="4">
        <v>900000</v>
      </c>
      <c r="AQ700" s="431">
        <v>20</v>
      </c>
      <c r="AR700">
        <f t="shared" si="100"/>
        <v>1</v>
      </c>
      <c r="BJ700">
        <f t="shared" si="98"/>
        <v>1</v>
      </c>
      <c r="BK700" s="57">
        <f t="shared" si="99"/>
        <v>699</v>
      </c>
      <c r="BL700" s="57" t="str">
        <f t="shared" si="101"/>
        <v>Varge Loper Ground Carrier (AoCS1)</v>
      </c>
    </row>
    <row r="701" spans="39:64" ht="15.6" x14ac:dyDescent="0.3">
      <c r="AM701">
        <v>700</v>
      </c>
      <c r="AN701" s="437">
        <v>14</v>
      </c>
      <c r="AO701" s="437" t="s">
        <v>1979</v>
      </c>
      <c r="AP701" s="438">
        <v>40606000</v>
      </c>
      <c r="AQ701" s="439">
        <v>40</v>
      </c>
      <c r="AR701">
        <f t="shared" si="100"/>
        <v>1</v>
      </c>
      <c r="BJ701">
        <f t="shared" si="98"/>
        <v>1</v>
      </c>
      <c r="BK701" s="57">
        <f t="shared" si="99"/>
        <v>700</v>
      </c>
      <c r="BL701" s="57" t="str">
        <f t="shared" si="101"/>
        <v>Vargr Aakum Heavy Fighter (Secrets of the Ancients)</v>
      </c>
    </row>
    <row r="702" spans="39:64" x14ac:dyDescent="0.3">
      <c r="AM702">
        <v>701</v>
      </c>
      <c r="AN702">
        <v>14</v>
      </c>
      <c r="AO702" t="s">
        <v>3271</v>
      </c>
      <c r="AP702" s="4">
        <v>40806000</v>
      </c>
      <c r="AQ702" s="431">
        <v>40</v>
      </c>
      <c r="AR702">
        <f t="shared" si="100"/>
        <v>1</v>
      </c>
      <c r="BJ702">
        <f t="shared" si="98"/>
        <v>1</v>
      </c>
      <c r="BK702" s="57">
        <f t="shared" si="99"/>
        <v>701</v>
      </c>
      <c r="BL702" s="57" t="str">
        <f t="shared" si="101"/>
        <v>Vargr Aakum-Class Heavy Fighter (AoCS1)</v>
      </c>
    </row>
    <row r="703" spans="39:64" x14ac:dyDescent="0.3">
      <c r="AM703">
        <v>702</v>
      </c>
      <c r="AN703">
        <v>10</v>
      </c>
      <c r="AO703" t="s">
        <v>3272</v>
      </c>
      <c r="AP703" s="4">
        <v>40110000</v>
      </c>
      <c r="AQ703" s="431">
        <v>100</v>
      </c>
      <c r="AR703">
        <f t="shared" si="100"/>
        <v>1</v>
      </c>
      <c r="BJ703">
        <f t="shared" si="98"/>
        <v>1</v>
      </c>
      <c r="BK703" s="57">
        <f t="shared" si="99"/>
        <v>702</v>
      </c>
      <c r="BL703" s="57" t="str">
        <f t="shared" si="101"/>
        <v>Vargr Aetin-Class Scout (AoCS3)</v>
      </c>
    </row>
    <row r="704" spans="39:64" x14ac:dyDescent="0.3">
      <c r="AM704">
        <v>703</v>
      </c>
      <c r="AN704">
        <v>12</v>
      </c>
      <c r="AO704" t="s">
        <v>3273</v>
      </c>
      <c r="AP704" s="4">
        <v>71000000</v>
      </c>
      <c r="AQ704" s="431">
        <v>6</v>
      </c>
      <c r="AR704">
        <f t="shared" si="100"/>
        <v>1</v>
      </c>
      <c r="BJ704">
        <f t="shared" ref="BJ704:BJ759" si="102">IF($N$61="Yes",1,IF(AN704&gt;TL,-20,1))</f>
        <v>1</v>
      </c>
      <c r="BK704" s="57">
        <f t="shared" si="99"/>
        <v>703</v>
      </c>
      <c r="BL704" s="57" t="str">
        <f t="shared" si="101"/>
        <v>Vargr Belt Racer (SCC)</v>
      </c>
    </row>
    <row r="705" spans="39:64" x14ac:dyDescent="0.3">
      <c r="AM705">
        <v>704</v>
      </c>
      <c r="AN705">
        <v>12</v>
      </c>
      <c r="AO705" t="s">
        <v>3274</v>
      </c>
      <c r="AP705" s="4">
        <v>33300000</v>
      </c>
      <c r="AQ705" s="431">
        <v>60</v>
      </c>
      <c r="AR705">
        <f t="shared" si="100"/>
        <v>1</v>
      </c>
      <c r="BJ705">
        <f t="shared" si="102"/>
        <v>1</v>
      </c>
      <c r="BK705" s="57">
        <f t="shared" si="99"/>
        <v>704</v>
      </c>
      <c r="BL705" s="57" t="str">
        <f t="shared" si="101"/>
        <v>Vargr Clawtip Plasma Tank (AoCS1)</v>
      </c>
    </row>
    <row r="706" spans="39:64" x14ac:dyDescent="0.3">
      <c r="AM706">
        <v>705</v>
      </c>
      <c r="AN706">
        <v>12</v>
      </c>
      <c r="AO706" t="s">
        <v>3275</v>
      </c>
      <c r="AP706" s="4">
        <v>21870000</v>
      </c>
      <c r="AQ706" s="431">
        <v>40</v>
      </c>
      <c r="AR706">
        <f t="shared" si="100"/>
        <v>1</v>
      </c>
      <c r="BJ706">
        <f t="shared" si="102"/>
        <v>1</v>
      </c>
      <c r="BK706" s="57">
        <f t="shared" si="99"/>
        <v>705</v>
      </c>
      <c r="BL706" s="57" t="str">
        <f t="shared" si="101"/>
        <v>Vargr Corsair Pinnace (SCC)</v>
      </c>
    </row>
    <row r="707" spans="39:64" x14ac:dyDescent="0.3">
      <c r="AM707">
        <v>706</v>
      </c>
      <c r="AN707">
        <v>10</v>
      </c>
      <c r="AO707" t="s">
        <v>3276</v>
      </c>
      <c r="AP707" s="4">
        <v>11010000</v>
      </c>
      <c r="AQ707" s="431">
        <v>15</v>
      </c>
      <c r="AR707">
        <f t="shared" si="100"/>
        <v>1</v>
      </c>
      <c r="BJ707">
        <f t="shared" si="102"/>
        <v>1</v>
      </c>
      <c r="BK707" s="57">
        <f t="shared" si="99"/>
        <v>706</v>
      </c>
      <c r="BL707" s="57" t="str">
        <f t="shared" si="101"/>
        <v>Vargr Ghoerruegh G/Carrier (Behind the Claw)</v>
      </c>
    </row>
    <row r="708" spans="39:64" x14ac:dyDescent="0.3">
      <c r="AM708">
        <v>707</v>
      </c>
      <c r="AN708">
        <v>12</v>
      </c>
      <c r="AO708" t="s">
        <v>3277</v>
      </c>
      <c r="AP708" s="4">
        <v>10659000</v>
      </c>
      <c r="AQ708" s="431">
        <v>15</v>
      </c>
      <c r="AR708">
        <f t="shared" si="100"/>
        <v>1</v>
      </c>
      <c r="BJ708">
        <f t="shared" si="102"/>
        <v>1</v>
      </c>
      <c r="BK708" s="57">
        <f t="shared" ref="BK708:BK760" si="103">BK707+1</f>
        <v>707</v>
      </c>
      <c r="BL708" s="57" t="str">
        <f t="shared" si="101"/>
        <v>Vargr Ghoerruegh G/Carrier (Far Trader Comic #1)</v>
      </c>
    </row>
    <row r="709" spans="39:64" x14ac:dyDescent="0.3">
      <c r="AM709">
        <v>708</v>
      </c>
      <c r="AN709">
        <v>12</v>
      </c>
      <c r="AO709" t="s">
        <v>3278</v>
      </c>
      <c r="AP709" s="4">
        <v>24625000</v>
      </c>
      <c r="AQ709" s="431">
        <v>20</v>
      </c>
      <c r="AR709">
        <f t="shared" si="100"/>
        <v>1</v>
      </c>
      <c r="BJ709">
        <f t="shared" si="102"/>
        <v>1</v>
      </c>
      <c r="BK709" s="57">
        <f t="shared" si="103"/>
        <v>708</v>
      </c>
      <c r="BL709" s="57" t="str">
        <f t="shared" si="101"/>
        <v>Vargr Gothta Ambush Fighter (SCC)</v>
      </c>
    </row>
    <row r="710" spans="39:64" x14ac:dyDescent="0.3">
      <c r="AM710">
        <v>709</v>
      </c>
      <c r="AN710">
        <v>10</v>
      </c>
      <c r="AO710" t="s">
        <v>3279</v>
      </c>
      <c r="AP710" s="4">
        <v>658000</v>
      </c>
      <c r="AQ710" s="431">
        <v>1.5</v>
      </c>
      <c r="AR710">
        <f t="shared" si="100"/>
        <v>1</v>
      </c>
      <c r="BJ710">
        <f t="shared" si="102"/>
        <v>1</v>
      </c>
      <c r="BK710" s="57">
        <f t="shared" si="103"/>
        <v>709</v>
      </c>
      <c r="BL710" s="57" t="str">
        <f t="shared" si="101"/>
        <v>Vargr Gravitic Racer (AoCS3)</v>
      </c>
    </row>
    <row r="711" spans="39:64" x14ac:dyDescent="0.3">
      <c r="AM711">
        <v>710</v>
      </c>
      <c r="AN711">
        <v>10</v>
      </c>
      <c r="AO711" t="s">
        <v>3280</v>
      </c>
      <c r="AP711" s="4">
        <v>400000</v>
      </c>
      <c r="AQ711" s="431">
        <v>3</v>
      </c>
      <c r="AR711">
        <f t="shared" si="100"/>
        <v>1</v>
      </c>
      <c r="BJ711">
        <f t="shared" si="102"/>
        <v>1</v>
      </c>
      <c r="BK711" s="57">
        <f t="shared" si="103"/>
        <v>710</v>
      </c>
      <c r="BL711" s="57" t="str">
        <f t="shared" si="101"/>
        <v>Vargr Gravitic Speeder (AoCS1)</v>
      </c>
    </row>
    <row r="712" spans="39:64" x14ac:dyDescent="0.3">
      <c r="AM712">
        <v>711</v>
      </c>
      <c r="AN712">
        <v>12</v>
      </c>
      <c r="AO712" t="s">
        <v>3281</v>
      </c>
      <c r="AP712" s="4">
        <v>14180000</v>
      </c>
      <c r="AQ712" s="431">
        <v>20</v>
      </c>
      <c r="AR712">
        <f t="shared" si="100"/>
        <v>1</v>
      </c>
      <c r="BJ712">
        <f t="shared" si="102"/>
        <v>1</v>
      </c>
      <c r="BK712" s="57">
        <f t="shared" si="103"/>
        <v>711</v>
      </c>
      <c r="BL712" s="57" t="str">
        <f t="shared" si="101"/>
        <v>Vargr Nolrrgarrai Strike Fighter (SCC)</v>
      </c>
    </row>
    <row r="713" spans="39:64" x14ac:dyDescent="0.3">
      <c r="AM713">
        <v>712</v>
      </c>
      <c r="AN713">
        <v>12</v>
      </c>
      <c r="AO713" t="s">
        <v>3282</v>
      </c>
      <c r="AP713" s="4">
        <v>19900000</v>
      </c>
      <c r="AQ713" s="431">
        <v>60</v>
      </c>
      <c r="AR713">
        <f t="shared" si="100"/>
        <v>1</v>
      </c>
      <c r="BJ713">
        <f t="shared" si="102"/>
        <v>1</v>
      </c>
      <c r="BK713" s="57">
        <f t="shared" si="103"/>
        <v>712</v>
      </c>
      <c r="BL713" s="57" t="str">
        <f t="shared" si="101"/>
        <v>Vargr Wulfenite G/Carrier (AoCS1)</v>
      </c>
    </row>
    <row r="714" spans="39:64" x14ac:dyDescent="0.3">
      <c r="AM714">
        <v>713</v>
      </c>
      <c r="AN714">
        <v>13</v>
      </c>
      <c r="AO714" t="s">
        <v>3283</v>
      </c>
      <c r="AP714" s="4">
        <v>13440000</v>
      </c>
      <c r="AQ714" s="431">
        <v>60</v>
      </c>
      <c r="AR714">
        <f t="shared" si="100"/>
        <v>1</v>
      </c>
      <c r="BJ714">
        <f t="shared" si="102"/>
        <v>1</v>
      </c>
      <c r="BK714" s="57">
        <f t="shared" si="103"/>
        <v>713</v>
      </c>
      <c r="BL714" s="57" t="str">
        <f t="shared" si="101"/>
        <v>Vegan Interface Transport (Solomani Front)</v>
      </c>
    </row>
    <row r="715" spans="39:64" x14ac:dyDescent="0.3">
      <c r="AM715">
        <v>714</v>
      </c>
      <c r="AN715">
        <v>15</v>
      </c>
      <c r="AO715" t="s">
        <v>3284</v>
      </c>
      <c r="AP715" s="4">
        <v>234822500</v>
      </c>
      <c r="AQ715" s="431">
        <v>100</v>
      </c>
      <c r="AR715">
        <f t="shared" si="100"/>
        <v>1</v>
      </c>
      <c r="BJ715">
        <f t="shared" si="102"/>
        <v>1</v>
      </c>
      <c r="BK715" s="57">
        <f t="shared" si="103"/>
        <v>714</v>
      </c>
      <c r="BL715" s="57" t="str">
        <f t="shared" si="101"/>
        <v>Velos Tis Alitheia (Singularity)</v>
      </c>
    </row>
    <row r="716" spans="39:64" ht="15.6" x14ac:dyDescent="0.3">
      <c r="AM716">
        <v>715</v>
      </c>
      <c r="AN716" s="437">
        <v>15</v>
      </c>
      <c r="AO716" s="437" t="s">
        <v>1689</v>
      </c>
      <c r="AP716" s="438">
        <v>560000</v>
      </c>
      <c r="AQ716" s="439">
        <v>12</v>
      </c>
      <c r="AR716">
        <f t="shared" si="100"/>
        <v>1</v>
      </c>
      <c r="BJ716">
        <f t="shared" si="102"/>
        <v>1</v>
      </c>
      <c r="BK716" s="57">
        <f t="shared" si="103"/>
        <v>715</v>
      </c>
      <c r="BL716" s="57" t="str">
        <f t="shared" si="101"/>
        <v>Vendara (DR:CG)</v>
      </c>
    </row>
    <row r="717" spans="39:64" x14ac:dyDescent="0.3">
      <c r="AM717">
        <v>716</v>
      </c>
      <c r="AN717">
        <v>10</v>
      </c>
      <c r="AO717" t="s">
        <v>1877</v>
      </c>
      <c r="AP717" s="4">
        <v>1305700</v>
      </c>
      <c r="AQ717" s="471">
        <v>12.5</v>
      </c>
      <c r="AR717">
        <f t="shared" si="100"/>
        <v>1</v>
      </c>
      <c r="BJ717">
        <f t="shared" si="102"/>
        <v>1</v>
      </c>
      <c r="BK717" s="57">
        <f t="shared" si="103"/>
        <v>716</v>
      </c>
      <c r="BL717" s="57" t="str">
        <f t="shared" si="101"/>
        <v>Vindictor Logging Heavy Walker (JTAS Vol. 9)</v>
      </c>
    </row>
    <row r="718" spans="39:64" x14ac:dyDescent="0.3">
      <c r="AM718">
        <v>717</v>
      </c>
      <c r="AN718">
        <v>8</v>
      </c>
      <c r="AO718" t="s">
        <v>3285</v>
      </c>
      <c r="AP718" s="4">
        <v>34580000</v>
      </c>
      <c r="AQ718">
        <v>240</v>
      </c>
      <c r="AR718">
        <f t="shared" si="100"/>
        <v>1</v>
      </c>
      <c r="BJ718">
        <f t="shared" si="102"/>
        <v>1</v>
      </c>
      <c r="BK718" s="57">
        <f t="shared" si="103"/>
        <v>717</v>
      </c>
      <c r="BL718" s="57" t="str">
        <f t="shared" si="101"/>
        <v>Violator Stratigic Bomber (Vehicle Handbook)</v>
      </c>
    </row>
    <row r="719" spans="39:64" ht="15.6" x14ac:dyDescent="0.3">
      <c r="AM719">
        <v>718</v>
      </c>
      <c r="AN719" s="437">
        <v>8</v>
      </c>
      <c r="AO719" s="437" t="s">
        <v>1985</v>
      </c>
      <c r="AP719" s="438">
        <v>1326000</v>
      </c>
      <c r="AQ719" s="439">
        <v>15</v>
      </c>
      <c r="AR719">
        <f t="shared" si="100"/>
        <v>1</v>
      </c>
      <c r="BJ719">
        <f t="shared" si="102"/>
        <v>1</v>
      </c>
      <c r="BK719" s="57">
        <f t="shared" si="103"/>
        <v>718</v>
      </c>
      <c r="BL719" s="57" t="str">
        <f t="shared" si="101"/>
        <v>Vixen-ADV Aerospace Defense Vessel (Specialist Forces)</v>
      </c>
    </row>
    <row r="720" spans="39:64" x14ac:dyDescent="0.3">
      <c r="AM720">
        <v>719</v>
      </c>
      <c r="AN720">
        <v>15</v>
      </c>
      <c r="AO720" t="s">
        <v>3286</v>
      </c>
      <c r="AP720" s="4">
        <v>3800000</v>
      </c>
      <c r="AQ720">
        <v>20</v>
      </c>
      <c r="AR720">
        <f t="shared" si="100"/>
        <v>1</v>
      </c>
      <c r="BJ720">
        <f t="shared" si="102"/>
        <v>1</v>
      </c>
      <c r="BK720" s="57">
        <f t="shared" si="103"/>
        <v>719</v>
      </c>
      <c r="BL720" s="57" t="str">
        <f t="shared" si="101"/>
        <v>Walkure G/Assault Vehicle (Vehicle Handbook)</v>
      </c>
    </row>
    <row r="721" spans="39:64" ht="15.6" x14ac:dyDescent="0.3">
      <c r="AM721">
        <v>720</v>
      </c>
      <c r="AN721" s="437">
        <v>7</v>
      </c>
      <c r="AO721" s="437" t="s">
        <v>1969</v>
      </c>
      <c r="AP721" s="438">
        <v>1520000</v>
      </c>
      <c r="AQ721" s="439">
        <v>6</v>
      </c>
      <c r="AR721">
        <f t="shared" si="100"/>
        <v>1</v>
      </c>
      <c r="BJ721">
        <f t="shared" si="102"/>
        <v>1</v>
      </c>
      <c r="BK721" s="57">
        <f t="shared" si="103"/>
        <v>720</v>
      </c>
      <c r="BL721" s="57" t="str">
        <f t="shared" si="101"/>
        <v>Work Submarine (Reach Adventure 3)</v>
      </c>
    </row>
    <row r="722" spans="39:64" ht="15.6" x14ac:dyDescent="0.3">
      <c r="AM722">
        <v>721</v>
      </c>
      <c r="AN722" s="437">
        <v>14</v>
      </c>
      <c r="AO722" s="437" t="s">
        <v>3287</v>
      </c>
      <c r="AP722" s="438">
        <v>311350000</v>
      </c>
      <c r="AQ722" s="439">
        <v>1000</v>
      </c>
      <c r="AR722">
        <f t="shared" si="100"/>
        <v>1</v>
      </c>
      <c r="BJ722">
        <f t="shared" si="102"/>
        <v>1</v>
      </c>
      <c r="BK722" s="57">
        <f t="shared" si="103"/>
        <v>721</v>
      </c>
      <c r="BL722" s="57" t="str">
        <f t="shared" si="101"/>
        <v>X-Boat Tender (HG'22)</v>
      </c>
    </row>
    <row r="723" spans="39:64" ht="15.6" x14ac:dyDescent="0.3">
      <c r="AM723">
        <v>722</v>
      </c>
      <c r="AN723" s="437">
        <v>12</v>
      </c>
      <c r="AO723" s="437" t="s">
        <v>3288</v>
      </c>
      <c r="AP723" s="438">
        <v>69479000</v>
      </c>
      <c r="AQ723" s="439">
        <v>200</v>
      </c>
      <c r="AR723">
        <f t="shared" si="100"/>
        <v>1</v>
      </c>
      <c r="BJ723">
        <f t="shared" si="102"/>
        <v>1</v>
      </c>
      <c r="BK723" s="57">
        <f t="shared" si="103"/>
        <v>722</v>
      </c>
      <c r="BL723" s="57" t="str">
        <f t="shared" si="101"/>
        <v>Yacht (HG'22)</v>
      </c>
    </row>
    <row r="724" spans="39:64" x14ac:dyDescent="0.3">
      <c r="AM724">
        <v>723</v>
      </c>
      <c r="AN724">
        <v>9</v>
      </c>
      <c r="AO724" t="s">
        <v>3289</v>
      </c>
      <c r="AP724" s="4">
        <v>140820000</v>
      </c>
      <c r="AQ724" s="471">
        <v>375</v>
      </c>
      <c r="AR724">
        <f t="shared" si="100"/>
        <v>1</v>
      </c>
      <c r="BJ724">
        <f t="shared" si="102"/>
        <v>1</v>
      </c>
      <c r="BK724" s="57">
        <f t="shared" si="103"/>
        <v>723</v>
      </c>
      <c r="BL724" s="57" t="str">
        <f t="shared" si="101"/>
        <v>Yolrilao Farming Sumbarine (Great Rifts Book 2)</v>
      </c>
    </row>
    <row r="725" spans="39:64" x14ac:dyDescent="0.3">
      <c r="AM725">
        <v>724</v>
      </c>
      <c r="AN725">
        <v>12</v>
      </c>
      <c r="AO725" t="s">
        <v>3290</v>
      </c>
      <c r="AP725" s="4">
        <v>20803000</v>
      </c>
      <c r="AQ725" s="431">
        <v>40</v>
      </c>
      <c r="AR725">
        <f t="shared" si="100"/>
        <v>1</v>
      </c>
      <c r="BJ725">
        <f t="shared" si="102"/>
        <v>1</v>
      </c>
      <c r="BK725" s="57">
        <f t="shared" si="103"/>
        <v>724</v>
      </c>
      <c r="BL725" s="57" t="str">
        <f t="shared" si="101"/>
        <v>Za'tachk Agupon Pinnace Drone (AoCS4)</v>
      </c>
    </row>
    <row r="726" spans="39:64" x14ac:dyDescent="0.3">
      <c r="AM726">
        <v>725</v>
      </c>
      <c r="AN726">
        <v>14</v>
      </c>
      <c r="AO726" t="s">
        <v>3291</v>
      </c>
      <c r="AP726" s="4">
        <v>921200</v>
      </c>
      <c r="AQ726" s="431">
        <v>4</v>
      </c>
      <c r="AR726">
        <f t="shared" si="100"/>
        <v>1</v>
      </c>
      <c r="BJ726">
        <f t="shared" si="102"/>
        <v>1</v>
      </c>
      <c r="BK726" s="57">
        <f t="shared" si="103"/>
        <v>725</v>
      </c>
      <c r="BL726" s="57" t="str">
        <f t="shared" si="101"/>
        <v>Za'tachk Antha Recon Drone (AoCS4)</v>
      </c>
    </row>
    <row r="727" spans="39:64" x14ac:dyDescent="0.3">
      <c r="AM727">
        <v>726</v>
      </c>
      <c r="AN727">
        <v>14</v>
      </c>
      <c r="AO727" t="s">
        <v>3292</v>
      </c>
      <c r="AP727" s="4">
        <v>1900000</v>
      </c>
      <c r="AQ727" s="431">
        <v>10</v>
      </c>
      <c r="AR727">
        <f t="shared" si="100"/>
        <v>1</v>
      </c>
      <c r="BJ727">
        <f t="shared" si="102"/>
        <v>1</v>
      </c>
      <c r="BK727" s="57">
        <f t="shared" si="103"/>
        <v>726</v>
      </c>
      <c r="BL727" s="57" t="str">
        <f t="shared" si="101"/>
        <v>Za'tachk Eruenooph Scout Drone (AoCS4)</v>
      </c>
    </row>
    <row r="728" spans="39:64" x14ac:dyDescent="0.3">
      <c r="AM728">
        <v>727</v>
      </c>
      <c r="AN728">
        <v>14</v>
      </c>
      <c r="AO728" t="s">
        <v>3293</v>
      </c>
      <c r="AP728" s="4">
        <v>4330000</v>
      </c>
      <c r="AQ728" s="686">
        <v>12.5</v>
      </c>
      <c r="AR728">
        <f t="shared" si="100"/>
        <v>1</v>
      </c>
      <c r="BJ728">
        <f t="shared" si="102"/>
        <v>1</v>
      </c>
      <c r="BK728" s="57">
        <f t="shared" si="103"/>
        <v>727</v>
      </c>
      <c r="BL728" s="57" t="str">
        <f t="shared" si="101"/>
        <v>Za'tachk Idinpyx Airborne Attack Drone (AoCS4)</v>
      </c>
    </row>
    <row r="729" spans="39:64" x14ac:dyDescent="0.3">
      <c r="AM729">
        <v>728</v>
      </c>
      <c r="AN729">
        <v>14</v>
      </c>
      <c r="AO729" t="s">
        <v>3294</v>
      </c>
      <c r="AP729" s="4">
        <v>42660000</v>
      </c>
      <c r="AQ729" s="431">
        <v>50</v>
      </c>
      <c r="AR729">
        <f t="shared" si="100"/>
        <v>1</v>
      </c>
      <c r="BJ729">
        <f t="shared" si="102"/>
        <v>1</v>
      </c>
      <c r="BK729" s="57">
        <f t="shared" si="103"/>
        <v>728</v>
      </c>
      <c r="BL729" s="57" t="str">
        <f t="shared" si="101"/>
        <v>Za'tachk Iestynin-Class Medium Fighter Drone (AoCS4)</v>
      </c>
    </row>
    <row r="730" spans="39:64" x14ac:dyDescent="0.3">
      <c r="AM730">
        <v>729</v>
      </c>
      <c r="AN730">
        <v>14</v>
      </c>
      <c r="AO730" t="s">
        <v>3295</v>
      </c>
      <c r="AP730" s="4">
        <v>26940400</v>
      </c>
      <c r="AQ730" s="431">
        <v>15</v>
      </c>
      <c r="AR730">
        <f t="shared" si="100"/>
        <v>1</v>
      </c>
      <c r="BJ730">
        <f t="shared" si="102"/>
        <v>1</v>
      </c>
      <c r="BK730" s="57">
        <f t="shared" si="103"/>
        <v>729</v>
      </c>
      <c r="BL730" s="57" t="str">
        <f t="shared" si="101"/>
        <v>Za'tachk Klaront-Class Light Fighter Drone (AoCS4)</v>
      </c>
    </row>
    <row r="731" spans="39:64" x14ac:dyDescent="0.3">
      <c r="AM731">
        <v>730</v>
      </c>
      <c r="AN731">
        <v>14</v>
      </c>
      <c r="AO731" t="s">
        <v>3296</v>
      </c>
      <c r="AP731" s="4">
        <v>15471000</v>
      </c>
      <c r="AQ731" s="431">
        <v>75</v>
      </c>
      <c r="AR731">
        <f t="shared" si="100"/>
        <v>1</v>
      </c>
      <c r="BJ731">
        <f t="shared" si="102"/>
        <v>1</v>
      </c>
      <c r="BK731" s="57">
        <f t="shared" si="103"/>
        <v>730</v>
      </c>
      <c r="BL731" s="57" t="str">
        <f t="shared" si="101"/>
        <v>Za'tachk Nudaonsk Heavy Tank Drone (AoCS4)</v>
      </c>
    </row>
    <row r="732" spans="39:64" x14ac:dyDescent="0.3">
      <c r="AM732">
        <v>731</v>
      </c>
      <c r="AN732">
        <v>14</v>
      </c>
      <c r="AO732" t="s">
        <v>3297</v>
      </c>
      <c r="AP732" s="4">
        <v>51260000</v>
      </c>
      <c r="AQ732" s="431">
        <v>70</v>
      </c>
      <c r="AR732">
        <f t="shared" si="100"/>
        <v>1</v>
      </c>
      <c r="BJ732">
        <f t="shared" si="102"/>
        <v>1</v>
      </c>
      <c r="BK732" s="57">
        <f t="shared" si="103"/>
        <v>731</v>
      </c>
      <c r="BL732" s="57" t="str">
        <f t="shared" si="101"/>
        <v>Za'tachk Slaixut-Class Torpedo Drone (AoCS4)</v>
      </c>
    </row>
    <row r="733" spans="39:64" x14ac:dyDescent="0.3">
      <c r="AM733">
        <v>732</v>
      </c>
      <c r="AN733">
        <v>12</v>
      </c>
      <c r="AO733" t="s">
        <v>3298</v>
      </c>
      <c r="AP733" s="4">
        <v>1750000</v>
      </c>
      <c r="AQ733" s="431">
        <v>5</v>
      </c>
      <c r="AR733">
        <f t="shared" si="100"/>
        <v>1</v>
      </c>
      <c r="BJ733">
        <f t="shared" si="102"/>
        <v>1</v>
      </c>
      <c r="BK733" s="57">
        <f t="shared" si="103"/>
        <v>732</v>
      </c>
      <c r="BL733" s="57" t="str">
        <f t="shared" si="101"/>
        <v>Za'tachk Uft Lifeboat (AoCS4)</v>
      </c>
    </row>
    <row r="734" spans="39:64" x14ac:dyDescent="0.3">
      <c r="AM734">
        <v>733</v>
      </c>
      <c r="AN734">
        <v>14</v>
      </c>
      <c r="AO734" t="s">
        <v>3299</v>
      </c>
      <c r="AP734" s="4">
        <v>1680000</v>
      </c>
      <c r="AQ734" s="431">
        <v>5.5</v>
      </c>
      <c r="AR734">
        <f t="shared" si="100"/>
        <v>1</v>
      </c>
      <c r="BJ734">
        <f t="shared" si="102"/>
        <v>1</v>
      </c>
      <c r="BK734" s="57">
        <f t="shared" si="103"/>
        <v>733</v>
      </c>
      <c r="BL734" s="57" t="str">
        <f t="shared" si="101"/>
        <v>Za'tachk Ulminixon Light Airborne Attack Drone (AoCS4)</v>
      </c>
    </row>
    <row r="735" spans="39:64" x14ac:dyDescent="0.3">
      <c r="AM735">
        <v>734</v>
      </c>
      <c r="AN735">
        <v>14</v>
      </c>
      <c r="AO735" t="s">
        <v>3300</v>
      </c>
      <c r="AP735" s="4">
        <v>37070000</v>
      </c>
      <c r="AQ735" s="431">
        <v>60</v>
      </c>
      <c r="AR735">
        <f t="shared" si="100"/>
        <v>1</v>
      </c>
      <c r="BJ735">
        <f t="shared" si="102"/>
        <v>1</v>
      </c>
      <c r="BK735" s="57">
        <f t="shared" si="103"/>
        <v>734</v>
      </c>
      <c r="BL735" s="57" t="str">
        <f t="shared" si="101"/>
        <v>Zhodani Brechatsnech Belt Survey Vessel (SCC)</v>
      </c>
    </row>
    <row r="736" spans="39:64" x14ac:dyDescent="0.3">
      <c r="AM736">
        <v>735</v>
      </c>
      <c r="AN736">
        <v>14</v>
      </c>
      <c r="AO736" t="s">
        <v>3301</v>
      </c>
      <c r="AP736" s="4">
        <v>26239500</v>
      </c>
      <c r="AQ736" s="431">
        <v>50</v>
      </c>
      <c r="AR736">
        <f t="shared" si="100"/>
        <v>1</v>
      </c>
      <c r="BJ736">
        <f t="shared" si="102"/>
        <v>1</v>
      </c>
      <c r="BK736" s="57">
        <f t="shared" si="103"/>
        <v>735</v>
      </c>
      <c r="BL736" s="57" t="str">
        <f t="shared" si="101"/>
        <v>Zhodani Chredri Ivl Small Craft (Warfleets of the 5FW)</v>
      </c>
    </row>
    <row r="737" spans="39:64" x14ac:dyDescent="0.3">
      <c r="AM737">
        <v>736</v>
      </c>
      <c r="AN737">
        <v>14</v>
      </c>
      <c r="AO737" t="s">
        <v>3302</v>
      </c>
      <c r="AP737" s="4">
        <v>4630000</v>
      </c>
      <c r="AQ737" s="471">
        <v>12.5</v>
      </c>
      <c r="AR737">
        <f t="shared" si="100"/>
        <v>1</v>
      </c>
      <c r="BJ737">
        <f t="shared" si="102"/>
        <v>1</v>
      </c>
      <c r="BK737" s="57">
        <f t="shared" si="103"/>
        <v>736</v>
      </c>
      <c r="BL737" s="57" t="str">
        <f t="shared" si="101"/>
        <v>Zhodani Combat Transport Vehicle (Armies of the 5FW)</v>
      </c>
    </row>
    <row r="738" spans="39:64" x14ac:dyDescent="0.3">
      <c r="AM738">
        <v>737</v>
      </c>
      <c r="AN738">
        <v>14</v>
      </c>
      <c r="AO738" t="s">
        <v>3303</v>
      </c>
      <c r="AP738" s="4">
        <v>48995000</v>
      </c>
      <c r="AQ738" s="431">
        <v>80</v>
      </c>
      <c r="AR738">
        <f t="shared" si="100"/>
        <v>1</v>
      </c>
      <c r="BJ738">
        <f t="shared" si="102"/>
        <v>1</v>
      </c>
      <c r="BK738" s="57">
        <f t="shared" si="103"/>
        <v>737</v>
      </c>
      <c r="BL738" s="57" t="str">
        <f t="shared" si="101"/>
        <v>Zhodani Drabr Chtor Terrestrial Survey Vessel (SCC)</v>
      </c>
    </row>
    <row r="739" spans="39:64" x14ac:dyDescent="0.3">
      <c r="AM739">
        <v>738</v>
      </c>
      <c r="AN739">
        <v>14</v>
      </c>
      <c r="AO739" t="s">
        <v>3304</v>
      </c>
      <c r="AP739" s="4">
        <v>49300000</v>
      </c>
      <c r="AQ739" s="431">
        <v>30</v>
      </c>
      <c r="AR739">
        <f t="shared" si="100"/>
        <v>1</v>
      </c>
      <c r="BJ739">
        <f t="shared" si="102"/>
        <v>1</v>
      </c>
      <c r="BK739" s="57">
        <f t="shared" si="103"/>
        <v>738</v>
      </c>
      <c r="BL739" s="57" t="str">
        <f t="shared" si="101"/>
        <v>Zhodani Estal Intrusion Shuttle (SCC)</v>
      </c>
    </row>
    <row r="740" spans="39:64" x14ac:dyDescent="0.3">
      <c r="AM740">
        <v>739</v>
      </c>
      <c r="AN740">
        <v>14</v>
      </c>
      <c r="AO740" t="s">
        <v>3305</v>
      </c>
      <c r="AP740" s="4">
        <v>45870000</v>
      </c>
      <c r="AQ740" s="431">
        <v>50</v>
      </c>
      <c r="AR740">
        <f t="shared" si="100"/>
        <v>1</v>
      </c>
      <c r="BJ740">
        <f t="shared" si="102"/>
        <v>1</v>
      </c>
      <c r="BK740" s="57">
        <f t="shared" si="103"/>
        <v>739</v>
      </c>
      <c r="BL740" s="57" t="str">
        <f t="shared" si="101"/>
        <v>Zhodani Kia Heavy Fighter (SCC)</v>
      </c>
    </row>
    <row r="741" spans="39:64" x14ac:dyDescent="0.3">
      <c r="AM741">
        <v>740</v>
      </c>
      <c r="AN741">
        <v>14</v>
      </c>
      <c r="AO741" t="s">
        <v>3306</v>
      </c>
      <c r="AP741" s="4">
        <v>5213000</v>
      </c>
      <c r="AQ741" s="471">
        <v>12</v>
      </c>
      <c r="AR741">
        <f t="shared" si="100"/>
        <v>1</v>
      </c>
      <c r="BJ741">
        <f t="shared" si="102"/>
        <v>1</v>
      </c>
      <c r="BK741" s="57">
        <f t="shared" si="103"/>
        <v>740</v>
      </c>
      <c r="BL741" s="57" t="str">
        <f t="shared" si="101"/>
        <v>Zhodani Light Artillery Tank (Armies of the 5FW)</v>
      </c>
    </row>
    <row r="742" spans="39:64" x14ac:dyDescent="0.3">
      <c r="AM742">
        <v>741</v>
      </c>
      <c r="AN742">
        <v>14</v>
      </c>
      <c r="AO742" t="s">
        <v>3307</v>
      </c>
      <c r="AP742" s="4">
        <v>640500</v>
      </c>
      <c r="AQ742" s="471">
        <v>6</v>
      </c>
      <c r="AR742">
        <f t="shared" si="100"/>
        <v>1</v>
      </c>
      <c r="BJ742">
        <f t="shared" si="102"/>
        <v>1</v>
      </c>
      <c r="BK742" s="57">
        <f t="shared" si="103"/>
        <v>741</v>
      </c>
      <c r="BL742" s="57" t="str">
        <f t="shared" si="101"/>
        <v>Zhodani Militarised Air/Raft (Armies of the 5FW)</v>
      </c>
    </row>
    <row r="743" spans="39:64" x14ac:dyDescent="0.3">
      <c r="AM743">
        <v>742</v>
      </c>
      <c r="AN743">
        <v>14</v>
      </c>
      <c r="AO743" t="s">
        <v>3308</v>
      </c>
      <c r="AP743" s="4">
        <v>536000</v>
      </c>
      <c r="AQ743" s="431">
        <v>6.5</v>
      </c>
      <c r="AR743">
        <f t="shared" si="100"/>
        <v>1</v>
      </c>
      <c r="BJ743">
        <f t="shared" si="102"/>
        <v>1</v>
      </c>
      <c r="BK743" s="57">
        <f t="shared" si="103"/>
        <v>742</v>
      </c>
      <c r="BL743" s="57" t="str">
        <f t="shared" si="101"/>
        <v>Zhodani Military Air/Raft (Flashpoint)</v>
      </c>
    </row>
    <row r="744" spans="39:64" x14ac:dyDescent="0.3">
      <c r="AM744">
        <v>743</v>
      </c>
      <c r="AN744">
        <v>14</v>
      </c>
      <c r="AO744" t="s">
        <v>3309</v>
      </c>
      <c r="AP744" s="4">
        <v>65550000</v>
      </c>
      <c r="AQ744" s="431">
        <v>60</v>
      </c>
      <c r="AR744">
        <f t="shared" si="100"/>
        <v>1</v>
      </c>
      <c r="BJ744">
        <f t="shared" si="102"/>
        <v>1</v>
      </c>
      <c r="BK744" s="57">
        <f t="shared" si="103"/>
        <v>743</v>
      </c>
      <c r="BL744" s="57" t="str">
        <f t="shared" si="101"/>
        <v>Zhodani Neishetsienz Gas Giant Survey Vessel (SCC)</v>
      </c>
    </row>
    <row r="745" spans="39:64" x14ac:dyDescent="0.3">
      <c r="AM745">
        <v>744</v>
      </c>
      <c r="AN745">
        <v>14</v>
      </c>
      <c r="AO745" t="s">
        <v>3310</v>
      </c>
      <c r="AP745" s="4">
        <v>158685000</v>
      </c>
      <c r="AQ745" s="471">
        <v>50</v>
      </c>
      <c r="AR745">
        <f t="shared" si="100"/>
        <v>1</v>
      </c>
      <c r="BJ745">
        <f t="shared" si="102"/>
        <v>1</v>
      </c>
      <c r="BK745" s="57">
        <f t="shared" si="103"/>
        <v>744</v>
      </c>
      <c r="BL745" s="57" t="str">
        <f t="shared" si="101"/>
        <v>Zhodani Ofriagli Infiltration Transport (The Borderlands)</v>
      </c>
    </row>
    <row r="746" spans="39:64" x14ac:dyDescent="0.3">
      <c r="AM746">
        <v>745</v>
      </c>
      <c r="AN746">
        <v>13</v>
      </c>
      <c r="AO746" t="s">
        <v>3311</v>
      </c>
      <c r="AP746" s="4">
        <v>16526000</v>
      </c>
      <c r="AQ746" s="431">
        <v>8</v>
      </c>
      <c r="AR746">
        <f t="shared" ref="AR746:AR759" si="104">IF($N$62="No",-20,1)</f>
        <v>1</v>
      </c>
      <c r="BJ746">
        <f t="shared" si="102"/>
        <v>1</v>
      </c>
      <c r="BK746" s="57">
        <f t="shared" si="103"/>
        <v>745</v>
      </c>
      <c r="BL746" s="57" t="str">
        <f t="shared" si="101"/>
        <v>Zhodani Tlatl Light Fighter (SCC)</v>
      </c>
    </row>
    <row r="747" spans="39:64" x14ac:dyDescent="0.3">
      <c r="AM747">
        <v>746</v>
      </c>
      <c r="AN747">
        <v>14</v>
      </c>
      <c r="AO747" t="s">
        <v>3312</v>
      </c>
      <c r="AP747" s="4">
        <v>14670000</v>
      </c>
      <c r="AQ747" s="471">
        <v>17.5</v>
      </c>
      <c r="AR747">
        <f t="shared" si="104"/>
        <v>1</v>
      </c>
      <c r="BJ747">
        <f t="shared" si="102"/>
        <v>1</v>
      </c>
      <c r="BK747" s="57">
        <f t="shared" si="103"/>
        <v>746</v>
      </c>
      <c r="BL747" s="57" t="str">
        <f t="shared" si="101"/>
        <v>Zhodani Z-66 Light Grav Tank (Armies of the 5FW)</v>
      </c>
    </row>
    <row r="748" spans="39:64" x14ac:dyDescent="0.3">
      <c r="AM748">
        <v>747</v>
      </c>
      <c r="AN748">
        <v>14</v>
      </c>
      <c r="AO748" t="s">
        <v>3313</v>
      </c>
      <c r="AP748" s="4">
        <v>21645000</v>
      </c>
      <c r="AQ748" s="471">
        <v>25</v>
      </c>
      <c r="AR748">
        <f t="shared" si="104"/>
        <v>1</v>
      </c>
      <c r="BJ748">
        <f t="shared" si="102"/>
        <v>1</v>
      </c>
      <c r="BK748" s="57">
        <f t="shared" si="103"/>
        <v>747</v>
      </c>
      <c r="BL748" s="57" t="str">
        <f t="shared" si="101"/>
        <v>Zhodani Z-80 Main Battle Tank (Armies of the 5FW)</v>
      </c>
    </row>
    <row r="749" spans="39:64" x14ac:dyDescent="0.3">
      <c r="AM749">
        <v>748</v>
      </c>
      <c r="AN749">
        <v>14</v>
      </c>
      <c r="AO749" t="s">
        <v>3314</v>
      </c>
      <c r="AP749" s="4">
        <v>10461960</v>
      </c>
      <c r="AQ749" s="431">
        <v>8</v>
      </c>
      <c r="AR749">
        <f t="shared" si="104"/>
        <v>1</v>
      </c>
      <c r="BJ749">
        <f t="shared" si="102"/>
        <v>1</v>
      </c>
      <c r="BK749" s="57">
        <f t="shared" si="103"/>
        <v>748</v>
      </c>
      <c r="BL749" s="57" t="str">
        <f t="shared" si="101"/>
        <v>Zhodani Zdiezhi-Class Light Fighter (War Fleets of the 5FW)</v>
      </c>
    </row>
    <row r="750" spans="39:64" x14ac:dyDescent="0.3">
      <c r="AM750">
        <v>749</v>
      </c>
      <c r="AN750">
        <v>13</v>
      </c>
      <c r="AO750" t="s">
        <v>3315</v>
      </c>
      <c r="AP750" s="4">
        <v>16400000</v>
      </c>
      <c r="AQ750" s="431">
        <v>20</v>
      </c>
      <c r="AR750">
        <f t="shared" si="104"/>
        <v>1</v>
      </c>
      <c r="BJ750">
        <f t="shared" si="102"/>
        <v>1</v>
      </c>
      <c r="BK750" s="57">
        <f t="shared" si="103"/>
        <v>749</v>
      </c>
      <c r="BL750" s="57" t="str">
        <f t="shared" si="101"/>
        <v>Zhodoni Imperious G-Carrier (AoCS1)</v>
      </c>
    </row>
    <row r="751" spans="39:64" x14ac:dyDescent="0.3">
      <c r="AM751">
        <v>750</v>
      </c>
      <c r="AN751">
        <v>12</v>
      </c>
      <c r="AO751" t="s">
        <v>3316</v>
      </c>
      <c r="AP751" s="4">
        <v>2850000</v>
      </c>
      <c r="AQ751" s="431">
        <v>7.5</v>
      </c>
      <c r="AR751">
        <f t="shared" si="104"/>
        <v>1</v>
      </c>
      <c r="BJ751">
        <f t="shared" si="102"/>
        <v>1</v>
      </c>
      <c r="BK751" s="57">
        <f t="shared" si="103"/>
        <v>750</v>
      </c>
      <c r="BL751" s="57" t="str">
        <f t="shared" si="101"/>
        <v>Zhodoni Insight Scout Sled (AoCS1)</v>
      </c>
    </row>
    <row r="752" spans="39:64" x14ac:dyDescent="0.3">
      <c r="AM752">
        <v>751</v>
      </c>
      <c r="AN752">
        <v>12</v>
      </c>
      <c r="AO752" t="s">
        <v>3317</v>
      </c>
      <c r="AP752" s="4">
        <v>49795000</v>
      </c>
      <c r="AQ752" s="431">
        <v>100</v>
      </c>
      <c r="AR752">
        <f t="shared" si="104"/>
        <v>1</v>
      </c>
      <c r="BJ752">
        <f t="shared" si="102"/>
        <v>1</v>
      </c>
      <c r="BK752" s="57">
        <f t="shared" si="103"/>
        <v>751</v>
      </c>
      <c r="BL752" s="57" t="str">
        <f t="shared" si="101"/>
        <v>Zhodoni Ninz-Class Scout (AoCS1)</v>
      </c>
    </row>
    <row r="753" spans="39:64" x14ac:dyDescent="0.3">
      <c r="AM753">
        <v>752</v>
      </c>
      <c r="AN753">
        <v>14</v>
      </c>
      <c r="AO753" t="s">
        <v>3318</v>
      </c>
      <c r="AP753" s="4">
        <v>29750000</v>
      </c>
      <c r="AQ753" s="431">
        <v>37.5</v>
      </c>
      <c r="AR753">
        <f t="shared" si="104"/>
        <v>1</v>
      </c>
      <c r="BJ753">
        <f t="shared" si="102"/>
        <v>1</v>
      </c>
      <c r="BK753" s="57">
        <f t="shared" si="103"/>
        <v>752</v>
      </c>
      <c r="BL753" s="57" t="str">
        <f t="shared" ref="BL753:BL760" si="105">IF(BK753&gt;$BK$1,"",INDEX($AM$2:$AO$758,MATCH(BK753,$AM$2:$AM$758,0),3))</f>
        <v>Zhodoni Princely Lord Attack Speeder (AoCS1)</v>
      </c>
    </row>
    <row r="754" spans="39:64" x14ac:dyDescent="0.3">
      <c r="AM754">
        <v>753</v>
      </c>
      <c r="AN754">
        <v>14</v>
      </c>
      <c r="AO754" t="s">
        <v>3319</v>
      </c>
      <c r="AP754" s="4">
        <v>10800000</v>
      </c>
      <c r="AQ754" s="431">
        <v>20</v>
      </c>
      <c r="AR754">
        <f t="shared" si="104"/>
        <v>1</v>
      </c>
      <c r="BJ754">
        <f t="shared" si="102"/>
        <v>1</v>
      </c>
      <c r="BK754" s="57">
        <f t="shared" si="103"/>
        <v>753</v>
      </c>
      <c r="BL754" s="57" t="str">
        <f t="shared" si="105"/>
        <v>Zhodoni Qiknavra Grav Tank (AoCS1)</v>
      </c>
    </row>
    <row r="755" spans="39:64" x14ac:dyDescent="0.3">
      <c r="AM755">
        <v>754</v>
      </c>
      <c r="AN755">
        <v>14</v>
      </c>
      <c r="AO755" t="s">
        <v>3320</v>
      </c>
      <c r="AP755" s="4">
        <v>28550000</v>
      </c>
      <c r="AQ755" s="431">
        <v>37.5</v>
      </c>
      <c r="AR755">
        <f t="shared" si="104"/>
        <v>1</v>
      </c>
      <c r="BJ755">
        <f t="shared" si="102"/>
        <v>1</v>
      </c>
      <c r="BK755" s="57">
        <f t="shared" si="103"/>
        <v>754</v>
      </c>
      <c r="BL755" s="57" t="str">
        <f t="shared" si="105"/>
        <v>Zhodoni Silent Grasp Attack Speeder (AoCS1)</v>
      </c>
    </row>
    <row r="756" spans="39:64" x14ac:dyDescent="0.3">
      <c r="AM756">
        <v>755</v>
      </c>
      <c r="AN756">
        <v>10</v>
      </c>
      <c r="AO756" t="s">
        <v>3321</v>
      </c>
      <c r="AP756" s="4">
        <v>10300000</v>
      </c>
      <c r="AQ756" s="431">
        <v>15</v>
      </c>
      <c r="AR756">
        <f t="shared" si="104"/>
        <v>1</v>
      </c>
      <c r="BJ756">
        <f t="shared" si="102"/>
        <v>1</v>
      </c>
      <c r="BK756" s="57">
        <f t="shared" si="103"/>
        <v>755</v>
      </c>
      <c r="BL756" s="57" t="str">
        <f t="shared" si="105"/>
        <v>Zhodoni Unity Grav AFV (AoCS1)</v>
      </c>
    </row>
    <row r="757" spans="39:64" x14ac:dyDescent="0.3">
      <c r="AM757">
        <v>756</v>
      </c>
      <c r="AN757">
        <v>12</v>
      </c>
      <c r="AO757" t="s">
        <v>3322</v>
      </c>
      <c r="AP757" s="4">
        <v>980000</v>
      </c>
      <c r="AQ757" s="431">
        <v>10</v>
      </c>
      <c r="AR757">
        <f t="shared" si="104"/>
        <v>1</v>
      </c>
      <c r="BJ757">
        <f t="shared" si="102"/>
        <v>1</v>
      </c>
      <c r="BK757" s="57">
        <f t="shared" si="103"/>
        <v>756</v>
      </c>
      <c r="BL757" s="57" t="str">
        <f t="shared" si="105"/>
        <v>Zhodoni Utility Grav Sled (AoCS1)</v>
      </c>
    </row>
    <row r="758" spans="39:64" x14ac:dyDescent="0.3">
      <c r="AM758">
        <v>757</v>
      </c>
      <c r="AN758">
        <v>13</v>
      </c>
      <c r="AO758" t="s">
        <v>3323</v>
      </c>
      <c r="AP758" s="4">
        <v>444000</v>
      </c>
      <c r="AQ758">
        <v>5</v>
      </c>
      <c r="AR758">
        <f t="shared" si="104"/>
        <v>1</v>
      </c>
      <c r="BJ758">
        <f t="shared" si="102"/>
        <v>1</v>
      </c>
      <c r="BK758" s="57">
        <f t="shared" si="103"/>
        <v>757</v>
      </c>
      <c r="BL758" s="57" t="str">
        <f t="shared" si="105"/>
        <v>Zircon Nuclear Gun Drone (Vehicle Handbook)</v>
      </c>
    </row>
    <row r="759" spans="39:64" x14ac:dyDescent="0.3">
      <c r="AM759">
        <v>758</v>
      </c>
      <c r="AN759">
        <v>7</v>
      </c>
      <c r="AO759" t="s">
        <v>1886</v>
      </c>
      <c r="AP759" s="4">
        <v>1757900</v>
      </c>
      <c r="AQ759" s="471">
        <v>100</v>
      </c>
      <c r="AR759">
        <f t="shared" si="104"/>
        <v>1</v>
      </c>
      <c r="BJ759">
        <f t="shared" si="102"/>
        <v>1</v>
      </c>
      <c r="BK759" s="57">
        <f t="shared" si="103"/>
        <v>758</v>
      </c>
      <c r="BL759" s="57" t="str">
        <f>IF(BK759&gt;$BK$1,"",INDEX($AM$2:$AO$759,MATCH(BK759,$AM$2:$AM$759,0),3))</f>
        <v>ZRM Airstrike Platform (JTAS Vol. 12)</v>
      </c>
    </row>
    <row r="760" spans="39:64" x14ac:dyDescent="0.3">
      <c r="BK760" s="57">
        <f t="shared" si="103"/>
        <v>759</v>
      </c>
      <c r="BL760" s="57" t="str">
        <f t="shared" si="105"/>
        <v/>
      </c>
    </row>
  </sheetData>
  <sheetProtection selectLockedCells="1"/>
  <sortState xmlns:xlrd2="http://schemas.microsoft.com/office/spreadsheetml/2017/richdata2" ref="AN3:BJ495">
    <sortCondition ref="AO3:AO495"/>
  </sortState>
  <mergeCells count="23">
    <mergeCell ref="P66:Q66"/>
    <mergeCell ref="P62:Q62"/>
    <mergeCell ref="P65:Q65"/>
    <mergeCell ref="H4:I4"/>
    <mergeCell ref="K4:L4"/>
    <mergeCell ref="P63:Q63"/>
    <mergeCell ref="O57:Q57"/>
    <mergeCell ref="R16:AE16"/>
    <mergeCell ref="R17:AE17"/>
    <mergeCell ref="AD18:AD26"/>
    <mergeCell ref="AE18:AE26"/>
    <mergeCell ref="W18:W26"/>
    <mergeCell ref="X18:X26"/>
    <mergeCell ref="Y18:Y26"/>
    <mergeCell ref="Z18:Z26"/>
    <mergeCell ref="R18:R26"/>
    <mergeCell ref="S18:S26"/>
    <mergeCell ref="T18:T26"/>
    <mergeCell ref="U18:U26"/>
    <mergeCell ref="V18:V26"/>
    <mergeCell ref="AB18:AB26"/>
    <mergeCell ref="AC18:AC26"/>
    <mergeCell ref="AA18:AA26"/>
  </mergeCells>
  <conditionalFormatting sqref="A36:A41">
    <cfRule type="expression" dxfId="356" priority="18">
      <formula>$B36=$AG$53</formula>
    </cfRule>
  </conditionalFormatting>
  <conditionalFormatting sqref="A10:B10">
    <cfRule type="expression" dxfId="355" priority="82">
      <formula>$E$10&gt;$E$2</formula>
    </cfRule>
  </conditionalFormatting>
  <conditionalFormatting sqref="A11:B11">
    <cfRule type="expression" dxfId="354" priority="81">
      <formula>12&gt;$E$2</formula>
    </cfRule>
  </conditionalFormatting>
  <conditionalFormatting sqref="A12:B12">
    <cfRule type="expression" dxfId="353" priority="80">
      <formula>$E$12&gt;$E$2</formula>
    </cfRule>
  </conditionalFormatting>
  <conditionalFormatting sqref="A13:B13">
    <cfRule type="expression" dxfId="352" priority="79">
      <formula>$E$13&gt;$E$2</formula>
    </cfRule>
  </conditionalFormatting>
  <conditionalFormatting sqref="A24:C24">
    <cfRule type="expression" dxfId="351" priority="13">
      <formula>$AI$66=0</formula>
    </cfRule>
  </conditionalFormatting>
  <conditionalFormatting sqref="A36:D41 B43:C47 A49:D53 B55:D59 B61:D65">
    <cfRule type="expression" dxfId="350" priority="12">
      <formula>$H36=0</formula>
    </cfRule>
  </conditionalFormatting>
  <conditionalFormatting sqref="B17:B18 B10:B13 B20:B23 B29:B34">
    <cfRule type="cellIs" dxfId="349" priority="26" operator="equal">
      <formula>"Not Installed"</formula>
    </cfRule>
  </conditionalFormatting>
  <conditionalFormatting sqref="B18 B29:B34">
    <cfRule type="cellIs" dxfId="348" priority="25" operator="equal">
      <formula>" Not Installed"</formula>
    </cfRule>
  </conditionalFormatting>
  <conditionalFormatting sqref="B18">
    <cfRule type="cellIs" dxfId="347" priority="24" operator="equal">
      <formula>$AG$14</formula>
    </cfRule>
  </conditionalFormatting>
  <conditionalFormatting sqref="B24">
    <cfRule type="expression" dxfId="346" priority="14">
      <formula>AND($B$24&lt;&gt;"",$AI$66=0)</formula>
    </cfRule>
    <cfRule type="expression" dxfId="345" priority="16">
      <formula>$B$24="GP Mass Driver Added Capacity"</formula>
    </cfRule>
  </conditionalFormatting>
  <conditionalFormatting sqref="C10">
    <cfRule type="expression" dxfId="344" priority="87">
      <formula>$B$10=$AG$3</formula>
    </cfRule>
  </conditionalFormatting>
  <conditionalFormatting sqref="C11">
    <cfRule type="expression" dxfId="343" priority="86">
      <formula>$B$11=$AG$3</formula>
    </cfRule>
  </conditionalFormatting>
  <conditionalFormatting sqref="C12">
    <cfRule type="expression" dxfId="342" priority="85">
      <formula>$B$12=$AG$3</formula>
    </cfRule>
  </conditionalFormatting>
  <conditionalFormatting sqref="C17">
    <cfRule type="expression" dxfId="341" priority="78">
      <formula>$B$17=$AG$3</formula>
    </cfRule>
  </conditionalFormatting>
  <conditionalFormatting sqref="C18:C19">
    <cfRule type="expression" dxfId="340" priority="33">
      <formula>$B$18=$AG$14</formula>
    </cfRule>
  </conditionalFormatting>
  <conditionalFormatting sqref="C20">
    <cfRule type="expression" dxfId="339" priority="75">
      <formula>$B$20=$AG$3</formula>
    </cfRule>
  </conditionalFormatting>
  <conditionalFormatting sqref="C21">
    <cfRule type="expression" dxfId="338" priority="74">
      <formula>$B$21=$AG$3</formula>
    </cfRule>
  </conditionalFormatting>
  <conditionalFormatting sqref="C22">
    <cfRule type="expression" dxfId="337" priority="73">
      <formula>$B$22=$AG$3</formula>
    </cfRule>
  </conditionalFormatting>
  <conditionalFormatting sqref="C23">
    <cfRule type="expression" dxfId="336" priority="72">
      <formula>$B$23=$AG$3</formula>
    </cfRule>
  </conditionalFormatting>
  <conditionalFormatting sqref="C24">
    <cfRule type="expression" dxfId="335" priority="15">
      <formula>$B$24=""</formula>
    </cfRule>
  </conditionalFormatting>
  <conditionalFormatting sqref="C67">
    <cfRule type="expression" dxfId="332" priority="70">
      <formula>$AG$60=0</formula>
    </cfRule>
  </conditionalFormatting>
  <conditionalFormatting sqref="C30:D30">
    <cfRule type="expression" dxfId="331" priority="69">
      <formula>$B$30=$AG$20</formula>
    </cfRule>
  </conditionalFormatting>
  <conditionalFormatting sqref="C31:D31">
    <cfRule type="expression" dxfId="330" priority="68">
      <formula>$B$31=$AG$20</formula>
    </cfRule>
  </conditionalFormatting>
  <conditionalFormatting sqref="C32:D32">
    <cfRule type="expression" dxfId="329" priority="67">
      <formula>$B$32=$AG$20</formula>
    </cfRule>
  </conditionalFormatting>
  <conditionalFormatting sqref="C33:D33">
    <cfRule type="expression" dxfId="328" priority="66">
      <formula>$B$33=$AG$20</formula>
    </cfRule>
  </conditionalFormatting>
  <conditionalFormatting sqref="C34:D34">
    <cfRule type="expression" dxfId="327" priority="65">
      <formula>$B$34=$AG$20</formula>
    </cfRule>
  </conditionalFormatting>
  <conditionalFormatting sqref="C36:D36">
    <cfRule type="expression" dxfId="326" priority="64">
      <formula>$B$36=$AG$20</formula>
    </cfRule>
  </conditionalFormatting>
  <conditionalFormatting sqref="C37:D37">
    <cfRule type="expression" dxfId="325" priority="63">
      <formula>$B$37=$AG$20</formula>
    </cfRule>
  </conditionalFormatting>
  <conditionalFormatting sqref="C38:D38">
    <cfRule type="expression" dxfId="324" priority="62">
      <formula>$B$38=$AG$20</formula>
    </cfRule>
  </conditionalFormatting>
  <conditionalFormatting sqref="C39:D39">
    <cfRule type="expression" dxfId="323" priority="61">
      <formula>$B$39=$AG$20</formula>
    </cfRule>
  </conditionalFormatting>
  <conditionalFormatting sqref="C40:D40">
    <cfRule type="expression" dxfId="322" priority="60">
      <formula>$B$40=$AG$20</formula>
    </cfRule>
  </conditionalFormatting>
  <conditionalFormatting sqref="C41:D41">
    <cfRule type="expression" dxfId="321" priority="59">
      <formula>$B$41=$AG$20</formula>
    </cfRule>
  </conditionalFormatting>
  <conditionalFormatting sqref="E11">
    <cfRule type="expression" dxfId="320" priority="30">
      <formula>AND($B$11=$AG$2,$E$11&gt;$E$2)</formula>
    </cfRule>
  </conditionalFormatting>
  <conditionalFormatting sqref="E12:E13">
    <cfRule type="expression" dxfId="319" priority="29">
      <formula>AND($B$12=$AG$2,$E$12&gt;$E$2)</formula>
    </cfRule>
  </conditionalFormatting>
  <conditionalFormatting sqref="E18">
    <cfRule type="expression" dxfId="318" priority="32">
      <formula>$E$18&gt;$E$2</formula>
    </cfRule>
  </conditionalFormatting>
  <conditionalFormatting sqref="E18:E19">
    <cfRule type="expression" dxfId="317" priority="35">
      <formula>$E$19&gt;$E$2</formula>
    </cfRule>
  </conditionalFormatting>
  <conditionalFormatting sqref="E29:E34">
    <cfRule type="expression" dxfId="316" priority="31">
      <formula>MAX($E$29:$E$34)&gt;$E$2</formula>
    </cfRule>
  </conditionalFormatting>
  <conditionalFormatting sqref="H6">
    <cfRule type="expression" dxfId="315" priority="42">
      <formula>$H$6&lt;0</formula>
    </cfRule>
  </conditionalFormatting>
  <conditionalFormatting sqref="K6">
    <cfRule type="expression" dxfId="314" priority="41">
      <formula>$K$6&lt;0</formula>
    </cfRule>
  </conditionalFormatting>
  <conditionalFormatting sqref="N58 N61:N65">
    <cfRule type="expression" dxfId="313" priority="23">
      <formula>$N58="Yes"</formula>
    </cfRule>
  </conditionalFormatting>
  <conditionalFormatting sqref="N67:N79">
    <cfRule type="expression" dxfId="312" priority="21">
      <formula>$N67="Yes"</formula>
    </cfRule>
  </conditionalFormatting>
  <conditionalFormatting sqref="AD18:AD56">
    <cfRule type="expression" dxfId="311" priority="7">
      <formula>$AD$18=""</formula>
    </cfRule>
  </conditionalFormatting>
  <conditionalFormatting sqref="AE18:AE56">
    <cfRule type="expression" dxfId="310" priority="6">
      <formula>$AE$18=""</formula>
    </cfRule>
  </conditionalFormatting>
  <conditionalFormatting sqref="AN470:AQ471">
    <cfRule type="expression" priority="5">
      <formula>$B34=$I$519</formula>
    </cfRule>
  </conditionalFormatting>
  <conditionalFormatting sqref="AN470:AQ475">
    <cfRule type="expression" dxfId="309" priority="4">
      <formula>AND($K470&lt;&gt;0,$K$2="On",ISODD($K470))</formula>
    </cfRule>
    <cfRule type="expression" dxfId="308" priority="88">
      <formula>$A470&lt;&gt;""</formula>
    </cfRule>
  </conditionalFormatting>
  <conditionalFormatting sqref="AN472:AQ473">
    <cfRule type="expression" priority="3">
      <formula>$B35=$I$519</formula>
    </cfRule>
  </conditionalFormatting>
  <conditionalFormatting sqref="AN474:AQ475">
    <cfRule type="expression" priority="1">
      <formula>$B35=$I$519</formula>
    </cfRule>
  </conditionalFormatting>
  <dataValidations count="24">
    <dataValidation type="list" allowBlank="1" showInputMessage="1" showErrorMessage="1" sqref="B10:B13 B17 B20:B23" xr:uid="{AD66B17F-B6FC-4CF1-9F2E-30BD8CF7C3E2}">
      <formula1>$AG$2:$AG$3</formula1>
    </dataValidation>
    <dataValidation type="list" allowBlank="1" showInputMessage="1" showErrorMessage="1" prompt="A Successful Pilot Check with a Forced Linkage Aparatus grants a DM+2 to Boarding Actions" sqref="B18" xr:uid="{D34F0045-8098-4A25-A558-D72EE19491DA}">
      <formula1>$AG$14:$AG$18</formula1>
    </dataValidation>
    <dataValidation type="list" allowBlank="1" showInputMessage="1" showErrorMessage="1" sqref="C67" xr:uid="{B7C37544-4439-4F28-A5C8-87E7B81F70DD}">
      <formula1>$AH$2:$AH$3</formula1>
    </dataValidation>
    <dataValidation type="whole" operator="greaterThanOrEqual" allowBlank="1" showInputMessage="1" showErrorMessage="1" prompt="Quantity" sqref="C17:C18 C20:C21" xr:uid="{2BAE51D8-42C0-42A1-B90B-1A8F4ABA258A}">
      <formula1>0</formula1>
    </dataValidation>
    <dataValidation type="whole" operator="greaterThanOrEqual" allowBlank="1" showInputMessage="1" showErrorMessage="1" sqref="C30:C34 C36:C41 C49:C53 C55:C59 C61:C65 C43:C47 C10:C12 P27:P56 R27:AE56" xr:uid="{EEEDA2D2-EC3B-47FC-97D2-BB0FA041C194}">
      <formula1>0</formula1>
    </dataValidation>
    <dataValidation type="list" allowBlank="1" showInputMessage="1" showErrorMessage="1" sqref="B30:B34" xr:uid="{C524534B-B485-4921-B2C8-B97D2F2554C4}">
      <formula1>$AG$20:$AG$25</formula1>
    </dataValidation>
    <dataValidation type="decimal" operator="greaterThanOrEqual" allowBlank="1" showInputMessage="1" showErrorMessage="1" prompt="Minimum Airlock size is two tons." sqref="D30:D34" xr:uid="{5616A969-E91B-4A61-85A8-6D574CDC19F4}">
      <formula1>0</formula1>
    </dataValidation>
    <dataValidation type="decimal" operator="greaterThanOrEqual" allowBlank="1" showInputMessage="1" showErrorMessage="1" prompt="Maximum size of craft or vehicle to be docked" sqref="D36:D41" xr:uid="{6F9D2373-F027-4B1B-8FC5-348106994D95}">
      <formula1>0</formula1>
    </dataValidation>
    <dataValidation type="decimal" operator="greaterThanOrEqual" allowBlank="1" showInputMessage="1" showErrorMessage="1" prompt="Input the total of the sizes of all craft to be stored in the Full Hangar Bay. (i.e. Ten fighters displacing ten tons each = 100 tons)" sqref="D49:D53" xr:uid="{A6130576-9586-4438-ACA5-7D28E5DDE5CA}">
      <formula1>0</formula1>
    </dataValidation>
    <dataValidation type="decimal" operator="greaterThanOrEqual" allowBlank="1" showInputMessage="1" showErrorMessage="1" prompt="Input the maximum size of craft to be launched." sqref="D61:D65 D55:D59" xr:uid="{13B27897-263B-43BD-80B6-0C43CC15DEC3}">
      <formula1>0</formula1>
    </dataValidation>
    <dataValidation type="decimal" operator="greaterThanOrEqual" allowBlank="1" showInputMessage="1" showErrorMessage="1" prompt="Tonnage devoted to UNREP System" sqref="C23" xr:uid="{DEFE7819-168D-4DD5-9A3B-0A53C7771A58}">
      <formula1>0</formula1>
    </dataValidation>
    <dataValidation type="list" allowBlank="1" showInputMessage="1" showErrorMessage="1" prompt="Ships may have one included airlock per 100 tons or fraction thereof. Small craft do not have one included and must add an Additional Airlock. " sqref="B29" xr:uid="{85E0FBB9-2CCD-49E6-B86B-5C8E096D1CE4}">
      <formula1>$AG$20:$AG$25</formula1>
    </dataValidation>
    <dataValidation type="whole" allowBlank="1" showInputMessage="1" showErrorMessage="1" sqref="C29" xr:uid="{1B58769C-CED6-4131-B825-C35680B4495B}">
      <formula1>0</formula1>
      <formula2>AI33</formula2>
    </dataValidation>
    <dataValidation type="list" allowBlank="1" showInputMessage="1" showErrorMessage="1" sqref="N58 N61:N65 N67:N79" xr:uid="{4B30DA98-41F5-4351-87FB-99314C4809E2}">
      <formula1>"Yes,No"</formula1>
    </dataValidation>
    <dataValidation type="list" allowBlank="1" showInputMessage="1" showErrorMessage="1" sqref="M36" xr:uid="{12BA073C-9A4F-4EF1-A58B-6733D0A561B3}">
      <formula1>$BL$2:$BL$482</formula1>
    </dataValidation>
    <dataValidation type="list" allowBlank="1" showInputMessage="1" showErrorMessage="1" sqref="C19" xr:uid="{DAB22FA1-4640-4AEC-9F1F-465882D77DB9}">
      <formula1>$AI$2:$AI$3</formula1>
    </dataValidation>
    <dataValidation type="list" allowBlank="1" showInputMessage="1" showErrorMessage="1" sqref="A36:A41" xr:uid="{1341C4CE-0F02-49DB-87F3-E6366DED6766}">
      <formula1>$AG$55:$AG$56</formula1>
    </dataValidation>
    <dataValidation type="list" allowBlank="1" showInputMessage="1" showErrorMessage="1" sqref="A49:A53" xr:uid="{295382D9-7245-47CC-885C-701929E756DD}">
      <formula1>$AG$57:$AG$58</formula1>
    </dataValidation>
    <dataValidation type="list" allowBlank="1" showInputMessage="1" showErrorMessage="1" sqref="B24" xr:uid="{4EAB63F3-9679-451E-8F4B-BA243C950443}">
      <formula1>$AG$66:$AG$67</formula1>
    </dataValidation>
    <dataValidation type="decimal" operator="greaterThanOrEqual" allowBlank="1" showInputMessage="1" showErrorMessage="1" prompt="Tonnage devoted to Extra GP Mass Driver Capacity" sqref="C24" xr:uid="{832984BB-7871-4731-8645-76CEC641BF89}">
      <formula1>0</formula1>
    </dataValidation>
    <dataValidation allowBlank="1" showInputMessage="1" showErrorMessage="1" prompt="Notes" sqref="B36:B41 B43:B47 B49:B53 B55:B59 B61:B65" xr:uid="{DFFED497-3A4D-4A40-A9BC-12F6980D9292}"/>
    <dataValidation type="list" allowBlank="1" showInputMessage="1" showErrorMessage="1" sqref="B25" xr:uid="{FACAA3CF-1336-46DB-95E9-51CA8FCE418B}">
      <formula1>$AG$69:$AG$71</formula1>
    </dataValidation>
    <dataValidation type="decimal" allowBlank="1" showInputMessage="1" showErrorMessage="1" prompt="Input Volume of shelter in Dtons_x000a_Max Shelter = 10% Hull Tonnage" sqref="C25" xr:uid="{1F9A4B63-3AB9-4B6E-8D82-1081E1E3D2A9}">
      <formula1>0</formula1>
      <formula2>AK69</formula2>
    </dataValidation>
    <dataValidation type="list" allowBlank="1" showInputMessage="1" showErrorMessage="1" sqref="M27:M35" xr:uid="{A35E62CC-C40E-43A1-BADA-434183968BBD}">
      <formula1>$BL$2:$BL$759</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7" id="{6B63D2EF-77C9-4E86-9234-0A864EBD9C57}">
            <xm:f>C29&gt;ROUNDUP('1-Hull'!B4/100,0)</xm:f>
            <x14:dxf>
              <fill>
                <patternFill>
                  <bgColor rgb="FFFF0000"/>
                </patternFill>
              </fill>
            </x14:dxf>
          </x14:cfRule>
          <x14:cfRule type="expression" priority="28" id="{972A16D0-41C5-49EF-9456-8D60A62969C2}">
            <xm:f>AND('1-Hull'!$B$4&lt;100,$C$29&gt;0)</xm:f>
            <x14:dxf>
              <fill>
                <patternFill>
                  <bgColor rgb="FFFF0000"/>
                </patternFill>
              </fill>
            </x14:dxf>
          </x14:cfRule>
          <xm:sqref>C29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7A36E-E414-4F76-9462-3E545305381C}">
  <dimension ref="A1:Y194"/>
  <sheetViews>
    <sheetView zoomScaleNormal="100" workbookViewId="0">
      <selection activeCell="C13" sqref="C13"/>
    </sheetView>
  </sheetViews>
  <sheetFormatPr defaultRowHeight="14.4" x14ac:dyDescent="0.3"/>
  <cols>
    <col min="1" max="1" width="24.109375" customWidth="1"/>
    <col min="2" max="2" width="34.33203125" customWidth="1"/>
    <col min="3" max="3" width="13.44140625" customWidth="1"/>
    <col min="4" max="4" width="28.109375" customWidth="1"/>
    <col min="5" max="5" width="3.6640625" style="2" customWidth="1"/>
    <col min="6" max="6" width="18" customWidth="1"/>
    <col min="8" max="8" width="11.88671875" customWidth="1"/>
    <col min="9" max="9" width="10.44140625" customWidth="1"/>
    <col min="11" max="11" width="11" customWidth="1"/>
    <col min="12" max="12" width="11.109375" customWidth="1"/>
    <col min="14" max="14" width="9.109375" style="9"/>
    <col min="19" max="19" width="27.44140625" hidden="1" customWidth="1"/>
    <col min="20" max="20" width="9.109375" hidden="1" customWidth="1"/>
    <col min="21" max="21" width="11.6640625" hidden="1" customWidth="1"/>
    <col min="22" max="25" width="9.109375" hidden="1" customWidth="1"/>
  </cols>
  <sheetData>
    <row r="1" spans="1:25" x14ac:dyDescent="0.3">
      <c r="A1" s="3" t="str">
        <f>'Ship Info'!A1</f>
        <v>Ship's Class Name</v>
      </c>
      <c r="B1">
        <f>'Ship Info'!B1</f>
        <v>0</v>
      </c>
      <c r="F1" s="1" t="s">
        <v>1</v>
      </c>
      <c r="S1" t="s">
        <v>2490</v>
      </c>
      <c r="Y1" s="9" t="s">
        <v>2212</v>
      </c>
    </row>
    <row r="2" spans="1:25" x14ac:dyDescent="0.3">
      <c r="A2" s="3" t="s">
        <v>418</v>
      </c>
      <c r="B2">
        <f>'Ship Info'!B2</f>
        <v>0</v>
      </c>
      <c r="D2" s="3" t="s">
        <v>0</v>
      </c>
      <c r="E2" s="2">
        <f>'Ship Info'!F2</f>
        <v>12</v>
      </c>
      <c r="F2" s="10">
        <f>'Ship Info'!G2</f>
        <v>6177000</v>
      </c>
    </row>
    <row r="3" spans="1:25" x14ac:dyDescent="0.3">
      <c r="F3" s="10"/>
      <c r="G3" s="79"/>
      <c r="H3" s="483">
        <f>S10</f>
        <v>0</v>
      </c>
      <c r="I3" s="28"/>
      <c r="J3" s="79"/>
      <c r="K3" s="484">
        <f>S13</f>
        <v>0</v>
      </c>
      <c r="S3" t="s">
        <v>362</v>
      </c>
    </row>
    <row r="4" spans="1:25" x14ac:dyDescent="0.3">
      <c r="F4" s="485" t="s">
        <v>44</v>
      </c>
      <c r="H4" s="760" t="s">
        <v>45</v>
      </c>
      <c r="I4" s="760"/>
      <c r="K4" s="760" t="s">
        <v>46</v>
      </c>
      <c r="L4" s="760"/>
      <c r="S4" t="s">
        <v>106</v>
      </c>
    </row>
    <row r="5" spans="1:25" x14ac:dyDescent="0.3">
      <c r="F5" s="483">
        <f>SUM(F10:F191)</f>
        <v>0</v>
      </c>
      <c r="H5" s="1" t="s">
        <v>390</v>
      </c>
      <c r="I5" s="1" t="s">
        <v>27</v>
      </c>
      <c r="K5" s="1" t="s">
        <v>390</v>
      </c>
      <c r="L5" s="1" t="s">
        <v>27</v>
      </c>
    </row>
    <row r="6" spans="1:25" x14ac:dyDescent="0.3">
      <c r="G6" s="2"/>
      <c r="H6" s="10">
        <f>'Ship Info'!I3</f>
        <v>92.53</v>
      </c>
      <c r="I6" s="266">
        <f>'Ship Info'!J3</f>
        <v>100</v>
      </c>
      <c r="J6" s="2"/>
      <c r="K6" s="10">
        <f>'Ship Info'!L3</f>
        <v>0</v>
      </c>
      <c r="L6" s="266">
        <f>'Ship Info'!M3</f>
        <v>20</v>
      </c>
    </row>
    <row r="7" spans="1:25" x14ac:dyDescent="0.3">
      <c r="A7" s="22"/>
      <c r="B7" s="22"/>
      <c r="C7" s="22"/>
      <c r="D7" s="22"/>
      <c r="E7" s="27"/>
      <c r="F7" s="22"/>
      <c r="G7" s="22"/>
      <c r="H7" s="22"/>
      <c r="I7" s="22"/>
      <c r="J7" s="22"/>
      <c r="K7" s="23"/>
      <c r="L7" s="22"/>
    </row>
    <row r="8" spans="1:25" x14ac:dyDescent="0.3">
      <c r="A8" s="3" t="s">
        <v>463</v>
      </c>
      <c r="K8" s="4"/>
    </row>
    <row r="9" spans="1:25" ht="15" thickBot="1" x14ac:dyDescent="0.35">
      <c r="B9" s="2"/>
      <c r="C9" s="1" t="s">
        <v>296</v>
      </c>
      <c r="D9" s="1" t="s">
        <v>164</v>
      </c>
      <c r="E9" s="1" t="s">
        <v>26</v>
      </c>
      <c r="F9" s="4"/>
      <c r="K9" s="4"/>
      <c r="S9" t="s">
        <v>386</v>
      </c>
    </row>
    <row r="10" spans="1:25" ht="15" thickBot="1" x14ac:dyDescent="0.35">
      <c r="B10" t="s">
        <v>464</v>
      </c>
      <c r="C10" s="232">
        <v>0</v>
      </c>
      <c r="D10" s="2"/>
      <c r="E10" s="2">
        <f>IF(C10&gt;0,8,0)</f>
        <v>0</v>
      </c>
      <c r="F10" s="4">
        <f>40000*H10</f>
        <v>0</v>
      </c>
      <c r="H10" s="440">
        <f>0.5*C10</f>
        <v>0</v>
      </c>
      <c r="K10" s="4"/>
      <c r="S10" s="440">
        <f>SUM(H10:H194)</f>
        <v>0</v>
      </c>
    </row>
    <row r="11" spans="1:25" ht="15" thickBot="1" x14ac:dyDescent="0.35">
      <c r="B11" t="s">
        <v>465</v>
      </c>
      <c r="C11" s="232">
        <v>0</v>
      </c>
      <c r="D11" s="2" t="str">
        <f>IF(H11&gt;0,"A20, DM-2 Sensors"," ")</f>
        <v xml:space="preserve"> </v>
      </c>
      <c r="E11" s="2">
        <f>IF(C11&gt;0,10,0)</f>
        <v>0</v>
      </c>
      <c r="F11" s="4">
        <f>100000*H11</f>
        <v>0</v>
      </c>
      <c r="H11" s="440">
        <f>0.5*C11</f>
        <v>0</v>
      </c>
      <c r="K11" s="4"/>
    </row>
    <row r="12" spans="1:25" ht="15" thickBot="1" x14ac:dyDescent="0.35">
      <c r="B12" t="s">
        <v>466</v>
      </c>
      <c r="C12" s="232">
        <v>0</v>
      </c>
      <c r="D12" s="2" t="str">
        <f>IF(H12&gt;0,"A30,DM-4Snsr,-2Hit"," ")</f>
        <v xml:space="preserve"> </v>
      </c>
      <c r="E12" s="2">
        <f>IF(C12&gt;0,14,0)</f>
        <v>0</v>
      </c>
      <c r="F12" s="4">
        <f>200000*H12</f>
        <v>0</v>
      </c>
      <c r="H12" s="440">
        <f>0.5*C12</f>
        <v>0</v>
      </c>
      <c r="K12" s="4"/>
      <c r="S12" t="s">
        <v>387</v>
      </c>
    </row>
    <row r="13" spans="1:25" ht="15" thickBot="1" x14ac:dyDescent="0.35">
      <c r="B13" t="s">
        <v>467</v>
      </c>
      <c r="C13" s="232">
        <v>0</v>
      </c>
      <c r="D13" s="2" t="str">
        <f>IF(H13&gt;0,"Flyer (Wing) Skill"," ")</f>
        <v xml:space="preserve"> </v>
      </c>
      <c r="E13" s="2">
        <f>IF(C13&gt;0,9,0)</f>
        <v>0</v>
      </c>
      <c r="F13" s="4">
        <f>150000*H13</f>
        <v>0</v>
      </c>
      <c r="H13" s="440">
        <f>C13</f>
        <v>0</v>
      </c>
      <c r="K13" s="4"/>
      <c r="S13" s="4">
        <f>SUM(K10:K191)</f>
        <v>0</v>
      </c>
    </row>
    <row r="14" spans="1:25" ht="15" thickBot="1" x14ac:dyDescent="0.35">
      <c r="B14" t="s">
        <v>2257</v>
      </c>
      <c r="C14" s="232">
        <v>0</v>
      </c>
      <c r="E14" s="2">
        <f>IF(C14&gt;0,14,0)</f>
        <v>0</v>
      </c>
      <c r="F14" s="4">
        <f>1500000*H14</f>
        <v>0</v>
      </c>
      <c r="G14" s="4"/>
      <c r="H14" s="4">
        <f>IF(C14=0,0,4+C14)</f>
        <v>0</v>
      </c>
      <c r="K14" s="4"/>
    </row>
    <row r="15" spans="1:25" x14ac:dyDescent="0.3">
      <c r="A15" s="22"/>
      <c r="B15" s="22"/>
      <c r="C15" s="22"/>
      <c r="D15" s="22"/>
      <c r="E15" s="27"/>
      <c r="F15" s="23"/>
      <c r="G15" s="22"/>
      <c r="H15" s="22"/>
      <c r="I15" s="22"/>
      <c r="J15" s="22"/>
      <c r="K15" s="23"/>
      <c r="L15" s="22"/>
    </row>
    <row r="16" spans="1:25" x14ac:dyDescent="0.3">
      <c r="A16" s="3" t="s">
        <v>468</v>
      </c>
      <c r="F16" s="4"/>
      <c r="K16" s="4"/>
      <c r="S16" s="3" t="s">
        <v>619</v>
      </c>
    </row>
    <row r="17" spans="1:21" ht="15" thickBot="1" x14ac:dyDescent="0.35">
      <c r="B17" s="2"/>
      <c r="C17" s="1" t="s">
        <v>296</v>
      </c>
      <c r="D17" s="1" t="s">
        <v>947</v>
      </c>
      <c r="F17" s="4"/>
      <c r="K17" s="4"/>
      <c r="S17" t="str">
        <f>IF(C10=0,"",", "&amp;C10&amp;"x "&amp;B10)&amp;""&amp;IF(C11=0,"",", "&amp;C11&amp;"x "&amp;B11)&amp;""&amp;IF(C12=0,"",", "&amp;C12&amp;"x "&amp;B12)&amp;""&amp;IF(C13=0,"",", "&amp;C13&amp;"x "&amp;B13)</f>
        <v/>
      </c>
    </row>
    <row r="18" spans="1:21" ht="15" thickBot="1" x14ac:dyDescent="0.35">
      <c r="B18" t="s">
        <v>2551</v>
      </c>
      <c r="C18" s="232">
        <v>0</v>
      </c>
      <c r="D18" s="16" t="str">
        <f>IF(H18&gt;0,TEXT(25*C18,"#,###")&amp;" Crew"," ")</f>
        <v xml:space="preserve"> </v>
      </c>
      <c r="F18" s="4">
        <f t="shared" ref="F18" si="0">250000*H18</f>
        <v>0</v>
      </c>
      <c r="H18" s="4">
        <f t="shared" ref="H18:H19" si="1">C18</f>
        <v>0</v>
      </c>
      <c r="K18" s="4"/>
    </row>
    <row r="19" spans="1:21" ht="15" thickBot="1" x14ac:dyDescent="0.35">
      <c r="B19" t="s">
        <v>2552</v>
      </c>
      <c r="C19" s="232">
        <v>0</v>
      </c>
      <c r="D19" s="16" t="str">
        <f>IF(H19&gt;0,TEXT(5*C19,"#,###")&amp;" Marines"," ")</f>
        <v xml:space="preserve"> </v>
      </c>
      <c r="F19" s="4">
        <f>250000*H19</f>
        <v>0</v>
      </c>
      <c r="H19" s="4">
        <f t="shared" si="1"/>
        <v>0</v>
      </c>
      <c r="K19" s="4"/>
    </row>
    <row r="20" spans="1:21" ht="15" thickBot="1" x14ac:dyDescent="0.35">
      <c r="B20" t="s">
        <v>2553</v>
      </c>
      <c r="C20" s="232">
        <v>0</v>
      </c>
      <c r="D20" s="16" t="str">
        <f>IF(H20&gt;0,TEXT(4*C20,"#,###")&amp;" Armored Infantry Techs"," ")</f>
        <v xml:space="preserve"> </v>
      </c>
      <c r="E20" s="2">
        <f>IF(C20&gt;0,10,0)</f>
        <v>0</v>
      </c>
      <c r="F20" s="4">
        <f>C20*4000000</f>
        <v>0</v>
      </c>
      <c r="H20" s="4">
        <f>C20*12</f>
        <v>0</v>
      </c>
      <c r="K20" s="4"/>
      <c r="S20" s="3" t="str">
        <f>A16</f>
        <v>Onboard Facilities</v>
      </c>
    </row>
    <row r="21" spans="1:21" ht="15" thickBot="1" x14ac:dyDescent="0.35">
      <c r="B21" t="s">
        <v>469</v>
      </c>
      <c r="C21" s="232">
        <v>0</v>
      </c>
      <c r="D21" s="232">
        <v>0</v>
      </c>
      <c r="F21" s="4">
        <f>200000*H21</f>
        <v>0</v>
      </c>
      <c r="H21" s="4">
        <f>C21*D21</f>
        <v>0</v>
      </c>
      <c r="K21" s="4">
        <f>H21</f>
        <v>0</v>
      </c>
      <c r="S21" t="str">
        <f>IF(C20=0,"",", "&amp;C20&amp;"x "&amp;B20)&amp;""&amp;IF(C21*D21=0,"",", "&amp;C21&amp;"x "&amp;D21&amp;" ton "&amp;B21)&amp;""&amp;IF(C22=0,"",", "&amp;C22&amp;"x "&amp;B22)&amp;""&amp;IF(C23*D23=0,"",", "&amp;C23&amp;"x "&amp;D23&amp;" ton cap "&amp;B23)&amp;""&amp;IF(C24=0,"",", "&amp;C24&amp;" person "&amp;B24)&amp;""&amp;IF(C25=0,"",", "&amp;C25&amp;"x "&amp;B25)&amp;""&amp;IF(C26=0,"",", "&amp;C26&amp;"x "&amp;B26)&amp;""&amp;IF(C27=0,"",", "&amp;C27&amp;"x "&amp;B27)&amp;""&amp;IF(C30=0,"",", "&amp;C30&amp;"x "&amp;B30)&amp;""&amp;IF(C31=0,"",", "&amp;C31&amp;"x "&amp;B31)&amp;""&amp;IF(C32=0,"",", "&amp;C32&amp;"x "&amp;B32)&amp;""&amp;IF(C33=0,"",", "&amp;C33&amp;"x "&amp;B33)&amp;IF(C127=0,"",", "&amp;C73&amp;"x "&amp;B127)&amp;IF(C133=0,"",", "&amp;C133&amp;"x "&amp;B133)&amp;IF(C134=0,"",", "&amp;C134&amp;"x "&amp;B134)&amp;IF(C135=0,"",", "&amp;C135&amp;"x "&amp;B135)&amp;IF(C136=0,"",", "&amp;C136&amp;"x "&amp;B136)&amp;IF(H147=0,"",", "&amp;C147&amp;"x "&amp;B147&amp;" "&amp;A147)&amp;IF(H148=0,"",", "&amp;C148&amp;"x "&amp;B148&amp;" "&amp;A148)&amp;IF(H149=0,"",", "&amp;C149&amp;"x "&amp;B149&amp;" "&amp;A149)&amp;IF(H150=0,"",". "&amp;C150&amp;"x "&amp;D150&amp;" Dton "&amp;A150&amp;B150)&amp;IF(C162=0,"",", "&amp;C162&amp;"x tons "&amp;A161)&amp;IF(SUM(H166:H170)=0,"",", "&amp;IF(C166*D166=0,"",C166&amp;"x "&amp;D166&amp;"Dton Dock;")&amp;IF(C167*D167=0,""," "&amp;C167&amp;"x "&amp;D167&amp;"Dton Dock;")&amp;IF(C168*D168=0,""," "&amp;C168&amp;"x "&amp;D168&amp;"Dton Dock;")&amp;IF(C169*D169=0,""," "&amp;C169&amp;"x "&amp;D169&amp;"Dton Dock;")&amp;IF(C170*D170=0,""," "&amp;C170&amp;"x "&amp;D170&amp;"Dton Dock;"))&amp;IF(C173=0,"",", "&amp;C173&amp;" Dton Fuel Refinery")&amp;IF(C174=0,"",", "&amp;C174&amp;" Dton Service Fuel Tanks")&amp;IF(C176=0,"",", "&amp;C176&amp;" ton Mineral Refinery")&amp;IF(C177=0,"",", "&amp;C177&amp;" ton "&amp;B177)&amp;IF(H182=0,"",", "&amp;D182&amp;"x "&amp;C182&amp;" Dton capacity Space Craft Ship Yard")&amp;IF(H183=0,"",", "&amp;D183&amp;"x "&amp;C183&amp;" Dton capacity Starship Ship Yard")&amp;IF(H188=0,"",", "&amp;D188&amp;"x "&amp;C188&amp;" ton cap "&amp;B188)&amp;IF(H189=0,"",", "&amp;D189&amp;"x "&amp;C189&amp;" ton cap "&amp;B189)&amp;IF(H190=0,"",", "&amp;D190&amp;"x "&amp;C190&amp;" ton cap "&amp;B190)&amp;IF(H191=0,"",", "&amp;D191&amp;"x "&amp;C191&amp;" ton cap "&amp;B191)</f>
        <v/>
      </c>
    </row>
    <row r="22" spans="1:21" ht="15" thickBot="1" x14ac:dyDescent="0.35">
      <c r="B22" t="s">
        <v>470</v>
      </c>
      <c r="C22" s="232">
        <v>0</v>
      </c>
      <c r="D22" s="2" t="str">
        <f>IF(H22&gt;0,"DM+1 Tactics for Plans"," ")</f>
        <v xml:space="preserve"> </v>
      </c>
      <c r="F22" s="4">
        <f>IF(H22&gt;0,500000*C22,0)</f>
        <v>0</v>
      </c>
      <c r="H22" s="4">
        <f>C22*4</f>
        <v>0</v>
      </c>
      <c r="K22" s="4"/>
      <c r="S22" t="s">
        <v>764</v>
      </c>
      <c r="T22">
        <f>SUM(T23:T27)</f>
        <v>0</v>
      </c>
    </row>
    <row r="23" spans="1:21" ht="15" thickBot="1" x14ac:dyDescent="0.35">
      <c r="B23" t="s">
        <v>471</v>
      </c>
      <c r="C23" s="232">
        <v>0</v>
      </c>
      <c r="D23" s="232">
        <v>0</v>
      </c>
      <c r="F23" s="4">
        <f>500000*H23</f>
        <v>0</v>
      </c>
      <c r="H23" s="4">
        <f>C23*D23*2</f>
        <v>0</v>
      </c>
      <c r="K23" s="4">
        <f>H23</f>
        <v>0</v>
      </c>
      <c r="S23" t="s">
        <v>864</v>
      </c>
      <c r="T23">
        <f>IF(MAX(E10:E191)&gt;TL,1,0)</f>
        <v>0</v>
      </c>
    </row>
    <row r="24" spans="1:21" ht="15" thickBot="1" x14ac:dyDescent="0.35">
      <c r="B24" t="s">
        <v>472</v>
      </c>
      <c r="C24" s="232">
        <v>0</v>
      </c>
      <c r="D24" s="16" t="s">
        <v>486</v>
      </c>
      <c r="F24" s="4">
        <f>H24*6000</f>
        <v>0</v>
      </c>
      <c r="H24" s="4">
        <f>1.5*C24</f>
        <v>0</v>
      </c>
      <c r="K24" s="4"/>
      <c r="S24" t="s">
        <v>1657</v>
      </c>
      <c r="T24">
        <f>IF(AND(SUM(F77:F83,F97:F113)&gt;0,SUM(F25,F30,F33,F48,F150)=0),1,0)+IF(AND(SUM(F87:F93,F117:F123)&gt;0,SUM(F25,F30,F33,F48,F150,'9a-Optional'!F49:F53)=0),1,0)</f>
        <v>0</v>
      </c>
    </row>
    <row r="25" spans="1:21" ht="15" thickBot="1" x14ac:dyDescent="0.35">
      <c r="A25" s="196"/>
      <c r="B25" t="s">
        <v>474</v>
      </c>
      <c r="C25" s="232">
        <v>0</v>
      </c>
      <c r="D25" s="16" t="s">
        <v>487</v>
      </c>
      <c r="F25" s="4">
        <f>250000*H25</f>
        <v>0</v>
      </c>
      <c r="H25" s="4">
        <f>4*C25</f>
        <v>0</v>
      </c>
      <c r="K25" s="4"/>
      <c r="S25" t="s">
        <v>2227</v>
      </c>
      <c r="T25">
        <f>IF(T28&lt;0,1,0)</f>
        <v>0</v>
      </c>
    </row>
    <row r="26" spans="1:21" ht="15" thickBot="1" x14ac:dyDescent="0.35">
      <c r="B26" t="s">
        <v>211</v>
      </c>
      <c r="C26" s="232">
        <v>0</v>
      </c>
      <c r="D26" s="2" t="str">
        <f>IF(H26&gt;0,"DM+1 EDU for training"," ")</f>
        <v xml:space="preserve"> </v>
      </c>
      <c r="E26" s="2">
        <f>IF(H26&gt;0,8,0)</f>
        <v>0</v>
      </c>
      <c r="F26" s="4">
        <f>1000000*H26</f>
        <v>0</v>
      </c>
      <c r="H26" s="4">
        <f>4*C26</f>
        <v>0</v>
      </c>
      <c r="K26" s="4"/>
      <c r="S26" t="s">
        <v>2250</v>
      </c>
      <c r="T26">
        <f>IF(T68&lt;0,1,0)</f>
        <v>0</v>
      </c>
    </row>
    <row r="27" spans="1:21" ht="15" thickBot="1" x14ac:dyDescent="0.35">
      <c r="B27" t="s">
        <v>475</v>
      </c>
      <c r="C27" s="232">
        <v>0</v>
      </c>
      <c r="D27" s="16" t="str">
        <f>IF(H27&gt;0,"Cap: "&amp;TEXT(C27*3,"#,###")&amp;"; DM+1 Medic"," ")</f>
        <v xml:space="preserve"> </v>
      </c>
      <c r="F27" s="4">
        <f>500000*H27</f>
        <v>0</v>
      </c>
      <c r="H27" s="4">
        <f>4*C27</f>
        <v>0</v>
      </c>
      <c r="K27" s="4">
        <f>IF(H27&gt;0,C27,0)</f>
        <v>0</v>
      </c>
      <c r="S27" t="s">
        <v>2252</v>
      </c>
      <c r="T27">
        <f>IF(C58&gt;C48,1,0)+IF(AND(C48=0,SUM(C59:C62)&gt;0),1,0)</f>
        <v>0</v>
      </c>
    </row>
    <row r="28" spans="1:21" ht="15" thickBot="1" x14ac:dyDescent="0.35">
      <c r="A28" s="9" t="s">
        <v>2222</v>
      </c>
      <c r="B28" s="196" t="s">
        <v>19</v>
      </c>
      <c r="C28" s="232">
        <v>0</v>
      </c>
      <c r="D28" s="2" t="str">
        <f>T28&amp;" Available"</f>
        <v>0 Available</v>
      </c>
      <c r="E28" s="2">
        <f>INDEX(S29:T32,MATCH(B28,S29:S32,0),2)</f>
        <v>0</v>
      </c>
      <c r="F28" s="4">
        <f>C28*INDEX(S29:U32,MATCH(B28,S29:S32,0),3)</f>
        <v>0</v>
      </c>
      <c r="H28" s="4"/>
      <c r="K28" s="4"/>
      <c r="S28" t="s">
        <v>2226</v>
      </c>
      <c r="T28">
        <f>(C27*3)-C28</f>
        <v>0</v>
      </c>
    </row>
    <row r="29" spans="1:21" ht="15" thickBot="1" x14ac:dyDescent="0.35">
      <c r="B29" t="s">
        <v>2038</v>
      </c>
      <c r="C29" s="232">
        <v>0</v>
      </c>
      <c r="D29" s="16"/>
      <c r="F29" s="4">
        <f>C29*500000</f>
        <v>0</v>
      </c>
      <c r="H29" s="4">
        <f>4*C29</f>
        <v>0</v>
      </c>
      <c r="K29" s="4"/>
      <c r="S29" t="s">
        <v>19</v>
      </c>
      <c r="T29">
        <v>0</v>
      </c>
      <c r="U29">
        <v>0</v>
      </c>
    </row>
    <row r="30" spans="1:21" ht="15" thickBot="1" x14ac:dyDescent="0.35">
      <c r="A30" s="196"/>
      <c r="B30" t="s">
        <v>476</v>
      </c>
      <c r="C30" s="232">
        <v>0</v>
      </c>
      <c r="D30" s="16" t="str">
        <f>IF(H30&gt;0,"Professionals accomodated"," ")</f>
        <v xml:space="preserve"> </v>
      </c>
      <c r="F30" s="4">
        <f>100000*H30</f>
        <v>0</v>
      </c>
      <c r="H30" s="4">
        <f>4*C30</f>
        <v>0</v>
      </c>
      <c r="K30" s="4"/>
      <c r="S30" t="s">
        <v>2223</v>
      </c>
      <c r="T30">
        <v>13</v>
      </c>
      <c r="U30">
        <v>100000</v>
      </c>
    </row>
    <row r="31" spans="1:21" ht="15" thickBot="1" x14ac:dyDescent="0.35">
      <c r="A31" s="196"/>
      <c r="B31" t="s">
        <v>477</v>
      </c>
      <c r="C31" s="232">
        <v>0</v>
      </c>
      <c r="D31" s="2" t="str">
        <f>IF(H31&gt;0,"person capacity"," ")</f>
        <v xml:space="preserve"> </v>
      </c>
      <c r="E31" s="2">
        <f>IF(H31&gt;0,10,0)</f>
        <v>0</v>
      </c>
      <c r="F31" s="4">
        <f>200000*H31</f>
        <v>0</v>
      </c>
      <c r="H31" s="4">
        <f>2*C31</f>
        <v>0</v>
      </c>
      <c r="K31" s="4" t="str">
        <f>""</f>
        <v/>
      </c>
      <c r="S31" t="s">
        <v>2224</v>
      </c>
      <c r="T31">
        <v>14</v>
      </c>
      <c r="U31">
        <v>1000000</v>
      </c>
    </row>
    <row r="32" spans="1:21" ht="15" thickBot="1" x14ac:dyDescent="0.35">
      <c r="A32" s="9" t="str">
        <f>IF(C32=0,"","Level "&amp;MIN(ROUNDDOWN(D32,0),10)&amp;" Armoured ")</f>
        <v/>
      </c>
      <c r="B32" t="s">
        <v>478</v>
      </c>
      <c r="C32" s="232">
        <v>0</v>
      </c>
      <c r="D32" s="232">
        <v>6</v>
      </c>
      <c r="F32" s="4">
        <f>500000*H32</f>
        <v>0</v>
      </c>
      <c r="H32" s="4">
        <f>C32*D32</f>
        <v>0</v>
      </c>
      <c r="K32" s="4"/>
      <c r="S32" t="s">
        <v>2225</v>
      </c>
      <c r="T32">
        <v>15</v>
      </c>
      <c r="U32">
        <v>3000000</v>
      </c>
    </row>
    <row r="33" spans="1:22" ht="15" thickBot="1" x14ac:dyDescent="0.35">
      <c r="B33" t="s">
        <v>479</v>
      </c>
      <c r="C33" s="232">
        <v>0</v>
      </c>
      <c r="D33" s="16" t="str">
        <f>IF(H33&gt;0,TEXT(C33*2,"#,###")&amp;" crew: DM+2 Mechanic"," ")</f>
        <v xml:space="preserve"> </v>
      </c>
      <c r="F33" s="4">
        <f>150000*H33</f>
        <v>0</v>
      </c>
      <c r="H33" s="4">
        <f>6*C33</f>
        <v>0</v>
      </c>
      <c r="K33" s="4"/>
    </row>
    <row r="34" spans="1:22" x14ac:dyDescent="0.3">
      <c r="A34" s="22"/>
      <c r="B34" s="22"/>
      <c r="C34" s="676"/>
      <c r="D34" s="564"/>
      <c r="E34" s="27"/>
      <c r="F34" s="23"/>
      <c r="G34" s="22"/>
      <c r="H34" s="23"/>
      <c r="I34" s="22"/>
      <c r="J34" s="22"/>
      <c r="K34" s="23"/>
      <c r="L34" s="22"/>
    </row>
    <row r="35" spans="1:22" ht="15" thickBot="1" x14ac:dyDescent="0.35">
      <c r="A35" s="3" t="s">
        <v>2724</v>
      </c>
      <c r="C35" s="266"/>
      <c r="D35" s="16"/>
      <c r="F35" s="4"/>
      <c r="H35" s="4"/>
      <c r="K35" s="4"/>
    </row>
    <row r="36" spans="1:22" ht="15" thickBot="1" x14ac:dyDescent="0.35">
      <c r="B36" t="s">
        <v>2725</v>
      </c>
      <c r="C36" s="232">
        <v>0</v>
      </c>
      <c r="D36" s="232">
        <v>1</v>
      </c>
      <c r="F36" s="4">
        <f>H36*250000</f>
        <v>0</v>
      </c>
      <c r="H36" s="4">
        <f>C36*(D36+6)</f>
        <v>0</v>
      </c>
      <c r="K36" s="4"/>
    </row>
    <row r="37" spans="1:22" ht="15" thickBot="1" x14ac:dyDescent="0.35">
      <c r="B37" t="s">
        <v>2726</v>
      </c>
      <c r="C37" s="232">
        <v>0</v>
      </c>
      <c r="D37" s="232">
        <v>1</v>
      </c>
      <c r="F37" s="4">
        <f>H37*1000000</f>
        <v>0</v>
      </c>
      <c r="H37" s="4">
        <f>C37*(20+2*D37)</f>
        <v>0</v>
      </c>
      <c r="K37" s="4"/>
    </row>
    <row r="38" spans="1:22" ht="15" thickBot="1" x14ac:dyDescent="0.35">
      <c r="B38" t="s">
        <v>2727</v>
      </c>
      <c r="C38" s="232">
        <v>0</v>
      </c>
      <c r="D38" s="232">
        <v>1</v>
      </c>
      <c r="F38" s="4">
        <f>H38*750000</f>
        <v>0</v>
      </c>
      <c r="H38" s="4">
        <f>C38*(12+D38)</f>
        <v>0</v>
      </c>
      <c r="K38" s="4"/>
    </row>
    <row r="39" spans="1:22" ht="15" thickBot="1" x14ac:dyDescent="0.35">
      <c r="B39" t="s">
        <v>2728</v>
      </c>
      <c r="C39" s="232">
        <v>0</v>
      </c>
      <c r="D39" s="232">
        <v>1</v>
      </c>
      <c r="F39" s="4">
        <f>H39*1500000</f>
        <v>0</v>
      </c>
      <c r="H39" s="4">
        <f>C39*(40+2*D39)</f>
        <v>0</v>
      </c>
      <c r="K39" s="4"/>
    </row>
    <row r="40" spans="1:22" x14ac:dyDescent="0.3">
      <c r="A40" s="22"/>
      <c r="B40" s="22"/>
      <c r="C40" s="676"/>
      <c r="D40" s="564"/>
      <c r="E40" s="27"/>
      <c r="F40" s="23"/>
      <c r="G40" s="22"/>
      <c r="H40" s="23"/>
      <c r="I40" s="22"/>
      <c r="J40" s="22"/>
      <c r="K40" s="23"/>
      <c r="L40" s="22"/>
    </row>
    <row r="41" spans="1:22" ht="15" thickBot="1" x14ac:dyDescent="0.35">
      <c r="A41" s="3" t="s">
        <v>2694</v>
      </c>
      <c r="C41" s="480"/>
      <c r="D41" s="16"/>
      <c r="F41" s="4"/>
      <c r="H41" s="4"/>
      <c r="K41" s="4"/>
    </row>
    <row r="42" spans="1:22" ht="15" thickBot="1" x14ac:dyDescent="0.35">
      <c r="B42" s="2" t="s">
        <v>2695</v>
      </c>
      <c r="C42" s="232" t="s">
        <v>362</v>
      </c>
      <c r="D42" s="16" t="str">
        <f>IF(C42=S3,"","DM-1 to Defeat Ship's Security")</f>
        <v/>
      </c>
      <c r="F42" s="4">
        <f>200000*H42</f>
        <v>0</v>
      </c>
      <c r="H42" s="4">
        <f>IF(C42=S4,0.2*Tonnage,0)</f>
        <v>0</v>
      </c>
      <c r="K42" s="4"/>
    </row>
    <row r="43" spans="1:22" x14ac:dyDescent="0.3">
      <c r="A43" s="22"/>
      <c r="B43" s="22"/>
      <c r="C43" s="22"/>
      <c r="D43" s="22"/>
      <c r="E43" s="27"/>
      <c r="F43" s="22"/>
      <c r="G43" s="22"/>
      <c r="H43" s="22"/>
      <c r="I43" s="22"/>
      <c r="J43" s="22"/>
      <c r="K43" s="22"/>
      <c r="L43" s="22"/>
      <c r="S43" s="3" t="s">
        <v>2549</v>
      </c>
    </row>
    <row r="44" spans="1:22" ht="15" thickBot="1" x14ac:dyDescent="0.35">
      <c r="A44" s="3" t="s">
        <v>2549</v>
      </c>
      <c r="S44" t="str">
        <f>""</f>
        <v/>
      </c>
      <c r="T44">
        <v>0</v>
      </c>
    </row>
    <row r="45" spans="1:22" ht="15" thickBot="1" x14ac:dyDescent="0.35">
      <c r="B45" s="2" t="s">
        <v>2550</v>
      </c>
      <c r="C45" s="232" t="s">
        <v>1020</v>
      </c>
      <c r="E45" s="2">
        <f>INDEX(S44:V47,MATCH(C45,S44:S47,0),2)</f>
        <v>0</v>
      </c>
      <c r="F45" s="4">
        <f>INDEX(S44:V47,MATCH(C45,S44:S47,0),4)</f>
        <v>0</v>
      </c>
      <c r="H45" s="4">
        <f>INDEX(S44:V47,MATCH(C45,S44:S47,0),3)</f>
        <v>0</v>
      </c>
      <c r="S45" t="s">
        <v>880</v>
      </c>
      <c r="T45">
        <v>12</v>
      </c>
      <c r="U45">
        <f>0.05*Tonnage</f>
        <v>5</v>
      </c>
      <c r="V45">
        <f>U45*100000</f>
        <v>500000</v>
      </c>
    </row>
    <row r="46" spans="1:22" x14ac:dyDescent="0.3">
      <c r="A46" s="22"/>
      <c r="B46" s="22"/>
      <c r="C46" s="22"/>
      <c r="D46" s="22"/>
      <c r="E46" s="27"/>
      <c r="F46" s="22"/>
      <c r="G46" s="22"/>
      <c r="H46" s="22"/>
      <c r="I46" s="22"/>
      <c r="J46" s="22"/>
      <c r="K46" s="22"/>
      <c r="L46" s="22"/>
      <c r="S46" t="s">
        <v>1538</v>
      </c>
      <c r="T46">
        <v>14</v>
      </c>
      <c r="U46">
        <f>0.03*Tonnage</f>
        <v>3</v>
      </c>
      <c r="V46">
        <f>U46*200000</f>
        <v>600000</v>
      </c>
    </row>
    <row r="47" spans="1:22" ht="15" thickBot="1" x14ac:dyDescent="0.35">
      <c r="A47" s="3" t="s">
        <v>2241</v>
      </c>
      <c r="C47" s="480"/>
      <c r="D47" s="16"/>
      <c r="F47" s="4"/>
      <c r="H47" s="4"/>
      <c r="K47" s="4"/>
      <c r="S47" t="s">
        <v>1539</v>
      </c>
      <c r="T47">
        <v>16</v>
      </c>
      <c r="U47">
        <f>0.01*Tonnage</f>
        <v>1</v>
      </c>
      <c r="V47">
        <f>U47*400000</f>
        <v>400000</v>
      </c>
    </row>
    <row r="48" spans="1:22" ht="15" thickBot="1" x14ac:dyDescent="0.35">
      <c r="B48" t="s">
        <v>2237</v>
      </c>
      <c r="C48" s="232">
        <v>0</v>
      </c>
      <c r="D48" s="2" t="str">
        <f>T68&amp;" Slots Available"</f>
        <v>0 Slots Available</v>
      </c>
      <c r="F48" s="4">
        <f>C48*500000</f>
        <v>0</v>
      </c>
      <c r="H48" s="4">
        <f>C48*4</f>
        <v>0</v>
      </c>
      <c r="K48" s="4"/>
    </row>
    <row r="49" spans="1:11" ht="15" thickBot="1" x14ac:dyDescent="0.35">
      <c r="A49" s="196" t="s">
        <v>1643</v>
      </c>
      <c r="B49" t="s">
        <v>2403</v>
      </c>
      <c r="C49" s="232">
        <v>0</v>
      </c>
      <c r="D49" s="2" t="str">
        <f>C49*512&amp;" Slots Used"</f>
        <v>0 Slots Used</v>
      </c>
      <c r="E49" s="2">
        <f t="shared" ref="E49:E57" si="2">IF(C49=0,0,INDEX($S$76:$U$91,MATCH(A49,$S$76:$S$91,0),2))</f>
        <v>0</v>
      </c>
      <c r="F49" s="4">
        <f>INDEX($S$76:$U$91,MATCH(A49,$S$76:$S$91,0),3)*C49*512</f>
        <v>0</v>
      </c>
      <c r="H49" s="4"/>
      <c r="K49" s="4"/>
    </row>
    <row r="50" spans="1:11" ht="15" thickBot="1" x14ac:dyDescent="0.35">
      <c r="A50" s="196" t="s">
        <v>1643</v>
      </c>
      <c r="B50" t="s">
        <v>2404</v>
      </c>
      <c r="C50" s="232">
        <v>0</v>
      </c>
      <c r="D50" s="2" t="str">
        <f>C50*256&amp;" Slots Used"</f>
        <v>0 Slots Used</v>
      </c>
      <c r="E50" s="2">
        <f t="shared" si="2"/>
        <v>0</v>
      </c>
      <c r="F50" s="4">
        <f>INDEX($S$76:$U$91,MATCH(A50,$S$76:$S$91,0),3)*C50*256</f>
        <v>0</v>
      </c>
      <c r="H50" s="4"/>
      <c r="K50" s="4"/>
    </row>
    <row r="51" spans="1:11" ht="15" thickBot="1" x14ac:dyDescent="0.35">
      <c r="A51" s="196" t="s">
        <v>1643</v>
      </c>
      <c r="B51" t="s">
        <v>2238</v>
      </c>
      <c r="C51" s="232">
        <v>0</v>
      </c>
      <c r="D51" s="2" t="str">
        <f>C51*128&amp;" Slots Used"</f>
        <v>0 Slots Used</v>
      </c>
      <c r="E51" s="2">
        <f t="shared" si="2"/>
        <v>0</v>
      </c>
      <c r="F51" s="4">
        <f>INDEX($S$76:$U$91,MATCH(A51,$S$76:$S$91,0),3)*C51*128</f>
        <v>0</v>
      </c>
      <c r="H51" s="4"/>
      <c r="K51" s="4"/>
    </row>
    <row r="52" spans="1:11" ht="15" thickBot="1" x14ac:dyDescent="0.35">
      <c r="A52" s="196" t="s">
        <v>1643</v>
      </c>
      <c r="B52" t="s">
        <v>2239</v>
      </c>
      <c r="C52" s="232">
        <v>0</v>
      </c>
      <c r="D52" s="2" t="str">
        <f>C52*64&amp;" Slots Used"</f>
        <v>0 Slots Used</v>
      </c>
      <c r="E52" s="2">
        <f t="shared" si="2"/>
        <v>0</v>
      </c>
      <c r="F52" s="4">
        <f>INDEX($S$76:$U$91,MATCH(A52,$S$76:$S$91,0),3)*C52*64</f>
        <v>0</v>
      </c>
      <c r="H52" s="4"/>
      <c r="K52" s="4"/>
    </row>
    <row r="53" spans="1:11" ht="15" thickBot="1" x14ac:dyDescent="0.35">
      <c r="A53" s="196" t="s">
        <v>1643</v>
      </c>
      <c r="B53" t="s">
        <v>2240</v>
      </c>
      <c r="C53" s="232">
        <v>0</v>
      </c>
      <c r="D53" s="2" t="str">
        <f>C53*32&amp;" Slots Used"</f>
        <v>0 Slots Used</v>
      </c>
      <c r="E53" s="2">
        <f t="shared" si="2"/>
        <v>0</v>
      </c>
      <c r="F53" s="4">
        <f>INDEX($S$76:$U$91,MATCH(A53,$S$76:$S$91,0),3)*C53*32</f>
        <v>0</v>
      </c>
      <c r="H53" s="4"/>
      <c r="K53" s="4"/>
    </row>
    <row r="54" spans="1:11" ht="15" thickBot="1" x14ac:dyDescent="0.35">
      <c r="A54" s="196" t="s">
        <v>1643</v>
      </c>
      <c r="B54" t="s">
        <v>2405</v>
      </c>
      <c r="C54" s="232">
        <v>0</v>
      </c>
      <c r="D54" s="2" t="str">
        <f>C54*16&amp;" Slots Used"</f>
        <v>0 Slots Used</v>
      </c>
      <c r="E54" s="2">
        <f t="shared" si="2"/>
        <v>0</v>
      </c>
      <c r="F54" s="4">
        <f>INDEX($S$76:$U$91,MATCH(A54,$S$76:$S$91,0),3)*C54*16</f>
        <v>0</v>
      </c>
      <c r="H54" s="4"/>
      <c r="K54" s="4"/>
    </row>
    <row r="55" spans="1:11" ht="15" thickBot="1" x14ac:dyDescent="0.35">
      <c r="A55" s="196" t="s">
        <v>1643</v>
      </c>
      <c r="B55" t="s">
        <v>2406</v>
      </c>
      <c r="C55" s="232">
        <v>0</v>
      </c>
      <c r="D55" s="2" t="str">
        <f>C55*8&amp;" Slots Used"</f>
        <v>0 Slots Used</v>
      </c>
      <c r="E55" s="2">
        <f t="shared" si="2"/>
        <v>0</v>
      </c>
      <c r="F55" s="4">
        <f>INDEX($S$76:$U$91,MATCH(A55,$S$76:$S$91,0),3)*C55*8</f>
        <v>0</v>
      </c>
      <c r="H55" s="4"/>
      <c r="K55" s="4"/>
    </row>
    <row r="56" spans="1:11" ht="15" thickBot="1" x14ac:dyDescent="0.35">
      <c r="A56" s="196" t="s">
        <v>1643</v>
      </c>
      <c r="B56" t="s">
        <v>2407</v>
      </c>
      <c r="C56" s="232">
        <v>0</v>
      </c>
      <c r="D56" s="2" t="str">
        <f>C56*4&amp;" Slots Used"</f>
        <v>0 Slots Used</v>
      </c>
      <c r="E56" s="2">
        <f t="shared" si="2"/>
        <v>0</v>
      </c>
      <c r="F56" s="4">
        <f>INDEX($S$76:$U$91,MATCH(A56,$S$76:$S$91,0),3)*C56*4</f>
        <v>0</v>
      </c>
      <c r="H56" s="4"/>
      <c r="K56" s="4"/>
    </row>
    <row r="57" spans="1:11" ht="15" thickBot="1" x14ac:dyDescent="0.35">
      <c r="A57" s="196" t="s">
        <v>1643</v>
      </c>
      <c r="B57" t="s">
        <v>2408</v>
      </c>
      <c r="C57" s="232">
        <v>0</v>
      </c>
      <c r="D57" s="2" t="str">
        <f>C57*2&amp;" Slots Used"</f>
        <v>0 Slots Used</v>
      </c>
      <c r="E57" s="2">
        <f t="shared" si="2"/>
        <v>0</v>
      </c>
      <c r="F57" s="4">
        <f>INDEX($S$76:$U$91,MATCH(A57,$S$76:$S$91,0),3)*C57*2</f>
        <v>0</v>
      </c>
      <c r="H57" s="4"/>
      <c r="K57" s="4"/>
    </row>
    <row r="58" spans="1:11" ht="15" thickBot="1" x14ac:dyDescent="0.35">
      <c r="A58" s="196" t="s">
        <v>19</v>
      </c>
      <c r="B58" t="s">
        <v>2242</v>
      </c>
      <c r="C58" s="232">
        <v>0</v>
      </c>
      <c r="D58" s="2" t="str">
        <f>C48&amp;" Max"</f>
        <v>0 Max</v>
      </c>
      <c r="E58" s="2">
        <f>IF(A58=V69,0,IF(C58=0,0,13))</f>
        <v>0</v>
      </c>
      <c r="F58" s="4">
        <f>C58*INDEX(V69:W71,MATCH(A58,V69:V71,0),2)</f>
        <v>0</v>
      </c>
      <c r="H58" s="4"/>
      <c r="K58" s="4"/>
    </row>
    <row r="59" spans="1:11" ht="15" thickBot="1" x14ac:dyDescent="0.35">
      <c r="B59" t="s">
        <v>2245</v>
      </c>
      <c r="C59" s="232">
        <v>0</v>
      </c>
      <c r="D59" s="2" t="s">
        <v>2247</v>
      </c>
      <c r="E59" s="2">
        <f>IF(C59=0,0,12)</f>
        <v>0</v>
      </c>
      <c r="F59" s="26">
        <f>C59*12000</f>
        <v>0</v>
      </c>
      <c r="H59" s="4"/>
      <c r="K59" s="4"/>
    </row>
    <row r="60" spans="1:11" ht="15" thickBot="1" x14ac:dyDescent="0.35">
      <c r="B60" t="s">
        <v>2246</v>
      </c>
      <c r="C60" s="232">
        <v>0</v>
      </c>
      <c r="D60" s="2" t="s">
        <v>2248</v>
      </c>
      <c r="E60" s="2">
        <f>IF(C60=0,0,12)</f>
        <v>0</v>
      </c>
      <c r="F60" s="26">
        <f>C60*160000</f>
        <v>0</v>
      </c>
      <c r="H60" s="4"/>
      <c r="K60" s="4"/>
    </row>
    <row r="61" spans="1:11" ht="15" thickBot="1" x14ac:dyDescent="0.35">
      <c r="A61" s="196" t="s">
        <v>880</v>
      </c>
      <c r="B61" t="s">
        <v>2243</v>
      </c>
      <c r="C61" s="232">
        <v>0</v>
      </c>
      <c r="D61" s="2"/>
      <c r="E61" s="2">
        <f>IF(C61=0,0,INDEX(S103:T108,MATCH(A61,S103:S108,0),2))</f>
        <v>0</v>
      </c>
      <c r="F61" s="26">
        <f>INDEX(S103:U108,MATCH(A61,S103:S108,0),3)*C61</f>
        <v>0</v>
      </c>
      <c r="H61" s="4"/>
      <c r="K61" s="4"/>
    </row>
    <row r="62" spans="1:11" ht="15" thickBot="1" x14ac:dyDescent="0.35">
      <c r="A62" s="196" t="s">
        <v>880</v>
      </c>
      <c r="B62" t="s">
        <v>2244</v>
      </c>
      <c r="C62" s="560">
        <v>0</v>
      </c>
      <c r="D62" s="2"/>
      <c r="E62" s="2">
        <f>IF(C62=0,0,INDEX(W104:X108,MATCH(A62,W104:W108,0),2))</f>
        <v>0</v>
      </c>
      <c r="F62" s="26">
        <f>INDEX(W104:Y108,MATCH(A62,W104:W108,0),3)*C62</f>
        <v>0</v>
      </c>
      <c r="H62" s="4"/>
      <c r="K62" s="4"/>
    </row>
    <row r="63" spans="1:11" ht="15" thickBot="1" x14ac:dyDescent="0.35">
      <c r="A63" t="s">
        <v>2255</v>
      </c>
      <c r="B63" s="196"/>
      <c r="C63" s="232">
        <v>0</v>
      </c>
      <c r="D63" s="16"/>
      <c r="F63" s="534">
        <v>0</v>
      </c>
      <c r="H63" s="4"/>
      <c r="K63" s="4"/>
    </row>
    <row r="64" spans="1:11" ht="15" thickBot="1" x14ac:dyDescent="0.35">
      <c r="A64" t="s">
        <v>2255</v>
      </c>
      <c r="B64" s="196"/>
      <c r="C64" s="232">
        <v>0</v>
      </c>
      <c r="D64" s="16"/>
      <c r="F64" s="534">
        <v>0</v>
      </c>
      <c r="H64" s="4"/>
      <c r="K64" s="4"/>
    </row>
    <row r="65" spans="1:23" ht="15" thickBot="1" x14ac:dyDescent="0.35">
      <c r="A65" t="s">
        <v>2255</v>
      </c>
      <c r="B65" s="196"/>
      <c r="C65" s="232">
        <v>0</v>
      </c>
      <c r="D65" s="16"/>
      <c r="F65" s="534">
        <v>0</v>
      </c>
      <c r="H65" s="4"/>
      <c r="K65" s="4"/>
    </row>
    <row r="66" spans="1:23" ht="15" thickBot="1" x14ac:dyDescent="0.35">
      <c r="C66" s="1" t="s">
        <v>2363</v>
      </c>
      <c r="D66" s="2" t="s">
        <v>2371</v>
      </c>
    </row>
    <row r="67" spans="1:23" ht="15" thickBot="1" x14ac:dyDescent="0.35">
      <c r="B67" t="s">
        <v>2364</v>
      </c>
      <c r="C67" s="232">
        <v>0</v>
      </c>
      <c r="D67" s="266">
        <f>'10-Crew'!U62</f>
        <v>0</v>
      </c>
      <c r="E67" s="2">
        <f>IF(C67=0,0,8)</f>
        <v>0</v>
      </c>
      <c r="F67" s="4">
        <f>C67*20</f>
        <v>0</v>
      </c>
    </row>
    <row r="68" spans="1:23" x14ac:dyDescent="0.3">
      <c r="A68" t="s">
        <v>2369</v>
      </c>
      <c r="B68" t="s">
        <v>2365</v>
      </c>
      <c r="C68" t="s">
        <v>2368</v>
      </c>
      <c r="S68" s="559" t="s">
        <v>2249</v>
      </c>
      <c r="T68" s="540">
        <f>(C48*128)-SUM(C49*512,C50*256,C51*128,C52*64,C53*32,C54*16,C55*8,C56*4,C57*2)</f>
        <v>0</v>
      </c>
      <c r="U68" s="260"/>
    </row>
    <row r="69" spans="1:23" x14ac:dyDescent="0.3">
      <c r="B69" t="s">
        <v>2367</v>
      </c>
      <c r="C69" t="s">
        <v>2366</v>
      </c>
      <c r="S69" s="44" t="s">
        <v>1643</v>
      </c>
      <c r="T69" s="45">
        <v>0</v>
      </c>
      <c r="U69" s="47">
        <v>0</v>
      </c>
      <c r="V69" s="44" t="str">
        <f>""</f>
        <v/>
      </c>
      <c r="W69" s="47">
        <v>0</v>
      </c>
    </row>
    <row r="70" spans="1:23" ht="15" thickBot="1" x14ac:dyDescent="0.35">
      <c r="A70" s="1" t="s">
        <v>1907</v>
      </c>
      <c r="B70" s="1"/>
      <c r="C70" s="480"/>
      <c r="D70" s="281" t="s">
        <v>1908</v>
      </c>
      <c r="F70" s="26"/>
      <c r="H70" s="4"/>
      <c r="K70" s="4"/>
      <c r="S70" s="78" t="s">
        <v>880</v>
      </c>
      <c r="T70">
        <v>8</v>
      </c>
      <c r="U70" s="652">
        <v>2000</v>
      </c>
      <c r="V70" s="78" t="s">
        <v>19</v>
      </c>
      <c r="W70" s="46">
        <v>300000</v>
      </c>
    </row>
    <row r="71" spans="1:23" ht="15" thickBot="1" x14ac:dyDescent="0.35">
      <c r="B71" s="447" t="s">
        <v>1905</v>
      </c>
      <c r="C71" s="232" t="s">
        <v>362</v>
      </c>
      <c r="D71" s="232">
        <v>0</v>
      </c>
      <c r="E71" s="2">
        <f>IF(C71=S3,0,INDEX(S110:T111,MATCH(B71,S110:S111,0),2))</f>
        <v>0</v>
      </c>
      <c r="F71" s="4">
        <f>IF(C71=S6,INDEX(S110:W111,MATCH(B71,S110:S111,0),4)+D71*INDEX(S110:W111,MATCH(B71,S110:S111,0),5),0)</f>
        <v>0</v>
      </c>
      <c r="H71" s="4">
        <f>IF(C71=S6,INDEX(S110:W111,MATCH(B71,S110:S111,0),3)+D71,0)</f>
        <v>0</v>
      </c>
      <c r="K71" s="4"/>
      <c r="S71" s="78" t="s">
        <v>1538</v>
      </c>
      <c r="T71">
        <v>10</v>
      </c>
      <c r="U71" s="652">
        <v>10000</v>
      </c>
      <c r="V71" s="86" t="s">
        <v>2251</v>
      </c>
      <c r="W71" s="79">
        <v>500000</v>
      </c>
    </row>
    <row r="72" spans="1:23" ht="15" thickBot="1" x14ac:dyDescent="0.35">
      <c r="B72" s="447" t="s">
        <v>1909</v>
      </c>
      <c r="C72" s="232">
        <v>0</v>
      </c>
      <c r="D72" s="2" t="str">
        <f>IF(C71=S5,"",TEXT(MIN(2+D71,C72)*INDEX(S112:U113,MATCH(B72,S112:S113,0),3),"#,###")&amp;" Heat Cap")</f>
        <v xml:space="preserve"> Heat Cap</v>
      </c>
      <c r="E72" s="2">
        <f>IF(C72=0,0,INDEX(S112:T113,MATCH(B72,S112:S113,0),2))</f>
        <v>0</v>
      </c>
      <c r="F72" s="4">
        <f>C72*INDEX(S112:V113,MATCH(B72,S112:S113,0),4)</f>
        <v>0</v>
      </c>
      <c r="H72" s="4">
        <f>C72</f>
        <v>0</v>
      </c>
      <c r="K72" s="4"/>
      <c r="S72" s="78" t="s">
        <v>1539</v>
      </c>
      <c r="T72">
        <v>13</v>
      </c>
      <c r="U72" s="652">
        <v>50000</v>
      </c>
    </row>
    <row r="73" spans="1:23" x14ac:dyDescent="0.3">
      <c r="F73" s="4"/>
      <c r="H73" s="4"/>
      <c r="K73" s="4"/>
      <c r="S73" s="78" t="s">
        <v>573</v>
      </c>
      <c r="T73">
        <v>17</v>
      </c>
      <c r="U73" s="652">
        <v>200000</v>
      </c>
    </row>
    <row r="74" spans="1:23" ht="15" thickBot="1" x14ac:dyDescent="0.35">
      <c r="A74" s="142" t="s">
        <v>1672</v>
      </c>
      <c r="B74" s="45" t="s">
        <v>1673</v>
      </c>
      <c r="C74" s="45"/>
      <c r="D74" s="45"/>
      <c r="E74" s="87"/>
      <c r="F74" s="4"/>
      <c r="H74" s="4"/>
      <c r="K74" s="4"/>
      <c r="S74" s="86" t="s">
        <v>2254</v>
      </c>
      <c r="T74" s="28">
        <v>19</v>
      </c>
      <c r="U74" s="653">
        <v>500000</v>
      </c>
    </row>
    <row r="75" spans="1:23" ht="15" thickBot="1" x14ac:dyDescent="0.35">
      <c r="A75" s="862" t="s">
        <v>1669</v>
      </c>
      <c r="B75" s="738"/>
      <c r="E75" s="88"/>
      <c r="F75" s="4"/>
      <c r="H75" s="4"/>
      <c r="K75" s="4"/>
      <c r="M75" s="7" t="s">
        <v>2221</v>
      </c>
      <c r="N75" s="197" t="s">
        <v>92</v>
      </c>
      <c r="S75" s="86" t="s">
        <v>2554</v>
      </c>
      <c r="T75" s="28">
        <v>13</v>
      </c>
      <c r="U75" s="653">
        <v>80000</v>
      </c>
    </row>
    <row r="76" spans="1:23" ht="15" thickBot="1" x14ac:dyDescent="0.35">
      <c r="A76" s="235"/>
      <c r="B76" s="1" t="s">
        <v>1640</v>
      </c>
      <c r="C76" s="1" t="s">
        <v>1641</v>
      </c>
      <c r="D76" s="1" t="s">
        <v>296</v>
      </c>
      <c r="E76" s="416" t="s">
        <v>26</v>
      </c>
      <c r="F76" s="4"/>
      <c r="H76" s="4"/>
      <c r="K76" s="4"/>
      <c r="M76" s="3" t="s">
        <v>2218</v>
      </c>
      <c r="S76" s="44" t="s">
        <v>1643</v>
      </c>
      <c r="T76" s="45">
        <v>0</v>
      </c>
      <c r="U76" s="47">
        <v>0</v>
      </c>
    </row>
    <row r="77" spans="1:23" ht="15" thickBot="1" x14ac:dyDescent="0.35">
      <c r="A77" s="78" t="s">
        <v>1642</v>
      </c>
      <c r="B77" s="196" t="s">
        <v>1643</v>
      </c>
      <c r="C77" s="197">
        <v>0</v>
      </c>
      <c r="D77" s="232">
        <v>0</v>
      </c>
      <c r="E77" s="88">
        <f>INDEX($S$76:$U$91,MATCH(B77,$S$76:$S$91,0),2)</f>
        <v>0</v>
      </c>
      <c r="F77" s="23">
        <f>INDEX($S$76:$U$91,MATCH(B77,$S$76:$S$91,0),3)*C77*D77*1.5*0.9</f>
        <v>0</v>
      </c>
      <c r="G77" s="22"/>
      <c r="H77" s="23"/>
      <c r="I77" s="22"/>
      <c r="J77" s="22"/>
      <c r="K77" s="23"/>
      <c r="L77" s="23"/>
      <c r="M77" s="22">
        <f>ROUNDUP(C77/1.5,0)</f>
        <v>0</v>
      </c>
      <c r="N77" s="400" t="str">
        <f>IF(M77-(C77/1.5)=0,"","("&amp;C77-(M77*1.5)&amp;")")</f>
        <v/>
      </c>
      <c r="O77" t="s">
        <v>2219</v>
      </c>
      <c r="S77" s="78" t="s">
        <v>2555</v>
      </c>
      <c r="T77">
        <v>6</v>
      </c>
      <c r="U77" s="558">
        <f>U70*10</f>
        <v>20000</v>
      </c>
    </row>
    <row r="78" spans="1:23" ht="15" thickBot="1" x14ac:dyDescent="0.35">
      <c r="A78" s="78"/>
      <c r="B78" s="196" t="s">
        <v>1643</v>
      </c>
      <c r="C78" s="197">
        <v>0</v>
      </c>
      <c r="D78" s="232">
        <v>0</v>
      </c>
      <c r="E78" s="88">
        <f>INDEX($S$76:$U$91,MATCH(B78,$S$76:$S$91,0),2)</f>
        <v>0</v>
      </c>
      <c r="F78" s="4">
        <f>INDEX($S$76:$U$91,MATCH(B78,$S$76:$S$91,0),3)*C78*D78*1.5*0.9</f>
        <v>0</v>
      </c>
      <c r="H78" s="4"/>
      <c r="K78" s="4"/>
      <c r="L78" s="4"/>
      <c r="M78">
        <f t="shared" ref="M78:M79" si="3">ROUNDUP(C78/1.5,0)</f>
        <v>0</v>
      </c>
      <c r="N78" s="9" t="str">
        <f t="shared" ref="N78:N79" si="4">IF(M78-(C78/1.5)=0,"","("&amp;C78-(M78*1.5)&amp;")")</f>
        <v/>
      </c>
      <c r="S78" s="78" t="s">
        <v>2556</v>
      </c>
      <c r="T78">
        <v>7</v>
      </c>
      <c r="U78" s="558">
        <f>U70*5</f>
        <v>10000</v>
      </c>
    </row>
    <row r="79" spans="1:23" ht="15" thickBot="1" x14ac:dyDescent="0.35">
      <c r="A79" s="78"/>
      <c r="B79" s="196" t="s">
        <v>1643</v>
      </c>
      <c r="C79" s="197">
        <v>0</v>
      </c>
      <c r="D79" s="232">
        <v>0</v>
      </c>
      <c r="E79" s="88">
        <f>INDEX($S$76:$U$91,MATCH(B79,$S$76:$S$91,0),2)</f>
        <v>0</v>
      </c>
      <c r="F79" s="4">
        <f>INDEX($S$76:$U$91,MATCH(B79,$S$76:$S$91,0),3)*C79*D79*1.5*0.9</f>
        <v>0</v>
      </c>
      <c r="G79" s="22"/>
      <c r="H79" s="23"/>
      <c r="I79" s="22"/>
      <c r="J79" s="22"/>
      <c r="K79" s="23"/>
      <c r="L79" s="23"/>
      <c r="M79" s="22">
        <f t="shared" si="3"/>
        <v>0</v>
      </c>
      <c r="N79" s="400" t="str">
        <f t="shared" si="4"/>
        <v/>
      </c>
      <c r="S79" s="78" t="s">
        <v>880</v>
      </c>
      <c r="T79">
        <v>8</v>
      </c>
      <c r="U79" s="558">
        <f>U70</f>
        <v>2000</v>
      </c>
    </row>
    <row r="80" spans="1:23" ht="15" thickBot="1" x14ac:dyDescent="0.35">
      <c r="A80" s="78"/>
      <c r="D80" s="266"/>
      <c r="E80" s="88"/>
      <c r="F80" s="4"/>
      <c r="H80" s="4"/>
      <c r="K80" s="4"/>
      <c r="L80" s="4"/>
      <c r="S80" s="78" t="s">
        <v>2557</v>
      </c>
      <c r="T80">
        <v>8</v>
      </c>
      <c r="U80" s="558">
        <f>U71*10</f>
        <v>100000</v>
      </c>
    </row>
    <row r="81" spans="1:21" ht="15" thickBot="1" x14ac:dyDescent="0.35">
      <c r="A81" s="78" t="s">
        <v>1644</v>
      </c>
      <c r="B81" s="196" t="s">
        <v>1643</v>
      </c>
      <c r="C81" s="237">
        <v>0</v>
      </c>
      <c r="D81" s="232">
        <v>0</v>
      </c>
      <c r="E81" s="88">
        <f>INDEX($S$76:$U$91,MATCH(B81,$S$76:$S$91,0),2)</f>
        <v>0</v>
      </c>
      <c r="F81" s="4">
        <f>INDEX($S$76:$U$91,MATCH(B81,$S$76:$S$91,0),3)*C81*D81*1.5</f>
        <v>0</v>
      </c>
      <c r="G81" s="22"/>
      <c r="H81" s="23"/>
      <c r="I81" s="22"/>
      <c r="J81" s="22"/>
      <c r="K81" s="23"/>
      <c r="L81" s="23"/>
      <c r="M81" s="22">
        <f t="shared" ref="M81:M83" si="5">ROUNDUP(C81/1.5,0)</f>
        <v>0</v>
      </c>
      <c r="N81" s="400" t="str">
        <f t="shared" ref="N81:N83" si="6">IF(M81-(C81/1.5)=0,"","("&amp;C81-(M81*1.5)&amp;")")</f>
        <v/>
      </c>
      <c r="S81" s="78" t="s">
        <v>2558</v>
      </c>
      <c r="T81">
        <v>9</v>
      </c>
      <c r="U81" s="558">
        <f>U71*5</f>
        <v>50000</v>
      </c>
    </row>
    <row r="82" spans="1:21" ht="15" thickBot="1" x14ac:dyDescent="0.35">
      <c r="A82" s="78"/>
      <c r="B82" s="196" t="s">
        <v>1643</v>
      </c>
      <c r="C82" s="237">
        <v>0</v>
      </c>
      <c r="D82" s="232">
        <v>0</v>
      </c>
      <c r="E82" s="88">
        <f>INDEX($S$76:$U$91,MATCH(B82,$S$76:$S$91,0),2)</f>
        <v>0</v>
      </c>
      <c r="F82" s="4">
        <f>INDEX($S$76:$U$91,MATCH(B82,$S$76:$S$91,0),3)*C82*D82*1.5</f>
        <v>0</v>
      </c>
      <c r="H82" s="4"/>
      <c r="K82" s="4"/>
      <c r="L82" s="4"/>
      <c r="M82">
        <f t="shared" si="5"/>
        <v>0</v>
      </c>
      <c r="N82" s="9" t="str">
        <f t="shared" si="6"/>
        <v/>
      </c>
      <c r="S82" s="78" t="s">
        <v>1538</v>
      </c>
      <c r="T82">
        <v>10</v>
      </c>
      <c r="U82" s="558">
        <f>U71</f>
        <v>10000</v>
      </c>
    </row>
    <row r="83" spans="1:21" ht="15" thickBot="1" x14ac:dyDescent="0.35">
      <c r="A83" s="78"/>
      <c r="B83" s="196" t="s">
        <v>1643</v>
      </c>
      <c r="C83" s="237">
        <v>0</v>
      </c>
      <c r="D83" s="232">
        <v>0</v>
      </c>
      <c r="E83" s="88">
        <f>INDEX($S$76:$U$91,MATCH(B83,$S$76:$S$91,0),2)</f>
        <v>0</v>
      </c>
      <c r="F83" s="4">
        <f>INDEX($S$76:$U$91,MATCH(B83,$S$76:$S$91,0),3)*C83*D83*1.5</f>
        <v>0</v>
      </c>
      <c r="G83" s="22"/>
      <c r="H83" s="23"/>
      <c r="I83" s="22"/>
      <c r="J83" s="22"/>
      <c r="K83" s="23"/>
      <c r="L83" s="23"/>
      <c r="M83" s="22">
        <f t="shared" si="5"/>
        <v>0</v>
      </c>
      <c r="N83" s="400" t="str">
        <f t="shared" si="6"/>
        <v/>
      </c>
      <c r="S83" s="78" t="s">
        <v>2559</v>
      </c>
      <c r="T83">
        <v>11</v>
      </c>
      <c r="U83" s="558">
        <f>U72*10</f>
        <v>500000</v>
      </c>
    </row>
    <row r="84" spans="1:21" x14ac:dyDescent="0.3">
      <c r="A84" s="78"/>
      <c r="C84" s="266"/>
      <c r="D84" s="266"/>
      <c r="E84" s="88"/>
      <c r="F84" s="4"/>
      <c r="H84" s="4"/>
      <c r="K84" s="4"/>
      <c r="L84" s="4"/>
      <c r="S84" s="78" t="s">
        <v>2560</v>
      </c>
      <c r="T84">
        <v>12</v>
      </c>
      <c r="U84" s="558">
        <f>U72*5</f>
        <v>250000</v>
      </c>
    </row>
    <row r="85" spans="1:21" x14ac:dyDescent="0.3">
      <c r="A85" s="862" t="s">
        <v>2561</v>
      </c>
      <c r="B85" s="738"/>
      <c r="E85" s="88"/>
      <c r="F85" s="4"/>
      <c r="H85" s="4"/>
      <c r="K85" s="4"/>
      <c r="L85" s="4"/>
      <c r="S85" s="78" t="s">
        <v>1539</v>
      </c>
      <c r="T85">
        <v>13</v>
      </c>
      <c r="U85" s="558">
        <f>U72</f>
        <v>50000</v>
      </c>
    </row>
    <row r="86" spans="1:21" ht="15" thickBot="1" x14ac:dyDescent="0.35">
      <c r="A86" s="78"/>
      <c r="B86" s="1" t="s">
        <v>1640</v>
      </c>
      <c r="C86" s="1" t="s">
        <v>1641</v>
      </c>
      <c r="D86" s="1" t="s">
        <v>296</v>
      </c>
      <c r="E86" s="88"/>
      <c r="F86" s="4"/>
      <c r="H86" s="4"/>
      <c r="K86" s="4"/>
      <c r="L86" s="4"/>
      <c r="S86" s="78" t="s">
        <v>2562</v>
      </c>
      <c r="T86">
        <v>15</v>
      </c>
      <c r="U86" s="558">
        <f>U73*10</f>
        <v>2000000</v>
      </c>
    </row>
    <row r="87" spans="1:21" ht="15" thickBot="1" x14ac:dyDescent="0.35">
      <c r="A87" s="78" t="s">
        <v>1642</v>
      </c>
      <c r="B87" s="196" t="s">
        <v>1643</v>
      </c>
      <c r="C87" s="197">
        <v>0</v>
      </c>
      <c r="D87" s="232">
        <v>0</v>
      </c>
      <c r="E87" s="88">
        <f>INDEX($S$76:$U$91,MATCH(B87,$S$76:$S$91,0),2)</f>
        <v>0</v>
      </c>
      <c r="F87" s="23">
        <f>INDEX($S$76:$U$91,MATCH(B87,$S$76:$S$91,0),3)*C87*D87*1.5*0.9*0.75</f>
        <v>0</v>
      </c>
      <c r="G87" s="22"/>
      <c r="H87" s="23"/>
      <c r="I87" s="22"/>
      <c r="J87" s="22"/>
      <c r="K87" s="23"/>
      <c r="L87" s="23"/>
      <c r="M87" s="22">
        <f>ROUNDUP(C87/1.5,0)</f>
        <v>0</v>
      </c>
      <c r="N87" s="400" t="str">
        <f>IF(M87-(C87/1.5)=0,"","("&amp;C87-(M87*1.5)&amp;")")</f>
        <v/>
      </c>
      <c r="S87" s="78" t="s">
        <v>2563</v>
      </c>
      <c r="T87">
        <v>16</v>
      </c>
      <c r="U87" s="558">
        <f>U73*5</f>
        <v>1000000</v>
      </c>
    </row>
    <row r="88" spans="1:21" ht="15" thickBot="1" x14ac:dyDescent="0.35">
      <c r="A88" s="78"/>
      <c r="B88" s="196" t="s">
        <v>1643</v>
      </c>
      <c r="C88" s="197">
        <v>0</v>
      </c>
      <c r="D88" s="232">
        <v>0</v>
      </c>
      <c r="E88" s="88">
        <f>INDEX($S$76:$U$91,MATCH(B88,$S$76:$S$91,0),2)</f>
        <v>0</v>
      </c>
      <c r="F88" s="4">
        <f>INDEX($S$76:$U$91,MATCH(B88,$S$76:$S$91,0),3)*C88*D88*1.5*0.9*0.75</f>
        <v>0</v>
      </c>
      <c r="H88" s="4"/>
      <c r="K88" s="4"/>
      <c r="L88" s="4"/>
      <c r="M88">
        <f t="shared" ref="M88:M89" si="7">ROUNDUP(C88/1.5,0)</f>
        <v>0</v>
      </c>
      <c r="N88" s="9" t="str">
        <f t="shared" ref="N88:N89" si="8">IF(M88-(C88/1.5)=0,"","("&amp;C88-(M88*1.5)&amp;")")</f>
        <v/>
      </c>
      <c r="S88" s="78" t="s">
        <v>573</v>
      </c>
      <c r="T88">
        <v>17</v>
      </c>
      <c r="U88" s="558">
        <f>U73</f>
        <v>200000</v>
      </c>
    </row>
    <row r="89" spans="1:21" ht="15" thickBot="1" x14ac:dyDescent="0.35">
      <c r="A89" s="78"/>
      <c r="B89" s="196" t="s">
        <v>1643</v>
      </c>
      <c r="C89" s="197">
        <v>0</v>
      </c>
      <c r="D89" s="232">
        <v>0</v>
      </c>
      <c r="E89" s="88">
        <f>INDEX($S$76:$U$91,MATCH(B89,$S$76:$S$91,0),2)</f>
        <v>0</v>
      </c>
      <c r="F89" s="4">
        <f>INDEX($S$76:$U$91,MATCH(B89,$S$76:$S$91,0),3)*C89*D89*1.5*0.9*0.75</f>
        <v>0</v>
      </c>
      <c r="G89" s="22"/>
      <c r="H89" s="23"/>
      <c r="I89" s="22"/>
      <c r="J89" s="22"/>
      <c r="K89" s="23"/>
      <c r="L89" s="23"/>
      <c r="M89" s="22">
        <f t="shared" si="7"/>
        <v>0</v>
      </c>
      <c r="N89" s="400" t="str">
        <f t="shared" si="8"/>
        <v/>
      </c>
      <c r="S89" s="78" t="s">
        <v>2564</v>
      </c>
      <c r="T89">
        <v>17</v>
      </c>
      <c r="U89" s="558">
        <f>U74*10</f>
        <v>5000000</v>
      </c>
    </row>
    <row r="90" spans="1:21" ht="15" thickBot="1" x14ac:dyDescent="0.35">
      <c r="A90" s="78"/>
      <c r="D90" s="266"/>
      <c r="E90" s="88"/>
      <c r="F90" s="4"/>
      <c r="H90" s="4"/>
      <c r="K90" s="4"/>
      <c r="L90" s="4"/>
      <c r="S90" s="78" t="s">
        <v>2565</v>
      </c>
      <c r="T90">
        <v>18</v>
      </c>
      <c r="U90" s="558">
        <f>U74*5</f>
        <v>2500000</v>
      </c>
    </row>
    <row r="91" spans="1:21" ht="15" thickBot="1" x14ac:dyDescent="0.35">
      <c r="A91" s="78" t="s">
        <v>1644</v>
      </c>
      <c r="B91" s="196" t="s">
        <v>1643</v>
      </c>
      <c r="C91" s="237">
        <v>0</v>
      </c>
      <c r="D91" s="232">
        <v>0</v>
      </c>
      <c r="E91" s="88">
        <f>INDEX($S$76:$U$91,MATCH(B91,$S$76:$S$91,0),2)</f>
        <v>0</v>
      </c>
      <c r="F91" s="4">
        <f>INDEX($S$76:$U$91,MATCH(B91,$S$76:$S$91,0),3)*C91*D91*1.5*0.75</f>
        <v>0</v>
      </c>
      <c r="G91" s="22"/>
      <c r="H91" s="23"/>
      <c r="I91" s="22"/>
      <c r="J91" s="22"/>
      <c r="K91" s="23"/>
      <c r="L91" s="23"/>
      <c r="M91" s="22">
        <f t="shared" ref="M91:M93" si="9">ROUNDUP(C91/1.5,0)</f>
        <v>0</v>
      </c>
      <c r="N91" s="400" t="str">
        <f t="shared" ref="N91:N93" si="10">IF(M91-(C91/1.5)=0,"","("&amp;C91-(M91*1.5)&amp;")")</f>
        <v/>
      </c>
      <c r="S91" s="86" t="s">
        <v>2254</v>
      </c>
      <c r="T91" s="28">
        <v>19</v>
      </c>
      <c r="U91" s="613">
        <f>U74</f>
        <v>500000</v>
      </c>
    </row>
    <row r="92" spans="1:21" ht="15" thickBot="1" x14ac:dyDescent="0.35">
      <c r="A92" s="78"/>
      <c r="B92" s="196" t="s">
        <v>1643</v>
      </c>
      <c r="C92" s="237">
        <v>0</v>
      </c>
      <c r="D92" s="232">
        <v>0</v>
      </c>
      <c r="E92" s="88">
        <f>INDEX($S$76:$U$91,MATCH(B92,$S$76:$S$91,0),2)</f>
        <v>0</v>
      </c>
      <c r="F92" s="4">
        <f>INDEX($S$76:$U$91,MATCH(B92,$S$76:$S$91,0),3)*C92*D92*1.5*0.75</f>
        <v>0</v>
      </c>
      <c r="H92" s="4"/>
      <c r="K92" s="4"/>
      <c r="L92" s="4"/>
      <c r="M92">
        <f t="shared" si="9"/>
        <v>0</v>
      </c>
      <c r="N92" s="9" t="str">
        <f t="shared" si="10"/>
        <v/>
      </c>
      <c r="S92" s="44" t="s">
        <v>1643</v>
      </c>
      <c r="T92" s="45">
        <v>0</v>
      </c>
      <c r="U92" s="47">
        <v>0</v>
      </c>
    </row>
    <row r="93" spans="1:21" ht="15" thickBot="1" x14ac:dyDescent="0.35">
      <c r="A93" s="78"/>
      <c r="B93" s="196" t="s">
        <v>1643</v>
      </c>
      <c r="C93" s="237">
        <v>0</v>
      </c>
      <c r="D93" s="232">
        <v>0</v>
      </c>
      <c r="E93" s="88">
        <f>INDEX($S$76:$U$91,MATCH(B93,$S$76:$S$91,0),2)</f>
        <v>0</v>
      </c>
      <c r="F93" s="4">
        <f>INDEX($S$76:$U$91,MATCH(B93,$S$76:$S$91,0),3)*C93*D93*1.5*0.75</f>
        <v>0</v>
      </c>
      <c r="G93" s="22"/>
      <c r="H93" s="23"/>
      <c r="I93" s="22"/>
      <c r="J93" s="22"/>
      <c r="K93" s="23"/>
      <c r="L93" s="23"/>
      <c r="M93" s="22">
        <f t="shared" si="9"/>
        <v>0</v>
      </c>
      <c r="N93" s="400" t="str">
        <f t="shared" si="10"/>
        <v/>
      </c>
      <c r="S93" s="78" t="s">
        <v>2559</v>
      </c>
      <c r="T93">
        <v>11</v>
      </c>
      <c r="U93" s="558">
        <f>U75*10</f>
        <v>800000</v>
      </c>
    </row>
    <row r="94" spans="1:21" x14ac:dyDescent="0.3">
      <c r="A94" s="78"/>
      <c r="C94" s="266"/>
      <c r="D94" s="266"/>
      <c r="E94" s="88"/>
      <c r="F94" s="4"/>
      <c r="H94" s="4"/>
      <c r="K94" s="4"/>
      <c r="L94" s="4"/>
      <c r="S94" s="78" t="s">
        <v>2560</v>
      </c>
      <c r="T94">
        <v>12</v>
      </c>
      <c r="U94" s="558">
        <f>U75*5</f>
        <v>400000</v>
      </c>
    </row>
    <row r="95" spans="1:21" x14ac:dyDescent="0.3">
      <c r="A95" s="862" t="s">
        <v>1670</v>
      </c>
      <c r="B95" s="738"/>
      <c r="C95" s="266"/>
      <c r="D95" s="266"/>
      <c r="E95" s="88"/>
      <c r="F95" s="4"/>
      <c r="H95" s="4"/>
      <c r="K95" s="4"/>
      <c r="L95" s="4"/>
      <c r="S95" s="86" t="s">
        <v>1539</v>
      </c>
      <c r="T95" s="28">
        <v>13</v>
      </c>
      <c r="U95" s="613">
        <f>U75</f>
        <v>80000</v>
      </c>
    </row>
    <row r="96" spans="1:21" ht="15" thickBot="1" x14ac:dyDescent="0.35">
      <c r="A96" s="78"/>
      <c r="B96" s="1" t="s">
        <v>1640</v>
      </c>
      <c r="C96" s="1" t="s">
        <v>1641</v>
      </c>
      <c r="D96" s="1" t="s">
        <v>296</v>
      </c>
      <c r="E96" s="416" t="s">
        <v>26</v>
      </c>
      <c r="F96" s="4"/>
      <c r="H96" s="4"/>
      <c r="K96" s="4"/>
      <c r="L96" s="4"/>
      <c r="S96" s="44" t="s">
        <v>1643</v>
      </c>
      <c r="T96" s="45">
        <v>0</v>
      </c>
      <c r="U96" s="47">
        <v>0</v>
      </c>
    </row>
    <row r="97" spans="1:25" ht="15" thickBot="1" x14ac:dyDescent="0.35">
      <c r="A97" s="78" t="s">
        <v>1642</v>
      </c>
      <c r="B97" s="196" t="s">
        <v>1643</v>
      </c>
      <c r="C97" s="197">
        <v>0</v>
      </c>
      <c r="D97" s="232">
        <v>0</v>
      </c>
      <c r="E97" s="88">
        <f>INDEX($S$92:$U$95,MATCH(B97,$S$92:$S$95,0),2)</f>
        <v>0</v>
      </c>
      <c r="F97" s="4">
        <f>IF(B97="None Installed",0,(INDEX($S$92:$U$95,MATCH(B97,$S$92:$S$95,0),3)*C97*D97*1.5*0.9+900000))</f>
        <v>0</v>
      </c>
      <c r="G97" s="22"/>
      <c r="H97" s="23"/>
      <c r="I97" s="22"/>
      <c r="J97" s="22"/>
      <c r="K97" s="23"/>
      <c r="L97" s="23"/>
      <c r="M97" s="22">
        <f t="shared" ref="M97:M99" si="11">ROUNDUP(C97/1.5,0)</f>
        <v>0</v>
      </c>
      <c r="N97" s="400" t="str">
        <f t="shared" ref="N97:N99" si="12">IF(M97-(C97/1.5)=0,"","("&amp;C97-(M97*1.5)&amp;")")</f>
        <v/>
      </c>
      <c r="S97" s="78" t="s">
        <v>2562</v>
      </c>
      <c r="T97">
        <v>15</v>
      </c>
      <c r="U97" s="558">
        <f>U73*10</f>
        <v>2000000</v>
      </c>
    </row>
    <row r="98" spans="1:25" ht="15" thickBot="1" x14ac:dyDescent="0.35">
      <c r="A98" s="78"/>
      <c r="B98" s="196" t="s">
        <v>1643</v>
      </c>
      <c r="C98" s="197">
        <v>0</v>
      </c>
      <c r="D98" s="232">
        <v>0</v>
      </c>
      <c r="E98" s="88">
        <f>INDEX($S$92:$U$95,MATCH(B98,$S$92:$S$95,0),2)</f>
        <v>0</v>
      </c>
      <c r="F98" s="4">
        <f>IF(B98="None Installed",0,(INDEX($S$92:$U$95,MATCH(B98,$S$92:$S$95,0),3)*C98*D98*1.5*0.9+900000))</f>
        <v>0</v>
      </c>
      <c r="H98" s="4"/>
      <c r="K98" s="4"/>
      <c r="L98" s="4"/>
      <c r="M98">
        <f t="shared" si="11"/>
        <v>0</v>
      </c>
      <c r="N98" s="9" t="str">
        <f t="shared" si="12"/>
        <v/>
      </c>
      <c r="S98" s="78" t="s">
        <v>2563</v>
      </c>
      <c r="T98">
        <v>16</v>
      </c>
      <c r="U98" s="558">
        <f>U73*5</f>
        <v>1000000</v>
      </c>
    </row>
    <row r="99" spans="1:25" ht="15" thickBot="1" x14ac:dyDescent="0.35">
      <c r="A99" s="78"/>
      <c r="B99" s="196" t="s">
        <v>1643</v>
      </c>
      <c r="C99" s="197">
        <v>0</v>
      </c>
      <c r="D99" s="232">
        <v>0</v>
      </c>
      <c r="E99" s="88">
        <f>INDEX($S$92:$U$95,MATCH(B99,$S$92:$S$95,0),2)</f>
        <v>0</v>
      </c>
      <c r="F99" s="4">
        <f>IF(B99="None Installed",0,(INDEX($S$92:$U$95,MATCH(B99,$S$92:$S$95,0),3)*C99*D99*1.5*0.9+900000))</f>
        <v>0</v>
      </c>
      <c r="G99" s="22"/>
      <c r="H99" s="23"/>
      <c r="I99" s="22"/>
      <c r="J99" s="22"/>
      <c r="K99" s="23"/>
      <c r="L99" s="23"/>
      <c r="M99" s="22">
        <f t="shared" si="11"/>
        <v>0</v>
      </c>
      <c r="N99" s="400" t="str">
        <f t="shared" si="12"/>
        <v/>
      </c>
      <c r="S99" s="78" t="s">
        <v>573</v>
      </c>
      <c r="T99">
        <v>17</v>
      </c>
      <c r="U99" s="558">
        <f>U73</f>
        <v>200000</v>
      </c>
    </row>
    <row r="100" spans="1:25" ht="15" thickBot="1" x14ac:dyDescent="0.35">
      <c r="A100" s="78"/>
      <c r="D100" s="266"/>
      <c r="E100" s="88"/>
      <c r="F100" s="4"/>
      <c r="H100" s="4"/>
      <c r="K100" s="4"/>
      <c r="L100" s="4"/>
      <c r="S100" s="78" t="s">
        <v>2564</v>
      </c>
      <c r="T100">
        <v>17</v>
      </c>
      <c r="U100" s="558">
        <f>U74*10</f>
        <v>5000000</v>
      </c>
    </row>
    <row r="101" spans="1:25" ht="15" thickBot="1" x14ac:dyDescent="0.35">
      <c r="A101" s="78" t="s">
        <v>1644</v>
      </c>
      <c r="B101" s="196" t="s">
        <v>1643</v>
      </c>
      <c r="C101" s="237">
        <v>0</v>
      </c>
      <c r="D101" s="232">
        <v>0</v>
      </c>
      <c r="E101" s="88">
        <f>INDEX($S$92:$U$95,MATCH(B101,$S$92:$S$95,0),2)</f>
        <v>0</v>
      </c>
      <c r="F101" s="4">
        <f>IF(B101="None Installed",0,(INDEX($S$92:$U$95,MATCH(B101,$S$92:$S$95,0),3)*C101*D101*1.5+1000000))</f>
        <v>0</v>
      </c>
      <c r="G101" s="22"/>
      <c r="H101" s="23"/>
      <c r="I101" s="22"/>
      <c r="J101" s="22"/>
      <c r="K101" s="23"/>
      <c r="L101" s="23"/>
      <c r="M101" s="22">
        <f t="shared" ref="M101:M103" si="13">ROUNDUP(C101/1.5,0)</f>
        <v>0</v>
      </c>
      <c r="N101" s="400" t="str">
        <f t="shared" ref="N101:N103" si="14">IF(M101-(C101/1.5)=0,"","("&amp;C101-(M101*1.5)&amp;")")</f>
        <v/>
      </c>
      <c r="S101" s="78" t="s">
        <v>2565</v>
      </c>
      <c r="T101">
        <v>18</v>
      </c>
      <c r="U101" s="558">
        <f>U74*5</f>
        <v>2500000</v>
      </c>
    </row>
    <row r="102" spans="1:25" ht="15" thickBot="1" x14ac:dyDescent="0.35">
      <c r="A102" s="78"/>
      <c r="B102" s="196" t="s">
        <v>1643</v>
      </c>
      <c r="C102" s="237">
        <v>0</v>
      </c>
      <c r="D102" s="232">
        <v>0</v>
      </c>
      <c r="E102" s="88">
        <f>INDEX($S$92:$U$95,MATCH(B102,$S$92:$S$95,0),2)</f>
        <v>0</v>
      </c>
      <c r="F102" s="4">
        <f>IF(B102="None Installed",0,(INDEX($S$92:$U$95,MATCH(B102,$S$92:$S$95,0),3)*C102*D102*1.5+1000000))</f>
        <v>0</v>
      </c>
      <c r="H102" s="4"/>
      <c r="K102" s="4"/>
      <c r="L102" s="4"/>
      <c r="M102">
        <f t="shared" si="13"/>
        <v>0</v>
      </c>
      <c r="N102" s="9" t="str">
        <f t="shared" si="14"/>
        <v/>
      </c>
      <c r="S102" s="86" t="s">
        <v>2254</v>
      </c>
      <c r="T102" s="28">
        <v>19</v>
      </c>
      <c r="U102" s="613">
        <f>U74</f>
        <v>500000</v>
      </c>
    </row>
    <row r="103" spans="1:25" ht="15" thickBot="1" x14ac:dyDescent="0.35">
      <c r="A103" s="78"/>
      <c r="B103" s="196" t="s">
        <v>1643</v>
      </c>
      <c r="C103" s="237">
        <v>0</v>
      </c>
      <c r="D103" s="232">
        <v>0</v>
      </c>
      <c r="E103" s="88">
        <f>INDEX($S$92:$U$95,MATCH(B103,$S$92:$S$95,0),2)</f>
        <v>0</v>
      </c>
      <c r="F103" s="4">
        <f>IF(B103="None Installed",0,(INDEX($S$92:$U$95,MATCH(B103,$S$92:$S$95,0),3)*C103*D103*1.5+1000000))</f>
        <v>0</v>
      </c>
      <c r="G103" s="22"/>
      <c r="H103" s="23"/>
      <c r="I103" s="22"/>
      <c r="J103" s="22"/>
      <c r="K103" s="23"/>
      <c r="L103" s="23"/>
      <c r="M103" s="22">
        <f t="shared" si="13"/>
        <v>0</v>
      </c>
      <c r="N103" s="400" t="str">
        <f t="shared" si="14"/>
        <v/>
      </c>
      <c r="S103" s="44" t="str">
        <f>""</f>
        <v/>
      </c>
      <c r="T103" s="45">
        <v>0</v>
      </c>
      <c r="U103" s="556">
        <v>0</v>
      </c>
      <c r="V103" s="47"/>
    </row>
    <row r="104" spans="1:25" x14ac:dyDescent="0.3">
      <c r="A104" s="78"/>
      <c r="C104" s="266"/>
      <c r="D104" s="266"/>
      <c r="E104" s="88"/>
      <c r="F104" s="4"/>
      <c r="H104" s="4"/>
      <c r="K104" s="4"/>
      <c r="L104" s="4"/>
      <c r="S104" s="78" t="s">
        <v>2253</v>
      </c>
      <c r="T104">
        <v>5</v>
      </c>
      <c r="U104" s="260">
        <v>2000</v>
      </c>
      <c r="V104" s="46">
        <v>-4</v>
      </c>
      <c r="W104" s="45" t="str">
        <f>""</f>
        <v/>
      </c>
      <c r="X104" s="45">
        <v>0</v>
      </c>
      <c r="Y104" s="47">
        <v>0</v>
      </c>
    </row>
    <row r="105" spans="1:25" x14ac:dyDescent="0.3">
      <c r="A105" s="862" t="s">
        <v>1671</v>
      </c>
      <c r="B105" s="738"/>
      <c r="C105" s="266"/>
      <c r="D105" s="266"/>
      <c r="E105" s="88"/>
      <c r="F105" s="4"/>
      <c r="H105" s="4"/>
      <c r="K105" s="4"/>
      <c r="L105" s="4"/>
      <c r="S105" s="78" t="s">
        <v>880</v>
      </c>
      <c r="T105">
        <v>7</v>
      </c>
      <c r="U105" s="260">
        <v>2500</v>
      </c>
      <c r="V105" s="46">
        <v>-2</v>
      </c>
      <c r="W105" t="s">
        <v>880</v>
      </c>
      <c r="X105">
        <v>11</v>
      </c>
      <c r="Y105" s="46">
        <v>20000</v>
      </c>
    </row>
    <row r="106" spans="1:25" ht="15" thickBot="1" x14ac:dyDescent="0.35">
      <c r="A106" s="78"/>
      <c r="B106" s="1" t="s">
        <v>1640</v>
      </c>
      <c r="C106" s="1" t="s">
        <v>1641</v>
      </c>
      <c r="D106" s="1" t="s">
        <v>296</v>
      </c>
      <c r="E106" s="416" t="s">
        <v>26</v>
      </c>
      <c r="F106" s="4"/>
      <c r="H106" s="4"/>
      <c r="K106" s="4"/>
      <c r="L106" s="4"/>
      <c r="S106" s="78" t="s">
        <v>1538</v>
      </c>
      <c r="T106">
        <v>8</v>
      </c>
      <c r="U106" s="260">
        <v>1000</v>
      </c>
      <c r="V106" s="46">
        <v>0</v>
      </c>
      <c r="W106" t="s">
        <v>1538</v>
      </c>
      <c r="X106">
        <v>12</v>
      </c>
      <c r="Y106" s="46">
        <v>50000</v>
      </c>
    </row>
    <row r="107" spans="1:25" ht="15" thickBot="1" x14ac:dyDescent="0.35">
      <c r="A107" s="78" t="s">
        <v>1642</v>
      </c>
      <c r="B107" s="196" t="s">
        <v>1643</v>
      </c>
      <c r="C107" s="197">
        <v>0</v>
      </c>
      <c r="D107" s="232">
        <v>0</v>
      </c>
      <c r="E107" s="88">
        <f>INDEX($S$96:$U$102,MATCH(B107,$S$96:$S$102,0),2)</f>
        <v>0</v>
      </c>
      <c r="F107" s="4">
        <f>INDEX($S$96:$U$102,MATCH(B107,$S$96:$S$102,0),3)*C107*D107*1.5*0.9</f>
        <v>0</v>
      </c>
      <c r="G107" s="22"/>
      <c r="H107" s="23"/>
      <c r="I107" s="22"/>
      <c r="J107" s="22"/>
      <c r="K107" s="23"/>
      <c r="L107" s="23"/>
      <c r="M107" s="22">
        <f t="shared" ref="M107:M109" si="15">ROUNDUP(C107/1.5,0)</f>
        <v>0</v>
      </c>
      <c r="N107" s="400" t="str">
        <f t="shared" ref="N107:N109" si="16">IF(M107-(C107/1.5)=0,"","("&amp;C107-(M107*1.5)&amp;")")</f>
        <v/>
      </c>
      <c r="S107" s="78" t="s">
        <v>1539</v>
      </c>
      <c r="T107">
        <v>10</v>
      </c>
      <c r="U107" s="260">
        <v>1000</v>
      </c>
      <c r="V107" s="46">
        <v>0</v>
      </c>
      <c r="W107" t="s">
        <v>1539</v>
      </c>
      <c r="X107">
        <v>13</v>
      </c>
      <c r="Y107" s="46">
        <v>100000</v>
      </c>
    </row>
    <row r="108" spans="1:25" ht="15" thickBot="1" x14ac:dyDescent="0.35">
      <c r="A108" s="78"/>
      <c r="B108" s="196" t="s">
        <v>1643</v>
      </c>
      <c r="C108" s="197">
        <v>0</v>
      </c>
      <c r="D108" s="232">
        <v>0</v>
      </c>
      <c r="E108" s="88">
        <f>INDEX($S$96:$U$102,MATCH(B108,$S$96:$S$102,0),2)</f>
        <v>0</v>
      </c>
      <c r="F108" s="4">
        <f>INDEX($S$96:$U$102,MATCH(B108,$S$96:$S$102,0),3)*C108*D108*1.5*0.9</f>
        <v>0</v>
      </c>
      <c r="H108" s="4"/>
      <c r="K108" s="4"/>
      <c r="L108" s="4"/>
      <c r="M108">
        <f t="shared" si="15"/>
        <v>0</v>
      </c>
      <c r="N108" s="9" t="str">
        <f t="shared" si="16"/>
        <v/>
      </c>
      <c r="S108" s="86" t="s">
        <v>573</v>
      </c>
      <c r="T108" s="28">
        <v>11</v>
      </c>
      <c r="U108" s="557">
        <v>5000</v>
      </c>
      <c r="V108" s="79">
        <v>1</v>
      </c>
      <c r="W108" s="28" t="s">
        <v>573</v>
      </c>
      <c r="X108" s="28">
        <v>14</v>
      </c>
      <c r="Y108" s="79">
        <v>200000</v>
      </c>
    </row>
    <row r="109" spans="1:25" ht="15" thickBot="1" x14ac:dyDescent="0.35">
      <c r="A109" s="78"/>
      <c r="B109" s="196" t="s">
        <v>1643</v>
      </c>
      <c r="C109" s="197">
        <v>0</v>
      </c>
      <c r="D109" s="232">
        <v>0</v>
      </c>
      <c r="E109" s="88">
        <f>INDEX($S$96:$U$102,MATCH(B109,$S$96:$S$102,0),2)</f>
        <v>0</v>
      </c>
      <c r="F109" s="4">
        <f>INDEX($S$96:$U$102,MATCH(B109,$S$96:$S$102,0),3)*C109*D109*1.5*0.9</f>
        <v>0</v>
      </c>
      <c r="G109" s="22"/>
      <c r="H109" s="23"/>
      <c r="I109" s="22"/>
      <c r="J109" s="22"/>
      <c r="K109" s="23"/>
      <c r="L109" s="23"/>
      <c r="M109" s="22">
        <f t="shared" si="15"/>
        <v>0</v>
      </c>
      <c r="N109" s="400" t="str">
        <f t="shared" si="16"/>
        <v/>
      </c>
    </row>
    <row r="110" spans="1:25" ht="15" thickBot="1" x14ac:dyDescent="0.35">
      <c r="A110" s="78"/>
      <c r="D110" s="266"/>
      <c r="E110" s="88"/>
      <c r="F110" s="4"/>
      <c r="H110" s="4"/>
      <c r="K110" s="4"/>
      <c r="L110" s="4"/>
      <c r="S110" t="s">
        <v>1905</v>
      </c>
      <c r="T110">
        <v>12</v>
      </c>
      <c r="U110">
        <v>4</v>
      </c>
      <c r="V110">
        <v>2000000</v>
      </c>
      <c r="W110">
        <v>100000</v>
      </c>
    </row>
    <row r="111" spans="1:25" ht="15" thickBot="1" x14ac:dyDescent="0.35">
      <c r="A111" s="78" t="s">
        <v>1644</v>
      </c>
      <c r="B111" s="196" t="s">
        <v>1643</v>
      </c>
      <c r="C111" s="237">
        <v>0</v>
      </c>
      <c r="D111" s="232">
        <v>0</v>
      </c>
      <c r="E111" s="88">
        <f>INDEX($S$96:$U$102,MATCH(B111,$S$96:$S$102,0),2)</f>
        <v>0</v>
      </c>
      <c r="F111" s="4">
        <f>INDEX($S$96:$U$102,MATCH(B111,$S$96:$S$102,0),3)*C111*D111*1.5</f>
        <v>0</v>
      </c>
      <c r="G111" s="22"/>
      <c r="H111" s="23"/>
      <c r="I111" s="22"/>
      <c r="J111" s="22"/>
      <c r="K111" s="23"/>
      <c r="L111" s="23"/>
      <c r="M111" s="22">
        <f t="shared" ref="M111:M113" si="17">ROUNDUP(C111/1.5,0)</f>
        <v>0</v>
      </c>
      <c r="N111" s="400" t="str">
        <f t="shared" ref="N111:N113" si="18">IF(M111-(C111/1.5)=0,"","("&amp;C111-(M111*1.5)&amp;")")</f>
        <v/>
      </c>
      <c r="S111" t="s">
        <v>1906</v>
      </c>
      <c r="T111">
        <v>13</v>
      </c>
      <c r="U111">
        <v>6</v>
      </c>
      <c r="V111">
        <v>3000000</v>
      </c>
      <c r="W111">
        <v>250000</v>
      </c>
    </row>
    <row r="112" spans="1:25" ht="15" thickBot="1" x14ac:dyDescent="0.35">
      <c r="A112" s="78"/>
      <c r="B112" s="196" t="s">
        <v>1643</v>
      </c>
      <c r="C112" s="237">
        <v>0</v>
      </c>
      <c r="D112" s="232">
        <v>0</v>
      </c>
      <c r="E112" s="88">
        <f>INDEX($S$96:$U$102,MATCH(B112,$S$96:$S$102,0),2)</f>
        <v>0</v>
      </c>
      <c r="F112" s="4">
        <f>INDEX($S$96:$U$102,MATCH(B112,$S$96:$S$102,0),3)*C112*D112*1.5</f>
        <v>0</v>
      </c>
      <c r="H112" s="4"/>
      <c r="K112" s="4"/>
      <c r="L112" s="4"/>
      <c r="M112">
        <f t="shared" si="17"/>
        <v>0</v>
      </c>
      <c r="N112" s="9" t="str">
        <f t="shared" si="18"/>
        <v/>
      </c>
      <c r="S112" t="s">
        <v>1909</v>
      </c>
      <c r="T112">
        <v>12</v>
      </c>
      <c r="U112">
        <v>20</v>
      </c>
      <c r="V112">
        <v>50000</v>
      </c>
    </row>
    <row r="113" spans="1:22" ht="15" thickBot="1" x14ac:dyDescent="0.35">
      <c r="A113" s="78"/>
      <c r="B113" s="196" t="s">
        <v>1643</v>
      </c>
      <c r="C113" s="237">
        <v>0</v>
      </c>
      <c r="D113" s="232">
        <v>0</v>
      </c>
      <c r="E113" s="88">
        <f>INDEX($S$96:$U$102,MATCH(B113,$S$96:$S$102,0),2)</f>
        <v>0</v>
      </c>
      <c r="F113" s="4">
        <f>INDEX($S$96:$U$102,MATCH(B113,$S$96:$S$102,0),3)*C113*D113*1.5</f>
        <v>0</v>
      </c>
      <c r="G113" s="22"/>
      <c r="H113" s="23"/>
      <c r="I113" s="22"/>
      <c r="J113" s="22"/>
      <c r="K113" s="23"/>
      <c r="L113" s="23"/>
      <c r="M113" s="22">
        <f t="shared" si="17"/>
        <v>0</v>
      </c>
      <c r="N113" s="400" t="str">
        <f t="shared" si="18"/>
        <v/>
      </c>
      <c r="S113" t="s">
        <v>1910</v>
      </c>
      <c r="T113">
        <v>14</v>
      </c>
      <c r="U113">
        <v>25</v>
      </c>
      <c r="V113">
        <v>100000</v>
      </c>
    </row>
    <row r="114" spans="1:22" x14ac:dyDescent="0.3">
      <c r="B114" s="77"/>
      <c r="C114" s="654"/>
      <c r="D114" s="480"/>
      <c r="E114" s="88"/>
      <c r="F114" s="4"/>
      <c r="H114" s="4"/>
      <c r="K114" s="4"/>
      <c r="L114" s="4"/>
      <c r="N114" s="16"/>
    </row>
    <row r="115" spans="1:22" x14ac:dyDescent="0.3">
      <c r="A115" s="862" t="s">
        <v>2566</v>
      </c>
      <c r="B115" s="738"/>
      <c r="C115" s="266"/>
      <c r="D115" s="266"/>
      <c r="E115" s="88"/>
      <c r="F115" s="4"/>
      <c r="H115" s="4"/>
      <c r="K115" s="4"/>
      <c r="L115" s="4"/>
    </row>
    <row r="116" spans="1:22" ht="15" thickBot="1" x14ac:dyDescent="0.35">
      <c r="A116" s="78"/>
      <c r="B116" s="1" t="s">
        <v>1640</v>
      </c>
      <c r="C116" s="1" t="s">
        <v>1641</v>
      </c>
      <c r="D116" s="1" t="s">
        <v>296</v>
      </c>
      <c r="E116" s="416" t="s">
        <v>26</v>
      </c>
      <c r="F116" s="4"/>
      <c r="H116" s="4"/>
      <c r="K116" s="4"/>
      <c r="L116" s="4"/>
    </row>
    <row r="117" spans="1:22" ht="15" thickBot="1" x14ac:dyDescent="0.35">
      <c r="A117" s="78" t="s">
        <v>1642</v>
      </c>
      <c r="B117" s="196" t="s">
        <v>1643</v>
      </c>
      <c r="C117" s="197">
        <v>0</v>
      </c>
      <c r="D117" s="232">
        <v>0</v>
      </c>
      <c r="E117" s="88">
        <f>INDEX($S$96:$U$102,MATCH(B117,$S$96:$S$102,0),2)</f>
        <v>0</v>
      </c>
      <c r="F117" s="4">
        <f>INDEX($S$96:$U$102,MATCH(B117,$S$96:$S$102,0),3)*C117*D117*1.5*0.9*0.75</f>
        <v>0</v>
      </c>
      <c r="G117" s="22"/>
      <c r="H117" s="23"/>
      <c r="I117" s="22"/>
      <c r="J117" s="22"/>
      <c r="K117" s="23"/>
      <c r="L117" s="23"/>
      <c r="M117" s="22">
        <f t="shared" ref="M117:M119" si="19">ROUNDUP(C117/1.5,0)</f>
        <v>0</v>
      </c>
      <c r="N117" s="400" t="str">
        <f t="shared" ref="N117:N119" si="20">IF(M117-(C117/1.5)=0,"","("&amp;C117-(M117*1.5)&amp;")")</f>
        <v/>
      </c>
    </row>
    <row r="118" spans="1:22" ht="15" thickBot="1" x14ac:dyDescent="0.35">
      <c r="A118" s="78"/>
      <c r="B118" s="196" t="s">
        <v>1643</v>
      </c>
      <c r="C118" s="197">
        <v>0</v>
      </c>
      <c r="D118" s="232">
        <v>0</v>
      </c>
      <c r="E118" s="88">
        <f>INDEX($S$96:$U$102,MATCH(B118,$S$96:$S$102,0),2)</f>
        <v>0</v>
      </c>
      <c r="F118" s="4">
        <f>INDEX($S$96:$U$102,MATCH(B118,$S$96:$S$102,0),3)*C118*D118*1.5*0.9*0.75</f>
        <v>0</v>
      </c>
      <c r="H118" s="4"/>
      <c r="K118" s="4"/>
      <c r="L118" s="4"/>
      <c r="M118">
        <f t="shared" si="19"/>
        <v>0</v>
      </c>
      <c r="N118" s="9" t="str">
        <f t="shared" si="20"/>
        <v/>
      </c>
    </row>
    <row r="119" spans="1:22" ht="15" thickBot="1" x14ac:dyDescent="0.35">
      <c r="A119" s="78"/>
      <c r="B119" s="196" t="s">
        <v>1643</v>
      </c>
      <c r="C119" s="197">
        <v>0</v>
      </c>
      <c r="D119" s="232">
        <v>0</v>
      </c>
      <c r="E119" s="88">
        <f>INDEX($S$96:$U$102,MATCH(B119,$S$96:$S$102,0),2)</f>
        <v>0</v>
      </c>
      <c r="F119" s="4">
        <f>INDEX($S$96:$U$102,MATCH(B119,$S$96:$S$102,0),3)*C119*D119*1.5*0.9*0.75</f>
        <v>0</v>
      </c>
      <c r="G119" s="22"/>
      <c r="H119" s="23"/>
      <c r="I119" s="22"/>
      <c r="J119" s="22"/>
      <c r="K119" s="23"/>
      <c r="L119" s="23"/>
      <c r="M119" s="22">
        <f t="shared" si="19"/>
        <v>0</v>
      </c>
      <c r="N119" s="400" t="str">
        <f t="shared" si="20"/>
        <v/>
      </c>
    </row>
    <row r="120" spans="1:22" ht="15" thickBot="1" x14ac:dyDescent="0.35">
      <c r="A120" s="78"/>
      <c r="D120" s="266"/>
      <c r="E120" s="88"/>
      <c r="F120" s="4"/>
      <c r="H120" s="4"/>
      <c r="K120" s="4"/>
      <c r="L120" s="4"/>
    </row>
    <row r="121" spans="1:22" ht="15" thickBot="1" x14ac:dyDescent="0.35">
      <c r="A121" s="78" t="s">
        <v>1644</v>
      </c>
      <c r="B121" s="196" t="s">
        <v>1643</v>
      </c>
      <c r="C121" s="237">
        <v>0</v>
      </c>
      <c r="D121" s="232">
        <v>0</v>
      </c>
      <c r="E121" s="88">
        <f>INDEX($S$96:$U$102,MATCH(B121,$S$96:$S$102,0),2)</f>
        <v>0</v>
      </c>
      <c r="F121" s="4">
        <f>INDEX($S$96:$U$102,MATCH(B121,$S$96:$S$102,0),3)*C121*D121*1.5*0.75</f>
        <v>0</v>
      </c>
      <c r="G121" s="22"/>
      <c r="H121" s="23"/>
      <c r="I121" s="22"/>
      <c r="J121" s="22"/>
      <c r="K121" s="23"/>
      <c r="L121" s="23"/>
      <c r="M121" s="22">
        <f t="shared" ref="M121:M123" si="21">ROUNDUP(C121/1.5,0)</f>
        <v>0</v>
      </c>
      <c r="N121" s="400" t="str">
        <f t="shared" ref="N121:N123" si="22">IF(M121-(C121/1.5)=0,"","("&amp;C121-(M121*1.5)&amp;")")</f>
        <v/>
      </c>
    </row>
    <row r="122" spans="1:22" ht="15" thickBot="1" x14ac:dyDescent="0.35">
      <c r="A122" s="78"/>
      <c r="B122" s="196" t="s">
        <v>1643</v>
      </c>
      <c r="C122" s="237">
        <v>0</v>
      </c>
      <c r="D122" s="232">
        <v>0</v>
      </c>
      <c r="E122" s="88">
        <f>INDEX($S$96:$U$102,MATCH(B122,$S$96:$S$102,0),2)</f>
        <v>0</v>
      </c>
      <c r="F122" s="4">
        <f>INDEX($S$96:$U$102,MATCH(B122,$S$96:$S$102,0),3)*C122*D122*1.5*0.75</f>
        <v>0</v>
      </c>
      <c r="H122" s="4"/>
      <c r="K122" s="4"/>
      <c r="L122" s="4"/>
      <c r="M122">
        <f t="shared" si="21"/>
        <v>0</v>
      </c>
      <c r="N122" s="9" t="str">
        <f t="shared" si="22"/>
        <v/>
      </c>
    </row>
    <row r="123" spans="1:22" ht="15" thickBot="1" x14ac:dyDescent="0.35">
      <c r="A123" s="78"/>
      <c r="B123" s="196" t="s">
        <v>1643</v>
      </c>
      <c r="C123" s="237">
        <v>0</v>
      </c>
      <c r="D123" s="232">
        <v>0</v>
      </c>
      <c r="E123" s="88">
        <f>INDEX($S$96:$U$102,MATCH(B123,$S$96:$S$102,0),2)</f>
        <v>0</v>
      </c>
      <c r="F123" s="4">
        <f>INDEX($S$96:$U$102,MATCH(B123,$S$96:$S$102,0),3)*C123*D123*1.5*0.75</f>
        <v>0</v>
      </c>
      <c r="G123" s="22"/>
      <c r="H123" s="23"/>
      <c r="I123" s="22"/>
      <c r="J123" s="22"/>
      <c r="K123" s="23"/>
      <c r="L123" s="23"/>
      <c r="M123" s="22">
        <f t="shared" si="21"/>
        <v>0</v>
      </c>
      <c r="N123" s="400" t="str">
        <f t="shared" si="22"/>
        <v/>
      </c>
    </row>
    <row r="124" spans="1:22" x14ac:dyDescent="0.3">
      <c r="A124" s="28"/>
      <c r="B124" s="561"/>
      <c r="C124" s="562"/>
      <c r="D124" s="563"/>
      <c r="E124" s="91"/>
      <c r="F124" s="4"/>
      <c r="H124" s="4"/>
      <c r="K124" s="4"/>
      <c r="N124" s="16" t="s">
        <v>2220</v>
      </c>
    </row>
    <row r="125" spans="1:22" x14ac:dyDescent="0.3">
      <c r="F125" s="4"/>
      <c r="H125" s="4"/>
      <c r="K125" s="4"/>
      <c r="N125" s="16"/>
    </row>
    <row r="126" spans="1:22" ht="15" thickBot="1" x14ac:dyDescent="0.35">
      <c r="A126" s="3" t="s">
        <v>1367</v>
      </c>
      <c r="C126" s="1" t="s">
        <v>296</v>
      </c>
      <c r="H126" s="4"/>
      <c r="K126" s="4"/>
    </row>
    <row r="127" spans="1:22" ht="15" thickBot="1" x14ac:dyDescent="0.35">
      <c r="B127" s="9" t="s">
        <v>1366</v>
      </c>
      <c r="C127" s="232">
        <v>0</v>
      </c>
      <c r="E127" s="2">
        <f>IF(C127=0,0,IF(TL&gt;12,13,IF(TL=12,12,IF(TL&gt;9,10,0))))</f>
        <v>0</v>
      </c>
      <c r="F127" s="4">
        <f>IF(E127=13,C127*150000000,IF(E127=12,C127*100000000,IF(E127=10,C127*50000000,0)))</f>
        <v>0</v>
      </c>
      <c r="H127" s="4">
        <f>IF(E127=13,C127*150,IF(E127=12,C127*250,IF(E127=10,C127*500,0)))</f>
        <v>0</v>
      </c>
      <c r="K127" s="4"/>
    </row>
    <row r="128" spans="1:22" ht="15" thickBot="1" x14ac:dyDescent="0.35">
      <c r="B128" s="9"/>
      <c r="C128" s="448"/>
      <c r="D128" s="5" t="s">
        <v>1722</v>
      </c>
      <c r="F128" s="4"/>
      <c r="H128" s="4"/>
      <c r="K128" s="4"/>
    </row>
    <row r="129" spans="1:11" ht="15" thickBot="1" x14ac:dyDescent="0.35">
      <c r="B129" s="9" t="s">
        <v>1724</v>
      </c>
      <c r="C129" s="232">
        <v>0</v>
      </c>
      <c r="D129" s="232">
        <v>0</v>
      </c>
      <c r="E129" s="2">
        <f>IF(C129=0,0,13)</f>
        <v>0</v>
      </c>
      <c r="F129" s="4">
        <f>1250000*H129</f>
        <v>0</v>
      </c>
      <c r="H129" s="4">
        <f>C129*(250+(25*D129))</f>
        <v>0</v>
      </c>
      <c r="K129" s="4">
        <f>ROUNDUP(H129/25,0)</f>
        <v>0</v>
      </c>
    </row>
    <row r="130" spans="1:11" ht="15" thickBot="1" x14ac:dyDescent="0.35">
      <c r="B130" s="9" t="s">
        <v>1725</v>
      </c>
      <c r="C130" s="232">
        <v>0</v>
      </c>
      <c r="D130" s="232">
        <v>0</v>
      </c>
      <c r="E130" s="2">
        <f t="shared" ref="E130:E131" si="23">IF(C130=0,0,13)</f>
        <v>0</v>
      </c>
      <c r="F130" s="4">
        <f>500000*H130</f>
        <v>0</v>
      </c>
      <c r="H130" s="4">
        <f>C130*(50+(10*D130))</f>
        <v>0</v>
      </c>
      <c r="K130" s="4">
        <f>ROUNDUP(H130/10,0)</f>
        <v>0</v>
      </c>
    </row>
    <row r="131" spans="1:11" ht="15" thickBot="1" x14ac:dyDescent="0.35">
      <c r="B131" s="9" t="s">
        <v>1726</v>
      </c>
      <c r="C131" s="232">
        <v>0</v>
      </c>
      <c r="D131" s="232">
        <v>0</v>
      </c>
      <c r="E131" s="2">
        <f t="shared" si="23"/>
        <v>0</v>
      </c>
      <c r="F131" s="4">
        <f>1000000*H131</f>
        <v>0</v>
      </c>
      <c r="H131" s="4">
        <f>C131*(35+(5*D131))</f>
        <v>0</v>
      </c>
      <c r="K131" s="4">
        <f>ROUNDUP(H131/10,0)</f>
        <v>0</v>
      </c>
    </row>
    <row r="132" spans="1:11" ht="15" thickBot="1" x14ac:dyDescent="0.35">
      <c r="B132" s="447" t="s">
        <v>1727</v>
      </c>
      <c r="C132" s="232">
        <v>0</v>
      </c>
      <c r="E132" s="2">
        <f>IF(C132=0,0,9)</f>
        <v>0</v>
      </c>
      <c r="F132" s="4">
        <f>IF(T152,1000000,50000*H132)*C132</f>
        <v>0</v>
      </c>
      <c r="H132" s="4">
        <f>C132*IF(T152,10,40+ROUNDUP(Tonnage/200,0))</f>
        <v>0</v>
      </c>
      <c r="K132" s="4">
        <f>IF(T152,1,H132)*C132</f>
        <v>0</v>
      </c>
    </row>
    <row r="133" spans="1:11" ht="15" thickBot="1" x14ac:dyDescent="0.35">
      <c r="B133" s="9" t="s">
        <v>1392</v>
      </c>
      <c r="C133" s="232">
        <v>0</v>
      </c>
      <c r="E133" s="2">
        <f>IF(C133=0,0,12)</f>
        <v>0</v>
      </c>
      <c r="F133" s="4">
        <f>C133*3000000</f>
        <v>0</v>
      </c>
      <c r="H133" s="4">
        <f>C133*20</f>
        <v>0</v>
      </c>
      <c r="K133" s="4"/>
    </row>
    <row r="134" spans="1:11" ht="15" thickBot="1" x14ac:dyDescent="0.35">
      <c r="B134" s="9" t="s">
        <v>1393</v>
      </c>
      <c r="C134" s="232">
        <v>0</v>
      </c>
      <c r="D134" t="str">
        <f>IF(C134=0,"","DM+2 Astrogation")</f>
        <v/>
      </c>
      <c r="F134" s="4">
        <f>C134*1250000</f>
        <v>0</v>
      </c>
      <c r="H134" s="4">
        <f>C134*16</f>
        <v>0</v>
      </c>
      <c r="K134" s="4">
        <f>2*C134</f>
        <v>0</v>
      </c>
    </row>
    <row r="135" spans="1:11" ht="15" thickBot="1" x14ac:dyDescent="0.35">
      <c r="B135" s="9" t="s">
        <v>1394</v>
      </c>
      <c r="C135" s="232">
        <v>0</v>
      </c>
      <c r="D135" t="str">
        <f>IF(C135=0,"","Detect jumps 1 parsec")</f>
        <v/>
      </c>
      <c r="E135" s="2">
        <f>IF(C135=0,0,13)</f>
        <v>0</v>
      </c>
      <c r="F135" s="4">
        <f>C135*12000000</f>
        <v>0</v>
      </c>
      <c r="H135" s="4">
        <f>C135*5</f>
        <v>0</v>
      </c>
      <c r="K135" s="4">
        <f>C135*6</f>
        <v>0</v>
      </c>
    </row>
    <row r="136" spans="1:11" ht="15" thickBot="1" x14ac:dyDescent="0.35">
      <c r="B136" s="9" t="s">
        <v>1395</v>
      </c>
      <c r="C136" s="232">
        <v>0</v>
      </c>
      <c r="D136" s="5"/>
      <c r="F136" s="4">
        <f>C136*24000000</f>
        <v>0</v>
      </c>
      <c r="H136" s="4">
        <f>C136*32</f>
        <v>0</v>
      </c>
      <c r="K136" s="4"/>
    </row>
    <row r="137" spans="1:11" ht="15" thickBot="1" x14ac:dyDescent="0.35">
      <c r="B137" s="9" t="s">
        <v>2546</v>
      </c>
      <c r="C137" s="232">
        <v>0</v>
      </c>
      <c r="E137" s="2">
        <f>IF(C137=0,0,13)</f>
        <v>0</v>
      </c>
      <c r="F137" s="4">
        <f>C137*13250000</f>
        <v>0</v>
      </c>
      <c r="H137" s="4">
        <f>C137*21</f>
        <v>0</v>
      </c>
      <c r="K137" s="4">
        <f>C137*8</f>
        <v>0</v>
      </c>
    </row>
    <row r="138" spans="1:11" ht="15" thickBot="1" x14ac:dyDescent="0.35">
      <c r="D138" t="s">
        <v>2548</v>
      </c>
    </row>
    <row r="139" spans="1:11" ht="15" thickBot="1" x14ac:dyDescent="0.35">
      <c r="B139" s="9" t="s">
        <v>2547</v>
      </c>
      <c r="C139" s="232">
        <v>0</v>
      </c>
      <c r="D139" s="232">
        <v>6</v>
      </c>
      <c r="E139" s="2">
        <v>0</v>
      </c>
      <c r="F139" s="4">
        <f>C139*(12000000+(D139*2000000))</f>
        <v>0</v>
      </c>
      <c r="H139" s="4">
        <f>C139*(8+(D139*2))</f>
        <v>0</v>
      </c>
      <c r="K139" s="4"/>
    </row>
    <row r="141" spans="1:11" ht="15" thickBot="1" x14ac:dyDescent="0.35">
      <c r="B141" s="9"/>
      <c r="C141" s="514"/>
      <c r="D141" s="5" t="s">
        <v>1732</v>
      </c>
      <c r="F141" s="4"/>
      <c r="H141" s="4"/>
      <c r="K141" s="4"/>
    </row>
    <row r="142" spans="1:11" ht="15" thickBot="1" x14ac:dyDescent="0.35">
      <c r="A142" s="732" t="s">
        <v>2027</v>
      </c>
      <c r="B142" s="733"/>
      <c r="C142" s="232">
        <v>0</v>
      </c>
      <c r="D142" s="232">
        <v>0</v>
      </c>
      <c r="E142" s="2">
        <f>IF(C142=0,0,7)</f>
        <v>0</v>
      </c>
      <c r="F142" s="4">
        <f>500000*H142*IF(S153,1,3)</f>
        <v>0</v>
      </c>
      <c r="H142" s="4">
        <f>C142*(4+D142)*IF(S153,1,1.1)</f>
        <v>0</v>
      </c>
      <c r="K142" s="4"/>
    </row>
    <row r="143" spans="1:11" ht="15" thickBot="1" x14ac:dyDescent="0.35">
      <c r="A143" s="732" t="s">
        <v>2029</v>
      </c>
      <c r="B143" s="733"/>
      <c r="C143" s="232">
        <v>0</v>
      </c>
      <c r="D143" s="232">
        <v>0</v>
      </c>
      <c r="E143" s="2">
        <f t="shared" ref="E143:E146" si="24">IF(C143=0,0,7)</f>
        <v>0</v>
      </c>
      <c r="F143" s="4">
        <f>500000*H143*IF(S155,1,3)</f>
        <v>0</v>
      </c>
      <c r="H143" s="4">
        <f>C143*(10+D143)*IF(S155,1,1.1)</f>
        <v>0</v>
      </c>
      <c r="K143" s="4"/>
    </row>
    <row r="144" spans="1:11" ht="15" thickBot="1" x14ac:dyDescent="0.35">
      <c r="A144" s="732" t="s">
        <v>1729</v>
      </c>
      <c r="B144" s="733"/>
      <c r="C144" s="232">
        <v>0</v>
      </c>
      <c r="D144" s="232">
        <v>0</v>
      </c>
      <c r="E144" s="2">
        <f t="shared" si="24"/>
        <v>0</v>
      </c>
      <c r="F144" s="4">
        <f>750000*H144*IF(S157,1,3)</f>
        <v>0</v>
      </c>
      <c r="H144" s="4">
        <f>C144*(12+D144)*IF(S157,1,1.1)</f>
        <v>0</v>
      </c>
      <c r="K144" s="4"/>
    </row>
    <row r="145" spans="1:20" ht="15" thickBot="1" x14ac:dyDescent="0.35">
      <c r="A145" s="732" t="s">
        <v>1733</v>
      </c>
      <c r="B145" s="733"/>
      <c r="C145" s="232">
        <v>0</v>
      </c>
      <c r="D145" s="232">
        <v>0</v>
      </c>
      <c r="E145" s="2">
        <f t="shared" si="24"/>
        <v>0</v>
      </c>
      <c r="F145" s="4">
        <f>750000*H145*IF(S159,1,3)</f>
        <v>0</v>
      </c>
      <c r="H145" s="4">
        <f>C145*(28+D145)*IF(S159,1,1.1)</f>
        <v>0</v>
      </c>
      <c r="K145" s="4"/>
    </row>
    <row r="146" spans="1:20" ht="15" thickBot="1" x14ac:dyDescent="0.35">
      <c r="A146" s="732" t="s">
        <v>1730</v>
      </c>
      <c r="B146" s="733"/>
      <c r="C146" s="232">
        <v>0</v>
      </c>
      <c r="D146" s="232">
        <v>0</v>
      </c>
      <c r="E146" s="2">
        <f t="shared" si="24"/>
        <v>0</v>
      </c>
      <c r="F146" s="4">
        <f>750000*H146*IF(S161,1,3)</f>
        <v>0</v>
      </c>
      <c r="H146" s="4">
        <f>C146*(35+D146)*IF(S161,1,1.1)</f>
        <v>0</v>
      </c>
      <c r="K146" s="4"/>
    </row>
    <row r="147" spans="1:20" ht="15" thickBot="1" x14ac:dyDescent="0.35">
      <c r="A147" s="9" t="s">
        <v>1397</v>
      </c>
      <c r="B147" s="410" t="s">
        <v>82</v>
      </c>
      <c r="C147" s="232">
        <v>0</v>
      </c>
      <c r="E147" s="2">
        <f>IF(B147="None",0,IF(B147="Basic",7,IF(B147="Standard",9,IF(B147="Advanced",13))))</f>
        <v>0</v>
      </c>
      <c r="F147" s="4">
        <f>C147*IF(E147=0,0,IF(E147=7,25000000,IF(E147=9,50000000,125000000)))</f>
        <v>0</v>
      </c>
      <c r="H147" s="4">
        <f>IF(E147=0,0,C147*100)</f>
        <v>0</v>
      </c>
      <c r="K147" s="4"/>
    </row>
    <row r="148" spans="1:20" ht="15" thickBot="1" x14ac:dyDescent="0.35">
      <c r="A148" s="9" t="s">
        <v>1398</v>
      </c>
      <c r="B148" s="197" t="s">
        <v>82</v>
      </c>
      <c r="C148" s="232">
        <v>0</v>
      </c>
      <c r="E148" s="2">
        <f>IF(B148="None",0,IF(B148="Basic",7,IF(B148="Standard",9,IF(B148="Advanced",13))))</f>
        <v>0</v>
      </c>
      <c r="F148" s="4">
        <f>C148*IF(E148=0,0,IF(E148=7,100000000,IF(E148=9,200000000, 500000000)))</f>
        <v>0</v>
      </c>
      <c r="H148" s="4">
        <f>IF(E148=0,0,C148*400)</f>
        <v>0</v>
      </c>
      <c r="K148" s="4"/>
      <c r="T148" t="s">
        <v>1723</v>
      </c>
    </row>
    <row r="149" spans="1:20" ht="15" thickBot="1" x14ac:dyDescent="0.35">
      <c r="A149" s="9" t="s">
        <v>1399</v>
      </c>
      <c r="B149" s="197" t="s">
        <v>82</v>
      </c>
      <c r="C149" s="232">
        <v>0</v>
      </c>
      <c r="D149" s="6" t="s">
        <v>947</v>
      </c>
      <c r="E149" s="2">
        <f>IF(B149="None",0,IF(B149="Basic",7,IF(B149="Standard",9,IF(B149="Advanced",13))))</f>
        <v>0</v>
      </c>
      <c r="F149" s="4">
        <f>C149*IF(E149=0,0,IF(E149=7,250000000,IF(E149=9,500000000, 1250000000)))</f>
        <v>0</v>
      </c>
      <c r="H149" s="4">
        <f>IF(E149=0,0,C149*1000)</f>
        <v>0</v>
      </c>
      <c r="K149" s="4"/>
      <c r="T149" t="s">
        <v>92</v>
      </c>
    </row>
    <row r="150" spans="1:20" ht="15" thickBot="1" x14ac:dyDescent="0.35">
      <c r="A150" s="9" t="s">
        <v>1396</v>
      </c>
      <c r="B150" t="str">
        <f>" For "&amp;TEXT(IF(D150&lt;48,0,IF(C150=0,0,C150*ROUNDDOWN(16+((D150-48)/3),0))),"#,###")&amp;" Scientists"</f>
        <v xml:space="preserve"> For  Scientists</v>
      </c>
      <c r="C150" s="232">
        <v>0</v>
      </c>
      <c r="D150" s="232">
        <v>0</v>
      </c>
      <c r="F150" s="4">
        <f>H150*800000</f>
        <v>0</v>
      </c>
      <c r="H150" s="4">
        <f>IF(D150&lt;48,0,C150*D150)</f>
        <v>0</v>
      </c>
      <c r="K150" s="4">
        <f>ROUNDUP(H150/10,0)</f>
        <v>0</v>
      </c>
      <c r="T150" t="s">
        <v>1727</v>
      </c>
    </row>
    <row r="151" spans="1:20" x14ac:dyDescent="0.3">
      <c r="B151" s="282" t="str">
        <f>"Scientists Required"&amp;IF(C135&gt;0," *","")</f>
        <v>Scientists Required</v>
      </c>
      <c r="H151" s="4"/>
      <c r="K151" s="4"/>
      <c r="T151" t="s">
        <v>1728</v>
      </c>
    </row>
    <row r="152" spans="1:20" x14ac:dyDescent="0.3">
      <c r="B152" s="316">
        <f>IF($D$150&lt;48,0,IF($C$150=0,0,C150*ROUNDDOWN(16+(($D$150-48)/3),0)))+2*C147+8*C148+20*C149+IF(C129=0,0,C129*(4+D129))+IF(C130=0,0,C130*(4+D130))+IF(C131=0,0,C131*(4+D131))</f>
        <v>0</v>
      </c>
      <c r="H152" s="4"/>
      <c r="K152" s="4"/>
      <c r="T152" t="b">
        <f>IF(B132=T150,TRUE())</f>
        <v>1</v>
      </c>
    </row>
    <row r="153" spans="1:20" x14ac:dyDescent="0.3">
      <c r="B153" t="str">
        <f>IF($C$135=0,"","* ADD GAS Crew manually ")</f>
        <v/>
      </c>
      <c r="H153" s="4"/>
      <c r="K153" s="4"/>
      <c r="S153" t="b">
        <f>IF(A142=T153,TRUE())</f>
        <v>1</v>
      </c>
      <c r="T153" s="16" t="s">
        <v>2027</v>
      </c>
    </row>
    <row r="154" spans="1:20" ht="18" x14ac:dyDescent="0.35">
      <c r="A154" s="594" t="s">
        <v>1341</v>
      </c>
      <c r="F154" s="4"/>
      <c r="H154" s="4"/>
      <c r="K154" s="4"/>
      <c r="S154" t="str">
        <f>" (A"&amp;C142*(2+D142)&amp;"/S"&amp;C142*(4+(D142*2))&amp;")"</f>
        <v xml:space="preserve"> (A0/S0)</v>
      </c>
      <c r="T154" s="16" t="s">
        <v>2028</v>
      </c>
    </row>
    <row r="155" spans="1:20" ht="15" thickBot="1" x14ac:dyDescent="0.35">
      <c r="C155" s="1" t="s">
        <v>1344</v>
      </c>
      <c r="F155" s="4"/>
      <c r="H155" s="4"/>
      <c r="K155" s="4"/>
      <c r="S155" t="b">
        <f>IF(A143=T155,TRUE())</f>
        <v>1</v>
      </c>
      <c r="T155" s="16" t="s">
        <v>2029</v>
      </c>
    </row>
    <row r="156" spans="1:20" ht="15" thickBot="1" x14ac:dyDescent="0.35">
      <c r="A156" s="3" t="s">
        <v>1342</v>
      </c>
      <c r="B156" s="2" t="s">
        <v>1345</v>
      </c>
      <c r="C156" s="232">
        <v>0</v>
      </c>
      <c r="F156" s="4">
        <f>H156*50000</f>
        <v>0</v>
      </c>
      <c r="H156" s="4">
        <f>C156*2</f>
        <v>0</v>
      </c>
      <c r="K156" s="4">
        <f>ROUNDUP(1*H156/100,0)</f>
        <v>0</v>
      </c>
      <c r="S156" t="str">
        <f>" (A"&amp;C143*(4+D143)&amp;"/S"&amp;C143*(12+(D143*2))&amp;")"</f>
        <v xml:space="preserve"> (A0/S0)</v>
      </c>
      <c r="T156" t="s">
        <v>2030</v>
      </c>
    </row>
    <row r="157" spans="1:20" ht="15" thickBot="1" x14ac:dyDescent="0.35">
      <c r="A157" t="str">
        <f>IF(SUM(H156:H159,T170)&gt;9999,"Class A",IF(SUM(H156:H159,T170)&gt;2499,"Class B",IF(SUM(H156:H159,T170)&gt;99,"Class C","Class D/E/X")))</f>
        <v>Class D/E/X</v>
      </c>
      <c r="B157" s="2" t="s">
        <v>1346</v>
      </c>
      <c r="C157" s="232">
        <v>0</v>
      </c>
      <c r="F157" s="4">
        <f>H157*100000</f>
        <v>0</v>
      </c>
      <c r="H157" s="4">
        <f>C157*4</f>
        <v>0</v>
      </c>
      <c r="K157" s="4">
        <f>ROUNDUP(2*H157/100,0)</f>
        <v>0</v>
      </c>
      <c r="S157" t="b">
        <f>IF(A144=T157,TRUE())</f>
        <v>1</v>
      </c>
      <c r="T157" s="16" t="s">
        <v>1729</v>
      </c>
    </row>
    <row r="158" spans="1:20" ht="15" thickBot="1" x14ac:dyDescent="0.35">
      <c r="B158" s="2" t="s">
        <v>1347</v>
      </c>
      <c r="C158" s="232">
        <v>0</v>
      </c>
      <c r="F158" s="4">
        <f>H158*250000</f>
        <v>0</v>
      </c>
      <c r="H158" s="4">
        <f>C158*6</f>
        <v>0</v>
      </c>
      <c r="K158" s="4">
        <f>ROUNDUP(3*H158/100,0)</f>
        <v>0</v>
      </c>
      <c r="S158" t="str">
        <f>" (A"&amp;C144*(4+ROUNDDOWN(D144/2,0))&amp;"/S"&amp;C144*(8+(ROUNDDOWN(D144/2,0)*2))&amp;")"</f>
        <v xml:space="preserve"> (A0/S0)</v>
      </c>
      <c r="T158" t="s">
        <v>1731</v>
      </c>
    </row>
    <row r="159" spans="1:20" ht="15" thickBot="1" x14ac:dyDescent="0.35">
      <c r="B159" s="2" t="s">
        <v>1343</v>
      </c>
      <c r="C159" s="232">
        <v>0</v>
      </c>
      <c r="F159" s="4">
        <f>H159*750000</f>
        <v>0</v>
      </c>
      <c r="H159" s="4">
        <f>C159*10</f>
        <v>0</v>
      </c>
      <c r="K159" s="4">
        <f>ROUNDUP(5*H159/100,0)</f>
        <v>0</v>
      </c>
      <c r="S159" t="b">
        <f>IF(A145=T159,TRUE())</f>
        <v>1</v>
      </c>
      <c r="T159" s="16" t="s">
        <v>1733</v>
      </c>
    </row>
    <row r="160" spans="1:20" x14ac:dyDescent="0.3">
      <c r="B160" s="2" t="s">
        <v>519</v>
      </c>
      <c r="D160" s="283" t="s">
        <v>1411</v>
      </c>
      <c r="F160" s="4">
        <f>H160*100000</f>
        <v>0</v>
      </c>
      <c r="H160" s="4">
        <f>0.5*SUM(H156:H159)</f>
        <v>0</v>
      </c>
      <c r="K160" s="4"/>
      <c r="S160" t="str">
        <f>" (A"&amp;C145*(12+ROUNDDOWN(D145/2,0))&amp;"/S"&amp;C145*(12+(ROUNDDOWN(D145/2,0)*2))&amp;")"</f>
        <v xml:space="preserve"> (A0/S0)</v>
      </c>
      <c r="T160" t="s">
        <v>1734</v>
      </c>
    </row>
    <row r="161" spans="1:20" ht="15" thickBot="1" x14ac:dyDescent="0.35">
      <c r="A161" s="3" t="s">
        <v>1348</v>
      </c>
      <c r="C161" s="1" t="s">
        <v>821</v>
      </c>
      <c r="F161" s="4"/>
      <c r="H161" s="4"/>
      <c r="K161" s="4"/>
      <c r="S161" t="b">
        <f>IF(A146=T161,TRUE())</f>
        <v>1</v>
      </c>
      <c r="T161" s="16" t="s">
        <v>1730</v>
      </c>
    </row>
    <row r="162" spans="1:20" ht="15" thickBot="1" x14ac:dyDescent="0.35">
      <c r="A162" t="str">
        <f>IF(C162&gt;24999,"Class A",IF(C162&gt;4999,"Class B",IF(C162&gt;99,"Class C/D", "Class E/X")))</f>
        <v>Class E/X</v>
      </c>
      <c r="C162" s="232">
        <v>0</v>
      </c>
      <c r="F162" s="4">
        <f>H162*200000</f>
        <v>0</v>
      </c>
      <c r="H162" s="4">
        <f>C162</f>
        <v>0</v>
      </c>
      <c r="K162" s="4">
        <f>ROUNDUP(1*H162/200,0)</f>
        <v>0</v>
      </c>
      <c r="S162" t="str">
        <f>" (A"&amp;C146*(10+ROUNDDOWN(D146/2,0))&amp;"/S"&amp;C146*(30+(ROUNDDOWN(D146/2,0)*2))&amp;")"</f>
        <v xml:space="preserve"> (A0/S0)</v>
      </c>
      <c r="T162" t="s">
        <v>1737</v>
      </c>
    </row>
    <row r="163" spans="1:20" x14ac:dyDescent="0.3">
      <c r="H163" s="4"/>
      <c r="K163" s="4"/>
    </row>
    <row r="164" spans="1:20" x14ac:dyDescent="0.3">
      <c r="A164" s="3" t="s">
        <v>1358</v>
      </c>
      <c r="B164" t="s">
        <v>1390</v>
      </c>
      <c r="H164" s="4"/>
      <c r="K164" s="4"/>
    </row>
    <row r="165" spans="1:20" ht="15" thickBot="1" x14ac:dyDescent="0.35">
      <c r="A165" t="str">
        <f>"Class "&amp;IF(SUM(H166:H170)/3&gt;99999.9,"A",IF(SUM(H166:H170)/3&gt;49999.9,"B",IF(SUM(H166:H170)/3&gt;19999.9,"C",IF(SUM(H166:H170)/3&gt;399.9,"D","E/X"))))</f>
        <v>Class E/X</v>
      </c>
      <c r="C165" s="1" t="s">
        <v>296</v>
      </c>
      <c r="D165" s="1" t="s">
        <v>1359</v>
      </c>
      <c r="H165" s="4"/>
      <c r="K165" s="4"/>
    </row>
    <row r="166" spans="1:20" ht="15" thickBot="1" x14ac:dyDescent="0.35">
      <c r="B166" t="s">
        <v>1360</v>
      </c>
      <c r="C166" s="232">
        <v>0</v>
      </c>
      <c r="D166" s="232">
        <v>0</v>
      </c>
      <c r="F166" s="4">
        <f>250000*H166</f>
        <v>0</v>
      </c>
      <c r="H166" s="4">
        <f>3*C166*D166</f>
        <v>0</v>
      </c>
      <c r="K166" s="4"/>
    </row>
    <row r="167" spans="1:20" ht="15" thickBot="1" x14ac:dyDescent="0.35">
      <c r="A167" s="231" t="s">
        <v>1365</v>
      </c>
      <c r="B167" t="s">
        <v>1361</v>
      </c>
      <c r="C167" s="232">
        <v>0</v>
      </c>
      <c r="D167" s="232">
        <v>0</v>
      </c>
      <c r="F167" s="4">
        <f t="shared" ref="F167:F170" si="25">250000*H167</f>
        <v>0</v>
      </c>
      <c r="H167" s="4">
        <f t="shared" ref="H167:H170" si="26">3*C167*D167</f>
        <v>0</v>
      </c>
      <c r="K167" s="4"/>
    </row>
    <row r="168" spans="1:20" ht="15" thickBot="1" x14ac:dyDescent="0.35">
      <c r="A168" s="266">
        <f>ROUNDUP(SUM(H$166:$H170)/100,0)</f>
        <v>0</v>
      </c>
      <c r="B168" t="s">
        <v>1362</v>
      </c>
      <c r="C168" s="232">
        <v>0</v>
      </c>
      <c r="D168" s="232">
        <v>0</v>
      </c>
      <c r="F168" s="4">
        <f t="shared" si="25"/>
        <v>0</v>
      </c>
      <c r="H168" s="4">
        <f t="shared" si="26"/>
        <v>0</v>
      </c>
      <c r="K168" s="4"/>
    </row>
    <row r="169" spans="1:20" ht="15" thickBot="1" x14ac:dyDescent="0.35">
      <c r="B169" t="s">
        <v>1363</v>
      </c>
      <c r="C169" s="232">
        <v>0</v>
      </c>
      <c r="D169" s="232">
        <v>0</v>
      </c>
      <c r="F169" s="4">
        <f t="shared" si="25"/>
        <v>0</v>
      </c>
      <c r="H169" s="4">
        <f t="shared" si="26"/>
        <v>0</v>
      </c>
      <c r="K169" s="4"/>
      <c r="T169" t="s">
        <v>1349</v>
      </c>
    </row>
    <row r="170" spans="1:20" ht="15" thickBot="1" x14ac:dyDescent="0.35">
      <c r="B170" t="s">
        <v>1364</v>
      </c>
      <c r="C170" s="232">
        <v>0</v>
      </c>
      <c r="D170" s="232">
        <v>0</v>
      </c>
      <c r="F170" s="4">
        <f t="shared" si="25"/>
        <v>0</v>
      </c>
      <c r="H170" s="4">
        <f t="shared" si="26"/>
        <v>0</v>
      </c>
      <c r="K170" s="4"/>
      <c r="T170">
        <f>SUM('11-Staterooms'!H22:H28)</f>
        <v>0</v>
      </c>
    </row>
    <row r="171" spans="1:20" x14ac:dyDescent="0.3">
      <c r="C171" s="265"/>
      <c r="H171" s="4"/>
      <c r="K171" s="4"/>
    </row>
    <row r="172" spans="1:20" ht="15" thickBot="1" x14ac:dyDescent="0.35">
      <c r="A172" s="3" t="s">
        <v>1368</v>
      </c>
      <c r="C172" s="1" t="s">
        <v>947</v>
      </c>
      <c r="H172" s="4"/>
      <c r="K172" s="4"/>
      <c r="T172" t="s">
        <v>1375</v>
      </c>
    </row>
    <row r="173" spans="1:20" ht="15" thickBot="1" x14ac:dyDescent="0.35">
      <c r="A173" t="str">
        <f>"Class "&amp;IF(T187=5,"A",IF(T187=4,"B","C/D/E/X"))</f>
        <v>Class C/D/E/X</v>
      </c>
      <c r="B173" t="s">
        <v>1369</v>
      </c>
      <c r="C173" s="232">
        <v>0</v>
      </c>
      <c r="F173" s="4">
        <f>IF(TL&gt;12,500000*H173,IF(TL&gt;9,1000000*H173,100000*H173))</f>
        <v>0</v>
      </c>
      <c r="H173" s="4">
        <f>IF(TL&gt;12,C173/15,IF(TL&gt;9,C173/12,IF(TL&gt;6,C173/10,0)))</f>
        <v>0</v>
      </c>
      <c r="K173" s="4">
        <f>IF(TL&gt;9,H173,H173*2)</f>
        <v>0</v>
      </c>
      <c r="T173">
        <f>IF(SUM(H156:H159,T170)&gt;9999,5,IF(SUM(H156:H159,T170)&gt;2499,4,IF(SUM(H156:H159,T170)&gt;99,3,2)))</f>
        <v>2</v>
      </c>
    </row>
    <row r="174" spans="1:20" ht="15" thickBot="1" x14ac:dyDescent="0.35">
      <c r="B174" t="s">
        <v>1370</v>
      </c>
      <c r="C174" s="232">
        <v>0</v>
      </c>
      <c r="F174" s="4">
        <f>50000*H174</f>
        <v>0</v>
      </c>
      <c r="H174" s="4">
        <f>C174</f>
        <v>0</v>
      </c>
      <c r="K174" s="4"/>
    </row>
    <row r="175" spans="1:20" ht="15" thickBot="1" x14ac:dyDescent="0.35">
      <c r="A175" s="231" t="s">
        <v>1365</v>
      </c>
      <c r="C175" s="2"/>
      <c r="D175" s="281" t="s">
        <v>1378</v>
      </c>
      <c r="H175" s="4"/>
      <c r="K175" s="4"/>
    </row>
    <row r="176" spans="1:20" ht="15" thickBot="1" x14ac:dyDescent="0.35">
      <c r="A176" s="266">
        <f>ROUNDUP(IF(TL&gt;12,H173/500,IF(TL&gt;9,H173/100,H173/50)),0)+ROUNDUP(IF(TL&gt;12,H176/50,IF(TL&gt;9,H176/20,H176/10)),0)</f>
        <v>0</v>
      </c>
      <c r="B176" t="s">
        <v>1376</v>
      </c>
      <c r="C176" s="232">
        <v>0</v>
      </c>
      <c r="D176" s="16" t="str">
        <f>IF(H176=0,"",TEXT(H176*IF(TL&gt;13,2,IF(TL&gt;9,1,0.5)),"#,###"))&amp;" (Ore)"</f>
        <v xml:space="preserve"> (Ore)</v>
      </c>
      <c r="F176" s="4">
        <f>H176*IF(TL&gt;12,2000000,IF(TL&gt;9,1000000,IF(TL&gt;6,500000,0)))</f>
        <v>0</v>
      </c>
      <c r="H176" s="4">
        <f>IF(TL&gt;6,C176,0)</f>
        <v>0</v>
      </c>
      <c r="K176" s="4">
        <f>H176*IF(TL&gt;12,1,IF(TL&gt;9,2,5))</f>
        <v>0</v>
      </c>
      <c r="T176" t="s">
        <v>493</v>
      </c>
    </row>
    <row r="177" spans="1:20" ht="15" thickBot="1" x14ac:dyDescent="0.35">
      <c r="B177" t="s">
        <v>1377</v>
      </c>
      <c r="C177" s="232">
        <v>0</v>
      </c>
      <c r="D177" s="16" t="str">
        <f>IF(H177=0,"",TEXT(H177*0.2,"#,###.#")&amp;" Ore in")</f>
        <v/>
      </c>
      <c r="F177" s="4">
        <f>H177*500000</f>
        <v>0</v>
      </c>
      <c r="H177" s="4">
        <f>C177</f>
        <v>0</v>
      </c>
      <c r="K177" s="4">
        <f>H177</f>
        <v>0</v>
      </c>
      <c r="T177">
        <f>IF(C162&gt;24999,5,IF(C162&gt;4999,4,IF(C162&gt;99,3,1)))</f>
        <v>1</v>
      </c>
    </row>
    <row r="178" spans="1:20" x14ac:dyDescent="0.3">
      <c r="D178" t="str">
        <f>IF(H177=0,"",TEXT(H177*0.1,"#,###.#")&amp;" Raw Materials out")</f>
        <v/>
      </c>
      <c r="H178" s="4"/>
      <c r="K178" s="4"/>
    </row>
    <row r="179" spans="1:20" x14ac:dyDescent="0.3">
      <c r="A179" s="3" t="s">
        <v>1379</v>
      </c>
      <c r="B179" t="s">
        <v>1391</v>
      </c>
      <c r="H179" s="4"/>
      <c r="K179" s="4"/>
      <c r="T179" t="s">
        <v>616</v>
      </c>
    </row>
    <row r="180" spans="1:20" x14ac:dyDescent="0.3">
      <c r="A180" t="str">
        <f>"Class "&amp;IF(T194=5,"A",IF(T194=4,"B",IF(T194=3,"C",IF(T194=2,"D/E/X"))))</f>
        <v>Class D/E/X</v>
      </c>
      <c r="H180" s="4"/>
      <c r="K180" s="4"/>
      <c r="T180">
        <f>IF(SUM(H166:H170)/3&gt;99999.9,5,IF(SUM(H166:H170)/3&gt;49999.9,4,IF(SUM(H166:H170)/3&gt;19999.9,3,IF(SUM(H166:H170)/3&gt;399.9,2,1))))</f>
        <v>1</v>
      </c>
    </row>
    <row r="181" spans="1:20" ht="15" thickBot="1" x14ac:dyDescent="0.35">
      <c r="B181" s="7" t="s">
        <v>1380</v>
      </c>
      <c r="C181" s="1" t="s">
        <v>947</v>
      </c>
      <c r="D181" s="1" t="s">
        <v>1400</v>
      </c>
      <c r="H181" s="4"/>
      <c r="K181" s="4"/>
    </row>
    <row r="182" spans="1:20" ht="15" thickBot="1" x14ac:dyDescent="0.35">
      <c r="B182" s="9" t="s">
        <v>1381</v>
      </c>
      <c r="C182" s="232">
        <v>0</v>
      </c>
      <c r="D182" s="232">
        <v>0</v>
      </c>
      <c r="F182" s="4">
        <f>500000*H182</f>
        <v>0</v>
      </c>
      <c r="H182" s="4">
        <f>2*D182*C182</f>
        <v>0</v>
      </c>
      <c r="K182" s="4">
        <f>H182</f>
        <v>0</v>
      </c>
    </row>
    <row r="183" spans="1:20" ht="15" thickBot="1" x14ac:dyDescent="0.35">
      <c r="B183" s="9" t="s">
        <v>1382</v>
      </c>
      <c r="C183" s="232">
        <v>0</v>
      </c>
      <c r="D183" s="232">
        <v>0</v>
      </c>
      <c r="F183" s="4">
        <f>750000*H183</f>
        <v>0</v>
      </c>
      <c r="H183" s="4">
        <f>2*D183*C183</f>
        <v>0</v>
      </c>
      <c r="K183" s="4">
        <f>H183</f>
        <v>0</v>
      </c>
      <c r="N183" s="555"/>
    </row>
    <row r="184" spans="1:20" x14ac:dyDescent="0.3">
      <c r="A184" s="231" t="s">
        <v>1365</v>
      </c>
      <c r="K184" s="4"/>
    </row>
    <row r="185" spans="1:20" x14ac:dyDescent="0.3">
      <c r="A185" s="266">
        <f>ROUNDUP(SUM(H182:H183)/10,0)</f>
        <v>0</v>
      </c>
      <c r="K185" s="4"/>
      <c r="N185"/>
    </row>
    <row r="186" spans="1:20" x14ac:dyDescent="0.3">
      <c r="C186" s="3"/>
      <c r="D186" s="3"/>
      <c r="K186" s="4"/>
      <c r="N186"/>
      <c r="T186" t="s">
        <v>66</v>
      </c>
    </row>
    <row r="187" spans="1:20" ht="15" thickBot="1" x14ac:dyDescent="0.35">
      <c r="A187" s="3" t="s">
        <v>1383</v>
      </c>
      <c r="C187" s="7" t="s">
        <v>1388</v>
      </c>
      <c r="D187" s="1" t="s">
        <v>1389</v>
      </c>
      <c r="K187" s="4"/>
      <c r="N187"/>
      <c r="T187">
        <f>IF(C173&gt;2500,5,IF(C173&gt;1000,4,3))</f>
        <v>3</v>
      </c>
    </row>
    <row r="188" spans="1:20" ht="15" thickBot="1" x14ac:dyDescent="0.35">
      <c r="B188" t="s">
        <v>1384</v>
      </c>
      <c r="C188" s="232">
        <v>0</v>
      </c>
      <c r="D188" s="232">
        <v>0</v>
      </c>
      <c r="E188" s="2">
        <f>IF(OR(C188&gt;0,D188&gt;0),7,0)</f>
        <v>0</v>
      </c>
      <c r="F188" s="4">
        <f>H188*200000</f>
        <v>0</v>
      </c>
      <c r="H188" s="260">
        <f>C188*D188*10</f>
        <v>0</v>
      </c>
      <c r="K188" s="4">
        <f>H188</f>
        <v>0</v>
      </c>
      <c r="N188"/>
    </row>
    <row r="189" spans="1:20" ht="15" thickBot="1" x14ac:dyDescent="0.35">
      <c r="A189" s="231" t="s">
        <v>1365</v>
      </c>
      <c r="B189" t="s">
        <v>1385</v>
      </c>
      <c r="C189" s="232">
        <v>0</v>
      </c>
      <c r="D189" s="232">
        <v>0</v>
      </c>
      <c r="E189" s="2">
        <f>IF(OR(C189&gt;0,D189&gt;0),10,0)</f>
        <v>0</v>
      </c>
      <c r="F189" s="4">
        <f>H189*400000</f>
        <v>0</v>
      </c>
      <c r="H189" s="260">
        <f>C189*D189*25</f>
        <v>0</v>
      </c>
      <c r="K189" s="4">
        <f>H189*2</f>
        <v>0</v>
      </c>
      <c r="N189"/>
    </row>
    <row r="190" spans="1:20" ht="15" thickBot="1" x14ac:dyDescent="0.35">
      <c r="A190" s="266">
        <f>ROUNDUP(H188/5,0)+ROUNDUP(H189/2,0)+ROUNDUP(H190/3,0)+ROUNDUP(H191/10,0)</f>
        <v>0</v>
      </c>
      <c r="B190" t="s">
        <v>1386</v>
      </c>
      <c r="C190" s="232">
        <v>0</v>
      </c>
      <c r="D190" s="232">
        <v>0</v>
      </c>
      <c r="E190" s="2">
        <f>IF(OR(C190&gt;0,D190&gt;0),9,0)</f>
        <v>0</v>
      </c>
      <c r="F190" s="4">
        <f>H190*1000000</f>
        <v>0</v>
      </c>
      <c r="H190" s="260">
        <f>C190*D190*50</f>
        <v>0</v>
      </c>
      <c r="K190" s="4">
        <f>H190*2</f>
        <v>0</v>
      </c>
      <c r="N190"/>
    </row>
    <row r="191" spans="1:20" ht="15" thickBot="1" x14ac:dyDescent="0.35">
      <c r="B191" t="s">
        <v>1387</v>
      </c>
      <c r="C191" s="232">
        <v>0</v>
      </c>
      <c r="D191" s="232">
        <v>0</v>
      </c>
      <c r="E191" s="2">
        <f>IF(OR(C191&gt;0,D191&gt;0),8,0)</f>
        <v>0</v>
      </c>
      <c r="F191" s="4">
        <f>H191*500000</f>
        <v>0</v>
      </c>
      <c r="H191" s="260">
        <f>C191*D191*20</f>
        <v>0</v>
      </c>
      <c r="K191" s="4">
        <f>H191</f>
        <v>0</v>
      </c>
      <c r="N191"/>
    </row>
    <row r="193" spans="20:20" x14ac:dyDescent="0.3">
      <c r="T193" t="s">
        <v>1379</v>
      </c>
    </row>
    <row r="194" spans="20:20" x14ac:dyDescent="0.3">
      <c r="T194">
        <f>IF(AND(SUM(H182:H183)&gt;24999.9,H183&gt;199.9,TL&gt;8),5,IF(SUM(H182:H183)&gt;9999.9,4,IF(SUM(H182:H183)&gt;199.9,3,2)))</f>
        <v>2</v>
      </c>
    </row>
  </sheetData>
  <sheetProtection algorithmName="SHA-512" hashValue="DtM7jukTFcaehwgftTDBGsvHdhwYcNIuZqB4EbczgVpZvEDV+2X1LO3oTbQHJLNskNWav3LH1adM/QmPBo+epQ==" saltValue="4KhIqLxaHLv0rVL228MVtQ==" spinCount="100000" sheet="1" selectLockedCells="1"/>
  <mergeCells count="12">
    <mergeCell ref="H4:I4"/>
    <mergeCell ref="K4:L4"/>
    <mergeCell ref="A144:B144"/>
    <mergeCell ref="A145:B145"/>
    <mergeCell ref="A146:B146"/>
    <mergeCell ref="A142:B142"/>
    <mergeCell ref="A143:B143"/>
    <mergeCell ref="A75:B75"/>
    <mergeCell ref="A85:B85"/>
    <mergeCell ref="A95:B95"/>
    <mergeCell ref="A105:B105"/>
    <mergeCell ref="A115:B115"/>
  </mergeCells>
  <conditionalFormatting sqref="A75 C75:D75 A76:D84 A85 C85:D85 A86:D94 A95 C95:D95 A96:D104 A105 C105:D105 A106:D114 A115 C115:D115 A116:D124">
    <cfRule type="expression" dxfId="307" priority="31">
      <formula>$T$22=1</formula>
    </cfRule>
  </conditionalFormatting>
  <conditionalFormatting sqref="A161">
    <cfRule type="expression" dxfId="305" priority="267">
      <formula>$C$162&gt;0</formula>
    </cfRule>
  </conditionalFormatting>
  <conditionalFormatting sqref="A48:D57">
    <cfRule type="expression" dxfId="304" priority="42" stopIfTrue="1">
      <formula>$T$66&lt;0</formula>
    </cfRule>
  </conditionalFormatting>
  <conditionalFormatting sqref="A49:D50">
    <cfRule type="expression" dxfId="303" priority="40" stopIfTrue="1">
      <formula>$T$32&lt;0</formula>
    </cfRule>
  </conditionalFormatting>
  <conditionalFormatting sqref="A49:D65 E63:F65">
    <cfRule type="expression" dxfId="302" priority="69">
      <formula>$C$48=0</formula>
    </cfRule>
  </conditionalFormatting>
  <conditionalFormatting sqref="A49:D65">
    <cfRule type="expression" dxfId="301" priority="2" stopIfTrue="1">
      <formula>AND($C$48=0,$C49&gt;0)</formula>
    </cfRule>
  </conditionalFormatting>
  <conditionalFormatting sqref="A54:D57">
    <cfRule type="expression" dxfId="300" priority="39" stopIfTrue="1">
      <formula>$T$32&lt;0</formula>
    </cfRule>
  </conditionalFormatting>
  <conditionalFormatting sqref="A58:D58">
    <cfRule type="expression" dxfId="299" priority="68" stopIfTrue="1">
      <formula>$C$56&gt;$C$46</formula>
    </cfRule>
  </conditionalFormatting>
  <conditionalFormatting sqref="B10:B14">
    <cfRule type="expression" dxfId="298" priority="2612">
      <formula>$C10&gt;0</formula>
    </cfRule>
  </conditionalFormatting>
  <conditionalFormatting sqref="B18:B20 B22 B24:B41 B127:B137 A134 A136:A137 B139 A141:B141 A142:A150 B150:B151 B156:B160 B166:B170 B173:B174 B176:B177">
    <cfRule type="expression" dxfId="297" priority="297">
      <formula>$C18&gt;0</formula>
    </cfRule>
  </conditionalFormatting>
  <conditionalFormatting sqref="B21 B23 B182:B183 B188:B191">
    <cfRule type="expression" dxfId="296" priority="273">
      <formula>$C21*$D21&gt;0</formula>
    </cfRule>
  </conditionalFormatting>
  <conditionalFormatting sqref="B42">
    <cfRule type="expression" dxfId="295" priority="1">
      <formula>$C$42=$S$4</formula>
    </cfRule>
  </conditionalFormatting>
  <conditionalFormatting sqref="B45">
    <cfRule type="expression" dxfId="294" priority="113">
      <formula>$C$45&lt;&gt;$S$44</formula>
    </cfRule>
  </conditionalFormatting>
  <conditionalFormatting sqref="B47:B65">
    <cfRule type="expression" dxfId="293" priority="112">
      <formula>$C47&gt;0</formula>
    </cfRule>
  </conditionalFormatting>
  <conditionalFormatting sqref="B67">
    <cfRule type="expression" dxfId="292" priority="43">
      <formula>$C$65&gt;0</formula>
    </cfRule>
  </conditionalFormatting>
  <conditionalFormatting sqref="B71:B72">
    <cfRule type="expression" dxfId="291" priority="73">
      <formula>$E71&gt;0</formula>
    </cfRule>
  </conditionalFormatting>
  <conditionalFormatting sqref="B147:B149">
    <cfRule type="expression" dxfId="290" priority="1168">
      <formula>AND($C147&gt;0,$B147="None")</formula>
    </cfRule>
  </conditionalFormatting>
  <conditionalFormatting sqref="B28:C28">
    <cfRule type="expression" dxfId="289" priority="1927">
      <formula>$T$28&lt;0</formula>
    </cfRule>
  </conditionalFormatting>
  <conditionalFormatting sqref="B48:C48">
    <cfRule type="expression" dxfId="288" priority="41" stopIfTrue="1">
      <formula>$T$25&gt;0</formula>
    </cfRule>
  </conditionalFormatting>
  <conditionalFormatting sqref="B59:D59">
    <cfRule type="expression" dxfId="287" priority="67" stopIfTrue="1">
      <formula>AND($C$48=0,$C$59&gt;0)</formula>
    </cfRule>
  </conditionalFormatting>
  <conditionalFormatting sqref="B60:D60">
    <cfRule type="expression" dxfId="286" priority="66" stopIfTrue="1">
      <formula>AND($C$46=0,$C$58&gt;0)</formula>
    </cfRule>
  </conditionalFormatting>
  <conditionalFormatting sqref="B61:D61">
    <cfRule type="expression" dxfId="285" priority="65">
      <formula>AND($C$48=0,$C$61&gt;0)</formula>
    </cfRule>
  </conditionalFormatting>
  <conditionalFormatting sqref="B62:D62">
    <cfRule type="expression" dxfId="284" priority="64" stopIfTrue="1">
      <formula>AND($C$48=0,$C$62&gt;0)</formula>
    </cfRule>
  </conditionalFormatting>
  <conditionalFormatting sqref="C10:C14">
    <cfRule type="expression" dxfId="283" priority="1144">
      <formula>#REF!=$S$3</formula>
    </cfRule>
  </conditionalFormatting>
  <conditionalFormatting sqref="C77">
    <cfRule type="expression" dxfId="282" priority="109">
      <formula>AND($B$77="None Installed",$C$77&gt;0)</formula>
    </cfRule>
  </conditionalFormatting>
  <conditionalFormatting sqref="C78">
    <cfRule type="expression" dxfId="281" priority="108">
      <formula>AND($B$78="None Installed",$C$78&gt;0)</formula>
    </cfRule>
  </conditionalFormatting>
  <conditionalFormatting sqref="C79">
    <cfRule type="expression" dxfId="280" priority="107">
      <formula>AND($B$79="None Installed",$C$79&gt;0)</formula>
    </cfRule>
  </conditionalFormatting>
  <conditionalFormatting sqref="C81">
    <cfRule type="expression" dxfId="279" priority="106">
      <formula>AND($B$81="None Installed",$C$81&gt;0)</formula>
    </cfRule>
  </conditionalFormatting>
  <conditionalFormatting sqref="C82">
    <cfRule type="expression" dxfId="278" priority="105">
      <formula>AND($B$82="None Installed",$C$82&gt;0)</formula>
    </cfRule>
  </conditionalFormatting>
  <conditionalFormatting sqref="C83">
    <cfRule type="expression" dxfId="277" priority="104">
      <formula>AND($B$83="None Installed",$C$83&gt;0)</formula>
    </cfRule>
  </conditionalFormatting>
  <conditionalFormatting sqref="C87">
    <cfRule type="expression" dxfId="276" priority="19">
      <formula>AND($B$75="None Installed",$C$75&gt;0)</formula>
    </cfRule>
  </conditionalFormatting>
  <conditionalFormatting sqref="C88">
    <cfRule type="expression" dxfId="275" priority="18">
      <formula>AND($B$76="None Installed",$C$76&gt;0)</formula>
    </cfRule>
  </conditionalFormatting>
  <conditionalFormatting sqref="C89">
    <cfRule type="expression" dxfId="274" priority="17">
      <formula>AND($B$89="None Installed",$C$89&gt;0)</formula>
    </cfRule>
  </conditionalFormatting>
  <conditionalFormatting sqref="C91">
    <cfRule type="expression" dxfId="273" priority="16">
      <formula>AND($B$79="None Installed",$C$79&gt;0)</formula>
    </cfRule>
  </conditionalFormatting>
  <conditionalFormatting sqref="C92">
    <cfRule type="expression" dxfId="272" priority="15">
      <formula>AND($B$80="None Installed",$C$80&gt;0)</formula>
    </cfRule>
  </conditionalFormatting>
  <conditionalFormatting sqref="C93">
    <cfRule type="expression" dxfId="271" priority="14">
      <formula>AND($B$81="None Installed",$C$81&gt;0)</formula>
    </cfRule>
  </conditionalFormatting>
  <conditionalFormatting sqref="C97">
    <cfRule type="expression" dxfId="270" priority="97">
      <formula>AND($B$97="None Installed",$C$97&gt;0)</formula>
    </cfRule>
  </conditionalFormatting>
  <conditionalFormatting sqref="C98">
    <cfRule type="expression" dxfId="269" priority="96">
      <formula>AND($B$98="None Installed",$C$98&gt;0)</formula>
    </cfRule>
  </conditionalFormatting>
  <conditionalFormatting sqref="C99">
    <cfRule type="expression" dxfId="268" priority="95">
      <formula>AND($B$99="None Installed",$C$99&gt;0)</formula>
    </cfRule>
  </conditionalFormatting>
  <conditionalFormatting sqref="C101">
    <cfRule type="expression" dxfId="267" priority="94">
      <formula>AND($B$101="None Installed",$C$101&gt;0)</formula>
    </cfRule>
  </conditionalFormatting>
  <conditionalFormatting sqref="C102">
    <cfRule type="expression" dxfId="266" priority="93">
      <formula>AND($B$102="None Installed",$C$102&gt;0)</formula>
    </cfRule>
  </conditionalFormatting>
  <conditionalFormatting sqref="C103">
    <cfRule type="expression" dxfId="265" priority="92">
      <formula>AND($B$103="None Installed",$C$103&gt;0)</formula>
    </cfRule>
  </conditionalFormatting>
  <conditionalFormatting sqref="C107">
    <cfRule type="expression" dxfId="264" priority="85">
      <formula>AND($B$107="None Installed",$C$107&gt;0)</formula>
    </cfRule>
  </conditionalFormatting>
  <conditionalFormatting sqref="C108">
    <cfRule type="expression" dxfId="263" priority="84">
      <formula>AND($B$108="None Installed",$C$108&gt;0)</formula>
    </cfRule>
  </conditionalFormatting>
  <conditionalFormatting sqref="C109">
    <cfRule type="expression" dxfId="262" priority="83">
      <formula>AND($B$109="None Installed",$C$109&gt;0)</formula>
    </cfRule>
  </conditionalFormatting>
  <conditionalFormatting sqref="C111">
    <cfRule type="expression" dxfId="261" priority="82">
      <formula>AND($B$111="None Installed",$C$111&gt;0)</formula>
    </cfRule>
  </conditionalFormatting>
  <conditionalFormatting sqref="C112">
    <cfRule type="expression" dxfId="260" priority="81">
      <formula>AND($B$112="None Installed",$C$112&gt;0)</formula>
    </cfRule>
  </conditionalFormatting>
  <conditionalFormatting sqref="C113">
    <cfRule type="expression" dxfId="259" priority="80">
      <formula>AND($B$113="None Installed",$C$113&gt;0)</formula>
    </cfRule>
  </conditionalFormatting>
  <conditionalFormatting sqref="C117">
    <cfRule type="expression" dxfId="258" priority="38">
      <formula>AND($B$117="None Installed",$C$117&gt;0)</formula>
    </cfRule>
  </conditionalFormatting>
  <conditionalFormatting sqref="C118">
    <cfRule type="expression" dxfId="257" priority="37">
      <formula>AND($B$118="None Installed",$C$118&gt;0)</formula>
    </cfRule>
  </conditionalFormatting>
  <conditionalFormatting sqref="C119">
    <cfRule type="expression" dxfId="256" priority="36">
      <formula>AND($B$119="None Installed",$C$119&gt;0)</formula>
    </cfRule>
  </conditionalFormatting>
  <conditionalFormatting sqref="C121">
    <cfRule type="expression" dxfId="255" priority="35">
      <formula>AND($B$121="None Installed",$C$121&gt;0)</formula>
    </cfRule>
  </conditionalFormatting>
  <conditionalFormatting sqref="C122">
    <cfRule type="expression" dxfId="254" priority="34">
      <formula>AND($B$122="None Installed",$C$122&gt;0)</formula>
    </cfRule>
  </conditionalFormatting>
  <conditionalFormatting sqref="C123">
    <cfRule type="expression" dxfId="253" priority="33">
      <formula>AND($B$123="None Installed",$C$123&gt;0)</formula>
    </cfRule>
  </conditionalFormatting>
  <conditionalFormatting sqref="C150">
    <cfRule type="expression" dxfId="252" priority="268">
      <formula>AND($C$150=0,$D$150&gt;47)</formula>
    </cfRule>
  </conditionalFormatting>
  <conditionalFormatting sqref="C72:D72">
    <cfRule type="expression" dxfId="251" priority="71">
      <formula>AND($C$69=$S$4,$C$70&lt;2+$D$69)</formula>
    </cfRule>
  </conditionalFormatting>
  <conditionalFormatting sqref="C114:D114">
    <cfRule type="expression" dxfId="250" priority="63">
      <formula>AND(#REF!="None Installed",#REF!&gt;0)</formula>
    </cfRule>
  </conditionalFormatting>
  <conditionalFormatting sqref="C183:D183">
    <cfRule type="expression" dxfId="249" priority="280">
      <formula>AND(TL&lt;9,$D$183&gt;0)</formula>
    </cfRule>
  </conditionalFormatting>
  <conditionalFormatting sqref="D71">
    <cfRule type="expression" dxfId="248" priority="72">
      <formula>AND($D$69&gt;0,$C$69=$S$3)</formula>
    </cfRule>
  </conditionalFormatting>
  <conditionalFormatting sqref="D77">
    <cfRule type="expression" dxfId="247" priority="103">
      <formula>AND($B$77="None Installed",$D$77&gt;0)</formula>
    </cfRule>
  </conditionalFormatting>
  <conditionalFormatting sqref="D78">
    <cfRule type="expression" dxfId="246" priority="102">
      <formula>AND($B$78="None Installed",$D$78&gt;0)</formula>
    </cfRule>
  </conditionalFormatting>
  <conditionalFormatting sqref="D79">
    <cfRule type="expression" dxfId="245" priority="101">
      <formula>AND($B$79="None Installed",$D$79&gt;0)</formula>
    </cfRule>
  </conditionalFormatting>
  <conditionalFormatting sqref="D81">
    <cfRule type="expression" dxfId="244" priority="100">
      <formula>AND($B$81="None Installed",$D$81&gt;0)</formula>
    </cfRule>
  </conditionalFormatting>
  <conditionalFormatting sqref="D82">
    <cfRule type="expression" dxfId="243" priority="99">
      <formula>AND($B$82="None Installed",$D$82&gt;0)</formula>
    </cfRule>
  </conditionalFormatting>
  <conditionalFormatting sqref="D83">
    <cfRule type="expression" dxfId="242" priority="98">
      <formula>AND($B$83="None Installed",$D$83&gt;0)</formula>
    </cfRule>
  </conditionalFormatting>
  <conditionalFormatting sqref="D87">
    <cfRule type="expression" dxfId="241" priority="13">
      <formula>AND($B$75="None Installed",$D$75&gt;0)</formula>
    </cfRule>
  </conditionalFormatting>
  <conditionalFormatting sqref="D88">
    <cfRule type="expression" dxfId="240" priority="12">
      <formula>AND($B$76="None Installed",$D$76&gt;0)</formula>
    </cfRule>
  </conditionalFormatting>
  <conditionalFormatting sqref="D89">
    <cfRule type="expression" dxfId="239" priority="11">
      <formula>AND($B$89="None Installed",$D$89&gt;0)</formula>
    </cfRule>
  </conditionalFormatting>
  <conditionalFormatting sqref="D91">
    <cfRule type="expression" dxfId="238" priority="10">
      <formula>AND($B$79="None Installed",$D$79&gt;0)</formula>
    </cfRule>
  </conditionalFormatting>
  <conditionalFormatting sqref="D92">
    <cfRule type="expression" dxfId="237" priority="9">
      <formula>AND($B$80="None Installed",$D$80&gt;0)</formula>
    </cfRule>
  </conditionalFormatting>
  <conditionalFormatting sqref="D93">
    <cfRule type="expression" dxfId="236" priority="8">
      <formula>AND($B$81="None Installed",$D$81&gt;0)</formula>
    </cfRule>
  </conditionalFormatting>
  <conditionalFormatting sqref="D97">
    <cfRule type="expression" dxfId="235" priority="91">
      <formula>AND($B$97="None Installed",$D$97&gt;0)</formula>
    </cfRule>
  </conditionalFormatting>
  <conditionalFormatting sqref="D98">
    <cfRule type="expression" dxfId="234" priority="90">
      <formula>AND($B$98="None Installed",$D$98&gt;0)</formula>
    </cfRule>
  </conditionalFormatting>
  <conditionalFormatting sqref="D99">
    <cfRule type="expression" dxfId="233" priority="89">
      <formula>AND($B$99="None Installed",$D$99&gt;0)</formula>
    </cfRule>
  </conditionalFormatting>
  <conditionalFormatting sqref="D101">
    <cfRule type="expression" dxfId="232" priority="88">
      <formula>AND($B$101="None Installed",$D$101&gt;0)</formula>
    </cfRule>
  </conditionalFormatting>
  <conditionalFormatting sqref="D102">
    <cfRule type="expression" dxfId="231" priority="87">
      <formula>AND($B$102="None Installed",$D$102&gt;0)</formula>
    </cfRule>
  </conditionalFormatting>
  <conditionalFormatting sqref="D103">
    <cfRule type="expression" dxfId="230" priority="86">
      <formula>AND($B$103="None Installed",$D$103&gt;0)</formula>
    </cfRule>
  </conditionalFormatting>
  <conditionalFormatting sqref="D107">
    <cfRule type="expression" dxfId="229" priority="79">
      <formula>AND($B$107="None Installed",$D$107&gt;0)</formula>
    </cfRule>
  </conditionalFormatting>
  <conditionalFormatting sqref="D108">
    <cfRule type="expression" dxfId="228" priority="78">
      <formula>AND($B$108="None Installed",$D$108&gt;0)</formula>
    </cfRule>
  </conditionalFormatting>
  <conditionalFormatting sqref="D109">
    <cfRule type="expression" dxfId="227" priority="77">
      <formula>AND($B$109="None Installed",$D$109&gt;0)</formula>
    </cfRule>
  </conditionalFormatting>
  <conditionalFormatting sqref="D111">
    <cfRule type="expression" dxfId="226" priority="76">
      <formula>AND($B$111="None Installed",$D$111&gt;0)</formula>
    </cfRule>
  </conditionalFormatting>
  <conditionalFormatting sqref="D112">
    <cfRule type="expression" dxfId="225" priority="75">
      <formula>AND($B$112="None Installed",$D$112&gt;0)</formula>
    </cfRule>
  </conditionalFormatting>
  <conditionalFormatting sqref="D113">
    <cfRule type="expression" dxfId="224" priority="74">
      <formula>AND($B$113="None Installed",$D$113&gt;0)</formula>
    </cfRule>
  </conditionalFormatting>
  <conditionalFormatting sqref="D117">
    <cfRule type="expression" dxfId="223" priority="32">
      <formula>AND($B$117="None Installed",$D$117&gt;0)</formula>
    </cfRule>
  </conditionalFormatting>
  <conditionalFormatting sqref="D118">
    <cfRule type="expression" dxfId="222" priority="30">
      <formula>AND($B$118="None Installed",$D$118&gt;0)</formula>
    </cfRule>
  </conditionalFormatting>
  <conditionalFormatting sqref="D119">
    <cfRule type="expression" dxfId="221" priority="29">
      <formula>AND($B$119="None Installed",$D$119&gt;0)</formula>
    </cfRule>
  </conditionalFormatting>
  <conditionalFormatting sqref="D121">
    <cfRule type="expression" dxfId="220" priority="28">
      <formula>AND($B$121="None Installed",$D$121&gt;0)</formula>
    </cfRule>
  </conditionalFormatting>
  <conditionalFormatting sqref="D122">
    <cfRule type="expression" dxfId="219" priority="27">
      <formula>AND($B$122="None Installed",$D$122&gt;0)</formula>
    </cfRule>
  </conditionalFormatting>
  <conditionalFormatting sqref="D123">
    <cfRule type="expression" dxfId="218" priority="26">
      <formula>AND($B$123="None Installed",$D$123&gt;0)</formula>
    </cfRule>
  </conditionalFormatting>
  <conditionalFormatting sqref="D150">
    <cfRule type="expression" dxfId="217" priority="269">
      <formula>AND($C$150&gt;0,$D$150&lt;48)</formula>
    </cfRule>
    <cfRule type="expression" dxfId="216" priority="270">
      <formula>#REF!=$S$3</formula>
    </cfRule>
  </conditionalFormatting>
  <conditionalFormatting sqref="D182:D183 D188:D191">
    <cfRule type="expression" dxfId="215" priority="276">
      <formula>AND($C182=0,$D182&gt;0)</formula>
    </cfRule>
    <cfRule type="expression" dxfId="214" priority="277">
      <formula>$C182=0</formula>
    </cfRule>
  </conditionalFormatting>
  <conditionalFormatting sqref="E10">
    <cfRule type="expression" dxfId="213" priority="320">
      <formula>$E$10&gt;$E$2</formula>
    </cfRule>
  </conditionalFormatting>
  <conditionalFormatting sqref="E10:E42 E127:E136 E141:E149 E188:E191">
    <cfRule type="expression" dxfId="212" priority="115">
      <formula>$E10&gt;$E$2</formula>
    </cfRule>
  </conditionalFormatting>
  <conditionalFormatting sqref="E11">
    <cfRule type="expression" dxfId="211" priority="319">
      <formula>$E$11&gt;$E$2</formula>
    </cfRule>
  </conditionalFormatting>
  <conditionalFormatting sqref="E12">
    <cfRule type="expression" dxfId="210" priority="318">
      <formula>$E12&gt;TL</formula>
    </cfRule>
  </conditionalFormatting>
  <conditionalFormatting sqref="E47:E75 E77:E83 E85 E87:E93 E97:E105 E107:E115 E117:E123">
    <cfRule type="expression" dxfId="209" priority="44">
      <formula>$E47&gt;$E$2</formula>
    </cfRule>
  </conditionalFormatting>
  <conditionalFormatting sqref="E77:E79">
    <cfRule type="cellIs" dxfId="208" priority="61" operator="greaterThan">
      <formula>$E$2</formula>
    </cfRule>
  </conditionalFormatting>
  <conditionalFormatting sqref="E81:E83">
    <cfRule type="cellIs" dxfId="207" priority="49" operator="greaterThan">
      <formula>$E$2</formula>
    </cfRule>
  </conditionalFormatting>
  <conditionalFormatting sqref="E87:E89">
    <cfRule type="cellIs" dxfId="206" priority="4" operator="greaterThan">
      <formula>$E$2</formula>
    </cfRule>
  </conditionalFormatting>
  <conditionalFormatting sqref="E91:E93">
    <cfRule type="cellIs" dxfId="205" priority="3" operator="greaterThan">
      <formula>$E$2</formula>
    </cfRule>
  </conditionalFormatting>
  <conditionalFormatting sqref="E97:E99">
    <cfRule type="cellIs" dxfId="204" priority="48" operator="greaterThan">
      <formula>$E$2</formula>
    </cfRule>
  </conditionalFormatting>
  <conditionalFormatting sqref="E101:E103">
    <cfRule type="cellIs" dxfId="203" priority="47" operator="greaterThan">
      <formula>$E$2</formula>
    </cfRule>
  </conditionalFormatting>
  <conditionalFormatting sqref="E107:E109">
    <cfRule type="cellIs" dxfId="202" priority="46" operator="greaterThan">
      <formula>$E$2</formula>
    </cfRule>
  </conditionalFormatting>
  <conditionalFormatting sqref="E111:E114">
    <cfRule type="cellIs" dxfId="201" priority="45" operator="greaterThan">
      <formula>$E$2</formula>
    </cfRule>
  </conditionalFormatting>
  <conditionalFormatting sqref="E114 E124">
    <cfRule type="expression" dxfId="200" priority="62">
      <formula>$N$73="No"</formula>
    </cfRule>
  </conditionalFormatting>
  <conditionalFormatting sqref="E117:E119">
    <cfRule type="cellIs" dxfId="199" priority="21" operator="greaterThan">
      <formula>$E$2</formula>
    </cfRule>
  </conditionalFormatting>
  <conditionalFormatting sqref="E121:E123">
    <cfRule type="cellIs" dxfId="198" priority="20" operator="greaterThan">
      <formula>$E$2</formula>
    </cfRule>
  </conditionalFormatting>
  <conditionalFormatting sqref="E154:E191">
    <cfRule type="cellIs" dxfId="197" priority="271" operator="greaterThan">
      <formula>$E$2</formula>
    </cfRule>
  </conditionalFormatting>
  <conditionalFormatting sqref="E188:E191">
    <cfRule type="cellIs" dxfId="196" priority="278" operator="greaterThan">
      <formula>"TL"</formula>
    </cfRule>
  </conditionalFormatting>
  <conditionalFormatting sqref="F79">
    <cfRule type="expression" dxfId="195" priority="60">
      <formula>$N$73="No"</formula>
    </cfRule>
  </conditionalFormatting>
  <conditionalFormatting sqref="F81">
    <cfRule type="expression" dxfId="194" priority="59">
      <formula>$N$73="No"</formula>
    </cfRule>
  </conditionalFormatting>
  <conditionalFormatting sqref="F83">
    <cfRule type="expression" dxfId="193" priority="58">
      <formula>$N$73="No"</formula>
    </cfRule>
  </conditionalFormatting>
  <conditionalFormatting sqref="F89">
    <cfRule type="expression" dxfId="192" priority="7">
      <formula>$N$73="No"</formula>
    </cfRule>
  </conditionalFormatting>
  <conditionalFormatting sqref="F91">
    <cfRule type="expression" dxfId="191" priority="6">
      <formula>$N$73="No"</formula>
    </cfRule>
  </conditionalFormatting>
  <conditionalFormatting sqref="F93">
    <cfRule type="expression" dxfId="190" priority="5">
      <formula>$N$73="No"</formula>
    </cfRule>
  </conditionalFormatting>
  <conditionalFormatting sqref="F97">
    <cfRule type="expression" dxfId="189" priority="57">
      <formula>$N$73="No"</formula>
    </cfRule>
  </conditionalFormatting>
  <conditionalFormatting sqref="F99">
    <cfRule type="expression" dxfId="188" priority="56">
      <formula>$N$73="No"</formula>
    </cfRule>
  </conditionalFormatting>
  <conditionalFormatting sqref="F101">
    <cfRule type="expression" dxfId="187" priority="55">
      <formula>$N$73="No"</formula>
    </cfRule>
  </conditionalFormatting>
  <conditionalFormatting sqref="F103">
    <cfRule type="expression" dxfId="186" priority="54">
      <formula>$N$73="No"</formula>
    </cfRule>
  </conditionalFormatting>
  <conditionalFormatting sqref="F107">
    <cfRule type="expression" dxfId="185" priority="53">
      <formula>$N$73="No"</formula>
    </cfRule>
  </conditionalFormatting>
  <conditionalFormatting sqref="F109">
    <cfRule type="expression" dxfId="184" priority="52">
      <formula>$N$73="No"</formula>
    </cfRule>
  </conditionalFormatting>
  <conditionalFormatting sqref="F111">
    <cfRule type="expression" dxfId="183" priority="51">
      <formula>$N$73="No"</formula>
    </cfRule>
  </conditionalFormatting>
  <conditionalFormatting sqref="F113">
    <cfRule type="expression" dxfId="182" priority="50">
      <formula>$N$73="No"</formula>
    </cfRule>
  </conditionalFormatting>
  <conditionalFormatting sqref="F117">
    <cfRule type="expression" dxfId="181" priority="25">
      <formula>$N$73="No"</formula>
    </cfRule>
  </conditionalFormatting>
  <conditionalFormatting sqref="F119">
    <cfRule type="expression" dxfId="180" priority="24">
      <formula>$N$73="No"</formula>
    </cfRule>
  </conditionalFormatting>
  <conditionalFormatting sqref="F121">
    <cfRule type="expression" dxfId="179" priority="23">
      <formula>$N$73="No"</formula>
    </cfRule>
  </conditionalFormatting>
  <conditionalFormatting sqref="F123">
    <cfRule type="expression" dxfId="178" priority="22">
      <formula>$N$73="No"</formula>
    </cfRule>
  </conditionalFormatting>
  <conditionalFormatting sqref="H6">
    <cfRule type="expression" dxfId="177" priority="285">
      <formula>$H$6&lt;0</formula>
    </cfRule>
  </conditionalFormatting>
  <conditionalFormatting sqref="K6">
    <cfRule type="expression" dxfId="176" priority="284">
      <formula>$K$6&lt;0</formula>
    </cfRule>
  </conditionalFormatting>
  <conditionalFormatting sqref="M76:O124">
    <cfRule type="expression" dxfId="175" priority="70">
      <formula>$N$73="No"</formula>
    </cfRule>
  </conditionalFormatting>
  <conditionalFormatting sqref="M125:O125">
    <cfRule type="expression" dxfId="174" priority="207">
      <formula>$N$75="No"</formula>
    </cfRule>
  </conditionalFormatting>
  <conditionalFormatting sqref="T153:T154 T161">
    <cfRule type="expression" dxfId="173" priority="2951">
      <formula>$C135&gt;0</formula>
    </cfRule>
  </conditionalFormatting>
  <conditionalFormatting sqref="T155">
    <cfRule type="expression" dxfId="172" priority="2953">
      <formula>$C136&gt;0</formula>
    </cfRule>
  </conditionalFormatting>
  <conditionalFormatting sqref="T157">
    <cfRule type="expression" dxfId="171" priority="2955">
      <formula>$C141&gt;0</formula>
    </cfRule>
  </conditionalFormatting>
  <conditionalFormatting sqref="T159">
    <cfRule type="expression" dxfId="170" priority="2954">
      <formula>$C142&gt;0</formula>
    </cfRule>
  </conditionalFormatting>
  <dataValidations count="53">
    <dataValidation type="whole" operator="greaterThanOrEqual" allowBlank="1" showInputMessage="1" showErrorMessage="1" prompt="Capacity: 1 person" sqref="C10:C12" xr:uid="{F4FEDCC2-1439-4727-A4FC-9C8E713D346A}">
      <formula1>0</formula1>
    </dataValidation>
    <dataValidation type="whole" operator="greaterThanOrEqual" allowBlank="1" showInputMessage="1" showErrorMessage="1" prompt="Capacity: 2 people" sqref="C13:C14" xr:uid="{61410E28-B951-4034-ACED-02FDF551B1F8}">
      <formula1>0</formula1>
    </dataValidation>
    <dataValidation type="whole" operator="greaterThanOrEqual" allowBlank="1" showInputMessage="1" showErrorMessage="1" sqref="C22 C26 C156:C159 C162 C166:D170 D188:D191 C47:C57 C133:C134 C136:C137 C141:C150 C139 C127:C128 C129:D131 C18:C19 D107:D114 C105:D105 D71 C72 C67 C104 C70 C59:C65 C115:D115 C84 D117:D124 C94:D95 D87:D93 D77:D84 D97:D104 C33:C34 C40:C41 C36:C39" xr:uid="{E96C749C-FB07-46D6-90A1-D82ABE43B813}">
      <formula1>0</formula1>
    </dataValidation>
    <dataValidation type="whole" operator="greaterThanOrEqual" allowBlank="1" showInputMessage="1" showErrorMessage="1" prompt="Size of each Biosphere area." sqref="D21" xr:uid="{76493EFD-1FE2-4CAF-B03F-73439EA72A46}">
      <formula1>0</formula1>
    </dataValidation>
    <dataValidation type="whole" operator="greaterThanOrEqual" allowBlank="1" showInputMessage="1" showErrorMessage="1" prompt="Input the maximum size of ship that the Construction Deck is capable of building" sqref="D23" xr:uid="{EE2FE8DB-0681-41E2-89B1-ED80312AAFF7}">
      <formula1>0</formula1>
    </dataValidation>
    <dataValidation type="whole" operator="greaterThanOrEqual" allowBlank="1" showInputMessage="1" showErrorMessage="1" prompt="Quantity is the number of people the Gaming Space(s) can accomodate." sqref="C24" xr:uid="{8872A438-9A49-4F58-84AE-D8696988CBFE}">
      <formula1>0</formula1>
    </dataValidation>
    <dataValidation type="whole" operator="greaterThanOrEqual" allowBlank="1" showInputMessage="1" showErrorMessage="1" prompt="Each 4 ton lab section allows one scientist to conduct research" sqref="C25" xr:uid="{B9D7FB7D-6E7B-4671-AE93-C327D8EA404F}">
      <formula1>0</formula1>
    </dataValidation>
    <dataValidation type="whole" operator="greaterThanOrEqual" allowBlank="1" showInputMessage="1" showErrorMessage="1" prompt="Each unit of Medical Bay treats five patients and requires one medic or autodoc." sqref="C29" xr:uid="{DA2BB0DC-C655-4B3F-8617-811707F7C71A}">
      <formula1>0</formula1>
    </dataValidation>
    <dataValidation type="whole" operator="greaterThanOrEqual" allowBlank="1" showInputMessage="1" showErrorMessage="1" prompt="Each Studio provides work/office space for one Professional or Artist to conduct their business or craft on board ship." sqref="C30" xr:uid="{6C2AE645-988C-4BCB-97AC-3860A0D4721F}">
      <formula1>0</formula1>
    </dataValidation>
    <dataValidation type="whole" operator="greaterThanOrEqual" allowBlank="1" showInputMessage="1" showErrorMessage="1" prompt="Number of separate Biospheres" sqref="C21" xr:uid="{22B97F5C-307E-456F-AECE-B4A310324D3F}">
      <formula1>0</formula1>
    </dataValidation>
    <dataValidation type="whole" operator="greaterThanOrEqual" allowBlank="1" showInputMessage="1" showErrorMessage="1" prompt="Number of Separate Construction Decks" sqref="C23" xr:uid="{0882BBFE-DD1F-4306-98E3-DB1B01949BDA}">
      <formula1>0</formula1>
    </dataValidation>
    <dataValidation type="whole" operator="greaterThanOrEqual" allowBlank="1" showInputMessage="1" showErrorMessage="1" prompt="Quantity is the number of people desired to train together, simultaneously." sqref="C31" xr:uid="{4C8136B8-E9F2-4812-A5DD-8B1615D6084A}">
      <formula1>0</formula1>
    </dataValidation>
    <dataValidation type="whole" operator="greaterThanOrEqual" allowBlank="1" showInputMessage="1" showErrorMessage="1" prompt="A vault gains 1 point of armour per ton, up to 10. It may contain any internal systems." sqref="C32" xr:uid="{012FD6DC-CF22-41FE-B3E7-4EB7C13D4BF8}">
      <formula1>0</formula1>
    </dataValidation>
    <dataValidation type="decimal" operator="greaterThanOrEqual" allowBlank="1" showInputMessage="1" showErrorMessage="1" sqref="C173:C174 C188:C191 C81:C83 C101:C103 F63:F65 C91:C93 C111:C114 C121:C124" xr:uid="{CB946AC6-3334-4B7F-9C6B-A44614E9C20E}">
      <formula1>0</formula1>
    </dataValidation>
    <dataValidation type="list" allowBlank="1" showInputMessage="1" showErrorMessage="1" sqref="B147:B149" xr:uid="{BAA08CEC-2009-492A-9EAA-85CE3BEEFD65}">
      <formula1>"None,Basic,Standard,Advanced"</formula1>
    </dataValidation>
    <dataValidation type="whole" operator="greaterThanOrEqual" allowBlank="1" showInputMessage="1" showErrorMessage="1" prompt="Size of each Scientific Operations Suite._x000a_Minimum size: 48 tons._x000a_Add one Scientist for eac additional 3 tons." sqref="D150" xr:uid="{E2AD2AFE-81D4-41B6-B343-5CB0405AF219}">
      <formula1>0</formula1>
    </dataValidation>
    <dataValidation type="whole" operator="greaterThanOrEqual" allowBlank="1" showInputMessage="1" showErrorMessage="1" prompt="Requires five levels of Science Skill from any combination of people up to a maximum of four._x000a_Must add this crew manually on 10-Crew Tab." sqref="C135" xr:uid="{6936804E-AB25-4B92-A4FE-C5776ED05BC9}">
      <formula1>0</formula1>
    </dataValidation>
    <dataValidation type="list" allowBlank="1" showInputMessage="1" showErrorMessage="1" sqref="C77:C79 C107:C109 C117:C119 C87:C89" xr:uid="{FB213BFD-066B-4E7D-B918-BE5690EBF66B}">
      <formula1>"0,1,2,5,10,20,50,100"</formula1>
    </dataValidation>
    <dataValidation type="list" allowBlank="1" showInputMessage="1" showErrorMessage="1" sqref="B104 B84 B94" xr:uid="{89A3122E-5D50-4C30-A089-37BA9A356DAB}">
      <formula1>"None,Basic,Improved,Enhanced,Advanced,Superior"</formula1>
    </dataValidation>
    <dataValidation type="list" allowBlank="1" showInputMessage="1" showErrorMessage="1" sqref="C97:C99" xr:uid="{E3F53B4B-B562-4F5E-BA29-29A55F900C35}">
      <formula1>"0,37.5,75,150"</formula1>
    </dataValidation>
    <dataValidation type="list" allowBlank="1" showInputMessage="1" showErrorMessage="1" sqref="B124" xr:uid="{76A4F488-1004-4F6F-9556-7358EA7EC542}">
      <formula1>"None Installed,Advanced,Superior"</formula1>
    </dataValidation>
    <dataValidation type="whole" allowBlank="1" showInputMessage="1" showErrorMessage="1" prompt="Maximum of one scoop" sqref="C132" xr:uid="{BCBEE487-CE54-4388-B99A-108EA7FB81B3}">
      <formula1>0</formula1>
      <formula2>1</formula2>
    </dataValidation>
    <dataValidation type="whole" operator="greaterThanOrEqual" allowBlank="1" showInputMessage="1" showErrorMessage="1" prompt="Additional Tonnage PER BAY_x000a_Increases Access and Support_x000a_Vehicle Bays need multiples of 2 tons" sqref="D144:D146" xr:uid="{6479ACE4-DCC7-485B-87F0-9C2A4694756D}">
      <formula1>0</formula1>
    </dataValidation>
    <dataValidation type="whole" operator="greaterThanOrEqual" allowBlank="1" showInputMessage="1" showErrorMessage="1" prompt="Additional Tonnage PER BAY_x000a_Increases Access and Support_x000a_" sqref="D142:D143" xr:uid="{0E9FE2B6-319A-4D18-8AD2-3C92F277D43F}">
      <formula1>0</formula1>
    </dataValidation>
    <dataValidation type="list" operator="greaterThanOrEqual" allowBlank="1" showInputMessage="1" showErrorMessage="1" prompt="Heat management system. Additional capacity provides more heat removal." sqref="C71" xr:uid="{82DDD7FD-B1BB-4E5E-B798-9B58D6382A63}">
      <formula1>$S$3:$S$4</formula1>
    </dataValidation>
    <dataValidation allowBlank="1" showInputMessage="1" showErrorMessage="1" prompt="Short description._x000a_Best if only one or two types_x000a_More should instead use Description in Ship Info Tab" sqref="A25 A30:A31" xr:uid="{DC05DC61-DD4A-4C10-A24A-B61CD8059054}"/>
    <dataValidation type="list" allowBlank="1" showInputMessage="1" showErrorMessage="1" sqref="N75" xr:uid="{5C1F9B11-6F5E-4D36-A739-FF577BD6D717}">
      <formula1>"No,Yes"</formula1>
    </dataValidation>
    <dataValidation type="whole" operator="greaterThanOrEqual" allowBlank="1" showInputMessage="1" showErrorMessage="1" prompt="Each unit of Medical Bay treats three patients and requires one medic or autodoc." sqref="C27" xr:uid="{2F7487E7-A95B-421C-BFD6-2B621A5C7280}">
      <formula1>0</formula1>
    </dataValidation>
    <dataValidation type="whole" allowBlank="1" showInputMessage="1" showErrorMessage="1" prompt="Enter the number of beds to upgrade._x000a_Limited to the number of medical beds available." sqref="C28" xr:uid="{97116280-B160-448F-A564-B34F4FA25960}">
      <formula1>0</formula1>
      <formula2>C27*3</formula2>
    </dataValidation>
    <dataValidation type="list" allowBlank="1" showInputMessage="1" showErrorMessage="1" sqref="B28" xr:uid="{D814E60B-42EA-463B-80D5-566724876218}">
      <formula1>$S$29:$S$32</formula1>
    </dataValidation>
    <dataValidation type="whole" allowBlank="1" showInputMessage="1" showErrorMessage="1" sqref="C58" xr:uid="{026A705E-E154-403C-8975-29444083FDF3}">
      <formula1>0</formula1>
      <formula2>C48</formula2>
    </dataValidation>
    <dataValidation type="decimal" allowBlank="1" showInputMessage="1" showErrorMessage="1" prompt="Input the size of your vault. (4 - 40 Dtons)" sqref="D32" xr:uid="{6F2D6850-24A4-48C9-96C3-986AF29CE46B}">
      <formula1>4</formula1>
      <formula2>40</formula2>
    </dataValidation>
    <dataValidation type="whole" allowBlank="1" showInputMessage="1" showErrorMessage="1" sqref="D139" xr:uid="{29E54CD5-DCB1-4A8D-8EEF-3B4C380A1F9A}">
      <formula1>1</formula1>
      <formula2>6</formula2>
    </dataValidation>
    <dataValidation type="list" operator="greaterThanOrEqual" allowBlank="1" showInputMessage="1" showErrorMessage="1" sqref="C45" xr:uid="{77E92443-A91C-4AA3-977A-DDD35357D645}">
      <formula1>$S$44:$S$47</formula1>
    </dataValidation>
    <dataValidation type="whole" operator="greaterThanOrEqual" allowBlank="1" showInputMessage="1" showErrorMessage="1" prompt="Base Support Facility maintains and repairs Armored Infantry gear. Up to 4 Techs can operate in the facility, but another tech per two tons of empty space/common areas can bebefit from the facility, up to 24 techs per facility." sqref="C20" xr:uid="{82FE21D4-9C6E-49AD-B0FC-DF0D0353746C}">
      <formula1>0</formula1>
    </dataValidation>
    <dataValidation type="list" allowBlank="1" showInputMessage="1" showErrorMessage="1" sqref="B132" xr:uid="{A7B204DB-3EE9-4723-9353-B79EE35CF984}">
      <formula1>$T$150:$T$151</formula1>
    </dataValidation>
    <dataValidation type="list" allowBlank="1" showInputMessage="1" showErrorMessage="1" sqref="A142" xr:uid="{8415CDDE-09C8-47B9-9D83-2DEF1E086EA7}">
      <formula1>$T$153:$T$154</formula1>
    </dataValidation>
    <dataValidation type="list" allowBlank="1" showInputMessage="1" showErrorMessage="1" sqref="A143" xr:uid="{9954DDFA-7A90-4DD7-A7D6-4FF75305B34E}">
      <formula1>$T$155:$T$156</formula1>
    </dataValidation>
    <dataValidation type="list" allowBlank="1" showInputMessage="1" showErrorMessage="1" sqref="A144" xr:uid="{A59B2D51-6A79-4DD7-AFCE-279FCE65AF54}">
      <formula1>$T$157:$T$158</formula1>
    </dataValidation>
    <dataValidation type="list" allowBlank="1" showInputMessage="1" showErrorMessage="1" sqref="A145" xr:uid="{F35ACE0F-D335-4E2B-B849-FFF9C78BF9F3}">
      <formula1>$T$159:$T$160</formula1>
    </dataValidation>
    <dataValidation type="list" allowBlank="1" showInputMessage="1" showErrorMessage="1" sqref="A146" xr:uid="{E5B63FA3-D6AE-4C3F-8FEF-2E4E31DA5E87}">
      <formula1>$T$161:$T$162</formula1>
    </dataValidation>
    <dataValidation type="list" allowBlank="1" showInputMessage="1" showErrorMessage="1" sqref="B114" xr:uid="{199967F3-E624-4F05-A83D-7BF10BECBFB6}">
      <formula1>#REF!</formula1>
    </dataValidation>
    <dataValidation type="list" allowBlank="1" showInputMessage="1" showErrorMessage="1" sqref="B121:B123 B107:B109 B111:B113 B117:B119" xr:uid="{191BC949-6A80-484D-88F4-513281A36596}">
      <formula1>$S$96:$S$102</formula1>
    </dataValidation>
    <dataValidation type="list" allowBlank="1" showInputMessage="1" showErrorMessage="1" sqref="B101:B103 B97:B99" xr:uid="{F93AF2F6-7FC5-4132-A4DC-F718CEEE6368}">
      <formula1>$S$92:$S$95</formula1>
    </dataValidation>
    <dataValidation type="list" allowBlank="1" showInputMessage="1" showErrorMessage="1" sqref="B91:B93 A49:A57 B81:B83 B77:B79 B87:B89" xr:uid="{47DEA234-D135-4D22-AACC-DFF7FB4A1DD0}">
      <formula1>$S$76:$S$91</formula1>
    </dataValidation>
    <dataValidation type="list" allowBlank="1" showInputMessage="1" showErrorMessage="1" sqref="A62" xr:uid="{EC98C754-F4E3-4B6C-82AB-D6DD3C8B11ED}">
      <formula1>$W$104:$W$108</formula1>
    </dataValidation>
    <dataValidation type="list" allowBlank="1" showInputMessage="1" showErrorMessage="1" sqref="A61" xr:uid="{C74BD4DB-3864-49EE-A0A3-8472798CF7A8}">
      <formula1>$S$103:$S$108</formula1>
    </dataValidation>
    <dataValidation type="list" allowBlank="1" showInputMessage="1" showErrorMessage="1" sqref="B72" xr:uid="{2D7386A3-067F-4814-84B6-376DB9BA2190}">
      <formula1>$S$112:$S$113</formula1>
    </dataValidation>
    <dataValidation type="list" allowBlank="1" showInputMessage="1" showErrorMessage="1" sqref="B71" xr:uid="{9BF70F55-85E5-45DC-BE35-8B5B4E59A052}">
      <formula1>$S$110:$S$102110</formula1>
    </dataValidation>
    <dataValidation type="list" allowBlank="1" showInputMessage="1" showErrorMessage="1" sqref="A58" xr:uid="{0C3B6F86-8263-4907-9B41-B7173DFECF76}">
      <formula1>$V$69:$V$71</formula1>
    </dataValidation>
    <dataValidation type="list" operator="greaterThanOrEqual" allowBlank="1" showInputMessage="1" showErrorMessage="1" sqref="C42" xr:uid="{E9114FA7-E7C6-4D35-872A-5AC9E4ECA4B3}">
      <formula1>$S$3:$S$4</formula1>
    </dataValidation>
    <dataValidation type="whole" operator="greaterThanOrEqual" allowBlank="1" showInputMessage="1" showErrorMessage="1" prompt="Enter the number of attendees the space is designed for" sqref="D36:D39" xr:uid="{439B15AB-689A-4E8B-8E20-6188586F5A35}">
      <formula1>1</formula1>
    </dataValidation>
    <dataValidation operator="greaterThanOrEqual" allowBlank="1" showInputMessage="1" showErrorMessage="1" sqref="C35" xr:uid="{3BA37A25-890D-4DA8-9F4D-F8843AE297A8}"/>
  </dataValidations>
  <pageMargins left="0.7" right="0.7" top="0.75" bottom="0.75" header="0.3" footer="0.3"/>
  <pageSetup orientation="portrait" r:id="rId1"/>
  <ignoredErrors>
    <ignoredError sqref="E13" formula="1"/>
  </ignoredErrors>
  <extLst>
    <ext xmlns:x14="http://schemas.microsoft.com/office/spreadsheetml/2009/9/main" uri="{78C0D931-6437-407d-A8EE-F0AAD7539E65}">
      <x14:conditionalFormattings>
        <x14:conditionalFormatting xmlns:xm="http://schemas.microsoft.com/office/excel/2006/main">
          <x14:cfRule type="expression" priority="279" id="{04EE2B78-10A0-4F27-A348-4682838113F5}">
            <xm:f>'Ship Info'!$F$6</xm:f>
            <x14:dxf>
              <fill>
                <patternFill>
                  <bgColor theme="7" tint="0.79998168889431442"/>
                </patternFill>
              </fill>
            </x14:dxf>
          </x14:cfRule>
          <xm:sqref>A157 A162 A165 A173 A180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439E-99D5-4F8B-9500-D52C6DC41129}">
  <dimension ref="A1:AA62"/>
  <sheetViews>
    <sheetView workbookViewId="0">
      <selection activeCell="B40" sqref="B40:R47"/>
    </sheetView>
  </sheetViews>
  <sheetFormatPr defaultRowHeight="14.4" x14ac:dyDescent="0.3"/>
  <cols>
    <col min="1" max="1" width="24.109375" customWidth="1"/>
    <col min="2" max="2" width="32.109375" customWidth="1"/>
    <col min="3" max="4" width="13.44140625" customWidth="1"/>
    <col min="5" max="6" width="8.109375" customWidth="1"/>
    <col min="7" max="7" width="18.44140625" customWidth="1"/>
    <col min="9" max="9" width="11.44140625" customWidth="1"/>
    <col min="10" max="13" width="10.88671875" customWidth="1"/>
    <col min="15" max="16" width="11.44140625" customWidth="1"/>
    <col min="18" max="18" width="10.6640625" customWidth="1"/>
    <col min="21" max="24" width="9.109375" hidden="1" customWidth="1"/>
    <col min="25" max="26" width="9.109375" customWidth="1"/>
    <col min="27" max="27" width="18.33203125" customWidth="1"/>
  </cols>
  <sheetData>
    <row r="1" spans="1:24" x14ac:dyDescent="0.3">
      <c r="A1" s="3" t="str">
        <f>'Ship Info'!A1</f>
        <v>Ship's Class Name</v>
      </c>
      <c r="B1">
        <f>'Ship Info'!B1</f>
        <v>0</v>
      </c>
      <c r="G1" s="1" t="s">
        <v>1</v>
      </c>
      <c r="V1" t="s">
        <v>1270</v>
      </c>
    </row>
    <row r="2" spans="1:24" x14ac:dyDescent="0.3">
      <c r="A2" s="3" t="s">
        <v>418</v>
      </c>
      <c r="B2">
        <f>'Ship Info'!B2</f>
        <v>0</v>
      </c>
      <c r="D2" s="3" t="s">
        <v>0</v>
      </c>
      <c r="E2" s="2">
        <f>'Ship Info'!F2</f>
        <v>12</v>
      </c>
      <c r="F2" s="2"/>
      <c r="G2" s="10">
        <f>'Ship Info'!G2</f>
        <v>6177000</v>
      </c>
      <c r="V2" s="77" t="b">
        <f>IF(B7=V5,TRUE,FALSE)</f>
        <v>1</v>
      </c>
    </row>
    <row r="3" spans="1:24" x14ac:dyDescent="0.3">
      <c r="B3" s="305" t="str">
        <f>'Ship Info'!G22&amp;": Crew x "&amp;'Ship Info'!H31</f>
        <v>Standard Automation: Crew x 1</v>
      </c>
      <c r="G3" s="10"/>
    </row>
    <row r="4" spans="1:24" ht="15" thickBot="1" x14ac:dyDescent="0.35">
      <c r="B4" s="3" t="s">
        <v>1124</v>
      </c>
      <c r="E4" s="1" t="s">
        <v>508</v>
      </c>
      <c r="F4" s="1"/>
      <c r="G4" s="1"/>
      <c r="I4" s="760" t="s">
        <v>45</v>
      </c>
      <c r="J4" s="760"/>
      <c r="K4" s="6"/>
      <c r="L4" s="6"/>
      <c r="M4" s="6"/>
      <c r="O4" s="760" t="s">
        <v>46</v>
      </c>
      <c r="P4" s="760"/>
      <c r="V4" t="s">
        <v>92</v>
      </c>
    </row>
    <row r="5" spans="1:24" ht="15" thickBot="1" x14ac:dyDescent="0.35">
      <c r="B5" s="196" t="s">
        <v>493</v>
      </c>
      <c r="E5" s="266">
        <f>SUM(F10:F19,F21:F28)</f>
        <v>5</v>
      </c>
      <c r="F5" s="2"/>
      <c r="I5" s="1" t="s">
        <v>390</v>
      </c>
      <c r="J5" s="1" t="s">
        <v>27</v>
      </c>
      <c r="K5" s="1"/>
      <c r="L5" s="1"/>
      <c r="M5" s="1"/>
      <c r="O5" s="1" t="s">
        <v>390</v>
      </c>
      <c r="P5" s="1" t="s">
        <v>27</v>
      </c>
      <c r="V5" t="s">
        <v>93</v>
      </c>
    </row>
    <row r="6" spans="1:24" ht="15" thickBot="1" x14ac:dyDescent="0.35">
      <c r="E6" s="1" t="s">
        <v>509</v>
      </c>
      <c r="F6" s="1"/>
      <c r="H6" s="2"/>
      <c r="I6" s="10">
        <f>'Ship Info'!I3</f>
        <v>92.53</v>
      </c>
      <c r="J6" s="266">
        <f>'Ship Info'!J3</f>
        <v>100</v>
      </c>
      <c r="K6" s="266"/>
      <c r="L6" s="266"/>
      <c r="M6" s="266"/>
      <c r="N6" s="2"/>
      <c r="O6" s="266">
        <f>'Ship Info'!L3</f>
        <v>0</v>
      </c>
      <c r="P6" s="266">
        <f>'Ship Info'!M3</f>
        <v>20</v>
      </c>
    </row>
    <row r="7" spans="1:24" ht="15" thickBot="1" x14ac:dyDescent="0.35">
      <c r="A7" s="7" t="s">
        <v>1311</v>
      </c>
      <c r="B7" s="196" t="s">
        <v>93</v>
      </c>
      <c r="E7" s="266">
        <f>F20</f>
        <v>0</v>
      </c>
      <c r="F7" s="2"/>
      <c r="K7" s="1" t="s">
        <v>1795</v>
      </c>
      <c r="V7" t="s">
        <v>1529</v>
      </c>
      <c r="X7">
        <f>IF(B5="Military",ROUNDUP(W33*'Ship Info'!H31*SUM('8a-Weapons'!AH15,'8a-Weapons'!D37,'8b-Screens'!E9:E39,'8b-Screens'!E9:E39,'8a-Weapons'!V75),0),ROUNDUP(W33*'Ship Info'!H31*SUM('8a-Weapons'!AG15,'8a-Weapons'!D37,'8b-Screens'!E9:E39,'8a-Weapons'!V75),0))</f>
        <v>0</v>
      </c>
    </row>
    <row r="8" spans="1:24" ht="15" customHeight="1" x14ac:dyDescent="0.3">
      <c r="C8" s="738" t="s">
        <v>1450</v>
      </c>
      <c r="D8" s="738"/>
      <c r="K8" s="1" t="s">
        <v>1793</v>
      </c>
      <c r="N8" s="1" t="s">
        <v>1401</v>
      </c>
      <c r="P8" s="872" t="s">
        <v>1585</v>
      </c>
      <c r="Q8" s="873"/>
      <c r="R8" s="874"/>
      <c r="W8">
        <f>'6-Comp'!Y19</f>
        <v>0</v>
      </c>
      <c r="X8" s="106">
        <f>IF(X7&lt;W8,X7,W8)*-1</f>
        <v>0</v>
      </c>
    </row>
    <row r="9" spans="1:24" ht="15" thickBot="1" x14ac:dyDescent="0.35">
      <c r="B9" s="1" t="s">
        <v>495</v>
      </c>
      <c r="C9" s="1" t="s">
        <v>493</v>
      </c>
      <c r="D9" s="1" t="s">
        <v>494</v>
      </c>
      <c r="E9" s="1" t="s">
        <v>1123</v>
      </c>
      <c r="F9" s="24" t="s">
        <v>1125</v>
      </c>
      <c r="G9" s="1" t="s">
        <v>506</v>
      </c>
      <c r="K9" s="1" t="s">
        <v>1794</v>
      </c>
      <c r="N9" s="1" t="s">
        <v>1451</v>
      </c>
      <c r="P9" s="875"/>
      <c r="Q9" s="876"/>
      <c r="R9" s="877"/>
      <c r="V9" s="1" t="s">
        <v>493</v>
      </c>
      <c r="W9" s="1" t="s">
        <v>1123</v>
      </c>
      <c r="X9" s="1" t="s">
        <v>494</v>
      </c>
    </row>
    <row r="10" spans="1:24" ht="15" thickBot="1" x14ac:dyDescent="0.35">
      <c r="A10" s="22" t="s">
        <v>542</v>
      </c>
      <c r="B10" s="27"/>
      <c r="C10" s="318">
        <v>0</v>
      </c>
      <c r="D10" s="318">
        <f>IF(OR('Ship Info'!F7,'Ship Info'!F4,'1-Hull'!B4&lt;100),0,1)</f>
        <v>1</v>
      </c>
      <c r="E10" s="332">
        <v>0</v>
      </c>
      <c r="F10" s="343">
        <f>HLOOKUP(B5,V9:X28,2)</f>
        <v>0</v>
      </c>
      <c r="G10" s="23">
        <f>F10*10000+IF(N10=0,0,(N10-1)*F10*10000/2)</f>
        <v>0</v>
      </c>
      <c r="H10" s="22"/>
      <c r="I10" s="22"/>
      <c r="J10" s="22"/>
      <c r="K10" s="22"/>
      <c r="L10" s="22"/>
      <c r="M10" s="22"/>
      <c r="N10" s="204">
        <v>1</v>
      </c>
      <c r="P10" s="78"/>
      <c r="R10" s="877" t="s">
        <v>1587</v>
      </c>
      <c r="V10">
        <f t="shared" ref="V10:V26" si="0">C10</f>
        <v>0</v>
      </c>
      <c r="W10">
        <f t="shared" ref="W10:W26" si="1">E10</f>
        <v>0</v>
      </c>
      <c r="X10">
        <f t="shared" ref="X10:X26" si="2">D10</f>
        <v>1</v>
      </c>
    </row>
    <row r="11" spans="1:24" ht="15" thickBot="1" x14ac:dyDescent="0.35">
      <c r="A11" t="s">
        <v>543</v>
      </c>
      <c r="B11" s="2" t="s">
        <v>488</v>
      </c>
      <c r="C11" s="266">
        <f>IF(OR('Ship Info'!F7,'Ship Info'!F4),0,1)+H11</f>
        <v>1</v>
      </c>
      <c r="D11" s="266">
        <f>IF(OR('Ship Info'!F7,'Ship Info'!F4),0,IF('1-Hull'!B4&lt;100,1,3))+H11</f>
        <v>3</v>
      </c>
      <c r="E11" s="232">
        <v>0</v>
      </c>
      <c r="F11" s="344">
        <f>HLOOKUP(B5,V9:X26,3)+K11</f>
        <v>1</v>
      </c>
      <c r="G11" s="4">
        <f>F11*6000+IF(N11=0,0,(N11-1)*F11*6000/2)</f>
        <v>6000</v>
      </c>
      <c r="H11" s="285">
        <v>0</v>
      </c>
      <c r="I11" t="s">
        <v>1404</v>
      </c>
      <c r="K11" s="232">
        <v>0</v>
      </c>
      <c r="L11" t="s">
        <v>1783</v>
      </c>
      <c r="N11" s="196">
        <v>1</v>
      </c>
      <c r="P11" s="450" t="s">
        <v>1586</v>
      </c>
      <c r="R11" s="878"/>
      <c r="V11">
        <f t="shared" si="0"/>
        <v>1</v>
      </c>
      <c r="W11">
        <f t="shared" si="1"/>
        <v>0</v>
      </c>
      <c r="X11">
        <f t="shared" si="2"/>
        <v>3</v>
      </c>
    </row>
    <row r="12" spans="1:24" ht="15" thickBot="1" x14ac:dyDescent="0.35">
      <c r="A12" s="22" t="s">
        <v>544</v>
      </c>
      <c r="B12" s="27" t="s">
        <v>496</v>
      </c>
      <c r="C12" s="318">
        <f>IF('2-Drives'!H29&gt;0,1,0)</f>
        <v>0</v>
      </c>
      <c r="D12" s="318">
        <f>IF('2-Drives'!H29&gt;0,1,0)</f>
        <v>0</v>
      </c>
      <c r="E12" s="332">
        <v>0</v>
      </c>
      <c r="F12" s="343">
        <f>HLOOKUP(B5,V9:X26,4)+K12</f>
        <v>0</v>
      </c>
      <c r="G12" s="23">
        <f>F12*5000+IF(N12=0,0,(N12-1)*F12*5000/2)</f>
        <v>0</v>
      </c>
      <c r="H12" s="22"/>
      <c r="I12" s="22"/>
      <c r="J12" s="22"/>
      <c r="K12" s="332">
        <v>0</v>
      </c>
      <c r="L12" s="22" t="s">
        <v>1785</v>
      </c>
      <c r="M12" s="22"/>
      <c r="N12" s="204">
        <v>1</v>
      </c>
      <c r="O12" s="22"/>
      <c r="P12" s="80"/>
      <c r="Q12" s="22"/>
      <c r="R12" s="136"/>
      <c r="V12">
        <f t="shared" si="0"/>
        <v>0</v>
      </c>
      <c r="W12">
        <f t="shared" si="1"/>
        <v>0</v>
      </c>
      <c r="X12">
        <f t="shared" si="2"/>
        <v>0</v>
      </c>
    </row>
    <row r="13" spans="1:24" ht="15" thickBot="1" x14ac:dyDescent="0.35">
      <c r="A13" t="s">
        <v>545</v>
      </c>
      <c r="B13" s="2" t="s">
        <v>489</v>
      </c>
      <c r="C13" s="266">
        <f>IF('1-Hull'!B4&lt;100,0,ROUNDUP(R13*'Ship Info'!H31*SUM(H13,'3-Pwr Plant'!H11,'3-Pwr Plant'!H12,'2-Drives'!H14,'2-Drives'!H19,'2-Drives'!H29,'2-Drives'!H32,'2-Drives'!H37,'2-Drives'!H44)/35,0))</f>
        <v>1</v>
      </c>
      <c r="D13" s="266">
        <f>IF('1-Hull'!B4&lt;100,0,ROUNDUP(R13*'Ship Info'!H31*SUM(H13,'3-Pwr Plant'!H11,'3-Pwr Plant'!H12,'2-Drives'!H14,'2-Drives'!H19,'2-Drives'!H29,'2-Drives'!H32,'2-Drives'!H37,'2-Drives'!H44)/35,0))</f>
        <v>1</v>
      </c>
      <c r="E13" s="232">
        <v>0</v>
      </c>
      <c r="F13" s="344">
        <f>HLOOKUP(B5,V9:X26,5)+K13</f>
        <v>1</v>
      </c>
      <c r="G13" s="4">
        <f>F13*4000+IF(N13=0,0,(N13-1)*F13*4000/2)</f>
        <v>4000</v>
      </c>
      <c r="H13" s="285">
        <v>0</v>
      </c>
      <c r="I13" t="s">
        <v>1405</v>
      </c>
      <c r="K13" s="232">
        <v>0</v>
      </c>
      <c r="L13" t="s">
        <v>1784</v>
      </c>
      <c r="N13" s="196">
        <v>1</v>
      </c>
      <c r="P13" s="196" t="s">
        <v>92</v>
      </c>
      <c r="Q13" s="451"/>
      <c r="R13" s="88">
        <f>IF(P13=$V$5,1,$W$33)</f>
        <v>1</v>
      </c>
      <c r="V13">
        <f t="shared" si="0"/>
        <v>1</v>
      </c>
      <c r="W13">
        <f t="shared" si="1"/>
        <v>0</v>
      </c>
      <c r="X13">
        <f t="shared" si="2"/>
        <v>1</v>
      </c>
    </row>
    <row r="14" spans="1:24" ht="15" thickBot="1" x14ac:dyDescent="0.35">
      <c r="A14" s="22" t="s">
        <v>546</v>
      </c>
      <c r="B14" s="27" t="s">
        <v>497</v>
      </c>
      <c r="C14" s="318">
        <f>IF('1-Hull'!B4&lt;100,0,ROUNDUP(R14*'Ship Info'!H31*SUM('9a-Optional'!AH39,'9a-Optional'!AH41,J6)/1000,0))</f>
        <v>1</v>
      </c>
      <c r="D14" s="318">
        <f>IF('1-Hull'!B4&lt;100,0,ROUNDUP(R14*'Ship Info'!H31*SUM('9a-Optional'!AH39,'9a-Optional'!AH41,J6)/500,0))</f>
        <v>1</v>
      </c>
      <c r="E14" s="332">
        <v>0</v>
      </c>
      <c r="F14" s="343">
        <f>HLOOKUP(B5,V9:X26,6)+K14</f>
        <v>1</v>
      </c>
      <c r="G14" s="23">
        <f>F14*1000+IF(N14=0,0,(N14-1)*F14*1000/2)</f>
        <v>1000</v>
      </c>
      <c r="H14" s="22"/>
      <c r="I14" s="22"/>
      <c r="J14" s="22"/>
      <c r="K14" s="332">
        <v>0</v>
      </c>
      <c r="L14" s="22" t="s">
        <v>1786</v>
      </c>
      <c r="M14" s="22"/>
      <c r="N14" s="204">
        <v>1</v>
      </c>
      <c r="O14" s="22"/>
      <c r="P14" s="204" t="s">
        <v>92</v>
      </c>
      <c r="Q14" s="22"/>
      <c r="R14" s="452">
        <f>IF(P14=$V$5,1,$W$33)</f>
        <v>1</v>
      </c>
      <c r="V14">
        <f t="shared" si="0"/>
        <v>1</v>
      </c>
      <c r="W14">
        <f t="shared" si="1"/>
        <v>0</v>
      </c>
      <c r="X14">
        <f t="shared" si="2"/>
        <v>1</v>
      </c>
    </row>
    <row r="15" spans="1:24" ht="15" thickBot="1" x14ac:dyDescent="0.35">
      <c r="A15" t="s">
        <v>547</v>
      </c>
      <c r="B15" s="2" t="s">
        <v>490</v>
      </c>
      <c r="C15" s="266">
        <f>IF('1-Hull'!B4&lt;100,0,ROUNDUP(SUM('9b-Optional'!C156:C159,C10:C14,C16:C28,'11-Staterooms'!C9,'11-Staterooms'!D18,'11-Staterooms'!D42)/120,0))</f>
        <v>1</v>
      </c>
      <c r="D15" s="266">
        <f>IF('1-Hull'!B4&lt;100,0,ROUNDUP(SUM('9b-Optional'!C156:C159,D10:D14,D16:D28,'11-Staterooms'!C9,'11-Staterooms'!D18,'11-Staterooms'!D42)/120,0))</f>
        <v>1</v>
      </c>
      <c r="E15" s="232">
        <v>0</v>
      </c>
      <c r="F15" s="344">
        <f>HLOOKUP(B5,V9:X26,7)+K15</f>
        <v>1</v>
      </c>
      <c r="G15" s="4">
        <f>F15*4000+IF(N15=0,0,(N15-1)*F15*4000/2)</f>
        <v>4000</v>
      </c>
      <c r="K15" s="232">
        <v>0</v>
      </c>
      <c r="L15" t="s">
        <v>1787</v>
      </c>
      <c r="N15" s="196">
        <v>1</v>
      </c>
      <c r="P15" s="78"/>
      <c r="R15" s="88"/>
      <c r="V15">
        <f t="shared" si="0"/>
        <v>1</v>
      </c>
      <c r="W15">
        <f t="shared" si="1"/>
        <v>0</v>
      </c>
      <c r="X15">
        <f t="shared" si="2"/>
        <v>1</v>
      </c>
    </row>
    <row r="16" spans="1:24" ht="15" thickBot="1" x14ac:dyDescent="0.35">
      <c r="A16" s="22" t="s">
        <v>548</v>
      </c>
      <c r="B16" s="27" t="s">
        <v>491</v>
      </c>
      <c r="C16" s="318">
        <f>MAX(IF(OR(AND('Ship Info'!F7,'Ship Info'!C5&gt;=100),'1-Hull'!B4&gt;99.9999),ROUNDUP(R16*'Ship Info'!H31*SUM('8a-Weapons'!AG15,'8a-Weapons'!D37,'8a-Weapons'!AI122,'8b-Screens'!E9:E39,'8a-Weapons'!V75)+X8,0),IF('1-Hull'!B4&lt;100,0,SUM('8a-Weapons'!AG15,'8a-Weapons'!D37,'8a-Weapons'!AI122,'8b-Screens'!E9:E39)*'Ship Info'!H31)),0)</f>
        <v>0</v>
      </c>
      <c r="D16" s="318">
        <f>MAX(IF('1-Hull'!B4&lt;100,0,ROUNDUP(R16*'Ship Info'!H31*SUM('8a-Weapons'!AH15,'8a-Weapons'!D37,'8a-Weapons'!V75,'8b-Screens'!E9:E39,'8b-Screens'!E9:E39)+X8,0)),0)</f>
        <v>0</v>
      </c>
      <c r="E16" s="332">
        <v>0</v>
      </c>
      <c r="F16" s="343">
        <f>HLOOKUP(B5,V9:X26,8)+K16</f>
        <v>0</v>
      </c>
      <c r="G16" s="23">
        <f>F16*2000+IF(N16=0,0,(N16-1)*F16*2000/2)</f>
        <v>0</v>
      </c>
      <c r="H16" s="22"/>
      <c r="I16" s="22"/>
      <c r="J16" s="22"/>
      <c r="K16" s="332">
        <v>0</v>
      </c>
      <c r="L16" s="22" t="s">
        <v>1788</v>
      </c>
      <c r="M16" s="22"/>
      <c r="N16" s="204">
        <v>1</v>
      </c>
      <c r="O16" s="22"/>
      <c r="P16" s="204" t="s">
        <v>92</v>
      </c>
      <c r="Q16" s="22"/>
      <c r="R16" s="452">
        <f t="shared" ref="R16:R17" si="3">IF(P16=$V$5,1,$W$33)</f>
        <v>1</v>
      </c>
      <c r="V16">
        <f t="shared" si="0"/>
        <v>0</v>
      </c>
      <c r="W16">
        <f t="shared" si="1"/>
        <v>0</v>
      </c>
      <c r="X16">
        <f t="shared" si="2"/>
        <v>0</v>
      </c>
    </row>
    <row r="17" spans="1:24" ht="15" thickBot="1" x14ac:dyDescent="0.35">
      <c r="A17" t="s">
        <v>1264</v>
      </c>
      <c r="B17" s="2" t="s">
        <v>1265</v>
      </c>
      <c r="C17" s="339">
        <f>IF(SUM('7-Sensors'!C8,'7-Sensors'!C11:C12,'7-Sensors'!B16:B31,'9b-Optional'!C139*'9b-Optional'!D139)=0,0,IF(V2,IF(Tonnage&lt;100,0,MAX(ROUNDUP('7-Sensors'!C12+R17*'Ship Info'!H31*ROUNDUP(Tonnage/7500,0),0),'7-Sensors'!C12+1+'5-Bridge'!C13+'5-Bridge'!C17+'9b-Optional'!C139*'9b-Optional'!D139)),0))</f>
        <v>1</v>
      </c>
      <c r="D17" s="345">
        <f>3*C17</f>
        <v>3</v>
      </c>
      <c r="E17" s="342">
        <v>0</v>
      </c>
      <c r="F17" s="344">
        <f>HLOOKUP(B5,V9:X26,9)+K17</f>
        <v>1</v>
      </c>
      <c r="G17" s="245">
        <f>F17*4000+IF(N17=0,0,(N17-1)*F17*4000/2)</f>
        <v>4000</v>
      </c>
      <c r="K17" s="232">
        <v>0</v>
      </c>
      <c r="L17" t="s">
        <v>1789</v>
      </c>
      <c r="N17" s="196">
        <v>1</v>
      </c>
      <c r="O17" s="231" t="s">
        <v>2279</v>
      </c>
      <c r="P17" s="196" t="s">
        <v>92</v>
      </c>
      <c r="R17" s="88">
        <f t="shared" si="3"/>
        <v>1</v>
      </c>
      <c r="V17">
        <f t="shared" si="0"/>
        <v>1</v>
      </c>
      <c r="W17">
        <f t="shared" si="1"/>
        <v>0</v>
      </c>
      <c r="X17">
        <f t="shared" si="2"/>
        <v>3</v>
      </c>
    </row>
    <row r="18" spans="1:24" ht="15" thickBot="1" x14ac:dyDescent="0.35">
      <c r="A18" s="22" t="s">
        <v>549</v>
      </c>
      <c r="B18" s="27" t="s">
        <v>492</v>
      </c>
      <c r="C18" s="318">
        <f>MAX(IF(SUM('11-Staterooms'!C25:C28)&gt;0,1,0),ROUNDUP('Ship Info'!H31*'11-Staterooms'!X63,0))+K18</f>
        <v>0</v>
      </c>
      <c r="D18" s="318">
        <f>MAX(IF(SUM('11-Staterooms'!C25:C28)&gt;0,1,0),ROUNDUP('Ship Info'!H31*'11-Staterooms'!X63,0))+K18</f>
        <v>0</v>
      </c>
      <c r="E18" s="332">
        <v>0</v>
      </c>
      <c r="F18" s="343">
        <f>HLOOKUP(B5,V9:X26,10)</f>
        <v>0</v>
      </c>
      <c r="G18" s="23">
        <f>F18*2000+IF(N18=0,0,(N18-1)*F18*2000/2)</f>
        <v>0</v>
      </c>
      <c r="H18" s="22"/>
      <c r="I18" s="22"/>
      <c r="J18" s="22"/>
      <c r="K18" s="332">
        <v>0</v>
      </c>
      <c r="L18" s="22" t="s">
        <v>1410</v>
      </c>
      <c r="M18" s="22"/>
      <c r="N18" s="204">
        <v>1</v>
      </c>
      <c r="O18" s="605">
        <f>IF(F18=0,0,ROUNDUP((2*SUM('11-Staterooms'!C27:C28,'11-Staterooms'!C49:C50)+F18-SUM('11-Staterooms'!C27:C28,'11-Staterooms'!C49:C50))/F18,2))</f>
        <v>0</v>
      </c>
      <c r="P18" s="80"/>
      <c r="Q18" s="22"/>
      <c r="R18" s="452"/>
      <c r="V18">
        <f t="shared" si="0"/>
        <v>0</v>
      </c>
      <c r="W18">
        <f t="shared" si="1"/>
        <v>0</v>
      </c>
      <c r="X18">
        <f t="shared" si="2"/>
        <v>0</v>
      </c>
    </row>
    <row r="19" spans="1:24" ht="15" thickBot="1" x14ac:dyDescent="0.35">
      <c r="A19" s="246" t="s">
        <v>550</v>
      </c>
      <c r="B19" s="247" t="s">
        <v>498</v>
      </c>
      <c r="C19" s="340">
        <f>ROUNDUP(R19*'Ship Info'!H31*ROUNDDOWN(J6/2000,0),0)</f>
        <v>0</v>
      </c>
      <c r="D19" s="345">
        <f>ROUNDUP(R19*ROUNDDOWN(J6*'Ship Info'!H31/1000,0),0)</f>
        <v>0</v>
      </c>
      <c r="E19" s="466">
        <v>0</v>
      </c>
      <c r="F19" s="344">
        <f>HLOOKUP(B5,V9:X26,11)+K19</f>
        <v>0</v>
      </c>
      <c r="G19" s="245">
        <f>F19*1500+IF(N19=0,0,(N19-1)*F19*1500/2)</f>
        <v>0</v>
      </c>
      <c r="K19" s="232">
        <v>0</v>
      </c>
      <c r="L19" t="s">
        <v>1790</v>
      </c>
      <c r="N19" s="196">
        <v>1</v>
      </c>
      <c r="P19" s="453" t="s">
        <v>92</v>
      </c>
      <c r="R19" s="88">
        <f>IF(P19=$V$5,1,$W$33)</f>
        <v>1</v>
      </c>
      <c r="V19">
        <f t="shared" si="0"/>
        <v>0</v>
      </c>
      <c r="W19">
        <f t="shared" si="1"/>
        <v>0</v>
      </c>
      <c r="X19">
        <f t="shared" si="2"/>
        <v>0</v>
      </c>
    </row>
    <row r="20" spans="1:24" ht="15.6" thickTop="1" thickBot="1" x14ac:dyDescent="0.35">
      <c r="A20" s="22" t="s">
        <v>551</v>
      </c>
      <c r="B20" s="22"/>
      <c r="C20" s="318">
        <f>E20</f>
        <v>0</v>
      </c>
      <c r="D20" s="318">
        <f>E20</f>
        <v>0</v>
      </c>
      <c r="E20" s="468">
        <v>0</v>
      </c>
      <c r="F20" s="343">
        <f>E20</f>
        <v>0</v>
      </c>
      <c r="G20" s="23">
        <f>F20*IF(H20=0,1500,H20)+IF(N20=0,0,(N20-1)*F20*IF(H20=0,1500,H20)/2)</f>
        <v>0</v>
      </c>
      <c r="H20" s="374">
        <v>0</v>
      </c>
      <c r="I20" s="22" t="s">
        <v>1406</v>
      </c>
      <c r="J20" s="22"/>
      <c r="K20" s="22"/>
      <c r="L20" s="22"/>
      <c r="M20" s="22"/>
      <c r="N20" s="204">
        <v>2.5</v>
      </c>
      <c r="P20" s="142" t="s">
        <v>1771</v>
      </c>
      <c r="Q20" s="45"/>
      <c r="R20" s="45"/>
      <c r="S20" s="47"/>
      <c r="V20">
        <f t="shared" si="0"/>
        <v>0</v>
      </c>
      <c r="W20">
        <f t="shared" si="1"/>
        <v>0</v>
      </c>
      <c r="X20">
        <f t="shared" si="2"/>
        <v>0</v>
      </c>
    </row>
    <row r="21" spans="1:24" ht="15.6" thickTop="1" thickBot="1" x14ac:dyDescent="0.35">
      <c r="A21" s="144" t="s">
        <v>1766</v>
      </c>
      <c r="B21" s="208"/>
      <c r="C21" s="341">
        <f>E21</f>
        <v>0</v>
      </c>
      <c r="D21" s="464">
        <f>E21</f>
        <v>0</v>
      </c>
      <c r="E21" s="469">
        <v>0</v>
      </c>
      <c r="F21" s="344">
        <f>E21</f>
        <v>0</v>
      </c>
      <c r="G21" s="245">
        <f>F21*IF(H21=0,1000,H21)+IF(N21=0,0,(N21-1)*F21*IF(H21=0,1000,H21)/2)</f>
        <v>0</v>
      </c>
      <c r="H21" s="219">
        <v>0</v>
      </c>
      <c r="I21" t="s">
        <v>1406</v>
      </c>
      <c r="N21" s="196">
        <v>1</v>
      </c>
      <c r="P21" s="196" t="s">
        <v>92</v>
      </c>
      <c r="Q21" s="454" t="s">
        <v>1772</v>
      </c>
      <c r="S21" s="46"/>
      <c r="V21">
        <f t="shared" si="0"/>
        <v>0</v>
      </c>
      <c r="W21">
        <f t="shared" si="1"/>
        <v>0</v>
      </c>
      <c r="X21">
        <f t="shared" si="2"/>
        <v>0</v>
      </c>
    </row>
    <row r="22" spans="1:24" ht="15.6" thickTop="1" thickBot="1" x14ac:dyDescent="0.35">
      <c r="A22" s="22" t="s">
        <v>1767</v>
      </c>
      <c r="B22" s="204"/>
      <c r="C22" s="449">
        <f t="shared" ref="C22:C25" si="4">E22</f>
        <v>0</v>
      </c>
      <c r="D22" s="465">
        <f t="shared" ref="D22:D25" si="5">E22</f>
        <v>0</v>
      </c>
      <c r="E22" s="468">
        <v>0</v>
      </c>
      <c r="F22" s="343">
        <f>E22</f>
        <v>0</v>
      </c>
      <c r="G22" s="23">
        <f t="shared" ref="G22:G25" si="6">F22*IF(H22=0,1000,H22)+IF(N22=0,0,(N22-1)*F22*IF(H22=0,1000,H22)/2)</f>
        <v>0</v>
      </c>
      <c r="H22" s="374">
        <v>0</v>
      </c>
      <c r="I22" s="22" t="s">
        <v>1406</v>
      </c>
      <c r="J22" s="22"/>
      <c r="K22" s="22"/>
      <c r="L22" s="22"/>
      <c r="M22" s="22"/>
      <c r="N22" s="204">
        <v>1</v>
      </c>
      <c r="O22" s="22"/>
      <c r="P22" s="204" t="s">
        <v>92</v>
      </c>
      <c r="Q22" s="454" t="s">
        <v>1773</v>
      </c>
      <c r="S22" s="46"/>
      <c r="V22">
        <f t="shared" ref="V22:V25" si="7">C22</f>
        <v>0</v>
      </c>
      <c r="W22">
        <f t="shared" ref="W22:W25" si="8">E22</f>
        <v>0</v>
      </c>
      <c r="X22">
        <f t="shared" ref="X22:X25" si="9">D22</f>
        <v>0</v>
      </c>
    </row>
    <row r="23" spans="1:24" ht="15.6" thickTop="1" thickBot="1" x14ac:dyDescent="0.35">
      <c r="A23" s="144" t="s">
        <v>1768</v>
      </c>
      <c r="B23" s="208"/>
      <c r="C23" s="341">
        <f t="shared" si="4"/>
        <v>0</v>
      </c>
      <c r="D23" s="464">
        <f t="shared" si="5"/>
        <v>0</v>
      </c>
      <c r="E23" s="469">
        <v>0</v>
      </c>
      <c r="F23" s="344">
        <f t="shared" ref="F23:F25" si="10">E23</f>
        <v>0</v>
      </c>
      <c r="G23" s="245">
        <f t="shared" si="6"/>
        <v>0</v>
      </c>
      <c r="H23" s="219">
        <v>0</v>
      </c>
      <c r="I23" t="s">
        <v>1406</v>
      </c>
      <c r="N23" s="196">
        <v>1</v>
      </c>
      <c r="P23" s="196" t="s">
        <v>92</v>
      </c>
      <c r="Q23" s="454" t="s">
        <v>1774</v>
      </c>
      <c r="S23" s="46"/>
      <c r="V23">
        <f t="shared" si="7"/>
        <v>0</v>
      </c>
      <c r="W23">
        <f t="shared" si="8"/>
        <v>0</v>
      </c>
      <c r="X23">
        <f t="shared" si="9"/>
        <v>0</v>
      </c>
    </row>
    <row r="24" spans="1:24" ht="15.6" thickTop="1" thickBot="1" x14ac:dyDescent="0.35">
      <c r="A24" s="22" t="s">
        <v>1769</v>
      </c>
      <c r="B24" s="204"/>
      <c r="C24" s="449">
        <f t="shared" si="4"/>
        <v>0</v>
      </c>
      <c r="D24" s="465">
        <f t="shared" si="5"/>
        <v>0</v>
      </c>
      <c r="E24" s="468">
        <v>0</v>
      </c>
      <c r="F24" s="343">
        <f>E24</f>
        <v>0</v>
      </c>
      <c r="G24" s="23">
        <f t="shared" si="6"/>
        <v>0</v>
      </c>
      <c r="H24" s="374">
        <v>0</v>
      </c>
      <c r="I24" s="22" t="s">
        <v>1406</v>
      </c>
      <c r="J24" s="22"/>
      <c r="K24" s="22"/>
      <c r="L24" s="22"/>
      <c r="M24" s="22"/>
      <c r="N24" s="204">
        <v>1</v>
      </c>
      <c r="O24" s="22"/>
      <c r="P24" s="204" t="s">
        <v>92</v>
      </c>
      <c r="Q24" s="454" t="s">
        <v>1775</v>
      </c>
      <c r="S24" s="46"/>
      <c r="V24">
        <f t="shared" si="7"/>
        <v>0</v>
      </c>
      <c r="W24">
        <f t="shared" si="8"/>
        <v>0</v>
      </c>
      <c r="X24">
        <f t="shared" si="9"/>
        <v>0</v>
      </c>
    </row>
    <row r="25" spans="1:24" ht="15.6" thickTop="1" thickBot="1" x14ac:dyDescent="0.35">
      <c r="A25" s="144" t="s">
        <v>1770</v>
      </c>
      <c r="B25" s="208"/>
      <c r="C25" s="341">
        <f t="shared" si="4"/>
        <v>0</v>
      </c>
      <c r="D25" s="464">
        <f t="shared" si="5"/>
        <v>0</v>
      </c>
      <c r="E25" s="469">
        <v>0</v>
      </c>
      <c r="F25" s="344">
        <f t="shared" si="10"/>
        <v>0</v>
      </c>
      <c r="G25" s="245">
        <f t="shared" si="6"/>
        <v>0</v>
      </c>
      <c r="H25" s="219">
        <v>0</v>
      </c>
      <c r="I25" t="s">
        <v>1406</v>
      </c>
      <c r="N25" s="196">
        <v>1</v>
      </c>
      <c r="P25" s="196" t="s">
        <v>92</v>
      </c>
      <c r="Q25" s="455" t="s">
        <v>1776</v>
      </c>
      <c r="R25" s="28"/>
      <c r="S25" s="79"/>
      <c r="V25">
        <f t="shared" si="7"/>
        <v>0</v>
      </c>
      <c r="W25">
        <f t="shared" si="8"/>
        <v>0</v>
      </c>
      <c r="X25">
        <f t="shared" si="9"/>
        <v>0</v>
      </c>
    </row>
    <row r="26" spans="1:24" ht="15" thickBot="1" x14ac:dyDescent="0.35">
      <c r="A26" s="22" t="s">
        <v>552</v>
      </c>
      <c r="B26" s="27" t="s">
        <v>499</v>
      </c>
      <c r="C26" s="318">
        <f>IF('1-Hull'!B4&lt;100,0,ROUNDDOWN((SUM(C11:C14,C16:C21)+SUM('9b-Optional'!C156:C159,C10:C14,C16:C21,C27:C28)/120)/20,0))</f>
        <v>0</v>
      </c>
      <c r="D26" s="318">
        <f>IF('1-Hull'!B4&lt;100,0,ROUNDDOWN((SUM(D11:D14,D16:D21)+SUM(D10:D14,D16:D21)/120)/10,0))</f>
        <v>0</v>
      </c>
      <c r="E26" s="467">
        <v>0</v>
      </c>
      <c r="F26" s="343">
        <f>HLOOKUP(B5,V9:X28,18)+K26</f>
        <v>0</v>
      </c>
      <c r="G26" s="23">
        <f>F26*5000+IF(N26=0,0,(N26-1)*F26*5000/2)</f>
        <v>0</v>
      </c>
      <c r="H26" s="22"/>
      <c r="I26" s="22"/>
      <c r="J26" s="22"/>
      <c r="K26" s="332">
        <v>0</v>
      </c>
      <c r="L26" s="22" t="s">
        <v>1791</v>
      </c>
      <c r="M26" s="22"/>
      <c r="N26" s="204">
        <v>1</v>
      </c>
      <c r="P26" s="78"/>
      <c r="Q26" s="46"/>
      <c r="V26">
        <f t="shared" si="0"/>
        <v>0</v>
      </c>
      <c r="W26">
        <f t="shared" si="1"/>
        <v>0</v>
      </c>
      <c r="X26">
        <f t="shared" si="2"/>
        <v>0</v>
      </c>
    </row>
    <row r="27" spans="1:24" ht="15" thickBot="1" x14ac:dyDescent="0.35">
      <c r="A27" s="144" t="s">
        <v>1402</v>
      </c>
      <c r="B27" s="2" t="s">
        <v>1409</v>
      </c>
      <c r="C27" s="266">
        <f>('9b-Optional'!A168+'9b-Optional'!A176+'9b-Optional'!A185+'9b-Optional'!A190)</f>
        <v>0</v>
      </c>
      <c r="D27" s="266">
        <f>C27</f>
        <v>0</v>
      </c>
      <c r="E27" s="342">
        <v>0</v>
      </c>
      <c r="F27" s="344">
        <f>MAX(0,HLOOKUP(B5,V9:X28,19)+K27-V41)</f>
        <v>0</v>
      </c>
      <c r="G27" s="4">
        <f>F27*1000+IF(N27=0,0,(N27-1)*F27*1000/2)</f>
        <v>0</v>
      </c>
      <c r="K27" s="232">
        <v>0</v>
      </c>
      <c r="L27" t="s">
        <v>1792</v>
      </c>
      <c r="N27" s="196">
        <v>1</v>
      </c>
      <c r="O27" s="456"/>
      <c r="P27" s="28"/>
      <c r="Q27" s="79"/>
      <c r="U27" s="120" t="str">
        <f>""</f>
        <v/>
      </c>
      <c r="V27" s="260">
        <f>C27</f>
        <v>0</v>
      </c>
      <c r="W27" s="260">
        <f>E27</f>
        <v>0</v>
      </c>
      <c r="X27" s="260">
        <f>V27</f>
        <v>0</v>
      </c>
    </row>
    <row r="28" spans="1:24" ht="15" thickBot="1" x14ac:dyDescent="0.35">
      <c r="A28" s="22" t="s">
        <v>1403</v>
      </c>
      <c r="B28" s="27" t="s">
        <v>1408</v>
      </c>
      <c r="C28" s="318">
        <f>(K28+'9b-Optional'!B152)</f>
        <v>0</v>
      </c>
      <c r="D28" s="318">
        <f>C28</f>
        <v>0</v>
      </c>
      <c r="E28" s="332">
        <v>0</v>
      </c>
      <c r="F28" s="343">
        <f>HLOOKUP(B5,V9:X28,20)</f>
        <v>0</v>
      </c>
      <c r="G28" s="23">
        <f>F28*IF(H28=0,4000,H28)+IF(N28=0,0,(N28-1)*F28*IF(H28=0,4000,H28)/2)</f>
        <v>0</v>
      </c>
      <c r="H28" s="374">
        <v>0</v>
      </c>
      <c r="I28" s="22" t="s">
        <v>1406</v>
      </c>
      <c r="J28" s="22"/>
      <c r="K28" s="332">
        <v>0</v>
      </c>
      <c r="L28" s="22" t="s">
        <v>1407</v>
      </c>
      <c r="M28" s="22"/>
      <c r="N28" s="204">
        <v>1</v>
      </c>
      <c r="U28" s="122">
        <v>0</v>
      </c>
      <c r="V28" s="260">
        <f t="shared" ref="V28" si="11">C28</f>
        <v>0</v>
      </c>
      <c r="W28" s="260">
        <f>E28</f>
        <v>0</v>
      </c>
      <c r="X28" s="260">
        <f>V28</f>
        <v>0</v>
      </c>
    </row>
    <row r="29" spans="1:24" x14ac:dyDescent="0.3">
      <c r="U29" s="122">
        <v>1</v>
      </c>
    </row>
    <row r="30" spans="1:24" x14ac:dyDescent="0.3">
      <c r="U30" s="122">
        <v>2</v>
      </c>
      <c r="V30" t="s">
        <v>1109</v>
      </c>
    </row>
    <row r="31" spans="1:24" ht="15" thickBot="1" x14ac:dyDescent="0.35">
      <c r="A31" t="s">
        <v>500</v>
      </c>
      <c r="G31" s="8" t="s">
        <v>502</v>
      </c>
      <c r="I31" s="57"/>
      <c r="J31" s="24" t="s">
        <v>2497</v>
      </c>
      <c r="K31" s="57"/>
      <c r="U31" s="122">
        <v>3</v>
      </c>
      <c r="V31" s="540" t="str">
        <f>IF(F10=0,"","CAPTAIN")&amp;""&amp;IF(F11=0,"",IF(F10=0,"",", ")&amp;A11&amp;" x"&amp;F11)&amp;""&amp;IF(F12=0,"",", "&amp;A12&amp;" x"&amp;F12)&amp;""&amp;IF(F13=0,"",", "&amp;A13&amp;" x"&amp;F13)&amp;""&amp;IF(F14=0,"",", "&amp;A14&amp;" x"&amp;F14)&amp;""&amp;IF(F15=0,"",", "&amp;A15&amp;" x"&amp;F15)&amp;""&amp;IF(F16=0,"",", "&amp;A16&amp;" x"&amp;F16)&amp;""&amp;IF(F17=0,"",", "&amp;A17&amp;" x"&amp;F17)&amp;""&amp;IF(F18=0,"",", "&amp;A18&amp;" x"&amp;F18)&amp;""&amp;IF(F19=0,"",", "&amp;A19&amp;" x"&amp;F19)&amp;""&amp;IF(F20=0,"",", "&amp;A20&amp;" x"&amp;F20)&amp;""&amp;IF(F21=0,"",IF(B21="",", "&amp;A21&amp;" x"&amp;F21,", "&amp;B21&amp;" x"&amp;F21))&amp;IF(F22=0,"",IF(B22="",", "&amp;A22&amp;" x"&amp;F22,", "&amp;B22&amp;" x"&amp;F22))&amp;IF(F23=0,"",IF(B23="",", "&amp;A23&amp;" x"&amp;F23,", "&amp;B23&amp;" x"&amp;F23))&amp;IF(F24=0,"",IF(B24="",", "&amp;A24&amp;" x"&amp;F24,", "&amp;B24&amp;" x"&amp;F24))&amp;IF(F25=0,"",IF(B25="",", "&amp;A25&amp;" x"&amp;F25,", "&amp;B25&amp;" x"&amp;F25))&amp;""&amp;IF(F26=0,"",", "&amp;A26&amp;" x"&amp;F26)&amp;IF(F27=0,"",", "&amp;A27&amp;" x"&amp;F27)&amp;IF(F28=0,"",", "&amp;A28&amp;" x"&amp;F28)</f>
        <v>PILOT x1, ENGINEER x1, MAINTENANCE x1, MEDIC x1, SENSOP x1</v>
      </c>
    </row>
    <row r="32" spans="1:24" ht="15" thickBot="1" x14ac:dyDescent="0.35">
      <c r="A32" t="s">
        <v>501</v>
      </c>
      <c r="G32" s="26">
        <f>IF(J32="Salary",SUM(G10:G30),0)</f>
        <v>19000</v>
      </c>
      <c r="I32" s="57"/>
      <c r="J32" s="626" t="s">
        <v>2498</v>
      </c>
      <c r="K32" s="57"/>
      <c r="O32" s="260"/>
      <c r="U32" s="122">
        <v>4</v>
      </c>
    </row>
    <row r="33" spans="1:27" ht="15" thickBot="1" x14ac:dyDescent="0.35">
      <c r="A33" t="s">
        <v>507</v>
      </c>
      <c r="U33" s="122">
        <v>5</v>
      </c>
      <c r="V33">
        <f>IF(OR('Ship Info'!F5,'Ship Info'!F6),Tonnage,'Ship Info'!C5)</f>
        <v>100</v>
      </c>
      <c r="W33" s="3">
        <f>IF(V33&lt;V34,W34,IF(V33&lt;V35,W35,IF(V33&lt;V36,W36,IF(V33&lt;V37,W37,W38))))</f>
        <v>1</v>
      </c>
    </row>
    <row r="34" spans="1:27" ht="15" thickBot="1" x14ac:dyDescent="0.35">
      <c r="A34" t="s">
        <v>1452</v>
      </c>
      <c r="I34" s="880" t="s">
        <v>1531</v>
      </c>
      <c r="J34" s="881"/>
      <c r="K34" s="882"/>
      <c r="L34" s="3"/>
      <c r="M34" s="3" t="s">
        <v>2455</v>
      </c>
      <c r="N34" s="3"/>
      <c r="Q34" s="196" t="s">
        <v>93</v>
      </c>
      <c r="U34" s="122">
        <v>6</v>
      </c>
      <c r="V34">
        <v>5001</v>
      </c>
      <c r="W34">
        <v>1</v>
      </c>
    </row>
    <row r="35" spans="1:27" x14ac:dyDescent="0.3">
      <c r="B35" s="879"/>
      <c r="C35" s="879"/>
      <c r="D35" s="879"/>
      <c r="E35" s="879"/>
      <c r="F35" s="879"/>
      <c r="G35" s="3"/>
      <c r="I35" s="862" t="s">
        <v>1532</v>
      </c>
      <c r="J35" s="738"/>
      <c r="K35" s="883"/>
      <c r="L35" s="3"/>
      <c r="M35" s="3"/>
      <c r="N35" s="3"/>
      <c r="U35" s="122">
        <v>7</v>
      </c>
      <c r="V35">
        <v>20000</v>
      </c>
      <c r="W35">
        <v>0.75</v>
      </c>
    </row>
    <row r="36" spans="1:27" x14ac:dyDescent="0.3">
      <c r="B36" s="3"/>
      <c r="C36" s="1"/>
      <c r="I36" s="86"/>
      <c r="J36" s="317">
        <f>IF('6-Comp'!B38="",0,'6-Comp'!B39)</f>
        <v>0</v>
      </c>
      <c r="K36" s="463"/>
      <c r="L36" s="266"/>
      <c r="M36" s="266"/>
      <c r="U36" s="121">
        <v>8</v>
      </c>
      <c r="V36">
        <v>50000</v>
      </c>
      <c r="W36">
        <v>0.67</v>
      </c>
    </row>
    <row r="37" spans="1:27" ht="15" thickBot="1" x14ac:dyDescent="0.35">
      <c r="B37" s="2"/>
      <c r="C37" s="266"/>
      <c r="F37" s="3"/>
      <c r="G37" s="3"/>
      <c r="V37">
        <v>100000</v>
      </c>
      <c r="W37">
        <v>0.5</v>
      </c>
    </row>
    <row r="38" spans="1:27" ht="18" x14ac:dyDescent="0.35">
      <c r="B38" s="586" t="s">
        <v>2352</v>
      </c>
      <c r="C38" s="587"/>
      <c r="D38" s="588"/>
      <c r="E38" s="588"/>
      <c r="F38" s="589" t="s">
        <v>2357</v>
      </c>
      <c r="G38" s="590" t="s">
        <v>2356</v>
      </c>
      <c r="H38" s="591"/>
      <c r="I38" s="591"/>
      <c r="J38" s="591"/>
      <c r="K38" s="591"/>
      <c r="L38" s="591"/>
      <c r="M38" s="591"/>
      <c r="N38" s="591"/>
      <c r="O38" s="591"/>
      <c r="P38" s="591"/>
      <c r="Q38" s="592"/>
      <c r="R38" s="588"/>
      <c r="S38" s="588"/>
      <c r="T38" s="593"/>
      <c r="W38">
        <v>0.33</v>
      </c>
      <c r="Y38" s="610" t="s">
        <v>2456</v>
      </c>
      <c r="Z38" s="14"/>
      <c r="AA38" s="408" t="s">
        <v>2459</v>
      </c>
    </row>
    <row r="39" spans="1:27" ht="15" thickBot="1" x14ac:dyDescent="0.35">
      <c r="B39" s="585" t="s">
        <v>2353</v>
      </c>
      <c r="C39" s="584" t="s">
        <v>982</v>
      </c>
      <c r="D39" s="871" t="s">
        <v>1600</v>
      </c>
      <c r="E39" s="871"/>
      <c r="F39" s="583" t="s">
        <v>488</v>
      </c>
      <c r="G39" s="583" t="s">
        <v>496</v>
      </c>
      <c r="H39" s="583" t="s">
        <v>489</v>
      </c>
      <c r="I39" s="583" t="s">
        <v>497</v>
      </c>
      <c r="J39" s="583" t="s">
        <v>490</v>
      </c>
      <c r="K39" s="583" t="s">
        <v>491</v>
      </c>
      <c r="L39" s="583" t="s">
        <v>587</v>
      </c>
      <c r="M39" s="583" t="s">
        <v>492</v>
      </c>
      <c r="N39" s="583" t="s">
        <v>2525</v>
      </c>
      <c r="O39" s="583" t="s">
        <v>498</v>
      </c>
      <c r="P39" s="884" t="s">
        <v>2354</v>
      </c>
      <c r="Q39" s="885"/>
      <c r="R39" s="583" t="s">
        <v>73</v>
      </c>
      <c r="S39" s="730" t="s">
        <v>2355</v>
      </c>
      <c r="T39" s="886"/>
      <c r="Y39" s="281" t="s">
        <v>2457</v>
      </c>
      <c r="Z39" s="28"/>
      <c r="AA39" s="622" t="s">
        <v>2458</v>
      </c>
    </row>
    <row r="40" spans="1:27" ht="15" thickBot="1" x14ac:dyDescent="0.35">
      <c r="B40" s="197" t="s">
        <v>3324</v>
      </c>
      <c r="C40" s="232">
        <v>0</v>
      </c>
      <c r="D40" s="869">
        <v>48600</v>
      </c>
      <c r="E40" s="869"/>
      <c r="F40" s="232">
        <v>4</v>
      </c>
      <c r="G40" s="232">
        <v>1</v>
      </c>
      <c r="H40" s="232" t="s">
        <v>1020</v>
      </c>
      <c r="I40" s="232" t="s">
        <v>1020</v>
      </c>
      <c r="J40" s="232" t="s">
        <v>1020</v>
      </c>
      <c r="K40" s="232" t="s">
        <v>1020</v>
      </c>
      <c r="L40" s="232">
        <v>2</v>
      </c>
      <c r="M40" s="232" t="s">
        <v>1020</v>
      </c>
      <c r="N40" s="232">
        <v>2</v>
      </c>
      <c r="O40" s="232" t="s">
        <v>1020</v>
      </c>
      <c r="P40" s="732"/>
      <c r="Q40" s="733"/>
      <c r="R40" s="232">
        <v>1</v>
      </c>
      <c r="S40" s="863">
        <f t="shared" ref="S40:S49" si="12">C40*D40</f>
        <v>0</v>
      </c>
      <c r="T40" s="864"/>
      <c r="U40" s="120" t="str">
        <f t="shared" ref="U40:U49" si="13">IF(C40=0,"",C40&amp;"x "&amp;B40&amp;":"&amp;IF(F40="",""," "&amp;F$39&amp;"-"&amp;F40)&amp;IF(G40="",""," "&amp;G$39&amp;"-"&amp;G40)&amp;IF(H40="",""," "&amp;H$39&amp;"-"&amp;H40)&amp;IF(I40="",""," "&amp;I$39&amp;"-"&amp;I40)&amp;IF(J40="",""," "&amp;J$39&amp;"-"&amp;J40)&amp;IF(K40="",""," "&amp;K$39&amp;"-"&amp;K40)&amp;IF(L40="",""," "&amp;L$39&amp;"-"&amp;L40)&amp;IF(M40="",""," "&amp;M$39&amp;"-"&amp;M40)&amp;IF(O40="",""," "&amp;O$39&amp;"-"&amp;O40)&amp;IF(P40="",""," "&amp;P40)&amp;IF(R40="",""," "&amp;R$39&amp;"-"&amp;R40))</f>
        <v/>
      </c>
      <c r="V40" t="s">
        <v>1777</v>
      </c>
      <c r="Y40" s="196" t="s">
        <v>92</v>
      </c>
      <c r="AA40" s="461">
        <f t="shared" ref="AA40:AA49" si="14">IF(Y40="Yes",0,S40*0.001/12)</f>
        <v>0</v>
      </c>
    </row>
    <row r="41" spans="1:27" ht="15" thickBot="1" x14ac:dyDescent="0.35">
      <c r="B41" s="203" t="s">
        <v>3325</v>
      </c>
      <c r="C41" s="332">
        <v>0</v>
      </c>
      <c r="D41" s="870">
        <v>57900</v>
      </c>
      <c r="E41" s="870"/>
      <c r="F41" s="332" t="s">
        <v>1020</v>
      </c>
      <c r="G41" s="332" t="s">
        <v>1020</v>
      </c>
      <c r="H41" s="332" t="s">
        <v>1020</v>
      </c>
      <c r="I41" s="332" t="s">
        <v>1020</v>
      </c>
      <c r="J41" s="332" t="s">
        <v>1020</v>
      </c>
      <c r="K41" s="332" t="s">
        <v>1020</v>
      </c>
      <c r="L41" s="332" t="s">
        <v>1020</v>
      </c>
      <c r="M41" s="332" t="s">
        <v>1020</v>
      </c>
      <c r="N41" s="332" t="s">
        <v>1020</v>
      </c>
      <c r="O41" s="332">
        <v>2</v>
      </c>
      <c r="P41" s="739" t="s">
        <v>3326</v>
      </c>
      <c r="Q41" s="740"/>
      <c r="R41" s="332">
        <v>5</v>
      </c>
      <c r="S41" s="867">
        <f t="shared" si="12"/>
        <v>0</v>
      </c>
      <c r="T41" s="868"/>
      <c r="U41" s="617" t="str">
        <f t="shared" si="13"/>
        <v/>
      </c>
      <c r="V41" s="22">
        <f>SUM(IF(P21=V5,F21,0),IF(P22=V5,F22,0),IF(P23=V5,F23,0),IF(P24=V5,F24,0),IF(P25=V5,F25,0))</f>
        <v>0</v>
      </c>
      <c r="W41" s="22"/>
      <c r="X41" s="22"/>
      <c r="Y41" s="204" t="s">
        <v>92</v>
      </c>
      <c r="Z41" s="22"/>
      <c r="AA41" s="619">
        <f t="shared" si="14"/>
        <v>0</v>
      </c>
    </row>
    <row r="42" spans="1:27" ht="15" thickBot="1" x14ac:dyDescent="0.35">
      <c r="B42" s="197" t="s">
        <v>3327</v>
      </c>
      <c r="C42" s="232">
        <v>0</v>
      </c>
      <c r="D42" s="869">
        <v>69100</v>
      </c>
      <c r="E42" s="869"/>
      <c r="F42" s="232" t="s">
        <v>1020</v>
      </c>
      <c r="G42" s="232" t="s">
        <v>1020</v>
      </c>
      <c r="H42" s="232" t="s">
        <v>1020</v>
      </c>
      <c r="I42" s="232" t="s">
        <v>1020</v>
      </c>
      <c r="J42" s="232" t="s">
        <v>1020</v>
      </c>
      <c r="K42" s="232" t="s">
        <v>1020</v>
      </c>
      <c r="L42" s="232" t="s">
        <v>1020</v>
      </c>
      <c r="M42" s="232" t="s">
        <v>1020</v>
      </c>
      <c r="N42" s="232" t="s">
        <v>1020</v>
      </c>
      <c r="O42" s="232">
        <v>1</v>
      </c>
      <c r="P42" s="732" t="s">
        <v>3328</v>
      </c>
      <c r="Q42" s="733"/>
      <c r="R42" s="232">
        <v>5</v>
      </c>
      <c r="S42" s="863">
        <f t="shared" si="12"/>
        <v>0</v>
      </c>
      <c r="T42" s="864"/>
      <c r="U42" s="120" t="str">
        <f t="shared" si="13"/>
        <v/>
      </c>
      <c r="Y42" s="196" t="s">
        <v>92</v>
      </c>
      <c r="AA42" s="461">
        <f t="shared" si="14"/>
        <v>0</v>
      </c>
    </row>
    <row r="43" spans="1:27" ht="15" thickBot="1" x14ac:dyDescent="0.35">
      <c r="B43" s="203" t="s">
        <v>3329</v>
      </c>
      <c r="C43" s="332">
        <v>0</v>
      </c>
      <c r="D43" s="870">
        <v>80400</v>
      </c>
      <c r="E43" s="870"/>
      <c r="F43" s="332" t="s">
        <v>1020</v>
      </c>
      <c r="G43" s="332" t="s">
        <v>1020</v>
      </c>
      <c r="H43" s="332">
        <v>2</v>
      </c>
      <c r="I43" s="332">
        <v>2</v>
      </c>
      <c r="J43" s="332" t="s">
        <v>1020</v>
      </c>
      <c r="K43" s="332" t="s">
        <v>1020</v>
      </c>
      <c r="L43" s="332" t="s">
        <v>1020</v>
      </c>
      <c r="M43" s="332" t="s">
        <v>1020</v>
      </c>
      <c r="N43" s="332" t="s">
        <v>1020</v>
      </c>
      <c r="O43" s="332" t="s">
        <v>1020</v>
      </c>
      <c r="P43" s="739" t="s">
        <v>3330</v>
      </c>
      <c r="Q43" s="740"/>
      <c r="R43" s="332">
        <v>5</v>
      </c>
      <c r="S43" s="867">
        <f t="shared" si="12"/>
        <v>0</v>
      </c>
      <c r="T43" s="868"/>
      <c r="U43" s="617" t="str">
        <f t="shared" si="13"/>
        <v/>
      </c>
      <c r="V43" s="22"/>
      <c r="W43" s="22"/>
      <c r="X43" s="22"/>
      <c r="Y43" s="204" t="s">
        <v>92</v>
      </c>
      <c r="Z43" s="22"/>
      <c r="AA43" s="619">
        <f t="shared" si="14"/>
        <v>0</v>
      </c>
    </row>
    <row r="44" spans="1:27" ht="15" thickBot="1" x14ac:dyDescent="0.35">
      <c r="B44" s="197" t="s">
        <v>3331</v>
      </c>
      <c r="C44" s="232">
        <v>0</v>
      </c>
      <c r="D44" s="869">
        <v>80000</v>
      </c>
      <c r="E44" s="869"/>
      <c r="F44" s="232" t="s">
        <v>1020</v>
      </c>
      <c r="G44" s="232" t="s">
        <v>1020</v>
      </c>
      <c r="H44" s="232" t="s">
        <v>1020</v>
      </c>
      <c r="I44" s="232" t="s">
        <v>1020</v>
      </c>
      <c r="J44" s="232" t="s">
        <v>1020</v>
      </c>
      <c r="K44" s="232">
        <v>4</v>
      </c>
      <c r="L44" s="232" t="s">
        <v>1020</v>
      </c>
      <c r="M44" s="232" t="s">
        <v>1020</v>
      </c>
      <c r="N44" s="232" t="s">
        <v>1020</v>
      </c>
      <c r="O44" s="232" t="s">
        <v>1020</v>
      </c>
      <c r="P44" s="732" t="s">
        <v>3332</v>
      </c>
      <c r="Q44" s="733"/>
      <c r="R44" s="232">
        <v>5</v>
      </c>
      <c r="S44" s="863">
        <f t="shared" si="12"/>
        <v>0</v>
      </c>
      <c r="T44" s="864"/>
      <c r="U44" s="120" t="str">
        <f t="shared" si="13"/>
        <v/>
      </c>
      <c r="V44" t="s">
        <v>739</v>
      </c>
      <c r="W44">
        <f>SUM(W45:W48)</f>
        <v>0</v>
      </c>
      <c r="Y44" s="196" t="s">
        <v>92</v>
      </c>
      <c r="AA44" s="461">
        <f t="shared" si="14"/>
        <v>0</v>
      </c>
    </row>
    <row r="45" spans="1:27" ht="15" thickBot="1" x14ac:dyDescent="0.35">
      <c r="B45" s="203" t="s">
        <v>3333</v>
      </c>
      <c r="C45" s="332">
        <v>0</v>
      </c>
      <c r="D45" s="870">
        <v>54800</v>
      </c>
      <c r="E45" s="870"/>
      <c r="F45" s="332" t="s">
        <v>1020</v>
      </c>
      <c r="G45" s="332" t="s">
        <v>1020</v>
      </c>
      <c r="H45" s="332" t="s">
        <v>1020</v>
      </c>
      <c r="I45" s="332">
        <v>3</v>
      </c>
      <c r="J45" s="332" t="s">
        <v>1020</v>
      </c>
      <c r="K45" s="332" t="s">
        <v>1020</v>
      </c>
      <c r="L45" s="332" t="s">
        <v>1020</v>
      </c>
      <c r="M45" s="332" t="s">
        <v>1020</v>
      </c>
      <c r="N45" s="332" t="s">
        <v>1020</v>
      </c>
      <c r="O45" s="332" t="s">
        <v>1020</v>
      </c>
      <c r="P45" s="739" t="s">
        <v>3334</v>
      </c>
      <c r="Q45" s="740"/>
      <c r="R45" s="332">
        <v>5</v>
      </c>
      <c r="S45" s="867">
        <f t="shared" si="12"/>
        <v>0</v>
      </c>
      <c r="T45" s="868"/>
      <c r="U45" s="617" t="str">
        <f t="shared" si="13"/>
        <v/>
      </c>
      <c r="V45" s="22" t="s">
        <v>2152</v>
      </c>
      <c r="W45" s="22">
        <f>IF(O18&gt;N18,1,0)</f>
        <v>0</v>
      </c>
      <c r="X45" s="22"/>
      <c r="Y45" s="204" t="s">
        <v>92</v>
      </c>
      <c r="Z45" s="22"/>
      <c r="AA45" s="619">
        <f t="shared" si="14"/>
        <v>0</v>
      </c>
    </row>
    <row r="46" spans="1:27" ht="15" thickBot="1" x14ac:dyDescent="0.35">
      <c r="B46" s="197" t="s">
        <v>3335</v>
      </c>
      <c r="C46" s="232">
        <v>0</v>
      </c>
      <c r="D46" s="869">
        <v>77700</v>
      </c>
      <c r="E46" s="869"/>
      <c r="F46" s="232" t="s">
        <v>1020</v>
      </c>
      <c r="G46" s="232" t="s">
        <v>1020</v>
      </c>
      <c r="H46" s="232" t="s">
        <v>1020</v>
      </c>
      <c r="I46" s="232" t="s">
        <v>1020</v>
      </c>
      <c r="J46" s="232">
        <v>2</v>
      </c>
      <c r="K46" s="232" t="s">
        <v>1020</v>
      </c>
      <c r="L46" s="232" t="s">
        <v>1020</v>
      </c>
      <c r="M46" s="232" t="s">
        <v>1020</v>
      </c>
      <c r="N46" s="232" t="s">
        <v>1020</v>
      </c>
      <c r="O46" s="232" t="s">
        <v>1020</v>
      </c>
      <c r="P46" s="732" t="s">
        <v>3336</v>
      </c>
      <c r="Q46" s="733"/>
      <c r="R46" s="232">
        <v>4</v>
      </c>
      <c r="S46" s="863">
        <f t="shared" si="12"/>
        <v>0</v>
      </c>
      <c r="T46" s="864"/>
      <c r="U46" s="120" t="str">
        <f t="shared" si="13"/>
        <v/>
      </c>
      <c r="Y46" s="196" t="s">
        <v>92</v>
      </c>
      <c r="AA46" s="461">
        <f t="shared" si="14"/>
        <v>0</v>
      </c>
    </row>
    <row r="47" spans="1:27" ht="15" thickBot="1" x14ac:dyDescent="0.35">
      <c r="B47" s="203" t="s">
        <v>3337</v>
      </c>
      <c r="C47" s="332">
        <v>0</v>
      </c>
      <c r="D47" s="870">
        <v>77700</v>
      </c>
      <c r="E47" s="870"/>
      <c r="F47" s="332" t="s">
        <v>1020</v>
      </c>
      <c r="G47" s="332" t="s">
        <v>1020</v>
      </c>
      <c r="H47" s="332" t="s">
        <v>1020</v>
      </c>
      <c r="I47" s="332" t="s">
        <v>1020</v>
      </c>
      <c r="J47" s="332" t="s">
        <v>1020</v>
      </c>
      <c r="K47" s="332" t="s">
        <v>1020</v>
      </c>
      <c r="L47" s="332" t="s">
        <v>1020</v>
      </c>
      <c r="M47" s="332">
        <v>3</v>
      </c>
      <c r="N47" s="332" t="s">
        <v>1020</v>
      </c>
      <c r="O47" s="332" t="s">
        <v>1020</v>
      </c>
      <c r="P47" s="739" t="s">
        <v>3338</v>
      </c>
      <c r="Q47" s="740"/>
      <c r="R47" s="332">
        <v>5</v>
      </c>
      <c r="S47" s="867">
        <f t="shared" si="12"/>
        <v>0</v>
      </c>
      <c r="T47" s="868"/>
      <c r="U47" s="617" t="str">
        <f t="shared" si="13"/>
        <v/>
      </c>
      <c r="V47" s="22"/>
      <c r="W47" s="22"/>
      <c r="X47" s="22"/>
      <c r="Y47" s="204" t="s">
        <v>92</v>
      </c>
      <c r="Z47" s="22"/>
      <c r="AA47" s="619">
        <f t="shared" si="14"/>
        <v>0</v>
      </c>
    </row>
    <row r="48" spans="1:27" ht="15" thickBot="1" x14ac:dyDescent="0.35">
      <c r="B48" s="197"/>
      <c r="C48" s="232">
        <v>0</v>
      </c>
      <c r="D48" s="869">
        <v>0</v>
      </c>
      <c r="E48" s="869"/>
      <c r="F48" s="232" t="s">
        <v>1020</v>
      </c>
      <c r="G48" s="232" t="s">
        <v>1020</v>
      </c>
      <c r="H48" s="232" t="s">
        <v>1020</v>
      </c>
      <c r="I48" s="232" t="s">
        <v>1020</v>
      </c>
      <c r="J48" s="232" t="s">
        <v>1020</v>
      </c>
      <c r="K48" s="232" t="s">
        <v>1020</v>
      </c>
      <c r="L48" s="232" t="s">
        <v>1020</v>
      </c>
      <c r="M48" s="232" t="s">
        <v>1020</v>
      </c>
      <c r="N48" s="232" t="s">
        <v>1020</v>
      </c>
      <c r="O48" s="232" t="s">
        <v>1020</v>
      </c>
      <c r="P48" s="732"/>
      <c r="Q48" s="733"/>
      <c r="R48" s="232">
        <v>5</v>
      </c>
      <c r="S48" s="863">
        <f t="shared" si="12"/>
        <v>0</v>
      </c>
      <c r="T48" s="864"/>
      <c r="U48" s="120" t="str">
        <f t="shared" si="13"/>
        <v/>
      </c>
      <c r="Y48" s="196" t="s">
        <v>92</v>
      </c>
      <c r="AA48" s="461">
        <f t="shared" si="14"/>
        <v>0</v>
      </c>
    </row>
    <row r="49" spans="2:27" ht="15" thickBot="1" x14ac:dyDescent="0.35">
      <c r="B49" s="203"/>
      <c r="C49" s="332">
        <v>0</v>
      </c>
      <c r="D49" s="870">
        <v>0</v>
      </c>
      <c r="E49" s="870"/>
      <c r="F49" s="332" t="s">
        <v>1020</v>
      </c>
      <c r="G49" s="332" t="s">
        <v>1020</v>
      </c>
      <c r="H49" s="332" t="s">
        <v>1020</v>
      </c>
      <c r="I49" s="332" t="s">
        <v>1020</v>
      </c>
      <c r="J49" s="332" t="s">
        <v>1020</v>
      </c>
      <c r="K49" s="332" t="s">
        <v>1020</v>
      </c>
      <c r="L49" s="332" t="s">
        <v>1020</v>
      </c>
      <c r="M49" s="332" t="s">
        <v>1020</v>
      </c>
      <c r="N49" s="332" t="s">
        <v>1020</v>
      </c>
      <c r="O49" s="332" t="s">
        <v>1020</v>
      </c>
      <c r="P49" s="739"/>
      <c r="Q49" s="740"/>
      <c r="R49" s="332">
        <v>5</v>
      </c>
      <c r="S49" s="865">
        <f t="shared" si="12"/>
        <v>0</v>
      </c>
      <c r="T49" s="866"/>
      <c r="U49" s="618" t="str">
        <f t="shared" si="13"/>
        <v/>
      </c>
      <c r="V49" s="22"/>
      <c r="W49" s="22"/>
      <c r="X49" s="22"/>
      <c r="Y49" s="204" t="s">
        <v>92</v>
      </c>
      <c r="Z49" s="620"/>
      <c r="AA49" s="621">
        <f t="shared" si="14"/>
        <v>0</v>
      </c>
    </row>
    <row r="51" spans="2:27" x14ac:dyDescent="0.3">
      <c r="B51" t="s">
        <v>2358</v>
      </c>
      <c r="T51" t="str">
        <f>"-Self Maintenance reduces the Maintenance period so much"</f>
        <v>-Self Maintenance reduces the Maintenance period so much</v>
      </c>
    </row>
    <row r="52" spans="2:27" x14ac:dyDescent="0.3">
      <c r="T52" t="s">
        <v>2460</v>
      </c>
      <c r="U52" t="s">
        <v>2370</v>
      </c>
    </row>
    <row r="53" spans="2:27" x14ac:dyDescent="0.3">
      <c r="B53" t="s">
        <v>2372</v>
      </c>
      <c r="T53" t="s">
        <v>2461</v>
      </c>
      <c r="U53">
        <f>IF(R40=0,0,C40*2^(R40-1))</f>
        <v>0</v>
      </c>
    </row>
    <row r="54" spans="2:27" x14ac:dyDescent="0.3">
      <c r="U54">
        <f>IF(R41=0,0,C41*2^(R41-1))</f>
        <v>0</v>
      </c>
    </row>
    <row r="55" spans="2:27" x14ac:dyDescent="0.3">
      <c r="T55" t="str">
        <f>"-Robot maintenance is annual, but is divided into months here"</f>
        <v>-Robot maintenance is annual, but is divided into months here</v>
      </c>
      <c r="U55">
        <f>IF(R42=0,0,C42*2^(R42-1))</f>
        <v>0</v>
      </c>
    </row>
    <row r="56" spans="2:27" x14ac:dyDescent="0.3">
      <c r="T56" t="s">
        <v>2462</v>
      </c>
      <c r="U56">
        <f t="shared" ref="U56:U61" si="15">IF(R44=0,0,C44*2^(R44-1))</f>
        <v>0</v>
      </c>
    </row>
    <row r="57" spans="2:27" x14ac:dyDescent="0.3">
      <c r="U57">
        <f t="shared" si="15"/>
        <v>0</v>
      </c>
    </row>
    <row r="58" spans="2:27" x14ac:dyDescent="0.3">
      <c r="U58">
        <f t="shared" si="15"/>
        <v>0</v>
      </c>
    </row>
    <row r="59" spans="2:27" x14ac:dyDescent="0.3">
      <c r="U59">
        <f t="shared" si="15"/>
        <v>0</v>
      </c>
    </row>
    <row r="60" spans="2:27" x14ac:dyDescent="0.3">
      <c r="U60">
        <f t="shared" si="15"/>
        <v>0</v>
      </c>
    </row>
    <row r="61" spans="2:27" x14ac:dyDescent="0.3">
      <c r="U61">
        <f t="shared" si="15"/>
        <v>0</v>
      </c>
    </row>
    <row r="62" spans="2:27" x14ac:dyDescent="0.3">
      <c r="U62" s="106">
        <f>SUM(U53:U61)</f>
        <v>0</v>
      </c>
    </row>
  </sheetData>
  <sheetProtection algorithmName="SHA-512" hashValue="P8vEItU0og8k4uYe4hTsdXkEj4bUG8eRRZTyeq1vttgcvNJ2p1ou3a11trxG8HyQ8WVnRX+3iYZ8J8wMF5UkQQ==" saltValue="gOr8j5qAmI88d6XBMqSQ8A==" spinCount="100000" sheet="1" selectLockedCells="1"/>
  <mergeCells count="41">
    <mergeCell ref="P39:Q39"/>
    <mergeCell ref="P40:Q40"/>
    <mergeCell ref="P41:Q41"/>
    <mergeCell ref="P42:Q42"/>
    <mergeCell ref="S40:T40"/>
    <mergeCell ref="S41:T41"/>
    <mergeCell ref="S39:T39"/>
    <mergeCell ref="S42:T42"/>
    <mergeCell ref="P43:Q43"/>
    <mergeCell ref="P44:Q44"/>
    <mergeCell ref="P45:Q45"/>
    <mergeCell ref="P46:Q46"/>
    <mergeCell ref="P47:Q47"/>
    <mergeCell ref="P48:Q48"/>
    <mergeCell ref="P49:Q49"/>
    <mergeCell ref="D39:E39"/>
    <mergeCell ref="I4:J4"/>
    <mergeCell ref="D40:E40"/>
    <mergeCell ref="D41:E41"/>
    <mergeCell ref="O4:P4"/>
    <mergeCell ref="C8:D8"/>
    <mergeCell ref="P8:R9"/>
    <mergeCell ref="R10:R11"/>
    <mergeCell ref="B35:F35"/>
    <mergeCell ref="I34:K34"/>
    <mergeCell ref="I35:K35"/>
    <mergeCell ref="D42:E42"/>
    <mergeCell ref="D43:E43"/>
    <mergeCell ref="D45:E45"/>
    <mergeCell ref="D44:E44"/>
    <mergeCell ref="D46:E46"/>
    <mergeCell ref="D47:E47"/>
    <mergeCell ref="D48:E48"/>
    <mergeCell ref="D49:E49"/>
    <mergeCell ref="S48:T48"/>
    <mergeCell ref="S49:T49"/>
    <mergeCell ref="S43:T43"/>
    <mergeCell ref="S44:T44"/>
    <mergeCell ref="S45:T45"/>
    <mergeCell ref="S46:T46"/>
    <mergeCell ref="S47:T47"/>
  </mergeCells>
  <conditionalFormatting sqref="A17">
    <cfRule type="expression" dxfId="169" priority="6">
      <formula>$B$7="No"</formula>
    </cfRule>
  </conditionalFormatting>
  <conditionalFormatting sqref="C10:C28">
    <cfRule type="expression" dxfId="168" priority="713">
      <formula>$B$5=$V$9</formula>
    </cfRule>
  </conditionalFormatting>
  <conditionalFormatting sqref="C9:E9">
    <cfRule type="cellIs" dxfId="167" priority="10" operator="equal">
      <formula>$B$5</formula>
    </cfRule>
  </conditionalFormatting>
  <conditionalFormatting sqref="D10:D28">
    <cfRule type="expression" dxfId="166" priority="715">
      <formula>$B$5=$X$9</formula>
    </cfRule>
  </conditionalFormatting>
  <conditionalFormatting sqref="E10:E28">
    <cfRule type="expression" dxfId="165" priority="714">
      <formula>$B$5=$W$9</formula>
    </cfRule>
  </conditionalFormatting>
  <conditionalFormatting sqref="I6">
    <cfRule type="expression" dxfId="164" priority="16">
      <formula>$I$6&lt;0</formula>
    </cfRule>
  </conditionalFormatting>
  <conditionalFormatting sqref="K12 K14 K16 K26">
    <cfRule type="expression" dxfId="163" priority="3">
      <formula>$B$5=$W$9</formula>
    </cfRule>
  </conditionalFormatting>
  <conditionalFormatting sqref="K18">
    <cfRule type="expression" dxfId="162" priority="7">
      <formula>$B$5=$W$9</formula>
    </cfRule>
  </conditionalFormatting>
  <conditionalFormatting sqref="K28">
    <cfRule type="expression" dxfId="161" priority="8">
      <formula>$B$5=$W$9</formula>
    </cfRule>
  </conditionalFormatting>
  <conditionalFormatting sqref="N18:O18">
    <cfRule type="expression" dxfId="160" priority="2">
      <formula>$W$45&gt;0</formula>
    </cfRule>
  </conditionalFormatting>
  <conditionalFormatting sqref="O6">
    <cfRule type="expression" dxfId="159" priority="15">
      <formula>$O$6&lt;0</formula>
    </cfRule>
  </conditionalFormatting>
  <conditionalFormatting sqref="P26:Q26 G27:J27 L27:Q27">
    <cfRule type="expression" dxfId="158" priority="4">
      <formula>$V$41&gt;0</formula>
    </cfRule>
  </conditionalFormatting>
  <conditionalFormatting sqref="Q21:Q25">
    <cfRule type="expression" dxfId="157" priority="5">
      <formula>$P21=$V$5</formula>
    </cfRule>
  </conditionalFormatting>
  <conditionalFormatting sqref="R40:R49">
    <cfRule type="expression" dxfId="156" priority="1">
      <formula>AND(C40&gt;0,R40&lt;1)</formula>
    </cfRule>
  </conditionalFormatting>
  <dataValidations count="12">
    <dataValidation type="whole" operator="greaterThanOrEqual" allowBlank="1" showInputMessage="1" showErrorMessage="1" sqref="E19 E26:F26 E27:E28 F28 K26:K28 F10:F19 E10:E17 C37:C38 C40:C49" xr:uid="{BBFDCF16-BC4A-4FB6-995D-38A5DCADD73C}">
      <formula1>0</formula1>
    </dataValidation>
    <dataValidation type="whole" operator="greaterThanOrEqual" allowBlank="1" showInputMessage="1" showErrorMessage="1" prompt="Enter the average salary for this crew type" sqref="H28 H20:H25" xr:uid="{C34D4D7D-5AE0-4CBE-96BB-7827237F346B}">
      <formula1>0</formula1>
    </dataValidation>
    <dataValidation type="list" allowBlank="1" showInputMessage="1" showErrorMessage="1" sqref="B5" xr:uid="{F6F528E0-4527-4831-9D5D-A9168C6BDD6E}">
      <formula1>$V$9:$X$9</formula1>
    </dataValidation>
    <dataValidation type="list" allowBlank="1" showInputMessage="1" showErrorMessage="1" sqref="B7 P21:P25 P19 P16:P17 P13:P14" xr:uid="{8A12482E-2599-4606-ACD4-8096527A52BD}">
      <formula1>$V$4:$V$5</formula1>
    </dataValidation>
    <dataValidation type="decimal" operator="greaterThanOrEqual" allowBlank="1" showInputMessage="1" showErrorMessage="1" prompt="Enter total tonnage of docked small craft drives and power plants." sqref="H13" xr:uid="{E2B301A4-1AC3-435D-951B-597442E33B00}">
      <formula1>0</formula1>
    </dataValidation>
    <dataValidation type="whole" operator="greaterThanOrEqual" allowBlank="1" showInputMessage="1" showErrorMessage="1" prompt="Enter number of docked small craft." sqref="H11" xr:uid="{6A381247-7144-4DBF-ACE2-CA038E16270F}">
      <formula1>0</formula1>
    </dataValidation>
    <dataValidation type="decimal" operator="greaterThanOrEqual" allowBlank="1" showInputMessage="1" showErrorMessage="1" sqref="N10:N26 D40:E49" xr:uid="{FA147C47-A67B-4359-8C74-F3C90BF8682D}">
      <formula1>0</formula1>
    </dataValidation>
    <dataValidation type="whole" operator="greaterThanOrEqual" allowBlank="1" showInputMessage="1" showErrorMessage="1" prompt="Demand for Stewards is populated by Passenger Staterooms._x000a_For Custom Crew settings, be sure to designate passenger quarters before finalizing crew." sqref="E18" xr:uid="{FE4A2C04-CA71-4047-A775-EDB0692FAC3E}">
      <formula1>0</formula1>
    </dataValidation>
    <dataValidation type="list" allowBlank="1" showInputMessage="1" showErrorMessage="1" sqref="G35 Q34 Y40:Y49" xr:uid="{7DC5C5CB-9A30-47E6-ADC9-985809821C51}">
      <formula1>"Yes,No"</formula1>
    </dataValidation>
    <dataValidation operator="greaterThanOrEqual" allowBlank="1" showInputMessage="1" showErrorMessage="1" sqref="R39 B38 C39:D39 F39:P39" xr:uid="{A1F7BEA6-AB5C-47FE-B94C-E595F79BD06B}"/>
    <dataValidation type="list" operator="greaterThanOrEqual" allowBlank="1" showInputMessage="1" showErrorMessage="1" sqref="R40:R49 F40:O49" xr:uid="{0CC67865-DE9C-48EC-861A-AD83DCAA318A}">
      <formula1>$U$27:$U$36</formula1>
    </dataValidation>
    <dataValidation type="list" allowBlank="1" showInputMessage="1" showErrorMessage="1" sqref="J32" xr:uid="{C9F5BE90-9A24-4818-AC82-CC3AFCA82C1E}">
      <formula1>"Shares,Salary"</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6314C-42BF-4A4A-A887-76875C307521}">
  <dimension ref="A1:Z136"/>
  <sheetViews>
    <sheetView topLeftCell="A107" workbookViewId="0">
      <selection activeCell="B116" sqref="B116:L119"/>
    </sheetView>
  </sheetViews>
  <sheetFormatPr defaultRowHeight="14.4" x14ac:dyDescent="0.3"/>
  <cols>
    <col min="1" max="1" width="31" customWidth="1"/>
    <col min="2" max="2" width="32.109375" customWidth="1"/>
    <col min="3" max="3" width="14.5546875" customWidth="1"/>
    <col min="4" max="4" width="17.109375" customWidth="1"/>
    <col min="5" max="5" width="3.6640625" customWidth="1"/>
    <col min="6" max="6" width="21" customWidth="1"/>
    <col min="8" max="8" width="13.33203125" customWidth="1"/>
    <col min="9" max="9" width="10.33203125" customWidth="1"/>
    <col min="10" max="10" width="14.109375" customWidth="1"/>
    <col min="11" max="11" width="10.5546875" customWidth="1"/>
    <col min="12" max="12" width="11.44140625" customWidth="1"/>
    <col min="16" max="16" width="2.109375" customWidth="1"/>
    <col min="17" max="17" width="2.6640625" customWidth="1"/>
    <col min="18" max="18" width="2.5546875" customWidth="1"/>
    <col min="19" max="19" width="26.33203125" hidden="1" customWidth="1"/>
    <col min="20" max="22" width="9.109375" hidden="1" customWidth="1"/>
    <col min="23" max="23" width="7.44140625" hidden="1" customWidth="1"/>
    <col min="24" max="24" width="11.6640625" hidden="1" customWidth="1"/>
    <col min="25" max="25" width="9.109375" hidden="1" customWidth="1"/>
    <col min="26" max="31" width="9.109375" customWidth="1"/>
  </cols>
  <sheetData>
    <row r="1" spans="1:25" x14ac:dyDescent="0.3">
      <c r="A1" s="3" t="str">
        <f>'Ship Info'!A1</f>
        <v>Ship's Class Name</v>
      </c>
      <c r="B1">
        <f>'Ship Info'!B1</f>
        <v>0</v>
      </c>
      <c r="F1" s="1" t="s">
        <v>1</v>
      </c>
      <c r="Y1" s="9" t="s">
        <v>2212</v>
      </c>
    </row>
    <row r="2" spans="1:25" ht="15" thickBot="1" x14ac:dyDescent="0.35">
      <c r="A2" s="3" t="s">
        <v>418</v>
      </c>
      <c r="B2">
        <f>'Ship Info'!B2</f>
        <v>0</v>
      </c>
      <c r="D2" s="3" t="s">
        <v>0</v>
      </c>
      <c r="E2" s="2">
        <f>'Ship Info'!F2</f>
        <v>12</v>
      </c>
      <c r="F2" s="10">
        <f>'Ship Info'!G2</f>
        <v>6177000</v>
      </c>
      <c r="S2" t="s">
        <v>92</v>
      </c>
    </row>
    <row r="3" spans="1:25" ht="15" thickBot="1" x14ac:dyDescent="0.35">
      <c r="B3" s="9" t="s">
        <v>1994</v>
      </c>
      <c r="C3" s="197" t="s">
        <v>93</v>
      </c>
      <c r="F3" s="10"/>
      <c r="G3" s="79"/>
      <c r="H3" s="483">
        <f>S35</f>
        <v>0</v>
      </c>
      <c r="I3" s="28"/>
      <c r="J3" s="79"/>
      <c r="K3" s="484">
        <f>S39</f>
        <v>0</v>
      </c>
      <c r="S3" t="s">
        <v>93</v>
      </c>
    </row>
    <row r="4" spans="1:25" ht="15" thickBot="1" x14ac:dyDescent="0.35">
      <c r="B4" s="9" t="s">
        <v>1412</v>
      </c>
      <c r="C4" s="197" t="s">
        <v>92</v>
      </c>
      <c r="F4" s="485" t="s">
        <v>44</v>
      </c>
      <c r="H4" s="760" t="s">
        <v>45</v>
      </c>
      <c r="I4" s="760"/>
      <c r="K4" s="760" t="s">
        <v>46</v>
      </c>
      <c r="L4" s="760"/>
      <c r="T4" s="2" t="s">
        <v>520</v>
      </c>
      <c r="U4" s="2" t="s">
        <v>524</v>
      </c>
      <c r="V4" s="2" t="s">
        <v>521</v>
      </c>
      <c r="W4" s="2" t="s">
        <v>522</v>
      </c>
      <c r="X4" s="2" t="s">
        <v>523</v>
      </c>
      <c r="Y4" s="2" t="s">
        <v>541</v>
      </c>
    </row>
    <row r="5" spans="1:25" x14ac:dyDescent="0.3">
      <c r="B5" s="1" t="s">
        <v>1995</v>
      </c>
      <c r="C5" s="1" t="s">
        <v>525</v>
      </c>
      <c r="F5" s="483">
        <f>SUM(F15:F83)</f>
        <v>0</v>
      </c>
      <c r="H5" s="1" t="s">
        <v>390</v>
      </c>
      <c r="I5" s="1" t="s">
        <v>27</v>
      </c>
      <c r="K5" s="1" t="s">
        <v>390</v>
      </c>
      <c r="L5" s="1" t="s">
        <v>27</v>
      </c>
      <c r="S5" t="s">
        <v>511</v>
      </c>
      <c r="T5">
        <v>4</v>
      </c>
      <c r="U5">
        <v>10000</v>
      </c>
      <c r="V5">
        <v>1</v>
      </c>
      <c r="X5">
        <v>250</v>
      </c>
      <c r="Y5">
        <f>(H15+H39)*X5</f>
        <v>0</v>
      </c>
    </row>
    <row r="6" spans="1:25" x14ac:dyDescent="0.3">
      <c r="A6" t="s">
        <v>508</v>
      </c>
      <c r="B6" s="266">
        <f>IF(AND(C12="Yes",'Ship Info'!F7),0,SUM('10-Crew'!E5,'10-Crew'!E7))</f>
        <v>5</v>
      </c>
      <c r="C6" s="496">
        <f>IF(C4=S2,SUM(D22:D35),SUM('9b-Optional'!C156:C159,D22:D35,J51:J52))+IF(C3="No",0,SUM(D15:D17))</f>
        <v>0</v>
      </c>
      <c r="G6" s="2"/>
      <c r="H6" s="10">
        <f>'Ship Info'!I3</f>
        <v>92.53</v>
      </c>
      <c r="I6" s="266">
        <f>'Ship Info'!J3</f>
        <v>100</v>
      </c>
      <c r="J6" s="2"/>
      <c r="K6" s="266">
        <f>'Ship Info'!L3</f>
        <v>0</v>
      </c>
      <c r="L6" s="266">
        <f>'Ship Info'!M3</f>
        <v>20</v>
      </c>
      <c r="S6" t="s">
        <v>512</v>
      </c>
      <c r="T6">
        <v>1</v>
      </c>
      <c r="U6">
        <v>30000</v>
      </c>
      <c r="V6">
        <v>0.5</v>
      </c>
      <c r="X6">
        <v>250</v>
      </c>
      <c r="Y6">
        <f>(H16+H40)*X6</f>
        <v>0</v>
      </c>
    </row>
    <row r="7" spans="1:25" x14ac:dyDescent="0.3">
      <c r="A7" s="206" t="str">
        <f>IF('1-Hull'!B4&lt;100,'5-Bridge'!A9&amp;" seats up to "&amp;'11-Staterooms'!T65&amp;" crew","")</f>
        <v/>
      </c>
      <c r="B7" s="207"/>
      <c r="C7" s="97">
        <f>IF(Tonnage&lt;100,T65,0)</f>
        <v>0</v>
      </c>
      <c r="D7" s="495" t="s">
        <v>537</v>
      </c>
      <c r="E7" s="54"/>
      <c r="F7" s="55">
        <f>SUM(F8:F9)</f>
        <v>0</v>
      </c>
      <c r="S7" t="s">
        <v>513</v>
      </c>
      <c r="T7">
        <v>1</v>
      </c>
      <c r="U7">
        <v>50000</v>
      </c>
      <c r="V7">
        <v>1.5</v>
      </c>
      <c r="X7">
        <v>250</v>
      </c>
      <c r="Y7">
        <f>(H17+H41)*X7</f>
        <v>0</v>
      </c>
    </row>
    <row r="8" spans="1:25" x14ac:dyDescent="0.3">
      <c r="A8" t="s">
        <v>2158</v>
      </c>
      <c r="B8" s="266" t="str">
        <f>""</f>
        <v/>
      </c>
      <c r="C8" s="266" t="str">
        <f>TEXT(D18,"#,###")&amp;"/"&amp;TEXT(D42,"#,###")</f>
        <v>/</v>
      </c>
      <c r="D8" s="56" t="s">
        <v>539</v>
      </c>
      <c r="E8" s="57"/>
      <c r="F8" s="58">
        <f>SUM(Y5:Y7,Y8:Y9,Y11:Y32)</f>
        <v>0</v>
      </c>
      <c r="S8" t="s">
        <v>729</v>
      </c>
      <c r="T8">
        <v>1</v>
      </c>
      <c r="U8">
        <v>50000</v>
      </c>
      <c r="V8">
        <v>0.5</v>
      </c>
      <c r="W8">
        <v>0.1</v>
      </c>
      <c r="X8">
        <v>100</v>
      </c>
      <c r="Y8">
        <f>(H18+H42)*X8</f>
        <v>0</v>
      </c>
    </row>
    <row r="9" spans="1:25" x14ac:dyDescent="0.3">
      <c r="A9" t="s">
        <v>2153</v>
      </c>
      <c r="B9" s="2"/>
      <c r="C9" s="266">
        <f>SUM(D45:D55)+IF(AND(Tonnage&lt;100,C3=S3),SUM(D39:D41))</f>
        <v>0</v>
      </c>
      <c r="D9" s="56" t="s">
        <v>538</v>
      </c>
      <c r="E9" s="57"/>
      <c r="F9" s="58">
        <f>Y37*1000</f>
        <v>0</v>
      </c>
      <c r="S9" t="s">
        <v>730</v>
      </c>
      <c r="T9">
        <v>4</v>
      </c>
      <c r="U9">
        <v>1000000</v>
      </c>
      <c r="V9">
        <v>1</v>
      </c>
      <c r="W9">
        <v>1</v>
      </c>
      <c r="X9">
        <v>100</v>
      </c>
      <c r="Y9">
        <f>H20*X9</f>
        <v>0</v>
      </c>
    </row>
    <row r="10" spans="1:25" x14ac:dyDescent="0.3">
      <c r="A10" t="s">
        <v>532</v>
      </c>
      <c r="B10" s="266" t="str">
        <f>""</f>
        <v/>
      </c>
      <c r="C10" s="266" t="str">
        <f>TEXT(SUM(D15:D17),"#,###")&amp;"/"&amp;TEXT(SUM(D39:D41),"#,###")</f>
        <v>/</v>
      </c>
      <c r="D10" s="59"/>
      <c r="E10" s="60" t="s">
        <v>540</v>
      </c>
      <c r="F10" s="61"/>
      <c r="S10" t="s">
        <v>519</v>
      </c>
      <c r="T10">
        <v>0</v>
      </c>
      <c r="U10">
        <v>100000</v>
      </c>
      <c r="V10">
        <v>1</v>
      </c>
    </row>
    <row r="11" spans="1:25" ht="15" thickBot="1" x14ac:dyDescent="0.35">
      <c r="B11" s="2"/>
      <c r="C11" s="2"/>
      <c r="S11" t="s">
        <v>510</v>
      </c>
      <c r="T11">
        <v>1</v>
      </c>
      <c r="U11">
        <v>100000</v>
      </c>
      <c r="V11">
        <v>1</v>
      </c>
      <c r="X11">
        <v>500</v>
      </c>
      <c r="Y11">
        <f>(H22+'9b-Optional'!H156)*X11</f>
        <v>0</v>
      </c>
    </row>
    <row r="12" spans="1:25" ht="15" thickBot="1" x14ac:dyDescent="0.35">
      <c r="B12" s="7" t="s">
        <v>1447</v>
      </c>
      <c r="C12" s="197" t="s">
        <v>93</v>
      </c>
      <c r="D12" t="str">
        <f>IF(C12="No","","*Use Custom setting on 10-Crew tab of Modular Ship to include module crew.")</f>
        <v>*Use Custom setting on 10-Crew tab of Modular Ship to include module crew.</v>
      </c>
      <c r="S12" t="s">
        <v>1735</v>
      </c>
      <c r="T12">
        <v>6</v>
      </c>
      <c r="U12">
        <v>2000000</v>
      </c>
      <c r="V12">
        <v>6</v>
      </c>
      <c r="X12">
        <v>500</v>
      </c>
      <c r="Y12">
        <f>H32*X12</f>
        <v>0</v>
      </c>
    </row>
    <row r="13" spans="1:25" x14ac:dyDescent="0.3">
      <c r="S13" t="s">
        <v>1736</v>
      </c>
      <c r="T13">
        <v>12</v>
      </c>
      <c r="U13">
        <v>2000000</v>
      </c>
      <c r="V13">
        <v>6</v>
      </c>
      <c r="X13">
        <v>500</v>
      </c>
    </row>
    <row r="14" spans="1:25" ht="18.600000000000001" thickBot="1" x14ac:dyDescent="0.4">
      <c r="A14" s="887" t="s">
        <v>1708</v>
      </c>
      <c r="B14" s="887"/>
      <c r="C14" s="1" t="s">
        <v>296</v>
      </c>
      <c r="D14" s="1" t="s">
        <v>525</v>
      </c>
      <c r="T14">
        <f>IF(A32=S12,6,12)</f>
        <v>6</v>
      </c>
    </row>
    <row r="15" spans="1:25" ht="15" thickBot="1" x14ac:dyDescent="0.35">
      <c r="A15" t="s">
        <v>511</v>
      </c>
      <c r="B15" s="2" t="s">
        <v>529</v>
      </c>
      <c r="C15" s="232">
        <v>0</v>
      </c>
      <c r="D15" s="266">
        <f>$T$5*C15</f>
        <v>0</v>
      </c>
      <c r="F15" s="4">
        <f>C15*$U$5</f>
        <v>0</v>
      </c>
      <c r="H15" s="440">
        <f>C15*$V$5</f>
        <v>0</v>
      </c>
      <c r="K15" s="4"/>
      <c r="S15" t="s">
        <v>1991</v>
      </c>
      <c r="T15">
        <v>1</v>
      </c>
      <c r="U15">
        <v>25000</v>
      </c>
      <c r="V15">
        <v>0.5</v>
      </c>
      <c r="X15">
        <v>250</v>
      </c>
      <c r="Y15">
        <f>C33*X15</f>
        <v>0</v>
      </c>
    </row>
    <row r="16" spans="1:25" ht="15" thickBot="1" x14ac:dyDescent="0.35">
      <c r="A16" t="s">
        <v>2163</v>
      </c>
      <c r="B16" s="2" t="s">
        <v>530</v>
      </c>
      <c r="C16" s="232">
        <v>0</v>
      </c>
      <c r="D16" s="266">
        <f>C16</f>
        <v>0</v>
      </c>
      <c r="F16" s="4">
        <f>C16*$U$6</f>
        <v>0</v>
      </c>
      <c r="H16" s="440">
        <f>C16*$V$6</f>
        <v>0</v>
      </c>
      <c r="K16" s="4"/>
      <c r="S16" t="s">
        <v>514</v>
      </c>
      <c r="T16">
        <v>1</v>
      </c>
      <c r="U16">
        <v>500000</v>
      </c>
      <c r="V16">
        <v>4</v>
      </c>
      <c r="X16">
        <v>250</v>
      </c>
      <c r="Y16">
        <f>(H23+H45+'9b-Optional'!H157)*X16</f>
        <v>0</v>
      </c>
    </row>
    <row r="17" spans="1:25" ht="15" thickBot="1" x14ac:dyDescent="0.35">
      <c r="A17" t="s">
        <v>513</v>
      </c>
      <c r="B17" s="2" t="s">
        <v>2155</v>
      </c>
      <c r="C17" s="232">
        <v>0</v>
      </c>
      <c r="D17" s="266">
        <f>C17</f>
        <v>0</v>
      </c>
      <c r="F17" s="4">
        <f>H17*$U$7</f>
        <v>0</v>
      </c>
      <c r="H17" s="440">
        <f>C17*$V$7</f>
        <v>0</v>
      </c>
      <c r="K17" s="4"/>
      <c r="S17" t="s">
        <v>515</v>
      </c>
      <c r="T17">
        <v>2</v>
      </c>
      <c r="U17">
        <v>500000</v>
      </c>
      <c r="V17">
        <v>4</v>
      </c>
      <c r="X17">
        <v>250</v>
      </c>
      <c r="Y17">
        <f>(H24+H46)*X17</f>
        <v>0</v>
      </c>
    </row>
    <row r="18" spans="1:25" ht="15" thickBot="1" x14ac:dyDescent="0.35">
      <c r="A18" t="s">
        <v>2156</v>
      </c>
      <c r="B18" s="2"/>
      <c r="C18" s="232">
        <v>0</v>
      </c>
      <c r="D18" s="266">
        <f>C18</f>
        <v>0</v>
      </c>
      <c r="F18" s="4">
        <f>C18*$U$8</f>
        <v>0</v>
      </c>
      <c r="H18" s="440">
        <f>C18*$V$8</f>
        <v>0</v>
      </c>
      <c r="K18" s="4">
        <f>ROUNDUP((C18+C42)*$W$8,0)</f>
        <v>0</v>
      </c>
      <c r="L18" t="s">
        <v>2231</v>
      </c>
      <c r="S18" t="s">
        <v>528</v>
      </c>
      <c r="T18">
        <v>1</v>
      </c>
      <c r="U18">
        <v>800000</v>
      </c>
      <c r="V18">
        <v>6</v>
      </c>
      <c r="X18">
        <v>500</v>
      </c>
      <c r="Y18">
        <f>(H25+H47+'9b-Optional'!H158)*X18</f>
        <v>0</v>
      </c>
    </row>
    <row r="19" spans="1:25" ht="15" thickBot="1" x14ac:dyDescent="0.35">
      <c r="A19" s="9" t="s">
        <v>2228</v>
      </c>
      <c r="B19" s="196" t="s">
        <v>880</v>
      </c>
      <c r="C19" s="232">
        <v>0</v>
      </c>
      <c r="D19" s="16" t="str">
        <f>IF(T44=0,0,TEXT(T44,"#,###"))&amp;" Available"</f>
        <v>0 Available</v>
      </c>
      <c r="E19">
        <f>IF(C19=0,0,INDEX(S40:T43,MATCH(B19,S40:S43,0),2))</f>
        <v>0</v>
      </c>
      <c r="F19" s="4">
        <f>C19*(INDEX(S40:V43,MATCH(B19,S40:S43,0),3)-INDEX(S40:V43,MATCH(B19,S40:S43,0),4))</f>
        <v>0</v>
      </c>
      <c r="S19" t="s">
        <v>516</v>
      </c>
      <c r="T19">
        <v>2</v>
      </c>
      <c r="U19">
        <v>800000</v>
      </c>
      <c r="V19">
        <v>6</v>
      </c>
      <c r="X19">
        <v>500</v>
      </c>
      <c r="Y19">
        <f>(H26+H48)*X19</f>
        <v>0</v>
      </c>
    </row>
    <row r="20" spans="1:25" ht="15" thickBot="1" x14ac:dyDescent="0.35">
      <c r="A20" t="s">
        <v>730</v>
      </c>
      <c r="B20" s="2"/>
      <c r="C20" s="232">
        <v>0</v>
      </c>
      <c r="D20" s="266">
        <f>C20*4</f>
        <v>0</v>
      </c>
      <c r="F20" s="4">
        <f>C20*U9</f>
        <v>0</v>
      </c>
      <c r="H20" s="440">
        <f>C20*V9</f>
        <v>0</v>
      </c>
      <c r="K20" s="4">
        <f>C20</f>
        <v>0</v>
      </c>
      <c r="S20" t="s">
        <v>517</v>
      </c>
      <c r="T20">
        <v>1</v>
      </c>
      <c r="U20">
        <v>1500000</v>
      </c>
      <c r="V20">
        <v>10</v>
      </c>
      <c r="X20">
        <v>500</v>
      </c>
      <c r="Y20">
        <f>(H27+H49+'9b-Optional'!H159)*X20</f>
        <v>0</v>
      </c>
    </row>
    <row r="21" spans="1:25" ht="15" thickBot="1" x14ac:dyDescent="0.35">
      <c r="A21" t="s">
        <v>519</v>
      </c>
      <c r="B21" s="2" t="str">
        <f>"Standard Morale = "&amp;H32/2+ROUNDDOWN(SUM(H22:H28)/4,0)&amp;" tons"</f>
        <v>Standard Morale = 0 tons</v>
      </c>
      <c r="C21" s="237">
        <v>0</v>
      </c>
      <c r="D21" s="2"/>
      <c r="F21" s="4">
        <f>C21*$U$10</f>
        <v>0</v>
      </c>
      <c r="H21" s="440">
        <f>C21*$V$10</f>
        <v>0</v>
      </c>
      <c r="K21" s="4"/>
      <c r="M21" s="3" t="s">
        <v>1303</v>
      </c>
      <c r="S21" t="s">
        <v>518</v>
      </c>
      <c r="T21">
        <v>2</v>
      </c>
      <c r="U21">
        <v>1500000</v>
      </c>
      <c r="V21">
        <v>10</v>
      </c>
      <c r="X21">
        <v>500</v>
      </c>
      <c r="Y21">
        <f>(H28+H50)*X21</f>
        <v>0</v>
      </c>
    </row>
    <row r="22" spans="1:25" ht="15" thickBot="1" x14ac:dyDescent="0.35">
      <c r="A22" t="s">
        <v>510</v>
      </c>
      <c r="B22" s="2" t="s">
        <v>533</v>
      </c>
      <c r="C22" s="232">
        <v>0</v>
      </c>
      <c r="D22" s="266">
        <f>C22</f>
        <v>0</v>
      </c>
      <c r="F22" s="4">
        <f>C22*$U$11</f>
        <v>0</v>
      </c>
      <c r="H22" s="440">
        <f>C22*$V$11</f>
        <v>0</v>
      </c>
      <c r="K22" s="4"/>
      <c r="S22" t="s">
        <v>2685</v>
      </c>
      <c r="T22" s="260">
        <f>IF(C51=0,0,D51/C51)</f>
        <v>0</v>
      </c>
      <c r="V22">
        <v>28</v>
      </c>
      <c r="X22">
        <v>8000</v>
      </c>
      <c r="Y22">
        <f>(C51+C29)*X22+J51</f>
        <v>0</v>
      </c>
    </row>
    <row r="23" spans="1:25" ht="15" thickBot="1" x14ac:dyDescent="0.35">
      <c r="A23" t="s">
        <v>514</v>
      </c>
      <c r="B23" s="2"/>
      <c r="C23" s="232">
        <v>0</v>
      </c>
      <c r="D23" s="266">
        <f>C23</f>
        <v>0</v>
      </c>
      <c r="F23" s="4">
        <f>C23*$U$16</f>
        <v>0</v>
      </c>
      <c r="H23" s="440">
        <f>C23*$V$16</f>
        <v>0</v>
      </c>
      <c r="K23" s="4"/>
      <c r="S23" t="s">
        <v>2686</v>
      </c>
      <c r="T23">
        <f>IF(C52=0,0,D52/C52)</f>
        <v>0</v>
      </c>
      <c r="V23">
        <v>60</v>
      </c>
      <c r="X23">
        <v>19000</v>
      </c>
      <c r="Y23">
        <f>C52*X23</f>
        <v>0</v>
      </c>
    </row>
    <row r="24" spans="1:25" ht="15" thickBot="1" x14ac:dyDescent="0.35">
      <c r="A24" t="s">
        <v>515</v>
      </c>
      <c r="B24" s="2"/>
      <c r="C24" s="232">
        <v>0</v>
      </c>
      <c r="D24" s="266">
        <f>C24*2</f>
        <v>0</v>
      </c>
      <c r="F24" s="4">
        <f>C24*$U$17</f>
        <v>0</v>
      </c>
      <c r="H24" s="440">
        <f>C24*$V$17</f>
        <v>0</v>
      </c>
      <c r="K24" s="4"/>
      <c r="S24" t="s">
        <v>2687</v>
      </c>
      <c r="T24">
        <f>IF(C53=0,0,D53/C53)</f>
        <v>0</v>
      </c>
      <c r="X24">
        <v>500</v>
      </c>
      <c r="Y24">
        <f>X24*H53</f>
        <v>0</v>
      </c>
    </row>
    <row r="25" spans="1:25" ht="15" thickBot="1" x14ac:dyDescent="0.35">
      <c r="A25" t="s">
        <v>528</v>
      </c>
      <c r="B25" s="2"/>
      <c r="C25" s="232">
        <v>0</v>
      </c>
      <c r="D25" s="266">
        <f>C25</f>
        <v>0</v>
      </c>
      <c r="F25" s="4">
        <f>C25*$U$18</f>
        <v>0</v>
      </c>
      <c r="H25" s="440">
        <f>C25*$V$18</f>
        <v>0</v>
      </c>
      <c r="K25" s="4"/>
      <c r="S25" t="s">
        <v>2039</v>
      </c>
      <c r="T25">
        <v>6</v>
      </c>
      <c r="U25">
        <v>5000000</v>
      </c>
      <c r="V25">
        <v>20</v>
      </c>
      <c r="X25">
        <v>250</v>
      </c>
      <c r="Y25">
        <f>H30*X25</f>
        <v>0</v>
      </c>
    </row>
    <row r="26" spans="1:25" ht="15" thickBot="1" x14ac:dyDescent="0.35">
      <c r="A26" t="s">
        <v>516</v>
      </c>
      <c r="B26" s="2"/>
      <c r="C26" s="232">
        <v>0</v>
      </c>
      <c r="D26" s="266">
        <f>C26*2</f>
        <v>0</v>
      </c>
      <c r="F26" s="4">
        <f>C26*$U$19</f>
        <v>0</v>
      </c>
      <c r="H26" s="440">
        <f>C26*$V$19</f>
        <v>0</v>
      </c>
      <c r="K26" s="4"/>
      <c r="S26" t="s">
        <v>2699</v>
      </c>
      <c r="T26">
        <v>6</v>
      </c>
      <c r="U26">
        <v>6000000</v>
      </c>
      <c r="V26">
        <v>24</v>
      </c>
      <c r="X26">
        <v>250</v>
      </c>
    </row>
    <row r="27" spans="1:25" ht="15" thickBot="1" x14ac:dyDescent="0.35">
      <c r="A27" t="s">
        <v>517</v>
      </c>
      <c r="C27" s="232">
        <v>0</v>
      </c>
      <c r="D27" s="266">
        <f>C27</f>
        <v>0</v>
      </c>
      <c r="F27" s="4">
        <f>C27*$U$20</f>
        <v>0</v>
      </c>
      <c r="H27" s="440">
        <f>C27*$V$20</f>
        <v>0</v>
      </c>
      <c r="J27" s="1" t="s">
        <v>2688</v>
      </c>
      <c r="K27" s="4"/>
      <c r="M27" s="3" t="s">
        <v>2681</v>
      </c>
      <c r="S27" t="s">
        <v>2373</v>
      </c>
      <c r="T27">
        <f>IF(B34="",0,INDEX(B116:D119,MATCH(B34,B116:B119,0),2))</f>
        <v>0</v>
      </c>
      <c r="U27">
        <f>IF($B$34="",0,INDEX($B$116:$J$119,MATCH($B$34,$B$116:$B$119,0),5))</f>
        <v>0</v>
      </c>
      <c r="V27">
        <f>IF($B$34="",0,INDEX($B$116:$J$119,MATCH($B$34,$B$116:$B$119,0),6))</f>
        <v>0</v>
      </c>
      <c r="W27">
        <f>IF($B$34="",0,INDEX($B$116:$J$119,MATCH($B$34,$B$116:$B$119,0),7))</f>
        <v>0</v>
      </c>
      <c r="X27">
        <f>IF($B$34="",0,INDEX($B$116:$J$119,MATCH($B$34,$B$116:$B$119,0),9))</f>
        <v>0</v>
      </c>
      <c r="Y27">
        <f>H34*X27</f>
        <v>0</v>
      </c>
    </row>
    <row r="28" spans="1:25" ht="15" thickBot="1" x14ac:dyDescent="0.35">
      <c r="A28" t="s">
        <v>518</v>
      </c>
      <c r="C28" s="232">
        <v>0</v>
      </c>
      <c r="D28" s="266">
        <f>C28*2</f>
        <v>0</v>
      </c>
      <c r="F28" s="4">
        <f>C28*$U$21</f>
        <v>0</v>
      </c>
      <c r="H28" s="440">
        <f>C28*$V$21</f>
        <v>0</v>
      </c>
      <c r="J28" s="1" t="s">
        <v>2689</v>
      </c>
      <c r="K28" s="4"/>
      <c r="M28" s="673" t="s">
        <v>2690</v>
      </c>
      <c r="S28" t="s">
        <v>2374</v>
      </c>
      <c r="T28">
        <f>IF(B35="",0,INDEX(B116:D119,MATCH(B35,B116:B119,0),2))</f>
        <v>0</v>
      </c>
      <c r="U28">
        <f>IF($B$35="",0,INDEX($B$116:$J$119,MATCH($B$35,$B$116:$B$119,0),5))</f>
        <v>0</v>
      </c>
      <c r="V28">
        <f>IF($B$35="",0,INDEX($B$116:$J$119,MATCH($B$35,$B$116:$B$119,0),6))</f>
        <v>0</v>
      </c>
      <c r="W28">
        <f>IF($B$35="",0,INDEX($B$116:$J$119,MATCH($B$35,$B$116:$B$119,0),7))</f>
        <v>0</v>
      </c>
      <c r="X28">
        <f>IF($B$35="",0,INDEX($B$116:$J$119,MATCH($B$35,$B$116:$B$119,0),9))</f>
        <v>0</v>
      </c>
      <c r="Y28">
        <f>H35*X28</f>
        <v>0</v>
      </c>
    </row>
    <row r="29" spans="1:25" ht="15" thickBot="1" x14ac:dyDescent="0.35">
      <c r="A29" t="s">
        <v>2685</v>
      </c>
      <c r="B29" s="2"/>
      <c r="C29" s="232">
        <v>0</v>
      </c>
      <c r="D29" s="667">
        <f>ROUNDDOWN(M29*C29,0)+J29</f>
        <v>0</v>
      </c>
      <c r="F29" s="4">
        <f>C29*2500000</f>
        <v>0</v>
      </c>
      <c r="H29" s="4">
        <f>C29*28</f>
        <v>0</v>
      </c>
      <c r="J29" s="197">
        <v>0</v>
      </c>
      <c r="L29" s="672"/>
      <c r="M29" s="668">
        <v>4</v>
      </c>
      <c r="S29" t="s">
        <v>2375</v>
      </c>
      <c r="T29">
        <f>IF(B54="",0,INDEX(B116:D119,MATCH(B54,B116:B119,0),2))</f>
        <v>0</v>
      </c>
      <c r="U29">
        <f>IF($B$54="",0,INDEX($B$116:$J$119,MATCH($B$54,$B$116:$B$119,0),5))</f>
        <v>0</v>
      </c>
      <c r="V29">
        <f>IF($B$54="",0,INDEX($B$116:$J$119,MATCH($B$54,$B$116:$B$119,0),6))</f>
        <v>0</v>
      </c>
      <c r="W29">
        <f>IF($B$54="",0,INDEX($B$116:$J$119,MATCH($B$54,$B$116:$B$119,0),7))</f>
        <v>0</v>
      </c>
      <c r="X29">
        <f>IF($B$54="",0,INDEX($B$116:$J$119,MATCH($B$54,$B$116:$B$119,0),9))</f>
        <v>0</v>
      </c>
      <c r="Y29">
        <f>H54*X29</f>
        <v>0</v>
      </c>
    </row>
    <row r="30" spans="1:25" ht="15" thickBot="1" x14ac:dyDescent="0.35">
      <c r="A30" t="s">
        <v>2040</v>
      </c>
      <c r="B30" s="2" t="s">
        <v>2041</v>
      </c>
      <c r="C30" s="197">
        <v>0</v>
      </c>
      <c r="D30" s="2">
        <f>C30*6</f>
        <v>0</v>
      </c>
      <c r="F30" s="4">
        <f>C30*U25</f>
        <v>0</v>
      </c>
      <c r="H30" s="440">
        <f>C30*V25</f>
        <v>0</v>
      </c>
      <c r="K30" s="4"/>
      <c r="S30" t="s">
        <v>2376</v>
      </c>
      <c r="T30">
        <f>IF(B55="",0,INDEX(B116:D119,MATCH(B55,B116:B119,0),2))</f>
        <v>0</v>
      </c>
      <c r="U30">
        <f>IF($B$55="",0,INDEX($B$116:$J$119,MATCH($B$55,$B$116:$B$119,0),5))</f>
        <v>0</v>
      </c>
      <c r="V30">
        <f>IF($B$55="",0,INDEX($B$116:$J$119,MATCH($B$55,$B$116:$B$119,0),6))</f>
        <v>0</v>
      </c>
      <c r="W30">
        <f>IF($B$55="",0,INDEX($B$116:$J$119,MATCH($B$55,$B$116:$B$119,0),7))</f>
        <v>0</v>
      </c>
      <c r="X30">
        <f>IF($B$55="",0,INDEX($B$116:$J$119,MATCH($B$55,$B$116:$B$119,0),9))</f>
        <v>0</v>
      </c>
      <c r="Y30">
        <f>H55*X30</f>
        <v>0</v>
      </c>
    </row>
    <row r="31" spans="1:25" ht="15" thickBot="1" x14ac:dyDescent="0.35">
      <c r="A31" t="s">
        <v>2700</v>
      </c>
      <c r="B31" s="2" t="s">
        <v>2041</v>
      </c>
      <c r="C31" s="197">
        <v>0</v>
      </c>
      <c r="D31" s="2">
        <f>C31*6</f>
        <v>0</v>
      </c>
      <c r="F31" s="4">
        <f>C31*U26</f>
        <v>0</v>
      </c>
      <c r="H31" s="440">
        <f>C31*V26</f>
        <v>0</v>
      </c>
      <c r="S31" t="s">
        <v>562</v>
      </c>
      <c r="T31">
        <v>20</v>
      </c>
      <c r="U31">
        <v>25000</v>
      </c>
      <c r="V31">
        <v>10</v>
      </c>
      <c r="X31">
        <v>250</v>
      </c>
      <c r="Y31">
        <f>H77*X31</f>
        <v>0</v>
      </c>
    </row>
    <row r="32" spans="1:25" ht="15" thickBot="1" x14ac:dyDescent="0.35">
      <c r="A32" s="196" t="s">
        <v>1735</v>
      </c>
      <c r="B32" s="2" t="str">
        <f>IF(T14=6,"Cramped","Hot Bunked")&amp;" Housing for "&amp;T14</f>
        <v>Cramped Housing for 6</v>
      </c>
      <c r="C32" s="232">
        <v>0</v>
      </c>
      <c r="D32" s="2">
        <f>C32*T14</f>
        <v>0</v>
      </c>
      <c r="F32" s="4">
        <f>C32*U13</f>
        <v>0</v>
      </c>
      <c r="H32" s="440">
        <f>C32*V12</f>
        <v>0</v>
      </c>
      <c r="K32" s="4"/>
      <c r="S32" t="s">
        <v>526</v>
      </c>
      <c r="T32">
        <v>6</v>
      </c>
      <c r="U32">
        <v>250000</v>
      </c>
      <c r="V32">
        <v>4</v>
      </c>
      <c r="X32">
        <v>250</v>
      </c>
      <c r="Y32">
        <f>H36*X32</f>
        <v>0</v>
      </c>
    </row>
    <row r="33" spans="1:25" ht="15" thickBot="1" x14ac:dyDescent="0.35">
      <c r="A33" t="s">
        <v>1991</v>
      </c>
      <c r="B33" s="2" t="s">
        <v>1992</v>
      </c>
      <c r="C33" s="232">
        <v>0</v>
      </c>
      <c r="D33" s="2">
        <f>C33*T15</f>
        <v>0</v>
      </c>
      <c r="F33" s="4">
        <f>C33*U15</f>
        <v>0</v>
      </c>
      <c r="H33" s="440">
        <f>C33*V15</f>
        <v>0</v>
      </c>
      <c r="K33" s="4"/>
    </row>
    <row r="34" spans="1:25" ht="15" thickBot="1" x14ac:dyDescent="0.35">
      <c r="A34" t="s">
        <v>2317</v>
      </c>
      <c r="B34" s="197" t="s">
        <v>1020</v>
      </c>
      <c r="C34" s="232">
        <v>0</v>
      </c>
      <c r="D34" s="2">
        <f>C34*T27</f>
        <v>0</v>
      </c>
      <c r="E34" t="str">
        <f>IF(B34="","",INDEX(B116:E119,MATCH(B34,B116:B119,0),4))</f>
        <v/>
      </c>
      <c r="F34" s="4">
        <f>C34*U27</f>
        <v>0</v>
      </c>
      <c r="H34" s="440">
        <f>C34*V27</f>
        <v>0</v>
      </c>
      <c r="K34" s="4">
        <f>C34*W27</f>
        <v>0</v>
      </c>
      <c r="S34" t="s">
        <v>386</v>
      </c>
      <c r="Y34" t="s">
        <v>520</v>
      </c>
    </row>
    <row r="35" spans="1:25" ht="15" thickBot="1" x14ac:dyDescent="0.35">
      <c r="A35" t="s">
        <v>2317</v>
      </c>
      <c r="B35" s="197" t="s">
        <v>1020</v>
      </c>
      <c r="C35" s="232">
        <v>0</v>
      </c>
      <c r="D35" s="2">
        <f>C35*T28</f>
        <v>0</v>
      </c>
      <c r="E35" t="str">
        <f>IF(B35="","",INDEX(B116:E119,MATCH(B35,B116:B119,0),4))</f>
        <v/>
      </c>
      <c r="F35" s="4">
        <f>C35*U28</f>
        <v>0</v>
      </c>
      <c r="H35" s="440">
        <f>C35*V28</f>
        <v>0</v>
      </c>
      <c r="K35" s="4">
        <f>C35*W28</f>
        <v>0</v>
      </c>
      <c r="S35" s="4">
        <f>SUM(H15:H83)</f>
        <v>0</v>
      </c>
      <c r="Y35">
        <f>SUM(D22:D33,D45:D53,B9:B11,C77*T31,C76*6,SUM('9b-Optional'!C156:C159))+(INDEX(S124:T128,MATCH(B34,S124:S128,0),2)*D34)+(INDEX(S124:T128,MATCH(B35,S124:S128,0),2)*D35)+(INDEX(S124:T128,MATCH(B54,S124:S128,0),2)*D54)+(INDEX(S124:T128,MATCH(B55,S124:S128,0),2)*D55)+0.1*(SUM(D18,D20))+SUM(J51:J52)</f>
        <v>0</v>
      </c>
    </row>
    <row r="36" spans="1:25" x14ac:dyDescent="0.3">
      <c r="A36" t="s">
        <v>564</v>
      </c>
      <c r="F36" s="4"/>
      <c r="H36" s="440"/>
      <c r="K36" s="4"/>
      <c r="Y36">
        <f>'9b-Optional'!H21*2</f>
        <v>0</v>
      </c>
    </row>
    <row r="37" spans="1:25" x14ac:dyDescent="0.3">
      <c r="F37" s="4"/>
      <c r="H37" s="440"/>
      <c r="K37" s="4"/>
      <c r="L37" s="1" t="s">
        <v>2683</v>
      </c>
      <c r="S37" t="s">
        <v>387</v>
      </c>
      <c r="Y37">
        <f>IF(Y36&gt;Y35,0,Y35-Y36)</f>
        <v>0</v>
      </c>
    </row>
    <row r="38" spans="1:25" ht="18.600000000000001" thickBot="1" x14ac:dyDescent="0.4">
      <c r="A38" s="660" t="s">
        <v>2154</v>
      </c>
      <c r="B38" s="660"/>
      <c r="F38" s="4"/>
      <c r="H38" s="440"/>
      <c r="K38" s="4"/>
      <c r="L38" s="1" t="s">
        <v>2682</v>
      </c>
    </row>
    <row r="39" spans="1:25" ht="15" thickBot="1" x14ac:dyDescent="0.35">
      <c r="A39" t="s">
        <v>511</v>
      </c>
      <c r="C39" s="232">
        <v>0</v>
      </c>
      <c r="D39" s="266">
        <f>$T$5*C39</f>
        <v>0</v>
      </c>
      <c r="F39" s="4">
        <f>C39*$U$5</f>
        <v>0</v>
      </c>
      <c r="H39" s="440">
        <f>C39*$V$5</f>
        <v>0</v>
      </c>
      <c r="K39" s="4"/>
      <c r="L39" s="197">
        <v>0</v>
      </c>
      <c r="S39">
        <f>SUM(K15:K122)</f>
        <v>0</v>
      </c>
    </row>
    <row r="40" spans="1:25" ht="15" thickBot="1" x14ac:dyDescent="0.35">
      <c r="A40" t="s">
        <v>2163</v>
      </c>
      <c r="C40" s="232">
        <v>0</v>
      </c>
      <c r="D40" s="266">
        <f>C40</f>
        <v>0</v>
      </c>
      <c r="F40" s="4">
        <f>C40*$U$6</f>
        <v>0</v>
      </c>
      <c r="H40" s="440">
        <f>C40*$V$6</f>
        <v>0</v>
      </c>
      <c r="K40" s="4"/>
      <c r="L40" s="197">
        <v>0</v>
      </c>
      <c r="S40" s="44" t="s">
        <v>880</v>
      </c>
      <c r="T40" s="45">
        <v>0</v>
      </c>
      <c r="U40" s="45">
        <v>0</v>
      </c>
      <c r="V40" s="47">
        <v>0</v>
      </c>
    </row>
    <row r="41" spans="1:25" ht="15" thickBot="1" x14ac:dyDescent="0.35">
      <c r="A41" t="s">
        <v>513</v>
      </c>
      <c r="B41" s="2" t="s">
        <v>531</v>
      </c>
      <c r="C41" s="232">
        <v>0</v>
      </c>
      <c r="D41" s="266">
        <f>C41</f>
        <v>0</v>
      </c>
      <c r="F41" s="4">
        <f>H41*$U$7</f>
        <v>0</v>
      </c>
      <c r="H41" s="440">
        <f>C41*$V$7</f>
        <v>0</v>
      </c>
      <c r="K41" s="4"/>
      <c r="L41" s="197">
        <v>0</v>
      </c>
      <c r="S41" s="78" t="s">
        <v>2232</v>
      </c>
      <c r="T41">
        <v>12</v>
      </c>
      <c r="U41">
        <v>90000</v>
      </c>
      <c r="V41" s="46">
        <v>50000</v>
      </c>
    </row>
    <row r="42" spans="1:25" ht="15" thickBot="1" x14ac:dyDescent="0.35">
      <c r="A42" t="s">
        <v>2157</v>
      </c>
      <c r="C42" s="232">
        <v>0</v>
      </c>
      <c r="D42" s="266">
        <f>C42</f>
        <v>0</v>
      </c>
      <c r="F42" s="4">
        <f>C42*$U$8</f>
        <v>0</v>
      </c>
      <c r="H42" s="440">
        <f>C42*$V$8</f>
        <v>0</v>
      </c>
      <c r="K42" s="4"/>
      <c r="L42" s="197">
        <v>0</v>
      </c>
      <c r="S42" s="78" t="s">
        <v>2224</v>
      </c>
      <c r="T42">
        <v>14</v>
      </c>
      <c r="U42">
        <v>1000000</v>
      </c>
      <c r="V42" s="46">
        <v>50000</v>
      </c>
    </row>
    <row r="43" spans="1:25" ht="15" thickBot="1" x14ac:dyDescent="0.35">
      <c r="A43" s="9" t="s">
        <v>2228</v>
      </c>
      <c r="B43" s="196" t="s">
        <v>880</v>
      </c>
      <c r="C43" s="232">
        <v>0</v>
      </c>
      <c r="D43" t="str">
        <f>IF(T45=0,0,TEXT(T45,"#,###"))&amp;" Available"</f>
        <v>0 Available</v>
      </c>
      <c r="E43">
        <f>IF(C43=0,0,INDEX(S40:T43,MATCH(B43,S40:S43,0),2))</f>
        <v>0</v>
      </c>
      <c r="F43" s="26">
        <f>C43*(INDEX(S40:V43,MATCH(B43,S40:S43,0),3)-INDEX(S40:V43,MATCH(B43,S40:S43,0),4))</f>
        <v>0</v>
      </c>
      <c r="L43" s="197">
        <v>0</v>
      </c>
      <c r="S43" s="78" t="s">
        <v>2225</v>
      </c>
      <c r="T43">
        <v>15</v>
      </c>
      <c r="U43">
        <v>3000000</v>
      </c>
      <c r="V43" s="46">
        <v>50000</v>
      </c>
    </row>
    <row r="44" spans="1:25" ht="15" thickBot="1" x14ac:dyDescent="0.35">
      <c r="A44" t="s">
        <v>519</v>
      </c>
      <c r="B44" s="2" t="str">
        <f>"Standard Morale = "&amp;ROUNDDOWN(SUM(H45:H50)/4,0)&amp;" tons"</f>
        <v>Standard Morale = 0 tons</v>
      </c>
      <c r="C44" s="237">
        <v>0</v>
      </c>
      <c r="D44" s="266"/>
      <c r="F44" s="4">
        <f>C44*$U$10</f>
        <v>0</v>
      </c>
      <c r="H44" s="440">
        <f>C44*$V$10</f>
        <v>0</v>
      </c>
      <c r="K44" s="4"/>
      <c r="L44" s="197">
        <v>0</v>
      </c>
      <c r="S44" s="78" t="s">
        <v>2229</v>
      </c>
      <c r="T44" s="260">
        <f>C18-C19</f>
        <v>0</v>
      </c>
      <c r="V44" s="46"/>
    </row>
    <row r="45" spans="1:25" ht="15" thickBot="1" x14ac:dyDescent="0.35">
      <c r="A45" t="s">
        <v>2443</v>
      </c>
      <c r="B45" s="2" t="s">
        <v>2412</v>
      </c>
      <c r="C45" s="232">
        <v>0</v>
      </c>
      <c r="D45" s="266">
        <f>C45</f>
        <v>0</v>
      </c>
      <c r="F45" s="4">
        <f>C45*$U$16</f>
        <v>0</v>
      </c>
      <c r="H45" s="440">
        <f>C45*$V$16</f>
        <v>0</v>
      </c>
      <c r="K45" s="4"/>
      <c r="L45" s="197">
        <v>0</v>
      </c>
      <c r="S45" s="86" t="s">
        <v>2230</v>
      </c>
      <c r="T45" s="557">
        <f>C42-C43</f>
        <v>0</v>
      </c>
      <c r="U45" s="28"/>
      <c r="V45" s="79"/>
    </row>
    <row r="46" spans="1:25" ht="15" thickBot="1" x14ac:dyDescent="0.35">
      <c r="A46" t="s">
        <v>515</v>
      </c>
      <c r="B46" s="2" t="s">
        <v>2444</v>
      </c>
      <c r="C46" s="232">
        <v>0</v>
      </c>
      <c r="D46" s="266">
        <f>C46*2</f>
        <v>0</v>
      </c>
      <c r="F46" s="4">
        <f>C46*$U$17</f>
        <v>0</v>
      </c>
      <c r="H46" s="440">
        <f>C46*$V$17</f>
        <v>0</v>
      </c>
      <c r="K46" s="4"/>
      <c r="L46" s="197">
        <v>0</v>
      </c>
    </row>
    <row r="47" spans="1:25" ht="15" thickBot="1" x14ac:dyDescent="0.35">
      <c r="A47" t="s">
        <v>528</v>
      </c>
      <c r="C47" s="232">
        <v>0</v>
      </c>
      <c r="D47" s="266">
        <f>C47</f>
        <v>0</v>
      </c>
      <c r="F47" s="4">
        <f>C47*$U$18</f>
        <v>0</v>
      </c>
      <c r="H47" s="440">
        <f>C47*$V$18</f>
        <v>0</v>
      </c>
      <c r="K47" s="4"/>
      <c r="L47" s="197">
        <v>0</v>
      </c>
    </row>
    <row r="48" spans="1:25" ht="15" thickBot="1" x14ac:dyDescent="0.35">
      <c r="A48" t="s">
        <v>516</v>
      </c>
      <c r="C48" s="232">
        <v>0</v>
      </c>
      <c r="D48" s="266">
        <f>C48*2</f>
        <v>0</v>
      </c>
      <c r="F48" s="4">
        <f>C48*$U$19</f>
        <v>0</v>
      </c>
      <c r="H48" s="440">
        <f>C48*$V$19</f>
        <v>0</v>
      </c>
      <c r="K48" s="4"/>
      <c r="L48" s="197">
        <v>0</v>
      </c>
    </row>
    <row r="49" spans="1:26" ht="15" thickBot="1" x14ac:dyDescent="0.35">
      <c r="A49" t="s">
        <v>517</v>
      </c>
      <c r="C49" s="232">
        <v>0</v>
      </c>
      <c r="D49" s="266">
        <f>C49</f>
        <v>0</v>
      </c>
      <c r="F49" s="4">
        <f>C49*$U$20</f>
        <v>0</v>
      </c>
      <c r="H49" s="440">
        <f>C49*$V$20</f>
        <v>0</v>
      </c>
      <c r="J49" s="1" t="s">
        <v>2688</v>
      </c>
      <c r="K49" s="4"/>
      <c r="L49" s="634">
        <v>0</v>
      </c>
      <c r="M49" s="674" t="s">
        <v>2681</v>
      </c>
      <c r="O49" s="1"/>
    </row>
    <row r="50" spans="1:26" ht="15" thickBot="1" x14ac:dyDescent="0.35">
      <c r="A50" t="s">
        <v>518</v>
      </c>
      <c r="C50" s="232">
        <v>0</v>
      </c>
      <c r="D50" s="266">
        <f>C50*2</f>
        <v>0</v>
      </c>
      <c r="F50" s="4">
        <f>C50*$U$21</f>
        <v>0</v>
      </c>
      <c r="H50" s="440">
        <f>C50*$V$21</f>
        <v>0</v>
      </c>
      <c r="J50" s="1" t="s">
        <v>2689</v>
      </c>
      <c r="K50" s="4"/>
      <c r="L50" s="634">
        <v>0</v>
      </c>
      <c r="M50" s="675" t="s">
        <v>2684</v>
      </c>
      <c r="O50" s="1"/>
      <c r="S50" t="s">
        <v>2685</v>
      </c>
      <c r="T50">
        <f>4</f>
        <v>4</v>
      </c>
    </row>
    <row r="51" spans="1:26" ht="15" thickBot="1" x14ac:dyDescent="0.35">
      <c r="A51" t="s">
        <v>2685</v>
      </c>
      <c r="B51" s="2" t="s">
        <v>2680</v>
      </c>
      <c r="C51" s="232">
        <v>0</v>
      </c>
      <c r="D51" s="667">
        <f>ROUNDDOWN(M51*C51,0)</f>
        <v>0</v>
      </c>
      <c r="F51" s="4">
        <f>C51*2500000</f>
        <v>0</v>
      </c>
      <c r="H51" s="4">
        <f>C51*28</f>
        <v>0</v>
      </c>
      <c r="J51" s="197">
        <v>0</v>
      </c>
      <c r="L51" s="197">
        <v>0</v>
      </c>
      <c r="M51" s="668">
        <v>4</v>
      </c>
      <c r="R51" t="s">
        <v>33</v>
      </c>
      <c r="S51" t="s">
        <v>2686</v>
      </c>
      <c r="T51">
        <f>6</f>
        <v>6</v>
      </c>
    </row>
    <row r="52" spans="1:26" ht="15" thickBot="1" x14ac:dyDescent="0.35">
      <c r="A52" t="s">
        <v>2686</v>
      </c>
      <c r="B52" s="2" t="s">
        <v>2680</v>
      </c>
      <c r="C52" s="232">
        <v>0</v>
      </c>
      <c r="D52" s="2">
        <f>ROUNDUP(C52*M52,0)</f>
        <v>0</v>
      </c>
      <c r="F52" s="4">
        <f>C52*6000000</f>
        <v>0</v>
      </c>
      <c r="H52" s="4">
        <f>C52*60</f>
        <v>0</v>
      </c>
      <c r="J52" s="197">
        <v>0</v>
      </c>
      <c r="L52" s="197">
        <v>0</v>
      </c>
      <c r="M52" s="668">
        <v>6</v>
      </c>
      <c r="S52" t="s">
        <v>2687</v>
      </c>
      <c r="T52">
        <v>24</v>
      </c>
    </row>
    <row r="53" spans="1:26" ht="15" thickBot="1" x14ac:dyDescent="0.35">
      <c r="A53" t="s">
        <v>2687</v>
      </c>
      <c r="C53" s="232">
        <v>0</v>
      </c>
      <c r="D53" s="2">
        <f>ROUNDUP(C53*M53,0)</f>
        <v>0</v>
      </c>
      <c r="F53" s="4">
        <f>100000*H53</f>
        <v>0</v>
      </c>
      <c r="H53" s="4">
        <f>C53*4+(1.5*ROUNDUP(C53*M53,0))</f>
        <v>0</v>
      </c>
      <c r="L53" s="197">
        <v>0</v>
      </c>
      <c r="M53" s="668">
        <v>24</v>
      </c>
    </row>
    <row r="54" spans="1:26" ht="15" thickBot="1" x14ac:dyDescent="0.35">
      <c r="A54" t="s">
        <v>2317</v>
      </c>
      <c r="B54" s="196" t="s">
        <v>1020</v>
      </c>
      <c r="C54" s="232">
        <v>0</v>
      </c>
      <c r="D54" s="266">
        <f>C54*T29</f>
        <v>0</v>
      </c>
      <c r="E54" t="str">
        <f>IF(B54="","",INDEX(B116:E119,MATCH(B54,B116:B119,0),4))</f>
        <v/>
      </c>
      <c r="F54" s="4">
        <f>C54*U29</f>
        <v>0</v>
      </c>
      <c r="H54" s="440">
        <f>C54*V29</f>
        <v>0</v>
      </c>
      <c r="K54" s="4">
        <f>C54*W29</f>
        <v>0</v>
      </c>
      <c r="L54" s="197">
        <v>0</v>
      </c>
    </row>
    <row r="55" spans="1:26" ht="15" thickBot="1" x14ac:dyDescent="0.35">
      <c r="A55" t="s">
        <v>2317</v>
      </c>
      <c r="B55" s="196" t="s">
        <v>1020</v>
      </c>
      <c r="C55" s="232">
        <v>0</v>
      </c>
      <c r="D55" s="266">
        <f>C55*T30</f>
        <v>0</v>
      </c>
      <c r="E55" t="str">
        <f>IF(B55="","",INDEX(B116:E119,MATCH(B55,B116:B119,0),4))</f>
        <v/>
      </c>
      <c r="F55" s="4">
        <f>C55*U30</f>
        <v>0</v>
      </c>
      <c r="H55" s="440">
        <f>C55*V30</f>
        <v>0</v>
      </c>
      <c r="K55" s="4">
        <f>C55*W30</f>
        <v>0</v>
      </c>
      <c r="L55" s="197">
        <v>0</v>
      </c>
    </row>
    <row r="56" spans="1:26" ht="15" thickBot="1" x14ac:dyDescent="0.35">
      <c r="B56" s="77"/>
      <c r="C56" s="515"/>
      <c r="D56" s="266"/>
      <c r="F56" s="4"/>
      <c r="H56" s="440"/>
      <c r="K56" s="4"/>
      <c r="L56" s="72"/>
    </row>
    <row r="57" spans="1:26" ht="15" thickBot="1" x14ac:dyDescent="0.35">
      <c r="A57" t="str">
        <f>IF(C57="Yes","DM-1 to Defeat Covered Security","")</f>
        <v/>
      </c>
      <c r="B57" s="7" t="s">
        <v>2696</v>
      </c>
      <c r="C57" s="197" t="s">
        <v>92</v>
      </c>
      <c r="D57" s="266"/>
      <c r="F57" s="4">
        <f>100000*H57</f>
        <v>0</v>
      </c>
      <c r="H57" s="440">
        <f>0.1*IF(C57="No",0,L39*V5+L40*V6+V7*L41+V8*L42+L44+L45*4+L46*4+L47*6+L48*6+L49*10+L50*10+L51*28+L52*60+L53*IF(C53=0,0,H53/C53)+L54*IF(C54=0,0,H54/C54)+L55*IF(C55=0,0,H55/C55))</f>
        <v>0</v>
      </c>
      <c r="K57" s="4"/>
      <c r="S57" s="260">
        <f>SUM(C6:C11,'9b-Optional'!C156:C159)</f>
        <v>0</v>
      </c>
      <c r="Z57" s="4"/>
    </row>
    <row r="58" spans="1:26" ht="15" thickBot="1" x14ac:dyDescent="0.35">
      <c r="B58" s="7" t="s">
        <v>91</v>
      </c>
      <c r="C58" s="197" t="s">
        <v>92</v>
      </c>
      <c r="F58" s="4">
        <f>200000*H58</f>
        <v>0</v>
      </c>
      <c r="H58" s="440">
        <f>IF(C58="Yes",0.1*SUM(H15:H55,H62:H71,H76:H83),0)</f>
        <v>0</v>
      </c>
      <c r="S58" t="str">
        <f>"Capacity: "&amp;S57&amp;IF(C15&gt;0,", "&amp;C15&amp;"x "&amp;A15,"")&amp;IF(C16&gt;0,", "&amp;C16&amp;"x "&amp;A16,"")&amp;IF(C17&gt;0,", "&amp;C17&amp;"x "&amp;A17,"")&amp;IF(C18&gt;0,", "&amp;C18&amp;"x "&amp;A18,"")&amp;IF(C20&gt;0,", "&amp;C20&amp;"x "&amp;A20,"")&amp;IF(C21&gt;0,", "&amp;C21&amp;" tons of "&amp;A21,"")&amp;IF(C22&gt;0,", "&amp;C22&amp;"x "&amp;A22,"")&amp;IF(S60&gt;0,", "&amp;S60&amp;"x Standard Staterooms","")&amp;""&amp;IF(S61&gt;0,", "&amp;S61&amp;"x High Staterooms","")&amp;""&amp;IF(S62&gt;0,", "&amp;S62&amp;"x Luxury Staterooms","")&amp;IF(SUM(T59:T62)=0,"","Residential Zones: "&amp;IF(T59=0,"",T59&amp;"x Low Quality;")&amp;IF(T60=0,"",T60&amp;"x Medium Quality;")&amp;IF(T61=0,"",T61&amp;"x High Quality;")&amp;IF(T62=0,"",T62&amp;"x Luxury Quality"))&amp;IF(C76&gt;0,", "&amp;C76&amp;"x "&amp;A76,"")&amp;""&amp;IF(C78&gt;0,", "&amp;C78&amp;"x tons "&amp;A78,"")&amp;""&amp;IF(C77&gt;0,", "&amp;C77&amp;"x "&amp;A77,"")&amp;""&amp;IF(C58=S3,", Armored Bulkheads","")&amp;""&amp;IF(C59=S3,", EMP Hardened","")&amp;IF(C62=S79,"",", "&amp;C62&amp;" "&amp;B62)&amp;IF(C63=0,"",", "&amp;C63&amp;"x Distillery Units")&amp;IF(C64=0,"",", Gourmet Kitchen, cap: "&amp;C64)&amp;IF(C65=0,"",", Hot Tub for "&amp;C65)&amp;IF(C66=0,"",", "&amp;C66&amp;"x "&amp;B66)&amp;IF(C67=0,"",", "&amp;H67&amp;" dtons "&amp;B67)&amp;IF(C68=0,"",", "&amp;H68&amp;" dton "&amp;B68)&amp;IF(C68=0,"",", "&amp;H69&amp;" dton "&amp;B69)&amp;IF(C70=0,"",", "&amp;C70&amp;"x "&amp;B70)&amp;IF(C71=0,"",", "&amp;C71&amp;" dtons "&amp;B71)</f>
        <v>Capacity: 0</v>
      </c>
    </row>
    <row r="59" spans="1:26" ht="15" thickBot="1" x14ac:dyDescent="0.35">
      <c r="B59" s="7" t="s">
        <v>409</v>
      </c>
      <c r="C59" s="197" t="s">
        <v>92</v>
      </c>
      <c r="F59" s="4">
        <f>IF(C59="Yes",SUM(F18:F20,F79)*0.5,0)</f>
        <v>0</v>
      </c>
      <c r="H59" s="440"/>
      <c r="T59" s="260">
        <f>'9b-Optional'!C156</f>
        <v>0</v>
      </c>
      <c r="U59" t="s">
        <v>503</v>
      </c>
      <c r="W59" s="260"/>
    </row>
    <row r="60" spans="1:26" x14ac:dyDescent="0.3">
      <c r="F60" s="4"/>
      <c r="H60" s="440"/>
      <c r="S60" s="260">
        <f>SUM(C23:C24)</f>
        <v>0</v>
      </c>
      <c r="T60">
        <f>'9b-Optional'!C157</f>
        <v>0</v>
      </c>
      <c r="U60" t="s">
        <v>316</v>
      </c>
      <c r="X60">
        <f>SUM(D45:D46)*0.01</f>
        <v>0</v>
      </c>
    </row>
    <row r="61" spans="1:26" ht="18.600000000000001" thickBot="1" x14ac:dyDescent="0.4">
      <c r="B61" s="259" t="s">
        <v>1282</v>
      </c>
      <c r="C61" s="16" t="s">
        <v>2266</v>
      </c>
      <c r="H61" s="440"/>
      <c r="S61">
        <f>SUM(C25:C26)</f>
        <v>0</v>
      </c>
      <c r="T61">
        <f>'9b-Optional'!C158</f>
        <v>0</v>
      </c>
      <c r="U61" t="s">
        <v>505</v>
      </c>
      <c r="X61">
        <f>SUM(D47:D48,((C51*M51)-(J51*M51)))*0.1+J51</f>
        <v>0</v>
      </c>
    </row>
    <row r="62" spans="1:26" ht="15" thickBot="1" x14ac:dyDescent="0.35">
      <c r="B62" s="258" t="s">
        <v>1287</v>
      </c>
      <c r="C62" s="197" t="s">
        <v>82</v>
      </c>
      <c r="D62" t="str">
        <f>"Attracts SOC: "&amp;INDEX(S79:U85,MATCH(C62,S79:S85,0),3)&amp;"*"</f>
        <v>Attracts SOC: 0*</v>
      </c>
      <c r="F62" s="4">
        <f>INDEX(S79:T85,MATCH(C62,S79:S85,0),2)</f>
        <v>0</v>
      </c>
      <c r="H62" s="440">
        <v>0</v>
      </c>
      <c r="S62" s="260">
        <f>SUM(C27:C28,J29)</f>
        <v>0</v>
      </c>
      <c r="T62">
        <f>'9b-Optional'!C159</f>
        <v>0</v>
      </c>
      <c r="U62" t="s">
        <v>1286</v>
      </c>
      <c r="X62" s="4">
        <f>SUM(S62,C49:C50,C52)</f>
        <v>0</v>
      </c>
    </row>
    <row r="63" spans="1:26" ht="15" thickBot="1" x14ac:dyDescent="0.35">
      <c r="B63" s="2" t="s">
        <v>1291</v>
      </c>
      <c r="C63" s="232">
        <v>0</v>
      </c>
      <c r="D63" t="str">
        <f>IF(C63=0,"# of Units",TEXT(C63,"#,###")&amp;"xD6 liters/week")</f>
        <v># of Units</v>
      </c>
      <c r="F63" s="4">
        <f>C63*100000</f>
        <v>0</v>
      </c>
      <c r="H63" s="440">
        <f>C63*0.5</f>
        <v>0</v>
      </c>
      <c r="V63" s="9"/>
      <c r="W63" s="260"/>
      <c r="X63" s="260">
        <f>ROUNDUP(SUM(IF(AND(X62&gt;0,SUM(X60:X61)&lt;1),0,SUM(X60:X61)),X62),0)</f>
        <v>0</v>
      </c>
      <c r="Y63" t="s">
        <v>2152</v>
      </c>
    </row>
    <row r="64" spans="1:26" ht="15" thickBot="1" x14ac:dyDescent="0.35">
      <c r="B64" s="2" t="s">
        <v>1292</v>
      </c>
      <c r="C64" s="232">
        <v>0</v>
      </c>
      <c r="D64" t="str">
        <f>TEXT(C64,"#,###")&amp;" diner capacity"</f>
        <v xml:space="preserve"> diner capacity</v>
      </c>
      <c r="F64" s="4">
        <f>H64*200000</f>
        <v>0</v>
      </c>
      <c r="H64" s="440">
        <f>C64</f>
        <v>0</v>
      </c>
      <c r="S64" t="s">
        <v>876</v>
      </c>
      <c r="T64">
        <f>IF(U64&gt;V64,1,0)</f>
        <v>1</v>
      </c>
      <c r="U64" s="260">
        <f>SUM(B6:B11)</f>
        <v>5</v>
      </c>
      <c r="V64" s="260">
        <f>SUM(C6:C11)+IF(OR('2-Drives'!B29='2-Drives'!S5,B10&gt;0),C6,0)</f>
        <v>0</v>
      </c>
    </row>
    <row r="65" spans="1:21" ht="15" thickBot="1" x14ac:dyDescent="0.35">
      <c r="B65" s="2" t="s">
        <v>1293</v>
      </c>
      <c r="C65" s="232">
        <v>0</v>
      </c>
      <c r="D65" t="str">
        <f>"Seating for "&amp;TEXT(C65,"#,###")</f>
        <v xml:space="preserve">Seating for </v>
      </c>
      <c r="F65" s="4">
        <f>H65*12000</f>
        <v>0</v>
      </c>
      <c r="H65" s="440">
        <f>C65*0.25</f>
        <v>0</v>
      </c>
      <c r="S65" s="559" t="s">
        <v>1130</v>
      </c>
      <c r="T65" s="540">
        <f>INDEX(S66:T74,MATCH('5-Bridge'!A9,S66:S74,0),2)</f>
        <v>3</v>
      </c>
    </row>
    <row r="66" spans="1:21" ht="15" thickBot="1" x14ac:dyDescent="0.35">
      <c r="B66" s="2" t="s">
        <v>1296</v>
      </c>
      <c r="C66" s="232">
        <v>0</v>
      </c>
      <c r="D66" t="str">
        <f>"Room for "&amp;TEXT(C66,"#,###")</f>
        <v xml:space="preserve">Room for </v>
      </c>
      <c r="F66" s="4">
        <f>C66*50000</f>
        <v>0</v>
      </c>
      <c r="H66" s="440">
        <f>C66*2</f>
        <v>0</v>
      </c>
      <c r="S66" s="78" t="s">
        <v>74</v>
      </c>
      <c r="T66" s="46">
        <v>1</v>
      </c>
    </row>
    <row r="67" spans="1:21" ht="15" thickBot="1" x14ac:dyDescent="0.35">
      <c r="B67" s="2" t="s">
        <v>1295</v>
      </c>
      <c r="C67" s="232">
        <v>0</v>
      </c>
      <c r="D67" t="s">
        <v>1297</v>
      </c>
      <c r="F67" s="4">
        <f>H67*200000</f>
        <v>0</v>
      </c>
      <c r="H67" s="440">
        <f>IF(AND(C67&gt;0,C67&lt;4),4,C67)</f>
        <v>0</v>
      </c>
      <c r="S67" s="78" t="s">
        <v>75</v>
      </c>
      <c r="T67" s="46"/>
    </row>
    <row r="68" spans="1:21" ht="15" thickBot="1" x14ac:dyDescent="0.35">
      <c r="B68" s="2" t="s">
        <v>1298</v>
      </c>
      <c r="C68" s="232">
        <v>0</v>
      </c>
      <c r="D68" t="s">
        <v>1297</v>
      </c>
      <c r="F68" s="4">
        <f>H68*100000</f>
        <v>0</v>
      </c>
      <c r="H68" s="440">
        <f>IF(AND(C68&gt;0,C68&lt;8),8,C68)</f>
        <v>0</v>
      </c>
      <c r="S68" s="78" t="s">
        <v>122</v>
      </c>
      <c r="T68" s="46">
        <v>3</v>
      </c>
    </row>
    <row r="69" spans="1:21" ht="15" thickBot="1" x14ac:dyDescent="0.35">
      <c r="B69" s="2" t="s">
        <v>1299</v>
      </c>
      <c r="C69" s="232">
        <v>0</v>
      </c>
      <c r="D69" t="s">
        <v>1297</v>
      </c>
      <c r="F69" s="4">
        <f>H69*200000</f>
        <v>0</v>
      </c>
      <c r="H69" s="440">
        <f>IF(AND(C69&gt;0,C69&lt;8),8,C69)</f>
        <v>0</v>
      </c>
      <c r="S69" s="78" t="s">
        <v>77</v>
      </c>
      <c r="T69" s="46">
        <v>2</v>
      </c>
    </row>
    <row r="70" spans="1:21" ht="15" thickBot="1" x14ac:dyDescent="0.35">
      <c r="B70" s="2" t="s">
        <v>1300</v>
      </c>
      <c r="C70" s="232">
        <v>0</v>
      </c>
      <c r="D70" t="s">
        <v>296</v>
      </c>
      <c r="F70" s="4">
        <f>C70*2000</f>
        <v>0</v>
      </c>
      <c r="H70" s="440">
        <v>0</v>
      </c>
      <c r="S70" s="78" t="s">
        <v>78</v>
      </c>
      <c r="T70" s="46">
        <v>2</v>
      </c>
    </row>
    <row r="71" spans="1:21" ht="15" thickBot="1" x14ac:dyDescent="0.35">
      <c r="B71" s="2" t="s">
        <v>1301</v>
      </c>
      <c r="C71" s="232">
        <v>0</v>
      </c>
      <c r="D71" t="s">
        <v>1297</v>
      </c>
      <c r="F71" s="4">
        <f>IF(H71=0,0,50000)</f>
        <v>0</v>
      </c>
      <c r="H71" s="440">
        <f>C71</f>
        <v>0</v>
      </c>
      <c r="S71" s="78" t="s">
        <v>72</v>
      </c>
      <c r="T71" s="46">
        <v>3</v>
      </c>
    </row>
    <row r="72" spans="1:21" x14ac:dyDescent="0.3">
      <c r="B72" s="16" t="s">
        <v>1302</v>
      </c>
      <c r="C72" s="2"/>
      <c r="F72" s="4"/>
      <c r="S72" s="78" t="s">
        <v>2391</v>
      </c>
      <c r="T72" s="46">
        <v>0</v>
      </c>
    </row>
    <row r="73" spans="1:21" x14ac:dyDescent="0.3">
      <c r="B73" s="16" t="s">
        <v>2265</v>
      </c>
      <c r="S73" s="78" t="s">
        <v>2394</v>
      </c>
      <c r="T73" s="46">
        <v>0</v>
      </c>
    </row>
    <row r="74" spans="1:21" ht="15.75" customHeight="1" x14ac:dyDescent="0.3">
      <c r="S74" s="86" t="str">
        <f>""</f>
        <v/>
      </c>
      <c r="T74" s="79">
        <v>0</v>
      </c>
    </row>
    <row r="75" spans="1:21" ht="18.600000000000001" thickBot="1" x14ac:dyDescent="0.4">
      <c r="A75" s="660" t="s">
        <v>872</v>
      </c>
      <c r="B75" s="660"/>
      <c r="C75" s="514"/>
      <c r="F75" s="4"/>
      <c r="H75" s="440"/>
      <c r="K75" s="4"/>
      <c r="S75" t="s">
        <v>1131</v>
      </c>
      <c r="T75">
        <f>'10-Crew'!E5+'10-Crew'!E7-IF('1-Hull'!B4&lt;100,T65,0)</f>
        <v>5</v>
      </c>
    </row>
    <row r="76" spans="1:21" ht="15.75" customHeight="1" thickBot="1" x14ac:dyDescent="0.35">
      <c r="A76" t="s">
        <v>526</v>
      </c>
      <c r="B76" t="s">
        <v>527</v>
      </c>
      <c r="C76" s="232">
        <v>0</v>
      </c>
      <c r="D76" s="2" t="str">
        <f>C76*6&amp;"("&amp;C76*12&amp;")"</f>
        <v>0(0)</v>
      </c>
      <c r="F76" s="4">
        <f>C76*U32</f>
        <v>0</v>
      </c>
      <c r="H76" s="440">
        <f>C76*V32</f>
        <v>0</v>
      </c>
      <c r="K76" s="4"/>
      <c r="S76" t="s">
        <v>1122</v>
      </c>
      <c r="T76" s="3">
        <f>IF(T75&lt;0,0,T75)</f>
        <v>5</v>
      </c>
    </row>
    <row r="77" spans="1:21" ht="15.75" customHeight="1" thickBot="1" x14ac:dyDescent="0.35">
      <c r="A77" t="s">
        <v>481</v>
      </c>
      <c r="B77" t="s">
        <v>563</v>
      </c>
      <c r="C77" s="232">
        <v>0</v>
      </c>
      <c r="D77" s="2" t="str">
        <f>IF(C77&gt;0,C77*T31&amp;"("&amp;C77*T31/2&amp;") Livestock","")</f>
        <v/>
      </c>
      <c r="F77" s="4">
        <f>C77*U31</f>
        <v>0</v>
      </c>
      <c r="H77" s="440">
        <f>C77*V31</f>
        <v>0</v>
      </c>
      <c r="K77" s="4"/>
    </row>
    <row r="78" spans="1:21" ht="15.75" customHeight="1" thickBot="1" x14ac:dyDescent="0.35">
      <c r="A78" t="s">
        <v>534</v>
      </c>
      <c r="B78" t="s">
        <v>535</v>
      </c>
      <c r="C78" s="507">
        <v>0</v>
      </c>
      <c r="D78" s="659" t="s">
        <v>2275</v>
      </c>
      <c r="F78" s="4"/>
      <c r="H78" s="440"/>
      <c r="K78" s="4"/>
      <c r="S78" t="s">
        <v>1283</v>
      </c>
    </row>
    <row r="79" spans="1:21" ht="15" thickBot="1" x14ac:dyDescent="0.35">
      <c r="B79" t="s">
        <v>536</v>
      </c>
      <c r="D79" s="659"/>
      <c r="F79" s="4">
        <f>H79*500000</f>
        <v>0</v>
      </c>
      <c r="H79" s="440">
        <f>C78*0.05</f>
        <v>0</v>
      </c>
      <c r="K79" s="4">
        <f>H79</f>
        <v>0</v>
      </c>
      <c r="S79" t="s">
        <v>82</v>
      </c>
      <c r="T79">
        <v>0</v>
      </c>
      <c r="U79">
        <v>0</v>
      </c>
    </row>
    <row r="80" spans="1:21" ht="15" thickBot="1" x14ac:dyDescent="0.35">
      <c r="A80" t="s">
        <v>2258</v>
      </c>
      <c r="B80" s="196" t="s">
        <v>82</v>
      </c>
      <c r="C80" s="507">
        <v>0</v>
      </c>
      <c r="D80" s="659"/>
      <c r="F80" s="4"/>
      <c r="H80" s="440"/>
      <c r="K80" s="4"/>
      <c r="S80" t="s">
        <v>1284</v>
      </c>
      <c r="T80">
        <v>100</v>
      </c>
      <c r="U80">
        <v>1</v>
      </c>
    </row>
    <row r="81" spans="1:21" ht="15" thickBot="1" x14ac:dyDescent="0.35">
      <c r="B81" t="s">
        <v>2263</v>
      </c>
      <c r="D81" s="659"/>
      <c r="F81" s="4">
        <f>H81*INDEX($S$120:$U$122,MATCH(B80,$S$120:$S$122,0),2)</f>
        <v>0</v>
      </c>
      <c r="H81" s="440">
        <f>IF(B80=S121,Tonnage,C80)*INDEX($S$120:$U$122,MATCH(B80,$S$120:$S$122,0),3)</f>
        <v>0</v>
      </c>
      <c r="K81" s="4"/>
      <c r="S81" t="s">
        <v>1288</v>
      </c>
      <c r="T81">
        <v>500</v>
      </c>
      <c r="U81">
        <v>3</v>
      </c>
    </row>
    <row r="82" spans="1:21" ht="15" thickBot="1" x14ac:dyDescent="0.35">
      <c r="A82" t="s">
        <v>2264</v>
      </c>
      <c r="B82" s="196" t="s">
        <v>82</v>
      </c>
      <c r="C82" s="507">
        <v>0</v>
      </c>
      <c r="D82" s="659"/>
      <c r="F82" s="4"/>
      <c r="H82" s="440"/>
      <c r="K82" s="4"/>
      <c r="S82" t="s">
        <v>1285</v>
      </c>
      <c r="T82">
        <v>1250</v>
      </c>
      <c r="U82">
        <v>5</v>
      </c>
    </row>
    <row r="83" spans="1:21" x14ac:dyDescent="0.3">
      <c r="B83" t="s">
        <v>2273</v>
      </c>
      <c r="F83" s="4">
        <f>H83*INDEX($S$120:$W$122,MATCH(B82,$S$120:$S$122,0),4)</f>
        <v>0</v>
      </c>
      <c r="H83" s="440">
        <f>IF(B82=S121,Tonnage,C82)*INDEX($S$120:$W$122,MATCH(B82,$S$120:$S$122,0),5)</f>
        <v>0</v>
      </c>
      <c r="K83" s="4"/>
      <c r="S83" t="s">
        <v>1289</v>
      </c>
      <c r="T83">
        <v>5000</v>
      </c>
      <c r="U83">
        <v>7</v>
      </c>
    </row>
    <row r="84" spans="1:21" ht="15" thickBot="1" x14ac:dyDescent="0.35">
      <c r="H84" s="440"/>
      <c r="K84" s="4"/>
      <c r="S84" t="s">
        <v>1290</v>
      </c>
      <c r="T84">
        <v>8000</v>
      </c>
      <c r="U84">
        <v>9</v>
      </c>
    </row>
    <row r="85" spans="1:21" ht="15" thickTop="1" x14ac:dyDescent="0.3">
      <c r="A85" s="578" t="s">
        <v>2284</v>
      </c>
      <c r="B85" s="364"/>
      <c r="C85" s="566" t="s">
        <v>2259</v>
      </c>
      <c r="D85" s="364"/>
      <c r="E85" s="364"/>
      <c r="F85" s="566" t="s">
        <v>2261</v>
      </c>
      <c r="G85" s="566"/>
      <c r="H85" s="572" t="s">
        <v>2262</v>
      </c>
      <c r="I85" s="48"/>
      <c r="K85" s="4"/>
      <c r="S85" t="s">
        <v>1286</v>
      </c>
      <c r="T85">
        <v>10000</v>
      </c>
      <c r="U85" t="s">
        <v>1294</v>
      </c>
    </row>
    <row r="86" spans="1:21" ht="15" thickBot="1" x14ac:dyDescent="0.35">
      <c r="A86" s="567" t="s">
        <v>2260</v>
      </c>
      <c r="B86" s="3"/>
      <c r="C86" s="10">
        <f>C78-C87-C88-C89-C90*4-C91*6-C93*28-C94*60-C95*(4+(1.5*M53))-C92*10-C96*4-C97*10-C98-C99-C100-C101-C102-C103-C104-C105-C106-C107-C108-C109</f>
        <v>0</v>
      </c>
      <c r="F86" s="10">
        <f>C80-F87-F88-F89-F90*4-F91*6-F92*10-F96*4-F97*10-F98-F99-F100-F101-F102-F103-F104-F105-F106-F107-F108-F109</f>
        <v>0</v>
      </c>
      <c r="H86" s="10">
        <f>C82-H87-H88-H89-H90*4-H91*6-H92*10-H96*4-H97*10-H98-H99-H100-H101-H102-H103-H104-H105-H106-H107-H108-H109</f>
        <v>0</v>
      </c>
      <c r="I86" s="49"/>
      <c r="K86" s="4"/>
    </row>
    <row r="87" spans="1:21" ht="15" thickBot="1" x14ac:dyDescent="0.35">
      <c r="A87" s="269" t="str">
        <f>"Available: "&amp;'12-Cargo'!$D$56</f>
        <v>Available: 0</v>
      </c>
      <c r="B87" t="s">
        <v>2006</v>
      </c>
      <c r="C87" s="507">
        <v>0</v>
      </c>
      <c r="F87" s="507">
        <v>0</v>
      </c>
      <c r="H87" s="507">
        <v>0</v>
      </c>
      <c r="I87" s="49"/>
      <c r="K87" s="4"/>
    </row>
    <row r="88" spans="1:21" ht="15" thickBot="1" x14ac:dyDescent="0.35">
      <c r="A88" s="568" t="str">
        <f>"Available: "&amp;C22</f>
        <v>Available: 0</v>
      </c>
      <c r="B88" s="22" t="s">
        <v>2189</v>
      </c>
      <c r="C88" s="332">
        <v>0</v>
      </c>
      <c r="D88" s="22"/>
      <c r="E88" s="22"/>
      <c r="F88" s="332">
        <v>0</v>
      </c>
      <c r="G88" s="22"/>
      <c r="H88" s="332">
        <v>0</v>
      </c>
      <c r="I88" s="49"/>
      <c r="K88" s="4"/>
      <c r="S88" t="s">
        <v>1707</v>
      </c>
      <c r="T88">
        <f>SUM(T89:T114)</f>
        <v>1</v>
      </c>
    </row>
    <row r="89" spans="1:21" ht="15" thickBot="1" x14ac:dyDescent="0.35">
      <c r="A89" s="269" t="str">
        <f>"Available: "&amp;SUM(C21,C44,H62:H71)</f>
        <v>Available: 0</v>
      </c>
      <c r="B89" t="s">
        <v>2007</v>
      </c>
      <c r="C89" s="507">
        <v>0</v>
      </c>
      <c r="F89" s="507">
        <v>0</v>
      </c>
      <c r="H89" s="507">
        <v>0</v>
      </c>
      <c r="I89" s="49"/>
      <c r="K89" s="4"/>
      <c r="S89" t="s">
        <v>1708</v>
      </c>
      <c r="T89">
        <f>IF(OR(B6&lt;=C6+C7,B6&lt;=(D15+D16+C7+C6)),0,1)</f>
        <v>1</v>
      </c>
    </row>
    <row r="90" spans="1:21" ht="15" thickBot="1" x14ac:dyDescent="0.35">
      <c r="A90" s="568" t="str">
        <f>"Available: "&amp;SUM(C23:C24,C45:C46)</f>
        <v>Available: 0</v>
      </c>
      <c r="B90" s="22" t="s">
        <v>2008</v>
      </c>
      <c r="C90" s="332">
        <v>0</v>
      </c>
      <c r="D90" s="22"/>
      <c r="E90" s="22"/>
      <c r="F90" s="332">
        <v>0</v>
      </c>
      <c r="G90" s="22"/>
      <c r="H90" s="332">
        <v>0</v>
      </c>
      <c r="I90" s="49"/>
      <c r="K90" s="4"/>
      <c r="S90" t="s">
        <v>2012</v>
      </c>
      <c r="T90">
        <f>IF(OR(C86&lt;0,F86&lt;0,H86&lt;0),1,0)</f>
        <v>0</v>
      </c>
    </row>
    <row r="91" spans="1:21" ht="15" thickBot="1" x14ac:dyDescent="0.35">
      <c r="A91" s="269" t="str">
        <f>"Available: "&amp;SUM(C25:C26,C47:C48)</f>
        <v>Available: 0</v>
      </c>
      <c r="B91" t="s">
        <v>2009</v>
      </c>
      <c r="C91" s="232">
        <v>0</v>
      </c>
      <c r="F91" s="232">
        <v>0</v>
      </c>
      <c r="H91" s="232">
        <v>0</v>
      </c>
      <c r="I91" s="49"/>
      <c r="K91" s="4"/>
      <c r="S91" t="s">
        <v>2013</v>
      </c>
      <c r="T91">
        <f>IF(SUM(C87,F87,H87)&gt;'12-Cargo'!$D$56,1,0)</f>
        <v>0</v>
      </c>
    </row>
    <row r="92" spans="1:21" ht="15" thickBot="1" x14ac:dyDescent="0.35">
      <c r="A92" s="669" t="str">
        <f>"Available: "&amp;SUM(C27:C28,C49:C50)</f>
        <v>Available: 0</v>
      </c>
      <c r="B92" s="144" t="s">
        <v>2010</v>
      </c>
      <c r="C92" s="342">
        <v>0</v>
      </c>
      <c r="D92" s="144"/>
      <c r="E92" s="144"/>
      <c r="F92" s="342">
        <v>0</v>
      </c>
      <c r="G92" s="144"/>
      <c r="H92" s="342">
        <v>0</v>
      </c>
      <c r="I92" s="49"/>
      <c r="S92" t="s">
        <v>2014</v>
      </c>
      <c r="T92">
        <f>IF(SUM(C88,F88,H88)&gt;C22,1,0)</f>
        <v>0</v>
      </c>
    </row>
    <row r="93" spans="1:21" ht="15" thickBot="1" x14ac:dyDescent="0.35">
      <c r="A93" s="22" t="str">
        <f>"Available: "&amp;C51</f>
        <v>Available: 0</v>
      </c>
      <c r="B93" s="22" t="s">
        <v>2685</v>
      </c>
      <c r="C93" s="203">
        <v>0</v>
      </c>
      <c r="D93" s="22"/>
      <c r="E93" s="22"/>
      <c r="F93" s="203">
        <v>0</v>
      </c>
      <c r="G93" s="22"/>
      <c r="H93" s="203">
        <v>0</v>
      </c>
      <c r="I93" s="49"/>
      <c r="S93" t="s">
        <v>2015</v>
      </c>
      <c r="T93">
        <f>IF(SUM(C89,F89,H89)&gt;SUM(C21,C44,H62:H71),1,0)</f>
        <v>0</v>
      </c>
    </row>
    <row r="94" spans="1:21" ht="15" thickBot="1" x14ac:dyDescent="0.35">
      <c r="A94" t="str">
        <f>"Available: "&amp;C52</f>
        <v>Available: 0</v>
      </c>
      <c r="B94" t="s">
        <v>2686</v>
      </c>
      <c r="C94" s="197">
        <v>0</v>
      </c>
      <c r="F94" s="197">
        <v>0</v>
      </c>
      <c r="H94" s="197">
        <v>0</v>
      </c>
      <c r="I94" s="49"/>
      <c r="S94" t="s">
        <v>504</v>
      </c>
      <c r="T94">
        <f>IF(SUM(C90,F90,H90)&gt;SUM(C23:C24,C45:C46),1,0)</f>
        <v>0</v>
      </c>
    </row>
    <row r="95" spans="1:21" ht="15" thickBot="1" x14ac:dyDescent="0.35">
      <c r="A95" s="22" t="str">
        <f>"Available: "&amp;C53</f>
        <v>Available: 0</v>
      </c>
      <c r="B95" t="s">
        <v>2687</v>
      </c>
      <c r="C95" s="203">
        <v>0</v>
      </c>
      <c r="D95" s="22"/>
      <c r="E95" s="22"/>
      <c r="F95" s="203">
        <v>0</v>
      </c>
      <c r="G95" s="22"/>
      <c r="H95" s="203">
        <v>0</v>
      </c>
      <c r="I95" s="49"/>
      <c r="K95" s="4"/>
      <c r="S95" t="s">
        <v>505</v>
      </c>
      <c r="T95">
        <f>IF(SUM(C91,F91,H91)&gt;SUM(C25:C26,C47:C48),1,0)</f>
        <v>0</v>
      </c>
    </row>
    <row r="96" spans="1:21" ht="15" thickBot="1" x14ac:dyDescent="0.35">
      <c r="A96" s="568" t="str">
        <f>"Available: "&amp;C76</f>
        <v>Available: 0</v>
      </c>
      <c r="B96" s="22" t="s">
        <v>2011</v>
      </c>
      <c r="C96" s="332">
        <v>0</v>
      </c>
      <c r="D96" s="22"/>
      <c r="E96" s="22"/>
      <c r="F96" s="332">
        <v>0</v>
      </c>
      <c r="G96" s="22"/>
      <c r="H96" s="332">
        <v>0</v>
      </c>
      <c r="I96" s="49"/>
      <c r="K96" s="4"/>
      <c r="S96" t="s">
        <v>1286</v>
      </c>
      <c r="T96">
        <f>IF(SUM(C92,F92,H92)&gt;SUM(C27:C28,C49:C50),1,0)</f>
        <v>0</v>
      </c>
    </row>
    <row r="97" spans="1:22" ht="15" thickBot="1" x14ac:dyDescent="0.35">
      <c r="A97" s="669" t="str">
        <f>"Available: "&amp;C77</f>
        <v>Available: 0</v>
      </c>
      <c r="B97" s="144" t="s">
        <v>2016</v>
      </c>
      <c r="C97" s="466">
        <v>0</v>
      </c>
      <c r="D97" s="144"/>
      <c r="E97" s="144"/>
      <c r="F97" s="466">
        <v>0</v>
      </c>
      <c r="G97" s="144"/>
      <c r="H97" s="466">
        <v>0</v>
      </c>
      <c r="I97" s="49"/>
      <c r="K97" s="4"/>
      <c r="S97" t="s">
        <v>2685</v>
      </c>
      <c r="T97">
        <f>IF(SUM(C93,F93,H93)&gt;C51,1,0)</f>
        <v>0</v>
      </c>
    </row>
    <row r="98" spans="1:22" ht="15" thickBot="1" x14ac:dyDescent="0.35">
      <c r="A98" s="568" t="str">
        <f t="shared" ref="A98:A104" si="0">"Available: "&amp;U102</f>
        <v>Available: 2</v>
      </c>
      <c r="B98" s="22" t="s">
        <v>2017</v>
      </c>
      <c r="C98" s="533">
        <v>0</v>
      </c>
      <c r="D98" s="22"/>
      <c r="E98" s="22"/>
      <c r="F98" s="533">
        <v>0</v>
      </c>
      <c r="G98" s="22"/>
      <c r="H98" s="533">
        <v>0</v>
      </c>
      <c r="I98" s="49"/>
      <c r="K98" s="4"/>
      <c r="S98" t="s">
        <v>2686</v>
      </c>
      <c r="T98">
        <f>IF(SUM(C94,F94,H94)&gt;C52,1,0)</f>
        <v>0</v>
      </c>
    </row>
    <row r="99" spans="1:22" ht="15" thickBot="1" x14ac:dyDescent="0.35">
      <c r="A99" s="669" t="str">
        <f t="shared" si="0"/>
        <v>Available: 6</v>
      </c>
      <c r="B99" s="144" t="s">
        <v>2018</v>
      </c>
      <c r="C99" s="670">
        <v>0</v>
      </c>
      <c r="D99" s="144"/>
      <c r="E99" s="144"/>
      <c r="F99" s="670">
        <v>0</v>
      </c>
      <c r="G99" s="144"/>
      <c r="H99" s="670">
        <v>0</v>
      </c>
      <c r="I99" s="49"/>
      <c r="K99" s="4"/>
      <c r="S99" t="s">
        <v>2687</v>
      </c>
      <c r="T99">
        <f>IF(SUM(C95,F95,H95)&gt;C53,1,0)</f>
        <v>0</v>
      </c>
    </row>
    <row r="100" spans="1:22" ht="15" thickBot="1" x14ac:dyDescent="0.35">
      <c r="A100" s="568" t="str">
        <f t="shared" si="0"/>
        <v>Available: 0</v>
      </c>
      <c r="B100" s="22" t="s">
        <v>2026</v>
      </c>
      <c r="C100" s="533">
        <v>0</v>
      </c>
      <c r="D100" s="22"/>
      <c r="E100" s="22"/>
      <c r="F100" s="533">
        <v>0</v>
      </c>
      <c r="G100" s="22"/>
      <c r="H100" s="533">
        <v>0</v>
      </c>
      <c r="I100" s="49"/>
      <c r="K100" s="4"/>
      <c r="S100" t="s">
        <v>526</v>
      </c>
      <c r="T100">
        <f>IF(SUM(F96,H96,C96)&gt;C76,1,0)</f>
        <v>0</v>
      </c>
    </row>
    <row r="101" spans="1:22" ht="15" thickBot="1" x14ac:dyDescent="0.35">
      <c r="A101" s="669" t="str">
        <f t="shared" si="0"/>
        <v>Available: 0</v>
      </c>
      <c r="B101" s="144" t="s">
        <v>2019</v>
      </c>
      <c r="C101" s="670">
        <v>0</v>
      </c>
      <c r="D101" s="144"/>
      <c r="E101" s="144"/>
      <c r="F101" s="670">
        <v>0</v>
      </c>
      <c r="G101" s="144"/>
      <c r="H101" s="670">
        <v>0</v>
      </c>
      <c r="I101" s="49"/>
      <c r="K101" s="4"/>
      <c r="S101" t="s">
        <v>481</v>
      </c>
      <c r="T101">
        <f>IF(SUM(C97,F97,H97)&gt;C77,1,0)</f>
        <v>0</v>
      </c>
    </row>
    <row r="102" spans="1:22" ht="15" thickBot="1" x14ac:dyDescent="0.35">
      <c r="A102" s="568" t="str">
        <f t="shared" si="0"/>
        <v>Available: 0</v>
      </c>
      <c r="B102" s="22" t="s">
        <v>2021</v>
      </c>
      <c r="C102" s="533">
        <v>0</v>
      </c>
      <c r="D102" s="22"/>
      <c r="E102" s="22"/>
      <c r="F102" s="533">
        <v>0</v>
      </c>
      <c r="G102" s="22"/>
      <c r="H102" s="533">
        <v>0</v>
      </c>
      <c r="I102" s="49"/>
      <c r="K102" s="4"/>
      <c r="S102" t="s">
        <v>48</v>
      </c>
      <c r="T102">
        <f t="shared" ref="T102:T108" si="1">IF(SUM(C98,F98,H98)&gt;U102,1,0)</f>
        <v>0</v>
      </c>
      <c r="U102">
        <f>ROUNDUP('2-Drives'!S63+'3-Pwr Plant'!S41,0)</f>
        <v>2</v>
      </c>
    </row>
    <row r="103" spans="1:22" ht="15" thickBot="1" x14ac:dyDescent="0.35">
      <c r="A103" s="669" t="str">
        <f t="shared" si="0"/>
        <v>Available: 0</v>
      </c>
      <c r="B103" s="144" t="s">
        <v>2020</v>
      </c>
      <c r="C103" s="670">
        <v>0</v>
      </c>
      <c r="D103" s="144"/>
      <c r="E103" s="144"/>
      <c r="F103" s="670">
        <v>0</v>
      </c>
      <c r="G103" s="144"/>
      <c r="H103" s="670">
        <v>0</v>
      </c>
      <c r="I103" s="49"/>
      <c r="K103" s="4"/>
      <c r="S103" t="s">
        <v>71</v>
      </c>
      <c r="T103">
        <f t="shared" si="1"/>
        <v>0</v>
      </c>
      <c r="U103">
        <f>ROUNDUP('5-Bridge'!S20,0)</f>
        <v>6</v>
      </c>
    </row>
    <row r="104" spans="1:22" ht="15" thickBot="1" x14ac:dyDescent="0.35">
      <c r="A104" s="568" t="str">
        <f t="shared" si="0"/>
        <v>Available: 0</v>
      </c>
      <c r="B104" s="22" t="s">
        <v>2025</v>
      </c>
      <c r="C104" s="533">
        <v>0</v>
      </c>
      <c r="D104" s="22"/>
      <c r="E104" s="22"/>
      <c r="F104" s="533">
        <v>0</v>
      </c>
      <c r="G104" s="22"/>
      <c r="H104" s="533">
        <v>0</v>
      </c>
      <c r="I104" s="49"/>
      <c r="K104" s="4"/>
      <c r="S104" t="s">
        <v>587</v>
      </c>
      <c r="T104">
        <f t="shared" si="1"/>
        <v>0</v>
      </c>
      <c r="U104">
        <f>ROUNDUP('7-Sensors'!S14,0)</f>
        <v>0</v>
      </c>
    </row>
    <row r="105" spans="1:22" ht="15" thickBot="1" x14ac:dyDescent="0.35">
      <c r="A105" s="671" t="s">
        <v>2023</v>
      </c>
      <c r="B105" s="208" t="s">
        <v>2067</v>
      </c>
      <c r="C105" s="670">
        <v>0</v>
      </c>
      <c r="D105" s="144"/>
      <c r="E105" s="144"/>
      <c r="F105" s="670">
        <v>0</v>
      </c>
      <c r="G105" s="144"/>
      <c r="H105" s="670">
        <v>0</v>
      </c>
      <c r="I105" s="49"/>
      <c r="K105" s="4"/>
      <c r="S105" t="s">
        <v>295</v>
      </c>
      <c r="T105">
        <f t="shared" si="1"/>
        <v>0</v>
      </c>
      <c r="U105" s="4">
        <f>ROUNDUP('8a-Weapons'!N9,0)</f>
        <v>0</v>
      </c>
    </row>
    <row r="106" spans="1:22" ht="15" thickBot="1" x14ac:dyDescent="0.35">
      <c r="A106" s="569" t="s">
        <v>2023</v>
      </c>
      <c r="B106" s="204" t="s">
        <v>2068</v>
      </c>
      <c r="C106" s="533">
        <v>0</v>
      </c>
      <c r="D106" s="22"/>
      <c r="E106" s="22"/>
      <c r="F106" s="533">
        <v>0</v>
      </c>
      <c r="G106" s="22"/>
      <c r="H106" s="533">
        <v>0</v>
      </c>
      <c r="I106" s="49"/>
      <c r="K106" s="4"/>
      <c r="S106" t="s">
        <v>395</v>
      </c>
      <c r="T106">
        <f t="shared" si="1"/>
        <v>0</v>
      </c>
      <c r="U106" s="260">
        <f>ROUNDUP('8b-Screens'!S44,0)</f>
        <v>0</v>
      </c>
    </row>
    <row r="107" spans="1:22" ht="19.5" customHeight="1" thickBot="1" x14ac:dyDescent="0.35">
      <c r="A107" s="671" t="s">
        <v>2023</v>
      </c>
      <c r="B107" s="208" t="s">
        <v>2069</v>
      </c>
      <c r="C107" s="670">
        <v>0</v>
      </c>
      <c r="D107" s="144"/>
      <c r="E107" s="144"/>
      <c r="F107" s="670">
        <v>0</v>
      </c>
      <c r="G107" s="144"/>
      <c r="H107" s="670">
        <v>0</v>
      </c>
      <c r="I107" s="49"/>
      <c r="K107" s="4"/>
      <c r="S107" t="s">
        <v>2024</v>
      </c>
      <c r="T107">
        <f t="shared" si="1"/>
        <v>0</v>
      </c>
      <c r="U107">
        <f>ROUNDUP('9a-Optional'!AG29,0)</f>
        <v>0</v>
      </c>
    </row>
    <row r="108" spans="1:22" ht="15" thickBot="1" x14ac:dyDescent="0.35">
      <c r="A108" s="569" t="s">
        <v>2023</v>
      </c>
      <c r="B108" s="204" t="s">
        <v>2070</v>
      </c>
      <c r="C108" s="533">
        <v>0</v>
      </c>
      <c r="D108" s="22"/>
      <c r="E108" s="22"/>
      <c r="F108" s="533">
        <v>0</v>
      </c>
      <c r="G108" s="22"/>
      <c r="H108" s="533">
        <v>0</v>
      </c>
      <c r="I108" s="49"/>
      <c r="K108" s="4"/>
      <c r="S108" t="s">
        <v>2022</v>
      </c>
      <c r="T108">
        <f t="shared" si="1"/>
        <v>0</v>
      </c>
      <c r="U108">
        <f>ROUNDUP('9b-Optional'!S10,0)</f>
        <v>0</v>
      </c>
    </row>
    <row r="109" spans="1:22" ht="15" thickBot="1" x14ac:dyDescent="0.35">
      <c r="A109" s="671" t="s">
        <v>2023</v>
      </c>
      <c r="B109" s="208" t="s">
        <v>2071</v>
      </c>
      <c r="C109" s="670">
        <v>0</v>
      </c>
      <c r="D109" s="144"/>
      <c r="E109" s="144"/>
      <c r="F109" s="670">
        <v>0</v>
      </c>
      <c r="G109" s="144"/>
      <c r="H109" s="670">
        <v>0</v>
      </c>
      <c r="I109" s="49"/>
      <c r="K109" s="4"/>
      <c r="S109" t="s">
        <v>2182</v>
      </c>
      <c r="T109">
        <f>IF(OR(AND(U109&gt;0,U109&lt;8),AND(V109&gt;0,V109&lt;8)),1,0)</f>
        <v>0</v>
      </c>
      <c r="U109" s="260">
        <f>C68</f>
        <v>0</v>
      </c>
      <c r="V109" s="260">
        <f>C69</f>
        <v>0</v>
      </c>
    </row>
    <row r="110" spans="1:22" ht="15" thickBot="1" x14ac:dyDescent="0.35">
      <c r="A110" s="270"/>
      <c r="B110" s="570"/>
      <c r="C110" s="570"/>
      <c r="D110" s="570"/>
      <c r="E110" s="570"/>
      <c r="F110" s="570"/>
      <c r="G110" s="570"/>
      <c r="H110" s="570"/>
      <c r="I110" s="571"/>
      <c r="K110" s="4"/>
      <c r="S110" t="s">
        <v>779</v>
      </c>
      <c r="T110">
        <f>IF(MAX(E15:E71)&gt;E2,1,0)</f>
        <v>0</v>
      </c>
    </row>
    <row r="111" spans="1:22" ht="18.600000000000001" thickTop="1" x14ac:dyDescent="0.35">
      <c r="A111" s="565"/>
      <c r="B111" s="565"/>
      <c r="C111" s="1" t="s">
        <v>2285</v>
      </c>
      <c r="K111" s="4"/>
      <c r="S111" t="s">
        <v>2230</v>
      </c>
      <c r="T111">
        <f>IF(OR(T44&lt;0,T45&lt;0),1,0)</f>
        <v>0</v>
      </c>
    </row>
    <row r="112" spans="1:22" x14ac:dyDescent="0.3">
      <c r="C112" s="1" t="s">
        <v>2283</v>
      </c>
      <c r="K112" s="4"/>
      <c r="S112" t="s">
        <v>2274</v>
      </c>
      <c r="T112">
        <f>IF(W117&gt;1,1,0)</f>
        <v>0</v>
      </c>
    </row>
    <row r="113" spans="1:23" ht="15" thickBot="1" x14ac:dyDescent="0.35">
      <c r="K113" s="284" t="s">
        <v>2539</v>
      </c>
      <c r="L113" s="284"/>
      <c r="S113" t="s">
        <v>2276</v>
      </c>
      <c r="T113">
        <f>IF(AND(U117=1,SUM(C87:C109,F87:F109)&gt;0),1,0)</f>
        <v>0</v>
      </c>
    </row>
    <row r="114" spans="1:23" ht="30" thickTop="1" x14ac:dyDescent="0.35">
      <c r="A114" s="660" t="s">
        <v>2318</v>
      </c>
      <c r="B114" s="660"/>
      <c r="J114" s="13" t="s">
        <v>2325</v>
      </c>
      <c r="K114" s="662" t="s">
        <v>2533</v>
      </c>
      <c r="L114" s="664" t="s">
        <v>2531</v>
      </c>
      <c r="S114" t="s">
        <v>2277</v>
      </c>
      <c r="T114">
        <f>IF(AND(V117=1,SUM(C87:C109,H87:H109)&gt;0),1,0)</f>
        <v>0</v>
      </c>
    </row>
    <row r="115" spans="1:23" ht="15" thickBot="1" x14ac:dyDescent="0.35">
      <c r="A115" t="str">
        <f>""</f>
        <v/>
      </c>
      <c r="B115" s="1" t="s">
        <v>2323</v>
      </c>
      <c r="C115" s="888" t="s">
        <v>2324</v>
      </c>
      <c r="D115" s="888"/>
      <c r="E115" s="1" t="s">
        <v>26</v>
      </c>
      <c r="F115" s="1" t="s">
        <v>1599</v>
      </c>
      <c r="G115" s="1" t="s">
        <v>110</v>
      </c>
      <c r="H115" s="1" t="s">
        <v>54</v>
      </c>
      <c r="I115" s="1" t="s">
        <v>2393</v>
      </c>
      <c r="J115" s="661"/>
      <c r="K115" s="663"/>
      <c r="L115" s="665"/>
    </row>
    <row r="116" spans="1:23" ht="15" thickBot="1" x14ac:dyDescent="0.35">
      <c r="A116" s="3" t="s">
        <v>2319</v>
      </c>
      <c r="B116" s="196" t="s">
        <v>3339</v>
      </c>
      <c r="C116" s="732">
        <v>1</v>
      </c>
      <c r="D116" s="733"/>
      <c r="E116" s="197">
        <v>12</v>
      </c>
      <c r="F116" s="507">
        <v>68000</v>
      </c>
      <c r="G116" s="197">
        <v>0.5</v>
      </c>
      <c r="H116" s="197">
        <v>1</v>
      </c>
      <c r="I116" s="197" t="s">
        <v>93</v>
      </c>
      <c r="J116" s="634">
        <v>100</v>
      </c>
      <c r="K116" s="637"/>
      <c r="L116" s="638" t="s">
        <v>503</v>
      </c>
    </row>
    <row r="117" spans="1:23" ht="15" thickBot="1" x14ac:dyDescent="0.35">
      <c r="A117" s="3" t="s">
        <v>2320</v>
      </c>
      <c r="B117" s="196" t="s">
        <v>3340</v>
      </c>
      <c r="C117" s="732">
        <v>5</v>
      </c>
      <c r="D117" s="733"/>
      <c r="E117" s="197">
        <v>12</v>
      </c>
      <c r="F117" s="507">
        <v>162500</v>
      </c>
      <c r="G117" s="197">
        <v>1</v>
      </c>
      <c r="H117" s="197">
        <v>1</v>
      </c>
      <c r="I117" s="197" t="s">
        <v>93</v>
      </c>
      <c r="J117" s="634">
        <v>100</v>
      </c>
      <c r="K117" s="637"/>
      <c r="L117" s="638" t="s">
        <v>503</v>
      </c>
      <c r="T117">
        <f>IF(C78&gt;0,1,0)</f>
        <v>0</v>
      </c>
      <c r="U117">
        <f>IF(B80=S121,1,0)</f>
        <v>0</v>
      </c>
      <c r="V117">
        <f>IF(B82=S121,1,0)</f>
        <v>0</v>
      </c>
      <c r="W117">
        <f>SUM(T117:V117)</f>
        <v>0</v>
      </c>
    </row>
    <row r="118" spans="1:23" ht="15" thickBot="1" x14ac:dyDescent="0.35">
      <c r="A118" s="3" t="s">
        <v>2321</v>
      </c>
      <c r="B118" s="196" t="s">
        <v>3341</v>
      </c>
      <c r="C118" s="732">
        <v>3</v>
      </c>
      <c r="D118" s="733"/>
      <c r="E118" s="197">
        <v>12</v>
      </c>
      <c r="F118" s="507">
        <v>139400</v>
      </c>
      <c r="G118" s="197">
        <v>1</v>
      </c>
      <c r="H118" s="197">
        <v>1</v>
      </c>
      <c r="I118" s="197" t="s">
        <v>93</v>
      </c>
      <c r="J118" s="634">
        <v>100</v>
      </c>
      <c r="K118" s="637"/>
      <c r="L118" s="638" t="s">
        <v>503</v>
      </c>
      <c r="S118">
        <f>IF(OR(B80=S121,B82=S121),1,0)</f>
        <v>0</v>
      </c>
      <c r="T118" s="2" t="s">
        <v>2271</v>
      </c>
      <c r="U118" s="2"/>
      <c r="V118" s="2" t="s">
        <v>2272</v>
      </c>
      <c r="W118" s="2"/>
    </row>
    <row r="119" spans="1:23" ht="15" thickBot="1" x14ac:dyDescent="0.35">
      <c r="A119" s="3" t="s">
        <v>2322</v>
      </c>
      <c r="B119" s="196" t="s">
        <v>3342</v>
      </c>
      <c r="C119" s="732">
        <v>1</v>
      </c>
      <c r="D119" s="733"/>
      <c r="E119" s="197">
        <v>5</v>
      </c>
      <c r="F119" s="507">
        <v>0</v>
      </c>
      <c r="G119" s="197">
        <v>2</v>
      </c>
      <c r="H119" s="197">
        <v>0</v>
      </c>
      <c r="I119" s="197" t="s">
        <v>92</v>
      </c>
      <c r="J119" s="634">
        <v>250</v>
      </c>
      <c r="K119" s="639"/>
      <c r="L119" s="640" t="s">
        <v>504</v>
      </c>
      <c r="T119" t="s">
        <v>2269</v>
      </c>
      <c r="U119" t="s">
        <v>2270</v>
      </c>
      <c r="V119" t="s">
        <v>2269</v>
      </c>
      <c r="W119" t="s">
        <v>2270</v>
      </c>
    </row>
    <row r="120" spans="1:23" x14ac:dyDescent="0.3">
      <c r="S120" t="s">
        <v>82</v>
      </c>
      <c r="T120">
        <v>0</v>
      </c>
      <c r="U120">
        <v>0</v>
      </c>
      <c r="V120">
        <v>0</v>
      </c>
      <c r="W120">
        <v>0</v>
      </c>
    </row>
    <row r="121" spans="1:23" x14ac:dyDescent="0.3">
      <c r="I121" t="s">
        <v>2327</v>
      </c>
      <c r="S121" t="s">
        <v>2267</v>
      </c>
      <c r="T121">
        <v>100000</v>
      </c>
      <c r="U121">
        <v>0.01</v>
      </c>
      <c r="V121">
        <v>500000</v>
      </c>
      <c r="W121">
        <v>0.08</v>
      </c>
    </row>
    <row r="122" spans="1:23" x14ac:dyDescent="0.3">
      <c r="I122" t="s">
        <v>2326</v>
      </c>
      <c r="S122" t="s">
        <v>2268</v>
      </c>
      <c r="T122">
        <v>200000</v>
      </c>
      <c r="U122">
        <v>0.02</v>
      </c>
      <c r="V122">
        <v>800000</v>
      </c>
      <c r="W122">
        <v>0.12</v>
      </c>
    </row>
    <row r="123" spans="1:23" x14ac:dyDescent="0.3">
      <c r="S123" t="s">
        <v>2377</v>
      </c>
    </row>
    <row r="124" spans="1:23" x14ac:dyDescent="0.3">
      <c r="I124" t="s">
        <v>2532</v>
      </c>
      <c r="S124" s="120" t="str">
        <f>""</f>
        <v/>
      </c>
      <c r="T124">
        <v>0</v>
      </c>
    </row>
    <row r="125" spans="1:23" x14ac:dyDescent="0.3">
      <c r="I125" t="s">
        <v>2537</v>
      </c>
      <c r="S125" s="122" t="str">
        <f>IF(OR(B116="",B116=0,B116=" "),"",B116)</f>
        <v>Improved AutoBerth</v>
      </c>
      <c r="T125">
        <f>IF(I116=$S$2,1,0.1)</f>
        <v>0.1</v>
      </c>
    </row>
    <row r="126" spans="1:23" x14ac:dyDescent="0.3">
      <c r="S126" s="122" t="str">
        <f>IF(OR(B117="",B117=0,B117=" "),"",B117)</f>
        <v>Improved Emergency AutoBerth</v>
      </c>
      <c r="T126">
        <f>IF(I117=$S$2,1,0.1)</f>
        <v>0.1</v>
      </c>
    </row>
    <row r="127" spans="1:23" x14ac:dyDescent="0.3">
      <c r="S127" s="122" t="str">
        <f>IF(OR(B118="",B118=0,B118=" "),"",B118)</f>
        <v>Improved Autoberth Cluster</v>
      </c>
      <c r="T127">
        <f>IF(I118=$S$2,1,0.1)</f>
        <v>0.1</v>
      </c>
    </row>
    <row r="128" spans="1:23" x14ac:dyDescent="0.3">
      <c r="S128" s="121" t="str">
        <f>IF(OR(B119="",B119=0,B119=" "),"",B119)</f>
        <v>Half Stateroom</v>
      </c>
      <c r="T128">
        <f>IF(I119=$S$2,1,0.1)</f>
        <v>1</v>
      </c>
    </row>
    <row r="131" spans="19:19" x14ac:dyDescent="0.3">
      <c r="S131" s="120" t="str">
        <f>""</f>
        <v/>
      </c>
    </row>
    <row r="132" spans="19:19" x14ac:dyDescent="0.3">
      <c r="S132" s="122" t="s">
        <v>503</v>
      </c>
    </row>
    <row r="133" spans="19:19" x14ac:dyDescent="0.3">
      <c r="S133" s="122" t="s">
        <v>880</v>
      </c>
    </row>
    <row r="134" spans="19:19" x14ac:dyDescent="0.3">
      <c r="S134" s="122" t="s">
        <v>504</v>
      </c>
    </row>
    <row r="135" spans="19:19" x14ac:dyDescent="0.3">
      <c r="S135" s="122" t="s">
        <v>505</v>
      </c>
    </row>
    <row r="136" spans="19:19" x14ac:dyDescent="0.3">
      <c r="S136" s="121" t="s">
        <v>1286</v>
      </c>
    </row>
  </sheetData>
  <sheetProtection algorithmName="SHA-512" hashValue="LfL5z3LR08a59FxFFjMRyiklx1HfjKrNlxXZb9ebWdmO28D9bvR/Iz3FRdvzg28Dh5FaQRiqi8jmUFGglRxmCg==" saltValue="MQh5YSRmNAAky63zVJlBbg==" spinCount="100000" sheet="1" selectLockedCells="1"/>
  <mergeCells count="8">
    <mergeCell ref="H4:I4"/>
    <mergeCell ref="K4:L4"/>
    <mergeCell ref="A14:B14"/>
    <mergeCell ref="C118:D118"/>
    <mergeCell ref="C119:D119"/>
    <mergeCell ref="C115:D115"/>
    <mergeCell ref="C116:D116"/>
    <mergeCell ref="C117:D117"/>
  </mergeCells>
  <conditionalFormatting sqref="A39">
    <cfRule type="expression" dxfId="155" priority="66">
      <formula>$C$39&gt;0</formula>
    </cfRule>
  </conditionalFormatting>
  <conditionalFormatting sqref="A40">
    <cfRule type="expression" dxfId="154" priority="65">
      <formula>$C$40&gt;0</formula>
    </cfRule>
  </conditionalFormatting>
  <conditionalFormatting sqref="A42">
    <cfRule type="expression" dxfId="153" priority="64">
      <formula>$C$42&gt;0</formula>
    </cfRule>
  </conditionalFormatting>
  <conditionalFormatting sqref="A45">
    <cfRule type="expression" dxfId="152" priority="63">
      <formula>$C$45&gt;0</formula>
    </cfRule>
  </conditionalFormatting>
  <conditionalFormatting sqref="A46">
    <cfRule type="expression" dxfId="151" priority="62">
      <formula>$C$46&gt;0</formula>
    </cfRule>
  </conditionalFormatting>
  <conditionalFormatting sqref="A47">
    <cfRule type="expression" dxfId="150" priority="61">
      <formula>$C$47&gt;0</formula>
    </cfRule>
  </conditionalFormatting>
  <conditionalFormatting sqref="A48">
    <cfRule type="expression" dxfId="149" priority="60">
      <formula>$C$48&gt;0</formula>
    </cfRule>
  </conditionalFormatting>
  <conditionalFormatting sqref="A49">
    <cfRule type="expression" dxfId="148" priority="59">
      <formula>$C$49&gt;0</formula>
    </cfRule>
  </conditionalFormatting>
  <conditionalFormatting sqref="A50">
    <cfRule type="expression" dxfId="147" priority="58">
      <formula>$C$50&gt;0</formula>
    </cfRule>
  </conditionalFormatting>
  <conditionalFormatting sqref="A86 C86">
    <cfRule type="expression" dxfId="146" priority="79">
      <formula>$C$86&lt;0</formula>
    </cfRule>
  </conditionalFormatting>
  <conditionalFormatting sqref="A15:B15">
    <cfRule type="expression" dxfId="145" priority="112">
      <formula>$C$15&gt;0</formula>
    </cfRule>
  </conditionalFormatting>
  <conditionalFormatting sqref="A16:B16">
    <cfRule type="expression" dxfId="144" priority="111">
      <formula>$C$16&gt;0</formula>
    </cfRule>
  </conditionalFormatting>
  <conditionalFormatting sqref="A17:B17">
    <cfRule type="expression" dxfId="143" priority="110">
      <formula>$C$17&gt;0</formula>
    </cfRule>
  </conditionalFormatting>
  <conditionalFormatting sqref="A18:B18">
    <cfRule type="expression" dxfId="142" priority="109">
      <formula>$C$18&gt;0</formula>
    </cfRule>
  </conditionalFormatting>
  <conditionalFormatting sqref="A20:B20">
    <cfRule type="expression" dxfId="141" priority="108">
      <formula>$C$20&gt;0</formula>
    </cfRule>
  </conditionalFormatting>
  <conditionalFormatting sqref="A21:B21">
    <cfRule type="expression" dxfId="140" priority="612">
      <formula>$C$21&gt;(SUM($H$22:$H$28)/4)-1</formula>
    </cfRule>
    <cfRule type="expression" dxfId="139" priority="611" stopIfTrue="1">
      <formula>$C$21&lt;SUM($H$22:$H$28)/4</formula>
    </cfRule>
    <cfRule type="expression" dxfId="138" priority="610" stopIfTrue="1">
      <formula>$C$21=0</formula>
    </cfRule>
  </conditionalFormatting>
  <conditionalFormatting sqref="A22:B22">
    <cfRule type="expression" dxfId="137" priority="103">
      <formula>$C$22&gt;0</formula>
    </cfRule>
  </conditionalFormatting>
  <conditionalFormatting sqref="A23:B23">
    <cfRule type="expression" dxfId="136" priority="99">
      <formula>$C$23&gt;0</formula>
    </cfRule>
  </conditionalFormatting>
  <conditionalFormatting sqref="A24:B24">
    <cfRule type="expression" dxfId="135" priority="98">
      <formula>$C$24&gt;0</formula>
    </cfRule>
  </conditionalFormatting>
  <conditionalFormatting sqref="A25:B25">
    <cfRule type="expression" dxfId="134" priority="97">
      <formula>$C$25&gt;0</formula>
    </cfRule>
  </conditionalFormatting>
  <conditionalFormatting sqref="A26:B26">
    <cfRule type="expression" dxfId="133" priority="96">
      <formula>$C$26&gt;0</formula>
    </cfRule>
  </conditionalFormatting>
  <conditionalFormatting sqref="A27:B27">
    <cfRule type="expression" dxfId="132" priority="95">
      <formula>$C$27&gt;0</formula>
    </cfRule>
  </conditionalFormatting>
  <conditionalFormatting sqref="A28:B28">
    <cfRule type="expression" dxfId="131" priority="94">
      <formula>$C$28&gt;0</formula>
    </cfRule>
  </conditionalFormatting>
  <conditionalFormatting sqref="A30:B31">
    <cfRule type="expression" dxfId="130" priority="1">
      <formula>$C$30&gt;0</formula>
    </cfRule>
  </conditionalFormatting>
  <conditionalFormatting sqref="A32:B32">
    <cfRule type="expression" dxfId="129" priority="83">
      <formula>$C$32&gt;0</formula>
    </cfRule>
  </conditionalFormatting>
  <conditionalFormatting sqref="A33:B33">
    <cfRule type="expression" dxfId="128" priority="82">
      <formula>$C$33&gt;0</formula>
    </cfRule>
  </conditionalFormatting>
  <conditionalFormatting sqref="A41:B41">
    <cfRule type="expression" dxfId="127" priority="50">
      <formula>$C$41&gt;0</formula>
    </cfRule>
  </conditionalFormatting>
  <conditionalFormatting sqref="A44:B44">
    <cfRule type="expression" dxfId="126" priority="2040">
      <formula>$C$44&gt;(SUM($H$45:$H$50)/4)-1</formula>
    </cfRule>
    <cfRule type="expression" dxfId="125" priority="2038" stopIfTrue="1">
      <formula>$C$44=0</formula>
    </cfRule>
    <cfRule type="expression" dxfId="124" priority="2039" stopIfTrue="1">
      <formula>$C$44&lt;(SUM($H$45:$H$50)/4)</formula>
    </cfRule>
  </conditionalFormatting>
  <conditionalFormatting sqref="A76:B76">
    <cfRule type="expression" dxfId="123" priority="93">
      <formula>$C$76&gt;0</formula>
    </cfRule>
  </conditionalFormatting>
  <conditionalFormatting sqref="A77:B77">
    <cfRule type="expression" dxfId="122" priority="91">
      <formula>$C$77&gt;0</formula>
    </cfRule>
  </conditionalFormatting>
  <conditionalFormatting sqref="A78:B78 B79">
    <cfRule type="expression" dxfId="121" priority="92">
      <formula>$C$78&gt;0</formula>
    </cfRule>
  </conditionalFormatting>
  <conditionalFormatting sqref="A80:B80 B81">
    <cfRule type="expression" dxfId="120" priority="43">
      <formula>$H$81&gt;0</formula>
    </cfRule>
  </conditionalFormatting>
  <conditionalFormatting sqref="A82:B82 B83">
    <cfRule type="expression" dxfId="119" priority="42">
      <formula>$H$83&gt;0</formula>
    </cfRule>
  </conditionalFormatting>
  <conditionalFormatting sqref="A19:C19">
    <cfRule type="expression" dxfId="118" priority="2288">
      <formula>$T$44&lt;0</formula>
    </cfRule>
  </conditionalFormatting>
  <conditionalFormatting sqref="A43:C43">
    <cfRule type="expression" dxfId="117" priority="3229">
      <formula>$T$45&lt;0</formula>
    </cfRule>
  </conditionalFormatting>
  <conditionalFormatting sqref="A57:C57">
    <cfRule type="expression" dxfId="116" priority="2">
      <formula>$C$57="Yes"</formula>
    </cfRule>
  </conditionalFormatting>
  <conditionalFormatting sqref="A78:C82">
    <cfRule type="expression" dxfId="115" priority="3091">
      <formula>$T$112&gt;0</formula>
    </cfRule>
  </conditionalFormatting>
  <conditionalFormatting sqref="B62">
    <cfRule type="expression" dxfId="114" priority="2290">
      <formula>$C$62=$S$79</formula>
    </cfRule>
  </conditionalFormatting>
  <conditionalFormatting sqref="B63:B71 B73">
    <cfRule type="expression" dxfId="113" priority="86">
      <formula>$C63&gt;0</formula>
    </cfRule>
  </conditionalFormatting>
  <conditionalFormatting sqref="B87:C87 F87 H87">
    <cfRule type="expression" dxfId="112" priority="75">
      <formula>$T$91&gt;0</formula>
    </cfRule>
  </conditionalFormatting>
  <conditionalFormatting sqref="B88:C88 F88 H88">
    <cfRule type="expression" dxfId="111" priority="74">
      <formula>$T$92&gt;0</formula>
    </cfRule>
  </conditionalFormatting>
  <conditionalFormatting sqref="B89:C89 F89 H89">
    <cfRule type="expression" dxfId="110" priority="2295">
      <formula>$T$93&gt;0</formula>
    </cfRule>
  </conditionalFormatting>
  <conditionalFormatting sqref="B90:C90 F90 H90 B93">
    <cfRule type="expression" dxfId="109" priority="2296">
      <formula>$T$94&gt;0</formula>
    </cfRule>
  </conditionalFormatting>
  <conditionalFormatting sqref="B91:C91 F91 H91">
    <cfRule type="expression" dxfId="108" priority="2297">
      <formula>$T$95&gt;0</formula>
    </cfRule>
  </conditionalFormatting>
  <conditionalFormatting sqref="B92:C92 F92 H92">
    <cfRule type="expression" dxfId="107" priority="2298">
      <formula>$T$96&gt;0</formula>
    </cfRule>
  </conditionalFormatting>
  <conditionalFormatting sqref="B93:C95">
    <cfRule type="expression" dxfId="106" priority="8">
      <formula>$T97&gt;0</formula>
    </cfRule>
  </conditionalFormatting>
  <conditionalFormatting sqref="B96:C96 F96 H96">
    <cfRule type="expression" dxfId="105" priority="72">
      <formula>$C$96&gt;$C$76</formula>
    </cfRule>
  </conditionalFormatting>
  <conditionalFormatting sqref="B97:C97 F97 H97">
    <cfRule type="expression" dxfId="104" priority="71">
      <formula>$C$97&gt;$C$77</formula>
    </cfRule>
  </conditionalFormatting>
  <conditionalFormatting sqref="B96:I110 C80 C82 B85:I92 B93 I93:I95">
    <cfRule type="expression" dxfId="103" priority="3095">
      <formula>$S$118=1</formula>
    </cfRule>
  </conditionalFormatting>
  <conditionalFormatting sqref="C6">
    <cfRule type="expression" dxfId="102" priority="87">
      <formula>$C$6+$C$7&lt;$B$6</formula>
    </cfRule>
  </conditionalFormatting>
  <conditionalFormatting sqref="C68:C69">
    <cfRule type="expression" dxfId="101" priority="48">
      <formula>AND($C68&gt;0,$C68&lt;8)</formula>
    </cfRule>
  </conditionalFormatting>
  <conditionalFormatting sqref="C87:C92 F87:F92 C96:C109 F96:F109">
    <cfRule type="expression" dxfId="100" priority="3101">
      <formula>$T$113=1</formula>
    </cfRule>
  </conditionalFormatting>
  <conditionalFormatting sqref="C87:C92 H87:H92 C96:C109 H96:H109">
    <cfRule type="expression" dxfId="99" priority="3073">
      <formula>$T$114=1</formula>
    </cfRule>
  </conditionalFormatting>
  <conditionalFormatting sqref="D78:D82">
    <cfRule type="expression" dxfId="98" priority="3109">
      <formula>$T$112=0</formula>
    </cfRule>
  </conditionalFormatting>
  <conditionalFormatting sqref="E19">
    <cfRule type="expression" dxfId="97" priority="47">
      <formula>$E$19&gt;$E$2</formula>
    </cfRule>
  </conditionalFormatting>
  <conditionalFormatting sqref="E43">
    <cfRule type="expression" dxfId="96" priority="46">
      <formula>$E$43&gt;$E$2</formula>
    </cfRule>
  </conditionalFormatting>
  <conditionalFormatting sqref="F86">
    <cfRule type="expression" dxfId="95" priority="41">
      <formula>$F$86&lt;0</formula>
    </cfRule>
  </conditionalFormatting>
  <conditionalFormatting sqref="F93:F95 H93:H95 B98:C104 F98:F104 H98:H104">
    <cfRule type="expression" dxfId="94" priority="3092">
      <formula>$T97&gt;0</formula>
    </cfRule>
  </conditionalFormatting>
  <conditionalFormatting sqref="H6">
    <cfRule type="expression" dxfId="93" priority="90">
      <formula>$H$6&lt;0</formula>
    </cfRule>
  </conditionalFormatting>
  <conditionalFormatting sqref="H86">
    <cfRule type="expression" dxfId="92" priority="40">
      <formula>$H$86&lt;0</formula>
    </cfRule>
  </conditionalFormatting>
  <conditionalFormatting sqref="J29 L39:L56 J51:J52">
    <cfRule type="cellIs" dxfId="91" priority="5" operator="greaterThan">
      <formula>$C29</formula>
    </cfRule>
  </conditionalFormatting>
  <conditionalFormatting sqref="J29 M29">
    <cfRule type="expression" dxfId="90" priority="3241">
      <formula>$D$29&gt;4</formula>
    </cfRule>
    <cfRule type="expression" dxfId="89" priority="3242">
      <formula>($D$51+$J$51)/$C$51&gt;4</formula>
    </cfRule>
  </conditionalFormatting>
  <conditionalFormatting sqref="J51 M51">
    <cfRule type="expression" dxfId="88" priority="10">
      <formula>($D$51+$J$51)/$C$51&gt;4</formula>
    </cfRule>
  </conditionalFormatting>
  <conditionalFormatting sqref="K6">
    <cfRule type="expression" dxfId="87" priority="89">
      <formula>$K$6&lt;0</formula>
    </cfRule>
  </conditionalFormatting>
  <conditionalFormatting sqref="L29">
    <cfRule type="cellIs" dxfId="86" priority="7" operator="greaterThan">
      <formula>$C29</formula>
    </cfRule>
  </conditionalFormatting>
  <conditionalFormatting sqref="O20:R20 Z20 M21:N21">
    <cfRule type="expression" dxfId="85" priority="1734">
      <formula>$C$21&gt;0</formula>
    </cfRule>
  </conditionalFormatting>
  <dataValidations count="20">
    <dataValidation type="whole" operator="greaterThanOrEqual" allowBlank="1" showInputMessage="1" showErrorMessage="1" sqref="C63:C66 C39:C42 C15:C18 C20 C75:C76 L29 L39:L56 C45:C56 C22:C35" xr:uid="{955ABFB7-A698-4B29-AD28-9BA7027ADC55}">
      <formula1>0</formula1>
    </dataValidation>
    <dataValidation type="decimal" operator="greaterThanOrEqual" allowBlank="1" showInputMessage="1" showErrorMessage="1" prompt="Quantity is tons of usable part of the ship capable of supporting Multi-Environment conditions. player and referee must designate which areas are Multi-Environment on their ship's layouts at the rate of two squares per ton of M.E. Space." sqref="C78 C80 C82" xr:uid="{6445F43A-9D1F-460E-87DF-2F0226B4E53A}">
      <formula1>0</formula1>
    </dataValidation>
    <dataValidation type="list" allowBlank="1" showInputMessage="1" showErrorMessage="1" sqref="I116:I119 C3:C4 C12 C57:C59 O51:O52" xr:uid="{2C6836D4-D65A-4A3E-9CA9-83D837A69A2D}">
      <formula1>$S$2:$S$3</formula1>
    </dataValidation>
    <dataValidation type="whole" operator="greaterThanOrEqual" allowBlank="1" showInputMessage="1" showErrorMessage="1" prompt="Number of 10 ton stables." sqref="C77" xr:uid="{1471198A-51F7-4BA3-BAB7-A81F098F08B6}">
      <formula1>0</formula1>
    </dataValidation>
    <dataValidation type="decimal" operator="greaterThanOrEqual" allowBlank="1" showInputMessage="1" showErrorMessage="1" sqref="C21 C71 C44 C67" xr:uid="{8662BF93-9CB4-446E-A114-DD92E4D9A63B}">
      <formula1>0</formula1>
    </dataValidation>
    <dataValidation type="list" allowBlank="1" showInputMessage="1" showErrorMessage="1" sqref="A32" xr:uid="{D53BF1EE-C910-45AC-83ED-56D93727A854}">
      <formula1>$S$12:$S$13</formula1>
    </dataValidation>
    <dataValidation type="decimal" operator="greaterThanOrEqual" allowBlank="1" showInputMessage="1" showErrorMessage="1" prompt="Minimum Theatre size is 8 Dtons." sqref="C68:C69" xr:uid="{C5C872E2-2AA1-47A2-8BE1-DDE22F6A861F}">
      <formula1>0</formula1>
    </dataValidation>
    <dataValidation type="whole" allowBlank="1" showInputMessage="1" showErrorMessage="1" sqref="C43 C19" xr:uid="{37FBD9C4-1C9E-4A99-858A-7C56CC78582E}">
      <formula1>0</formula1>
      <formula2>C18</formula2>
    </dataValidation>
    <dataValidation type="list" allowBlank="1" showInputMessage="1" showErrorMessage="1" sqref="C62" xr:uid="{C9C2C96F-69FC-40E0-A4B1-E9B7F28EFB05}">
      <formula1>$S$79:$S$85</formula1>
    </dataValidation>
    <dataValidation allowBlank="1" showInputMessage="1" showErrorMessage="1" prompt="Single occupant price per parsec._x000a_Multiple occupants are calculated separately." sqref="K116:K119" xr:uid="{369217F4-A303-4BBE-98CE-31702C39259E}"/>
    <dataValidation type="decimal" allowBlank="1" showInputMessage="1" showErrorMessage="1" prompt="Enter the average number of rooms used as staterooms in the VIP Suite._x000a_Range = 1.00 - 4.00" sqref="M29" xr:uid="{D92A99B5-E1A1-4626-B1FC-8E7FFFFF1192}">
      <formula1>1</formula1>
      <formula2>4</formula2>
    </dataValidation>
    <dataValidation type="whole" allowBlank="1" showInputMessage="1" showErrorMessage="1" sqref="J51:J52 J29" xr:uid="{DEAE6AAF-1AFC-4883-9152-2F780AA41D39}">
      <formula1>0</formula1>
      <formula2>C29</formula2>
    </dataValidation>
    <dataValidation type="decimal" allowBlank="1" showInputMessage="1" showErrorMessage="1" prompt="Enter Average number of passengers in High Passage Blocks_x000a_Range = 1.00 - 6.00" sqref="M52" xr:uid="{F0DBCAE3-CEAC-432E-8DE9-FD326F1515A4}">
      <formula1>1</formula1>
      <formula2>T51</formula2>
    </dataValidation>
    <dataValidation allowBlank="1" showInputMessage="1" showErrorMessage="1" prompt="Enter Average DESIGN CAPACITY of Steerage Blocks_x000a_Range 1.00 - 24.00" sqref="M53" xr:uid="{95CCEAC7-56BA-49C7-9B9F-D1C9C8D0ED31}"/>
    <dataValidation type="list" allowBlank="1" showInputMessage="1" showErrorMessage="1" sqref="B80 B82" xr:uid="{FAF229BF-C33A-4CA5-B681-9824CD357307}">
      <formula1>$S$120:$S$122</formula1>
    </dataValidation>
    <dataValidation type="list" allowBlank="1" showInputMessage="1" showErrorMessage="1" sqref="B34:B35 B54:B56" xr:uid="{B47AB803-B53B-43B7-9BD2-85A303B3E64C}">
      <formula1>$S$124:$S$128</formula1>
    </dataValidation>
    <dataValidation type="list" allowBlank="1" showInputMessage="1" showErrorMessage="1" sqref="L116:L119" xr:uid="{351983C6-BA4E-4AE8-B755-30E885C374A0}">
      <formula1>$S$132:$S$136</formula1>
    </dataValidation>
    <dataValidation type="decimal" allowBlank="1" showInputMessage="1" showErrorMessage="1" prompt="Enter the average number of rooms used as staterooms in the VIP Suite._x000a_Range = 1.00 - 4.00" sqref="M51" xr:uid="{A83A38D7-3D86-4B6B-B5C4-B8B64AF1DA20}">
      <formula1>1</formula1>
      <formula2>T50</formula2>
    </dataValidation>
    <dataValidation type="list" allowBlank="1" showInputMessage="1" showErrorMessage="1" sqref="B19 B43" xr:uid="{2EE393D9-D484-4DF8-A5CF-16C0C74EC8C1}">
      <formula1>$S$40:$S$43</formula1>
    </dataValidation>
    <dataValidation type="whole" allowBlank="1" showInputMessage="1" showErrorMessage="1" error="Limited by common area" prompt="Max = Common Area tonnage" sqref="C70" xr:uid="{E5226AD1-7CA0-4215-B0D5-112EC7342A77}">
      <formula1>0</formula1>
      <formula2>C21+C44</formula2>
    </dataValidation>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AAAFC-26F2-4ADE-8944-9FC7E01AC7AE}">
  <dimension ref="A1:U56"/>
  <sheetViews>
    <sheetView workbookViewId="0">
      <selection activeCell="B18" sqref="B18"/>
    </sheetView>
  </sheetViews>
  <sheetFormatPr defaultRowHeight="14.4" x14ac:dyDescent="0.3"/>
  <cols>
    <col min="1" max="1" width="24.109375" customWidth="1"/>
    <col min="2" max="2" width="32.109375" customWidth="1"/>
    <col min="3" max="3" width="13.44140625" customWidth="1"/>
    <col min="4" max="4" width="17.109375" customWidth="1"/>
    <col min="5" max="5" width="3.6640625" customWidth="1"/>
    <col min="6" max="6" width="18" customWidth="1"/>
    <col min="8" max="8" width="23.5546875" customWidth="1"/>
    <col min="9" max="9" width="11" customWidth="1"/>
    <col min="11" max="11" width="11.6640625" customWidth="1"/>
    <col min="12" max="12" width="10.5546875" customWidth="1"/>
    <col min="19" max="19" width="27.5546875" hidden="1" customWidth="1"/>
    <col min="20" max="20" width="10.88671875" hidden="1" customWidth="1"/>
    <col min="21" max="21" width="9.109375" hidden="1" customWidth="1"/>
    <col min="22" max="24" width="9.109375" customWidth="1"/>
  </cols>
  <sheetData>
    <row r="1" spans="1:21" x14ac:dyDescent="0.3">
      <c r="A1" s="3" t="str">
        <f>'Ship Info'!A1</f>
        <v>Ship's Class Name</v>
      </c>
      <c r="B1">
        <f>'Ship Info'!B1</f>
        <v>0</v>
      </c>
      <c r="F1" s="1" t="s">
        <v>1</v>
      </c>
    </row>
    <row r="2" spans="1:21" x14ac:dyDescent="0.3">
      <c r="A2" s="3" t="s">
        <v>418</v>
      </c>
      <c r="B2">
        <f>'Ship Info'!B2</f>
        <v>0</v>
      </c>
      <c r="D2" s="3" t="s">
        <v>0</v>
      </c>
      <c r="E2" s="2">
        <f>'Ship Info'!F2</f>
        <v>12</v>
      </c>
      <c r="F2" s="10">
        <f>'Ship Info'!G2</f>
        <v>6177000</v>
      </c>
    </row>
    <row r="3" spans="1:21" x14ac:dyDescent="0.3">
      <c r="F3" s="10"/>
      <c r="G3" s="79"/>
      <c r="H3" s="483">
        <f>S19</f>
        <v>0</v>
      </c>
      <c r="I3" s="28"/>
      <c r="J3" s="79"/>
      <c r="K3" s="484">
        <f>S22</f>
        <v>0</v>
      </c>
      <c r="S3" t="s">
        <v>106</v>
      </c>
      <c r="T3" t="s">
        <v>92</v>
      </c>
    </row>
    <row r="4" spans="1:21" x14ac:dyDescent="0.3">
      <c r="F4" s="485" t="s">
        <v>44</v>
      </c>
      <c r="H4" s="760" t="s">
        <v>45</v>
      </c>
      <c r="I4" s="760"/>
      <c r="K4" s="760" t="s">
        <v>46</v>
      </c>
      <c r="L4" s="760"/>
      <c r="S4" t="s">
        <v>276</v>
      </c>
      <c r="T4" t="s">
        <v>93</v>
      </c>
    </row>
    <row r="5" spans="1:21" x14ac:dyDescent="0.3">
      <c r="F5" s="483">
        <f>SUM(F9:F52)</f>
        <v>0</v>
      </c>
      <c r="H5" s="1" t="s">
        <v>390</v>
      </c>
      <c r="I5" s="1" t="s">
        <v>27</v>
      </c>
      <c r="K5" s="1" t="s">
        <v>390</v>
      </c>
      <c r="L5" s="1" t="s">
        <v>27</v>
      </c>
    </row>
    <row r="6" spans="1:21" x14ac:dyDescent="0.3">
      <c r="C6" s="7" t="s">
        <v>576</v>
      </c>
      <c r="D6" s="266">
        <f>SUM(D15,D56)</f>
        <v>0</v>
      </c>
      <c r="G6" s="2"/>
      <c r="H6" s="10">
        <f>'Ship Info'!I3</f>
        <v>92.53</v>
      </c>
      <c r="I6" s="266">
        <f>'Ship Info'!J3</f>
        <v>100</v>
      </c>
      <c r="J6" s="2"/>
      <c r="K6" s="266">
        <f>'Ship Info'!L3</f>
        <v>0</v>
      </c>
      <c r="L6" s="266">
        <f>'Ship Info'!M3</f>
        <v>20</v>
      </c>
    </row>
    <row r="7" spans="1:21" x14ac:dyDescent="0.3">
      <c r="A7" s="22"/>
      <c r="B7" s="22"/>
      <c r="C7" s="22"/>
      <c r="D7" s="22"/>
      <c r="E7" s="22"/>
      <c r="F7" s="22"/>
      <c r="G7" s="22"/>
      <c r="H7" s="22"/>
      <c r="I7" s="22"/>
      <c r="J7" s="22"/>
      <c r="K7" s="22"/>
      <c r="L7" s="22"/>
      <c r="S7" t="s">
        <v>362</v>
      </c>
      <c r="T7">
        <v>0</v>
      </c>
      <c r="U7">
        <v>0</v>
      </c>
    </row>
    <row r="8" spans="1:21" ht="15" thickBot="1" x14ac:dyDescent="0.35">
      <c r="A8" s="3" t="s">
        <v>422</v>
      </c>
      <c r="C8" s="1" t="s">
        <v>296</v>
      </c>
      <c r="D8" s="7" t="s">
        <v>566</v>
      </c>
      <c r="S8" t="s">
        <v>574</v>
      </c>
      <c r="T8">
        <v>7</v>
      </c>
      <c r="U8">
        <v>3000</v>
      </c>
    </row>
    <row r="9" spans="1:21" ht="15" thickBot="1" x14ac:dyDescent="0.35">
      <c r="A9" s="248" t="s">
        <v>483</v>
      </c>
      <c r="B9" s="197" t="s">
        <v>276</v>
      </c>
      <c r="C9" s="232">
        <v>0</v>
      </c>
      <c r="D9" s="2"/>
      <c r="F9" s="4">
        <f>200000*H9</f>
        <v>0</v>
      </c>
      <c r="H9" s="260">
        <f>IF(B9=S3,C9*5,0)</f>
        <v>0</v>
      </c>
      <c r="S9" t="s">
        <v>573</v>
      </c>
      <c r="T9">
        <v>12</v>
      </c>
      <c r="U9">
        <v>10000</v>
      </c>
    </row>
    <row r="10" spans="1:21" ht="15" thickBot="1" x14ac:dyDescent="0.35">
      <c r="A10" s="248" t="s">
        <v>482</v>
      </c>
      <c r="B10" s="197" t="s">
        <v>276</v>
      </c>
      <c r="C10" s="266">
        <f>IF(B10=S3,1,0)</f>
        <v>0</v>
      </c>
      <c r="D10" s="2"/>
      <c r="F10" s="4">
        <f>500000*C10</f>
        <v>0</v>
      </c>
      <c r="H10" s="260">
        <f>2*C10</f>
        <v>0</v>
      </c>
    </row>
    <row r="11" spans="1:21" ht="15" thickBot="1" x14ac:dyDescent="0.35">
      <c r="A11" s="248" t="s">
        <v>484</v>
      </c>
      <c r="B11" s="197" t="s">
        <v>276</v>
      </c>
      <c r="C11" s="2"/>
      <c r="D11" s="534">
        <v>0</v>
      </c>
      <c r="F11" s="4">
        <f>IF(B11=S3,1000*D11,0)</f>
        <v>0</v>
      </c>
      <c r="T11">
        <f>IF(B11=S3,D11,0)</f>
        <v>0</v>
      </c>
    </row>
    <row r="12" spans="1:21" ht="15" thickBot="1" x14ac:dyDescent="0.35">
      <c r="A12" s="248" t="s">
        <v>565</v>
      </c>
      <c r="B12" s="197" t="s">
        <v>276</v>
      </c>
      <c r="C12" s="266">
        <f>IF(B12=S3,1,0)</f>
        <v>0</v>
      </c>
      <c r="D12" s="534">
        <v>0</v>
      </c>
      <c r="E12" t="str">
        <f>IF(B12=S3,8," ")</f>
        <v xml:space="preserve"> </v>
      </c>
      <c r="F12" s="4">
        <f>100000*H12</f>
        <v>0</v>
      </c>
      <c r="H12" s="260">
        <f>C12*D12/100</f>
        <v>0</v>
      </c>
      <c r="T12">
        <f>IF(B12=S3,D12,0)</f>
        <v>0</v>
      </c>
    </row>
    <row r="13" spans="1:21" ht="15" thickBot="1" x14ac:dyDescent="0.35">
      <c r="A13" s="248" t="s">
        <v>485</v>
      </c>
      <c r="B13" s="197" t="s">
        <v>276</v>
      </c>
      <c r="C13" s="266">
        <f>IF(B13=S3,1,0)</f>
        <v>0</v>
      </c>
      <c r="D13" s="534">
        <v>0</v>
      </c>
      <c r="E13" t="str">
        <f>IF(B13=S3,10," ")</f>
        <v xml:space="preserve"> </v>
      </c>
      <c r="F13" s="4">
        <f>300000*H13</f>
        <v>0</v>
      </c>
      <c r="H13" s="260">
        <f>C13*D13/100</f>
        <v>0</v>
      </c>
      <c r="S13" t="str">
        <f>IF(SUM(D18:D26)=0,""," (")</f>
        <v/>
      </c>
      <c r="T13">
        <f>IF(B13=S3,D13,0)</f>
        <v>0</v>
      </c>
    </row>
    <row r="14" spans="1:21" x14ac:dyDescent="0.3">
      <c r="B14" s="2"/>
      <c r="F14" s="4"/>
      <c r="S14" t="str">
        <f>IF(H18=0,"",C18&amp;" @ "&amp;D18)</f>
        <v/>
      </c>
      <c r="T14" t="str">
        <f>IF(H18=0,"",IF(B19=S4," N/"," C/")&amp;IF(B20=S7,"N/",IF(B20=S8,"L/","AL/"))&amp;IF(B21=S4,"N","AB"))</f>
        <v/>
      </c>
      <c r="U14" t="str">
        <f>IF(AND(S15="",S16=""),"",", ")</f>
        <v/>
      </c>
    </row>
    <row r="15" spans="1:21" x14ac:dyDescent="0.3">
      <c r="B15" s="2"/>
      <c r="C15" s="7" t="s">
        <v>567</v>
      </c>
      <c r="D15" s="4">
        <f>SUM(T11:T13)</f>
        <v>0</v>
      </c>
      <c r="F15" s="4"/>
      <c r="S15" t="str">
        <f>IF(H22=0,"",C22&amp;" @ "&amp;D22)</f>
        <v/>
      </c>
      <c r="T15" t="str">
        <f>IF(H22=0,"",IF(B23=S4," N/"," C/")&amp;IF(B24=S7,"N/",IF(B24=S8,"L/","AL/"))&amp;IF(B25=S4,"N","AB"))</f>
        <v/>
      </c>
      <c r="U15" t="str">
        <f>IF(S15="","",IF(S16="","",", "))</f>
        <v/>
      </c>
    </row>
    <row r="16" spans="1:21" x14ac:dyDescent="0.3">
      <c r="A16" s="22"/>
      <c r="B16" s="27"/>
      <c r="C16" s="22"/>
      <c r="D16" s="22"/>
      <c r="E16" s="22"/>
      <c r="F16" s="23"/>
      <c r="G16" s="22"/>
      <c r="H16" s="22"/>
      <c r="I16" s="22"/>
      <c r="J16" s="22"/>
      <c r="K16" s="22"/>
      <c r="L16" s="22"/>
      <c r="S16" t="str">
        <f>IF(H26=0,"",C26&amp;" @ "&amp;D26)</f>
        <v/>
      </c>
      <c r="T16" t="str">
        <f>IF(H26=0,"",IF(B27=S4," N/"," C/")&amp;IF(B28=S7,"N/",IF(B28=S8,"L/","AL/"))&amp;IF(B29=S4,"N","AB"))</f>
        <v/>
      </c>
      <c r="U16" t="str">
        <f>IF(SUM(D18:D26)=0,"",")")</f>
        <v/>
      </c>
    </row>
    <row r="17" spans="1:21" ht="15" thickBot="1" x14ac:dyDescent="0.35">
      <c r="A17" s="3" t="s">
        <v>568</v>
      </c>
      <c r="B17" s="2"/>
      <c r="C17" s="1" t="s">
        <v>296</v>
      </c>
      <c r="D17" s="7" t="s">
        <v>566</v>
      </c>
      <c r="F17" s="4"/>
    </row>
    <row r="18" spans="1:21" ht="15" thickBot="1" x14ac:dyDescent="0.35">
      <c r="A18" s="248" t="s">
        <v>569</v>
      </c>
      <c r="B18" s="501"/>
      <c r="C18" s="232">
        <v>0</v>
      </c>
      <c r="D18" s="219">
        <v>0</v>
      </c>
      <c r="F18" s="4"/>
      <c r="H18" s="4">
        <f>D18*C18</f>
        <v>0</v>
      </c>
      <c r="S18" t="s">
        <v>581</v>
      </c>
    </row>
    <row r="19" spans="1:21" ht="15" thickBot="1" x14ac:dyDescent="0.35">
      <c r="A19" s="254" t="s">
        <v>570</v>
      </c>
      <c r="B19" s="197" t="s">
        <v>276</v>
      </c>
      <c r="C19" s="2"/>
      <c r="F19" s="4">
        <f>1000000*H19</f>
        <v>0</v>
      </c>
      <c r="H19" s="4">
        <f>IF(B19="Installed",(2.5+0.5*ROUNDUP((D18/150),0))*C18,0)</f>
        <v>0</v>
      </c>
      <c r="S19">
        <f>SUM(H9:H50,H52)</f>
        <v>0</v>
      </c>
    </row>
    <row r="20" spans="1:21" ht="15" thickBot="1" x14ac:dyDescent="0.35">
      <c r="A20" s="254" t="s">
        <v>571</v>
      </c>
      <c r="B20" s="197" t="s">
        <v>362</v>
      </c>
      <c r="C20" s="232">
        <v>0</v>
      </c>
      <c r="D20" t="s">
        <v>33</v>
      </c>
      <c r="E20">
        <f>INDEX(S7:T9,MATCH(B20,S7:S9,0),2)</f>
        <v>0</v>
      </c>
      <c r="F20" s="4">
        <f>INDEX(S7:U9,MATCH(B20,S7:S9,0),3)*C18*C20</f>
        <v>0</v>
      </c>
      <c r="H20" s="4">
        <f>IF(B20=S7,0,C18)*C20</f>
        <v>0</v>
      </c>
      <c r="K20" s="260">
        <f>IF(H20&gt;0,H20,0)</f>
        <v>0</v>
      </c>
    </row>
    <row r="21" spans="1:21" ht="15" thickBot="1" x14ac:dyDescent="0.35">
      <c r="A21" s="9" t="s">
        <v>417</v>
      </c>
      <c r="B21" s="499" t="s">
        <v>276</v>
      </c>
      <c r="C21" s="2"/>
      <c r="F21" s="4">
        <f>200000*H21</f>
        <v>0</v>
      </c>
      <c r="H21" s="4">
        <f>IF(B21=$S$3,0.1*SUM(H18:H20),0)</f>
        <v>0</v>
      </c>
      <c r="S21" t="s">
        <v>387</v>
      </c>
    </row>
    <row r="22" spans="1:21" ht="15" thickBot="1" x14ac:dyDescent="0.35">
      <c r="A22" s="248" t="s">
        <v>569</v>
      </c>
      <c r="B22" s="501"/>
      <c r="C22" s="332">
        <v>0</v>
      </c>
      <c r="D22" s="374">
        <v>0</v>
      </c>
      <c r="E22" s="22"/>
      <c r="F22" s="23"/>
      <c r="G22" s="22"/>
      <c r="H22" s="23">
        <f>D22*C22</f>
        <v>0</v>
      </c>
      <c r="I22" s="22"/>
      <c r="J22" s="22"/>
      <c r="K22" s="22"/>
      <c r="S22">
        <f>SUM(K20:K28)</f>
        <v>0</v>
      </c>
    </row>
    <row r="23" spans="1:21" ht="15" thickBot="1" x14ac:dyDescent="0.35">
      <c r="A23" s="254" t="s">
        <v>570</v>
      </c>
      <c r="B23" s="203" t="s">
        <v>276</v>
      </c>
      <c r="C23" s="27"/>
      <c r="D23" s="22"/>
      <c r="E23" s="22"/>
      <c r="F23" s="23">
        <f>1000000*H23</f>
        <v>0</v>
      </c>
      <c r="G23" s="22"/>
      <c r="H23" s="23">
        <f>IF(B23="Installed",(2.5+0.5*ROUNDUP((D22/150),0))*C22,0)</f>
        <v>0</v>
      </c>
      <c r="I23" s="22"/>
      <c r="J23" s="22"/>
      <c r="K23" s="22"/>
    </row>
    <row r="24" spans="1:21" ht="15" thickBot="1" x14ac:dyDescent="0.35">
      <c r="A24" s="254" t="s">
        <v>571</v>
      </c>
      <c r="B24" s="203" t="s">
        <v>362</v>
      </c>
      <c r="C24" s="332">
        <v>0</v>
      </c>
      <c r="D24" s="22"/>
      <c r="E24" s="22">
        <f>INDEX(S7:T9,MATCH(B24,S7:S9,0),2)</f>
        <v>0</v>
      </c>
      <c r="F24" s="23">
        <f>INDEX(S7:U9,MATCH(B24,S7:S9,0),3)*C22*C24</f>
        <v>0</v>
      </c>
      <c r="G24" s="22"/>
      <c r="H24" s="23">
        <f>IF(B24=S7,0,C22)*C24</f>
        <v>0</v>
      </c>
      <c r="I24" s="22"/>
      <c r="J24" s="22"/>
      <c r="K24" s="328">
        <f>IF(H24&gt;0,H24,0)</f>
        <v>0</v>
      </c>
    </row>
    <row r="25" spans="1:21" ht="15" thickBot="1" x14ac:dyDescent="0.35">
      <c r="A25" s="9" t="s">
        <v>417</v>
      </c>
      <c r="B25" s="500" t="s">
        <v>276</v>
      </c>
      <c r="C25" s="27"/>
      <c r="D25" s="22"/>
      <c r="E25" s="22"/>
      <c r="F25" s="23">
        <f>200000*H25</f>
        <v>0</v>
      </c>
      <c r="G25" s="22"/>
      <c r="H25" s="23">
        <f>IF(B25=$S$3,0.1*SUM(H22:H24),0)</f>
        <v>0</v>
      </c>
      <c r="I25" s="22"/>
      <c r="J25" s="22"/>
      <c r="K25" s="22"/>
      <c r="S25" t="str">
        <f>C6&amp;" "&amp;D6&amp;" tons"&amp;IF(SUM(D18:D26)=0,"",", Bay(s): "&amp;SUM(C18*D18,C22*D22,C26*D26)&amp;" tons")&amp;IF(T27=1,", Cargo Crane","")&amp;""&amp;IF(T28=1,", Loading Belt","")&amp;""&amp;IF(U28=1,", Advanced Loading Belt","")&amp;IF(B21=S3,", Armored Bulkhead","")&amp;S13&amp;S14&amp;T14&amp;U14&amp;S15&amp;T15&amp;U15&amp;S16&amp;T16&amp;U16&amp;""&amp;IF(D15&gt;0,", "&amp;C15&amp;" "&amp;D15&amp;" tons","")&amp;""&amp;IF(B9=S3,", "&amp;A9,"")&amp;""&amp;IF(B10=S3,", "&amp;A10,"")&amp;""&amp;IF(B11=S3,", "&amp;A11,"")&amp;""&amp;IF(B12=S3,", "&amp;A12,"")&amp;""&amp;IF(B13=S3,", "&amp;A13,"")&amp;""&amp;IF(D30&gt;0,", "&amp;A30&amp;": "&amp;D30&amp;" tons","")&amp;""&amp;IF(D32&gt;0,", "&amp;A32&amp;": "&amp;D32&amp;" tons","")&amp;""&amp;IF(SUM(D40:D50)&gt;0," "&amp;A40&amp;": ","")&amp;IF(D40&gt;0," "&amp;B40&amp;": "&amp;D40&amp;" tons","")&amp;IF(H41=0,"","-Armored")&amp;IF(D42&gt;0,", "&amp;B42&amp;": "&amp;D42&amp;" tons","")&amp;IF(H43=0,"","-Armored")&amp;IF(D44&gt;0,", "&amp;B44&amp;": "&amp;D44&amp;" tons","")&amp;IF(H45=0,"","-Armored")&amp;IF(D46&gt;0,", "&amp;B46&amp;": "&amp;D46&amp;" tons","")&amp;IF(H47=0,"","-Armored")&amp;IF(D48&gt;0,", "&amp;B48&amp;": "&amp;D48&amp;" tons","")&amp;IF(H49=0,"","-Armored")&amp;IF(D50&gt;0,", "&amp;B50&amp;": "&amp;D50&amp;" tons","")&amp;IF(H51=0,"","-Armored")&amp;IF(T44&gt;0,", "&amp;'4-Fuel'!B29&amp;" x "&amp;'4-Fuel'!C29&amp;" Tons "&amp;'4-Fuel'!A28,"")</f>
        <v>Cargo: 0 tons</v>
      </c>
    </row>
    <row r="26" spans="1:21" ht="15" thickBot="1" x14ac:dyDescent="0.35">
      <c r="A26" s="248" t="s">
        <v>569</v>
      </c>
      <c r="B26" s="501"/>
      <c r="C26" s="232">
        <v>0</v>
      </c>
      <c r="D26" s="219">
        <v>0</v>
      </c>
      <c r="F26" s="4"/>
      <c r="H26" s="4">
        <f>D26*C26</f>
        <v>0</v>
      </c>
    </row>
    <row r="27" spans="1:21" ht="15" thickBot="1" x14ac:dyDescent="0.35">
      <c r="A27" s="254" t="s">
        <v>570</v>
      </c>
      <c r="B27" s="197" t="s">
        <v>276</v>
      </c>
      <c r="C27" s="2"/>
      <c r="F27" s="4">
        <f>1000000*H27</f>
        <v>0</v>
      </c>
      <c r="H27" s="4">
        <f>IF(B27="Installed",(2.5+0.5*ROUNDUP((D26/150),0))*C26,0)</f>
        <v>0</v>
      </c>
      <c r="S27" t="s">
        <v>589</v>
      </c>
      <c r="T27">
        <f>IF(B19=S3,1,IF(B23=S3,1,IF(B27=S3,1,0)))</f>
        <v>0</v>
      </c>
    </row>
    <row r="28" spans="1:21" ht="15" thickBot="1" x14ac:dyDescent="0.35">
      <c r="A28" s="254" t="s">
        <v>571</v>
      </c>
      <c r="B28" s="197" t="s">
        <v>362</v>
      </c>
      <c r="C28" s="232">
        <v>0</v>
      </c>
      <c r="E28">
        <f>INDEX(S7:T9,MATCH(B28,S7:S9,0),2)</f>
        <v>0</v>
      </c>
      <c r="F28" s="4">
        <f>INDEX(S7:U9,MATCH(B28,S7:S9,0),3)*C26*C28</f>
        <v>0</v>
      </c>
      <c r="H28" s="4">
        <f>IF(B28=S7,0,C26)*C28</f>
        <v>0</v>
      </c>
      <c r="K28" s="260">
        <f>IF(H28&gt;0,H28,0)</f>
        <v>0</v>
      </c>
      <c r="S28" t="s">
        <v>590</v>
      </c>
      <c r="T28">
        <f>IF(E20=7,1,IF(E24=7,1,IF(E28=7,1,0)))</f>
        <v>0</v>
      </c>
      <c r="U28">
        <f>IF(E20=12,1,IF(E24=12,1,IF(E28=12,1,0)))</f>
        <v>0</v>
      </c>
    </row>
    <row r="29" spans="1:21" ht="15" thickBot="1" x14ac:dyDescent="0.35">
      <c r="A29" s="9" t="s">
        <v>417</v>
      </c>
      <c r="B29" s="197" t="s">
        <v>276</v>
      </c>
      <c r="C29" s="2"/>
      <c r="F29" s="4">
        <f>200000*H29</f>
        <v>0</v>
      </c>
      <c r="H29" s="4">
        <f>IF(B29=$S$3,0.1*SUM(H26:H28),0)</f>
        <v>0</v>
      </c>
    </row>
    <row r="30" spans="1:21" ht="15" thickBot="1" x14ac:dyDescent="0.35">
      <c r="A30" s="248" t="s">
        <v>480</v>
      </c>
      <c r="B30" s="2"/>
      <c r="C30" s="2"/>
      <c r="D30" s="219">
        <v>0</v>
      </c>
      <c r="F30" s="4">
        <f>200000*H30</f>
        <v>0</v>
      </c>
      <c r="H30" s="4">
        <f>D30</f>
        <v>0</v>
      </c>
    </row>
    <row r="31" spans="1:21" ht="15" thickBot="1" x14ac:dyDescent="0.35">
      <c r="B31" s="2"/>
      <c r="C31" s="2"/>
      <c r="D31" s="4"/>
      <c r="F31" s="4"/>
      <c r="H31" s="348"/>
    </row>
    <row r="32" spans="1:21" ht="15" thickBot="1" x14ac:dyDescent="0.35">
      <c r="A32" s="248" t="s">
        <v>572</v>
      </c>
      <c r="B32" s="16"/>
      <c r="D32" s="219">
        <v>0</v>
      </c>
      <c r="H32" s="4">
        <f>D32</f>
        <v>0</v>
      </c>
    </row>
    <row r="33" spans="1:20" ht="15" thickBot="1" x14ac:dyDescent="0.35">
      <c r="A33" s="248"/>
      <c r="B33" s="9" t="s">
        <v>2281</v>
      </c>
      <c r="C33" s="196" t="s">
        <v>2282</v>
      </c>
      <c r="D33" s="574"/>
      <c r="H33" s="4"/>
    </row>
    <row r="34" spans="1:20" x14ac:dyDescent="0.3">
      <c r="A34" s="248"/>
      <c r="B34" s="603" t="str">
        <f>"Available space: "&amp;IF(H6&lt;0.01,0,TEXT(H6,"#,###.###"))&amp;" Tons"</f>
        <v>Available space: 92.53 Tons</v>
      </c>
      <c r="C34" s="57"/>
      <c r="D34" s="604"/>
      <c r="H34" s="4"/>
    </row>
    <row r="35" spans="1:20" ht="15" thickBot="1" x14ac:dyDescent="0.35">
      <c r="A35" s="28"/>
      <c r="B35" s="101" t="s">
        <v>2280</v>
      </c>
      <c r="C35" s="577">
        <f>0.1*('11-Staterooms'!C45+'11-Staterooms'!C46)+1*('11-Staterooms'!C47+'11-Staterooms'!C48+'11-Staterooms'!M52*'11-Staterooms'!C52)+2*('11-Staterooms'!C49+'11-Staterooms'!C50)+2*'11-Staterooms'!C51+('11-Staterooms'!C51*'11-Staterooms'!M51-'11-Staterooms'!C51)</f>
        <v>0</v>
      </c>
      <c r="H35" s="4">
        <f>IF(C33="Follow",C35,"")</f>
        <v>0</v>
      </c>
      <c r="S35" t="s">
        <v>1820</v>
      </c>
    </row>
    <row r="36" spans="1:20" ht="15" thickBot="1" x14ac:dyDescent="0.35">
      <c r="A36" s="248" t="s">
        <v>1818</v>
      </c>
      <c r="B36" s="476" t="s">
        <v>1819</v>
      </c>
      <c r="C36" s="2"/>
      <c r="D36" s="606">
        <v>0</v>
      </c>
      <c r="E36" s="45" t="str">
        <f>"  ("&amp;TEXT(ROUND(D36*100/(Tonnage/100),2),"#,###.#")&amp;" Days)"</f>
        <v xml:space="preserve">  (. Days)</v>
      </c>
      <c r="F36" s="45"/>
      <c r="G36" s="45"/>
      <c r="H36" s="375">
        <f>D36</f>
        <v>0</v>
      </c>
      <c r="S36">
        <f>Tonnage/100</f>
        <v>1</v>
      </c>
    </row>
    <row r="37" spans="1:20" x14ac:dyDescent="0.3">
      <c r="A37" s="890" t="str">
        <f>"Supplies, Stores and Spares - Dtons Needed for "&amp;TEXT(IF('4-Fuel'!C10*7&gt;100,'4-Fuel'!C10*7,100),"#,###")&amp;" Days of Supply Units:"</f>
        <v>Supplies, Stores and Spares - Dtons Needed for 100 Days of Supply Units:</v>
      </c>
      <c r="B37" s="891"/>
      <c r="C37" s="892"/>
      <c r="D37" s="477">
        <f>IF('11-Staterooms'!C6=0,0,IF(((Tonnage/10000)*'4-Fuel'!C10*7)&gt;(Tonnage/100),((Tonnage/10000)*'4-Fuel'!C10*7),(Tonnage/100)))</f>
        <v>0</v>
      </c>
      <c r="H37" s="575"/>
    </row>
    <row r="38" spans="1:20" ht="15" x14ac:dyDescent="0.3">
      <c r="A38" s="889" t="s">
        <v>1817</v>
      </c>
      <c r="B38" s="889"/>
      <c r="C38" s="889"/>
      <c r="D38" s="889"/>
      <c r="H38" s="575"/>
    </row>
    <row r="39" spans="1:20" ht="15" thickBot="1" x14ac:dyDescent="0.35">
      <c r="E39" s="28"/>
      <c r="F39" s="28"/>
      <c r="G39" s="28"/>
      <c r="H39" s="576"/>
      <c r="S39" t="s">
        <v>578</v>
      </c>
      <c r="T39">
        <f>-0.01*'4-Fuel'!C23</f>
        <v>0</v>
      </c>
    </row>
    <row r="40" spans="1:20" ht="15" thickBot="1" x14ac:dyDescent="0.35">
      <c r="A40" s="142" t="s">
        <v>575</v>
      </c>
      <c r="B40" s="397" t="s">
        <v>676</v>
      </c>
      <c r="C40" s="361"/>
      <c r="D40" s="374">
        <v>0</v>
      </c>
      <c r="E40" s="361"/>
      <c r="F40" s="361"/>
      <c r="G40" s="361"/>
      <c r="H40" s="553">
        <f t="shared" ref="H40" si="0">D40</f>
        <v>0</v>
      </c>
      <c r="S40" t="s">
        <v>579</v>
      </c>
      <c r="T40" s="260">
        <f>'4-Fuel'!C23*-1</f>
        <v>0</v>
      </c>
    </row>
    <row r="41" spans="1:20" ht="15" thickBot="1" x14ac:dyDescent="0.35">
      <c r="A41" s="403"/>
      <c r="B41" s="22"/>
      <c r="C41" s="400" t="s">
        <v>998</v>
      </c>
      <c r="D41" s="402" t="s">
        <v>92</v>
      </c>
      <c r="E41" s="22"/>
      <c r="F41" s="23">
        <f>200000*H41</f>
        <v>0</v>
      </c>
      <c r="G41" s="22"/>
      <c r="H41" s="554">
        <f>IF(D41=T3,0,0.1*H40)</f>
        <v>0</v>
      </c>
    </row>
    <row r="42" spans="1:20" ht="15" thickBot="1" x14ac:dyDescent="0.35">
      <c r="A42" s="403"/>
      <c r="B42" s="2" t="s">
        <v>630</v>
      </c>
      <c r="D42" s="219">
        <v>0</v>
      </c>
      <c r="H42" s="262">
        <f>D42</f>
        <v>0</v>
      </c>
      <c r="S42" t="str">
        <f>'4-Fuel'!A23</f>
        <v>Not installed</v>
      </c>
    </row>
    <row r="43" spans="1:20" ht="15" thickBot="1" x14ac:dyDescent="0.35">
      <c r="A43" s="403"/>
      <c r="C43" s="9" t="s">
        <v>998</v>
      </c>
      <c r="D43" s="219" t="s">
        <v>92</v>
      </c>
      <c r="F43" s="4">
        <f>200000*H43</f>
        <v>0</v>
      </c>
      <c r="H43" s="262">
        <f>IF(D43=T3,0,0.1*H42)</f>
        <v>0</v>
      </c>
      <c r="S43" t="str">
        <f>'4-Fuel'!A26</f>
        <v>Not installed</v>
      </c>
      <c r="T43" s="4">
        <f>'4-Fuel'!C26</f>
        <v>0</v>
      </c>
    </row>
    <row r="44" spans="1:20" ht="15" thickBot="1" x14ac:dyDescent="0.35">
      <c r="A44" s="403"/>
      <c r="B44" s="27" t="s">
        <v>1544</v>
      </c>
      <c r="C44" s="22"/>
      <c r="D44" s="374">
        <v>0</v>
      </c>
      <c r="E44" s="22"/>
      <c r="F44" s="22"/>
      <c r="G44" s="22"/>
      <c r="H44" s="554">
        <f>D44</f>
        <v>0</v>
      </c>
      <c r="S44" t="s">
        <v>1535</v>
      </c>
      <c r="T44">
        <f>D55</f>
        <v>0</v>
      </c>
    </row>
    <row r="45" spans="1:20" ht="15" thickBot="1" x14ac:dyDescent="0.35">
      <c r="A45" s="403"/>
      <c r="B45" s="22"/>
      <c r="C45" s="400" t="s">
        <v>998</v>
      </c>
      <c r="D45" s="374" t="s">
        <v>92</v>
      </c>
      <c r="E45" s="22"/>
      <c r="F45" s="23">
        <f>200000*H45</f>
        <v>0</v>
      </c>
      <c r="G45" s="22"/>
      <c r="H45" s="554">
        <f>IF(D45=T3,0,0.1*H44)</f>
        <v>0</v>
      </c>
    </row>
    <row r="46" spans="1:20" ht="15" thickBot="1" x14ac:dyDescent="0.35">
      <c r="A46" s="399"/>
      <c r="B46" s="2" t="s">
        <v>1545</v>
      </c>
      <c r="D46" s="219">
        <v>0</v>
      </c>
      <c r="H46" s="262">
        <f>D46</f>
        <v>0</v>
      </c>
    </row>
    <row r="47" spans="1:20" ht="15" thickBot="1" x14ac:dyDescent="0.35">
      <c r="A47" s="78"/>
      <c r="C47" s="9" t="s">
        <v>998</v>
      </c>
      <c r="D47" s="219" t="s">
        <v>92</v>
      </c>
      <c r="F47" s="4">
        <f>200000*H47</f>
        <v>0</v>
      </c>
      <c r="H47" s="262">
        <f>IF(D47=T3,0,0.1*H46)</f>
        <v>0</v>
      </c>
      <c r="S47" t="s">
        <v>2278</v>
      </c>
      <c r="T47">
        <f>SUM(T48:T50)</f>
        <v>0</v>
      </c>
    </row>
    <row r="48" spans="1:20" ht="15" thickBot="1" x14ac:dyDescent="0.35">
      <c r="A48" s="78"/>
      <c r="B48" s="27" t="s">
        <v>377</v>
      </c>
      <c r="C48" s="22"/>
      <c r="D48" s="374">
        <v>0</v>
      </c>
      <c r="E48" s="22"/>
      <c r="F48" s="22"/>
      <c r="G48" s="22"/>
      <c r="H48" s="554">
        <f>D48</f>
        <v>0</v>
      </c>
    </row>
    <row r="49" spans="1:8" ht="15" thickBot="1" x14ac:dyDescent="0.35">
      <c r="A49" s="78"/>
      <c r="B49" s="22"/>
      <c r="C49" s="400" t="s">
        <v>998</v>
      </c>
      <c r="D49" s="374" t="s">
        <v>92</v>
      </c>
      <c r="E49" s="22"/>
      <c r="F49" s="23">
        <f>200000*H49</f>
        <v>0</v>
      </c>
      <c r="G49" s="22"/>
      <c r="H49" s="554">
        <f>IF(D49=T3,0,0.1*H48)</f>
        <v>0</v>
      </c>
    </row>
    <row r="50" spans="1:8" ht="15" thickBot="1" x14ac:dyDescent="0.35">
      <c r="A50" s="78"/>
      <c r="B50" s="2" t="s">
        <v>1546</v>
      </c>
      <c r="D50" s="401">
        <v>0</v>
      </c>
      <c r="H50" s="262">
        <f>D50</f>
        <v>0</v>
      </c>
    </row>
    <row r="51" spans="1:8" ht="15" thickBot="1" x14ac:dyDescent="0.35">
      <c r="A51" s="86"/>
      <c r="B51" s="28"/>
      <c r="C51" s="101" t="s">
        <v>998</v>
      </c>
      <c r="D51" s="219" t="s">
        <v>92</v>
      </c>
      <c r="E51" s="28"/>
      <c r="F51" s="391">
        <f>200000*H51</f>
        <v>0</v>
      </c>
      <c r="G51" s="28"/>
      <c r="H51" s="263">
        <f>IF(D51=T3,0,0.1*H50)</f>
        <v>0</v>
      </c>
    </row>
    <row r="52" spans="1:8" x14ac:dyDescent="0.3">
      <c r="C52" s="7"/>
      <c r="F52" s="4"/>
      <c r="H52" s="260"/>
    </row>
    <row r="53" spans="1:8" ht="15" thickBot="1" x14ac:dyDescent="0.35">
      <c r="A53" s="248" t="s">
        <v>577</v>
      </c>
      <c r="B53" s="396" t="s">
        <v>579</v>
      </c>
      <c r="D53" s="4">
        <f>IF(S42="Installed",INDEX(S39:T40,MATCH(B53,S39:S40,0),2),0)</f>
        <v>0</v>
      </c>
    </row>
    <row r="54" spans="1:8" x14ac:dyDescent="0.3">
      <c r="A54" t="s">
        <v>1593</v>
      </c>
      <c r="D54" s="260">
        <f>IF(S43="Installed",T43,0)</f>
        <v>0</v>
      </c>
    </row>
    <row r="55" spans="1:8" x14ac:dyDescent="0.3">
      <c r="A55" t="s">
        <v>1534</v>
      </c>
      <c r="D55" s="260">
        <f>'4-Fuel'!B29*'4-Fuel'!C29</f>
        <v>0</v>
      </c>
    </row>
    <row r="56" spans="1:8" x14ac:dyDescent="0.3">
      <c r="C56" s="7" t="s">
        <v>580</v>
      </c>
      <c r="D56" s="260">
        <f>SUM(C18*D18,C22*D22,C26*D26,D30:D36,D40:D50)</f>
        <v>0</v>
      </c>
    </row>
  </sheetData>
  <sheetProtection algorithmName="SHA-512" hashValue="bUDI0pW2c1MK00k2HC6v4aIpuK7iF1ohsb4mqnwWjv8FSd8IWJ2F1Nf5u9dOnbGpMqLGhcDZfzC9/3sf16KAkw==" saltValue="8RCPU06Y/bnUE2qJLkTzDA==" spinCount="100000" sheet="1" selectLockedCells="1"/>
  <mergeCells count="4">
    <mergeCell ref="H4:I4"/>
    <mergeCell ref="K4:L4"/>
    <mergeCell ref="A38:D38"/>
    <mergeCell ref="A37:C37"/>
  </mergeCells>
  <conditionalFormatting sqref="A9:A17 A19:A20 A23:A24 A27:A28 A38">
    <cfRule type="expression" dxfId="84" priority="39">
      <formula>$B9="Not Installed"</formula>
    </cfRule>
  </conditionalFormatting>
  <conditionalFormatting sqref="A20 A24 A28">
    <cfRule type="expression" dxfId="83" priority="38">
      <formula>$B20=" Not Installed"</formula>
    </cfRule>
  </conditionalFormatting>
  <conditionalFormatting sqref="A21">
    <cfRule type="expression" dxfId="82" priority="33">
      <formula>$B$21=$S$3</formula>
    </cfRule>
  </conditionalFormatting>
  <conditionalFormatting sqref="A25">
    <cfRule type="expression" dxfId="81" priority="32">
      <formula>$B$25=$S$3</formula>
    </cfRule>
  </conditionalFormatting>
  <conditionalFormatting sqref="A29">
    <cfRule type="expression" dxfId="80" priority="31">
      <formula>$B$29=$S$3</formula>
    </cfRule>
  </conditionalFormatting>
  <conditionalFormatting sqref="A32">
    <cfRule type="expression" dxfId="79" priority="4">
      <formula>$H$32=0</formula>
    </cfRule>
  </conditionalFormatting>
  <conditionalFormatting sqref="A33:A34 A18 A22 A26 A30">
    <cfRule type="expression" dxfId="78" priority="10">
      <formula>$D18=0</formula>
    </cfRule>
  </conditionalFormatting>
  <conditionalFormatting sqref="A40:A51">
    <cfRule type="expression" dxfId="76" priority="26">
      <formula>SUM($H$40:$H$51)&gt;0</formula>
    </cfRule>
  </conditionalFormatting>
  <conditionalFormatting sqref="A53 A54:D54">
    <cfRule type="expression" dxfId="75" priority="42" stopIfTrue="1">
      <formula>$D$54&gt;SUM($D$18,$D$22,$D$26)</formula>
    </cfRule>
  </conditionalFormatting>
  <conditionalFormatting sqref="A53">
    <cfRule type="expression" dxfId="73" priority="43">
      <formula>$B$53="Empty"</formula>
    </cfRule>
  </conditionalFormatting>
  <conditionalFormatting sqref="A33:C35">
    <cfRule type="expression" dxfId="72" priority="5">
      <formula>AND($D$32&lt;$C$35,$C$33="Ignore")</formula>
    </cfRule>
  </conditionalFormatting>
  <conditionalFormatting sqref="A36:D36 A37 D37">
    <cfRule type="expression" dxfId="69" priority="1261">
      <formula>$D$37&gt;SUM($H$18,$H$22,$H$26,$H$30,$H$32,$H$36)</formula>
    </cfRule>
  </conditionalFormatting>
  <conditionalFormatting sqref="B19 B20:C20 B21">
    <cfRule type="expression" dxfId="67" priority="9">
      <formula>$H$18=0</formula>
    </cfRule>
  </conditionalFormatting>
  <conditionalFormatting sqref="B19:B21 B25 B29 C18:D18">
    <cfRule type="expression" dxfId="66" priority="36">
      <formula>$B$18=$S$4</formula>
    </cfRule>
  </conditionalFormatting>
  <conditionalFormatting sqref="B23 B24:C24 B25">
    <cfRule type="expression" dxfId="65" priority="8">
      <formula>$H$22=0</formula>
    </cfRule>
  </conditionalFormatting>
  <conditionalFormatting sqref="B23:B24 C22:D22">
    <cfRule type="expression" dxfId="64" priority="51">
      <formula>$B$22=$S$4</formula>
    </cfRule>
  </conditionalFormatting>
  <conditionalFormatting sqref="B27 B28:C28 B29">
    <cfRule type="expression" dxfId="63" priority="7">
      <formula>$H$26=0</formula>
    </cfRule>
  </conditionalFormatting>
  <conditionalFormatting sqref="B27:B28 C26:D26">
    <cfRule type="expression" dxfId="62" priority="50">
      <formula>$B$26=$S$4</formula>
    </cfRule>
  </conditionalFormatting>
  <conditionalFormatting sqref="B40">
    <cfRule type="expression" dxfId="61" priority="1020">
      <formula>$H40&gt;0</formula>
    </cfRule>
  </conditionalFormatting>
  <conditionalFormatting sqref="B42">
    <cfRule type="expression" dxfId="60" priority="30">
      <formula>$H28+$H$42&gt;0</formula>
    </cfRule>
  </conditionalFormatting>
  <conditionalFormatting sqref="B44">
    <cfRule type="expression" dxfId="59" priority="29">
      <formula>$H$44&gt;0</formula>
    </cfRule>
  </conditionalFormatting>
  <conditionalFormatting sqref="B46">
    <cfRule type="expression" dxfId="58" priority="28">
      <formula>$H$46&gt;0</formula>
    </cfRule>
  </conditionalFormatting>
  <conditionalFormatting sqref="B48">
    <cfRule type="expression" dxfId="57" priority="27">
      <formula>$H$48&gt;0</formula>
    </cfRule>
  </conditionalFormatting>
  <conditionalFormatting sqref="B50">
    <cfRule type="expression" dxfId="56" priority="25">
      <formula>$H$50&gt;0</formula>
    </cfRule>
  </conditionalFormatting>
  <conditionalFormatting sqref="B53">
    <cfRule type="expression" dxfId="55" priority="46">
      <formula>$S$42="Not Installed"</formula>
    </cfRule>
  </conditionalFormatting>
  <conditionalFormatting sqref="C9">
    <cfRule type="expression" dxfId="54" priority="56">
      <formula>$B$9=$S$4</formula>
    </cfRule>
  </conditionalFormatting>
  <conditionalFormatting sqref="C20 C24 C28">
    <cfRule type="expression" dxfId="53" priority="1274">
      <formula>AND($C20=0,$B20&lt;&gt;" Not Installed")</formula>
    </cfRule>
    <cfRule type="expression" dxfId="52" priority="1275">
      <formula>$B$18=$S$4</formula>
    </cfRule>
  </conditionalFormatting>
  <conditionalFormatting sqref="D11">
    <cfRule type="expression" dxfId="51" priority="54">
      <formula>$B$11=$S$4</formula>
    </cfRule>
  </conditionalFormatting>
  <conditionalFormatting sqref="D12">
    <cfRule type="expression" dxfId="50" priority="55">
      <formula>$B$12=$S$4</formula>
    </cfRule>
  </conditionalFormatting>
  <conditionalFormatting sqref="D13">
    <cfRule type="expression" dxfId="49" priority="53">
      <formula>$B$13=$S$4</formula>
    </cfRule>
  </conditionalFormatting>
  <conditionalFormatting sqref="D30:D31">
    <cfRule type="expression" dxfId="48" priority="49" stopIfTrue="1">
      <formula>$B$30=$S$4</formula>
    </cfRule>
    <cfRule type="expression" dxfId="47" priority="60">
      <formula>$D$30&gt;$I$6*0.05</formula>
    </cfRule>
  </conditionalFormatting>
  <conditionalFormatting sqref="D32:D34 D36">
    <cfRule type="expression" dxfId="46" priority="1249">
      <formula>$B$32=$S$4</formula>
    </cfRule>
  </conditionalFormatting>
  <conditionalFormatting sqref="D40:D51">
    <cfRule type="expression" priority="1067">
      <formula>$B$50=$S$4</formula>
    </cfRule>
  </conditionalFormatting>
  <conditionalFormatting sqref="D41 D43 D45 D47 D49 D51">
    <cfRule type="expression" dxfId="45" priority="18">
      <formula>AND($D41=$T$4,$H41=0)</formula>
    </cfRule>
  </conditionalFormatting>
  <conditionalFormatting sqref="D41">
    <cfRule type="expression" dxfId="44" priority="24">
      <formula>$H$41&gt;0</formula>
    </cfRule>
  </conditionalFormatting>
  <conditionalFormatting sqref="D43">
    <cfRule type="expression" dxfId="43" priority="23">
      <formula>$H$43&gt;0</formula>
    </cfRule>
  </conditionalFormatting>
  <conditionalFormatting sqref="D45">
    <cfRule type="expression" dxfId="42" priority="22">
      <formula>$H$45&gt;0</formula>
    </cfRule>
  </conditionalFormatting>
  <conditionalFormatting sqref="D47">
    <cfRule type="expression" dxfId="41" priority="21">
      <formula>$H$47&gt;0</formula>
    </cfRule>
  </conditionalFormatting>
  <conditionalFormatting sqref="D49">
    <cfRule type="expression" dxfId="40" priority="20">
      <formula>$H$49&gt;0</formula>
    </cfRule>
  </conditionalFormatting>
  <conditionalFormatting sqref="D51">
    <cfRule type="expression" dxfId="39" priority="19">
      <formula>$H$51&gt;0</formula>
    </cfRule>
  </conditionalFormatting>
  <conditionalFormatting sqref="D52">
    <cfRule type="cellIs" dxfId="38" priority="41" operator="equal">
      <formula>"No"</formula>
    </cfRule>
  </conditionalFormatting>
  <conditionalFormatting sqref="E20">
    <cfRule type="expression" dxfId="37" priority="59">
      <formula>$E$20&gt;$E$2</formula>
    </cfRule>
  </conditionalFormatting>
  <conditionalFormatting sqref="E24">
    <cfRule type="expression" dxfId="36" priority="58">
      <formula>$E$24&gt;$E$2</formula>
    </cfRule>
  </conditionalFormatting>
  <conditionalFormatting sqref="E28">
    <cfRule type="expression" dxfId="35" priority="2">
      <formula>$E$20&gt;$E$2</formula>
    </cfRule>
  </conditionalFormatting>
  <conditionalFormatting sqref="H6">
    <cfRule type="expression" dxfId="34" priority="45">
      <formula>$H$6&lt;0</formula>
    </cfRule>
    <cfRule type="expression" dxfId="33" priority="1">
      <formula>$H$6&gt;0.0099</formula>
    </cfRule>
  </conditionalFormatting>
  <conditionalFormatting sqref="K6">
    <cfRule type="expression" dxfId="32" priority="44">
      <formula>$K$6&lt;0</formula>
    </cfRule>
  </conditionalFormatting>
  <dataValidations count="20">
    <dataValidation type="list" allowBlank="1" showInputMessage="1" showErrorMessage="1" sqref="B13 B23 B27 B19 B21 B25 B29" xr:uid="{805E2083-B748-47B3-AEAB-F22F9A9B4A62}">
      <formula1>$S$3:$S$4</formula1>
    </dataValidation>
    <dataValidation type="list" allowBlank="1" showInputMessage="1" showErrorMessage="1" prompt="Cannot be installed on streamlined ships or ships configured as dispersed structure" sqref="B11" xr:uid="{18ACA6C2-B028-4C4B-A804-6CE947255DC8}">
      <formula1>$S$3:$S$4</formula1>
    </dataValidation>
    <dataValidation type="list" allowBlank="1" showInputMessage="1" showErrorMessage="1" prompt="Cargo retrieval net deployed by 4 drones" sqref="B9" xr:uid="{5629C93B-DF48-4EE0-B23D-FD3267270C70}">
      <formula1>$S$3:$S$4</formula1>
    </dataValidation>
    <dataValidation type="whole" operator="greaterThanOrEqual" allowBlank="1" showInputMessage="1" showErrorMessage="1" sqref="C9 C22 C26 C18 C20 C24 C28" xr:uid="{9C2204E6-886D-4692-B460-4FBF016F415B}">
      <formula1>0</formula1>
    </dataValidation>
    <dataValidation type="list" allowBlank="1" showInputMessage="1" showErrorMessage="1" prompt="Hard mounted Cargo retrieval controlled by pilot" sqref="B10" xr:uid="{A6A72876-6266-4ECD-9851-2E672FB5E53A}">
      <formula1>$S$3:$S$4</formula1>
    </dataValidation>
    <dataValidation type="list" allowBlank="1" showInputMessage="1" showErrorMessage="1" prompt="The hauling ship cannot Jump with this net deployed." sqref="B12" xr:uid="{D9C402FA-910D-4DB6-8A80-66E54E458248}">
      <formula1>$S$3:$S$4</formula1>
    </dataValidation>
    <dataValidation type="decimal" operator="greaterThanOrEqual" allowBlank="1" showInputMessage="1" showErrorMessage="1" prompt="External Cargo capacity in tons._x000a_Thrust and/or Jump Ratings must be recalculated based on the added cargo carried/towed." sqref="D11:D13" xr:uid="{36E5F2CC-D200-43F3-8FA5-ED5C4C3AAAB2}">
      <formula1>0</formula1>
    </dataValidation>
    <dataValidation type="decimal" operator="greaterThanOrEqual" allowBlank="1" showInputMessage="1" showErrorMessage="1" prompt="Cannot exceed 5% of hull value._x000a_Tonnage be separated into multiple compartments." sqref="D30:D31" xr:uid="{88F062ED-37F8-4663-802D-27717D5542F2}">
      <formula1>0</formula1>
    </dataValidation>
    <dataValidation type="decimal" operator="greaterThanOrEqual" allowBlank="1" showInputMessage="1" showErrorMessage="1" sqref="D26 D18 D22 D32:D34 D36" xr:uid="{DD0E21F0-6029-41CB-8474-C1BB3DD7F12F}">
      <formula1>0</formula1>
    </dataValidation>
    <dataValidation type="list" allowBlank="1" showInputMessage="1" showErrorMessage="1" sqref="B24 B28 B20" xr:uid="{F45A3071-4E0F-469E-8E2D-F7AA521531B8}">
      <formula1>$S$7:$S$9</formula1>
    </dataValidation>
    <dataValidation type="decimal" operator="greaterThanOrEqual" allowBlank="1" showInputMessage="1" showErrorMessage="1" promptTitle="Mass Driver" prompt="Small Bay: 2 tons/shot_x000a_Medium Bay: 4 tons/shot_x000a_Large Bay: 20 tons/shot_x000a_Spinal Mount: 50 tons/shot" sqref="D50" xr:uid="{CD2A42B1-98F4-44DD-ABDA-AD889FB84049}">
      <formula1>0</formula1>
    </dataValidation>
    <dataValidation type="list" allowBlank="1" showInputMessage="1" showErrorMessage="1" sqref="B53" xr:uid="{A9A0C1AA-01A7-435F-B497-FDC2267198BE}">
      <formula1>$S$39:$S$40</formula1>
    </dataValidation>
    <dataValidation type="decimal" operator="greaterThanOrEqual" allowBlank="1" showInputMessage="1" showErrorMessage="1" promptTitle="Missile" prompt="1 ton holds 12 missiles" sqref="D40" xr:uid="{66BD8D64-8839-49E2-A1C3-078921B7F51C}">
      <formula1>0</formula1>
    </dataValidation>
    <dataValidation type="decimal" operator="greaterThanOrEqual" allowBlank="1" showInputMessage="1" showErrorMessage="1" promptTitle="Torpedo" prompt="1 ton holds 3 torpedos" sqref="D42" xr:uid="{CBB35FE0-FAC4-4DC1-ACD8-DD7ABB0FF7BA}">
      <formula1>0</formula1>
    </dataValidation>
    <dataValidation type="decimal" operator="greaterThanOrEqual" allowBlank="1" showInputMessage="1" showErrorMessage="1" promptTitle="Sand Cannisters" prompt="1 ton holds 20 sand cannisters" sqref="D44" xr:uid="{30688CF7-AAC2-412F-910A-93210007420E}">
      <formula1>0</formula1>
    </dataValidation>
    <dataValidation type="decimal" operator="greaterThanOrEqual" allowBlank="1" showInputMessage="1" showErrorMessage="1" promptTitle="Special Munitions" prompt="Use for alternate or specialized loadouts. 1 ton holds 12 missiles, 3 torpedos or 20 sand cannisters" sqref="D46" xr:uid="{F9A3B5D0-3476-4BE2-ADBE-84BD6C6F8B06}">
      <formula1>0</formula1>
    </dataValidation>
    <dataValidation type="decimal" operator="greaterThanOrEqual" allowBlank="1" showInputMessage="1" showErrorMessage="1" promptTitle="Railgun Ammunition" prompt="Turret: 1 ton/12 shots_x000a_Barbette: 2 tons/12 shots_x000a_Small Bay: 1 ton/shot_x000a_Medium Bay: 2 tons/shot_x000a_Large Bay: 5 tons/shot_x000a_Spinal Mount: 20 tons/shot" sqref="D48" xr:uid="{034E8556-C606-4FE6-AD79-2D14258A6A73}">
      <formula1>0</formula1>
    </dataValidation>
    <dataValidation type="list" operator="greaterThanOrEqual" allowBlank="1" showInputMessage="1" showErrorMessage="1" sqref="D41 D43 D45 D47 D49 D51" xr:uid="{CEBA026E-C9DF-4DB9-A0DB-77C596C6FEB8}">
      <formula1>$T$3:$T$4</formula1>
    </dataValidation>
    <dataValidation allowBlank="1" showInputMessage="1" showErrorMessage="1" prompt="Cargo Bay Group Description" sqref="B18 B22 B26" xr:uid="{A876C30A-CE37-49AD-BB98-C257FB1493AC}"/>
    <dataValidation type="list" allowBlank="1" showInputMessage="1" showErrorMessage="1" sqref="C33" xr:uid="{4A685169-FC1A-442A-8DEF-01F8841B4F5B}">
      <formula1>"Follow,Ignore"</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2" stopIfTrue="1" id="{0465760A-4A15-4973-A2E0-4948E71AB313}">
            <xm:f>'11-Staterooms'!$C$6=0</xm:f>
            <x14:dxf>
              <fill>
                <patternFill>
                  <bgColor theme="1" tint="0.499984740745262"/>
                </patternFill>
              </fill>
            </x14:dxf>
          </x14:cfRule>
          <xm:sqref>A37 D37</xm:sqref>
        </x14:conditionalFormatting>
        <x14:conditionalFormatting xmlns:xm="http://schemas.microsoft.com/office/excel/2006/main">
          <x14:cfRule type="expression" priority="3010" stopIfTrue="1" id="{F3BBABC5-DC96-4C6D-95BC-7D6A9AAC8C4B}">
            <xm:f>'4-Fuel'!$U$29&gt;0</xm:f>
            <x14:dxf>
              <fill>
                <patternFill>
                  <bgColor rgb="FFFF0000"/>
                </patternFill>
              </fill>
            </x14:dxf>
          </x14:cfRule>
          <xm:sqref>A53 D53:D54</xm:sqref>
        </x14:conditionalFormatting>
        <x14:conditionalFormatting xmlns:xm="http://schemas.microsoft.com/office/excel/2006/main">
          <x14:cfRule type="expression" priority="1660" id="{196F74C9-868D-44D5-9CDF-01FFD00812AC}">
            <xm:f>'1-Hull'!$B$8='1-Hull'!$T$4</xm:f>
            <x14:dxf>
              <fill>
                <patternFill>
                  <bgColor theme="0" tint="-0.499984740745262"/>
                </patternFill>
              </fill>
            </x14:dxf>
          </x14:cfRule>
          <x14:cfRule type="expression" priority="1659" id="{F80CB1AB-0C39-4DEE-893A-530814F81697}">
            <xm:f>'1-Hull'!$B$6='1-Hull'!$S$5</xm:f>
            <x14:dxf>
              <fill>
                <patternFill>
                  <bgColor theme="0" tint="-0.499984740745262"/>
                </patternFill>
              </fill>
            </x14:dxf>
          </x14:cfRule>
          <xm:sqref>A11:D11</xm:sqref>
        </x14:conditionalFormatting>
        <x14:conditionalFormatting xmlns:xm="http://schemas.microsoft.com/office/excel/2006/main">
          <x14:cfRule type="expression" priority="1258" stopIfTrue="1" id="{B4B33A4B-9E55-47F8-90AF-D7632636C260}">
            <xm:f>AND('10-Crew'!$B$5="Military",$D$37&gt;SUM($H$18,+$H$22,$H$26,$H$30,$H$32,$H$36))</xm:f>
            <x14:dxf>
              <font>
                <color theme="1"/>
              </font>
              <fill>
                <patternFill>
                  <bgColor rgb="FFFF0000"/>
                </patternFill>
              </fill>
            </x14:dxf>
          </x14:cfRule>
          <xm:sqref>A36:D36 A37:A38 D37</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88D8-D711-4286-AEE4-1BCB80EBC121}">
  <dimension ref="A1:DV56"/>
  <sheetViews>
    <sheetView showWhiteSpace="0" topLeftCell="A12" zoomScale="130" zoomScaleNormal="106" zoomScaleSheetLayoutView="153" zoomScalePageLayoutView="106" workbookViewId="0">
      <selection activeCell="DQ51" sqref="DQ51:DT51"/>
    </sheetView>
  </sheetViews>
  <sheetFormatPr defaultColWidth="9.109375" defaultRowHeight="14.4" x14ac:dyDescent="0.3"/>
  <cols>
    <col min="1" max="125" width="1" customWidth="1"/>
  </cols>
  <sheetData>
    <row r="1" spans="1:125" ht="16.5" customHeight="1" x14ac:dyDescent="0.3">
      <c r="A1" s="947" t="str">
        <f>IF('Ship Info'!B4=0,"",'Ship Info'!B4)</f>
        <v/>
      </c>
      <c r="B1" s="947"/>
      <c r="C1" s="947"/>
      <c r="D1" s="947"/>
      <c r="E1" s="947"/>
      <c r="F1" s="947"/>
      <c r="G1" s="947"/>
      <c r="H1" s="947"/>
      <c r="I1" s="947"/>
      <c r="J1" s="947"/>
      <c r="K1" s="947"/>
      <c r="L1" s="947"/>
      <c r="M1" s="947"/>
      <c r="N1" s="947"/>
      <c r="O1" s="947"/>
      <c r="P1" s="947"/>
      <c r="Q1" s="947"/>
      <c r="R1" s="947"/>
      <c r="S1" s="947"/>
      <c r="T1" s="947"/>
      <c r="U1" s="947"/>
      <c r="V1" s="947"/>
      <c r="W1" s="947"/>
      <c r="X1" s="947"/>
      <c r="Y1" s="947"/>
      <c r="Z1" s="947"/>
      <c r="AA1" s="947"/>
      <c r="AB1" s="947"/>
      <c r="AC1" s="947"/>
      <c r="AD1" s="947"/>
      <c r="AE1" s="19"/>
      <c r="AF1" s="19"/>
      <c r="AG1" s="948" t="str">
        <f>IF('Ship Info'!B2=0,"",'Ship Info'!B2)</f>
        <v/>
      </c>
      <c r="AH1" s="948"/>
      <c r="AI1" s="948"/>
      <c r="AJ1" s="948"/>
      <c r="AK1" s="948"/>
      <c r="AL1" s="948"/>
      <c r="AM1" s="948"/>
      <c r="AN1" s="948"/>
      <c r="AO1" s="948"/>
      <c r="AP1" s="948"/>
      <c r="AQ1" s="948"/>
      <c r="AR1" s="948"/>
      <c r="AS1" s="948"/>
      <c r="AT1" s="948"/>
      <c r="AU1" s="948"/>
      <c r="AV1" s="948"/>
      <c r="AW1" s="948"/>
      <c r="AX1" s="948"/>
      <c r="AY1" s="948"/>
      <c r="AZ1" s="948"/>
      <c r="BA1" s="948"/>
      <c r="BB1" s="948"/>
      <c r="BC1" s="948"/>
      <c r="BD1" s="948"/>
      <c r="BE1" s="948"/>
      <c r="BF1" s="948"/>
      <c r="BG1" s="948"/>
      <c r="BH1" s="948"/>
      <c r="BI1" s="948"/>
      <c r="BJ1" s="948"/>
      <c r="BK1" s="948"/>
      <c r="BL1" s="948"/>
      <c r="BM1" s="948"/>
      <c r="BN1" s="948"/>
      <c r="BO1" s="948"/>
      <c r="BP1" s="948"/>
      <c r="BQ1" s="948"/>
      <c r="BR1" s="948"/>
      <c r="BS1" s="948"/>
      <c r="BT1" s="948"/>
      <c r="BU1" s="948"/>
      <c r="BV1" s="948"/>
      <c r="BW1" s="948"/>
      <c r="BX1" s="948"/>
      <c r="BY1" s="948"/>
      <c r="BZ1" s="948"/>
      <c r="CA1" s="19"/>
      <c r="CB1" s="19"/>
      <c r="CC1" s="948" t="str">
        <f>IF('Ship Info'!B1=0,"",'Ship Info'!B1)</f>
        <v/>
      </c>
      <c r="CD1" s="948"/>
      <c r="CE1" s="948"/>
      <c r="CF1" s="948"/>
      <c r="CG1" s="948"/>
      <c r="CH1" s="948"/>
      <c r="CI1" s="948"/>
      <c r="CJ1" s="948"/>
      <c r="CK1" s="948"/>
      <c r="CL1" s="948"/>
      <c r="CM1" s="948"/>
      <c r="CN1" s="948"/>
      <c r="CO1" s="948"/>
      <c r="CP1" s="948"/>
      <c r="CQ1" s="948"/>
      <c r="CR1" s="948"/>
      <c r="CS1" s="948"/>
      <c r="CT1" s="948"/>
      <c r="CU1" s="948"/>
      <c r="CV1" s="948"/>
      <c r="CW1" s="948"/>
      <c r="CX1" s="948"/>
      <c r="CY1" s="948"/>
      <c r="CZ1" s="948"/>
      <c r="DA1" s="948"/>
      <c r="DB1" s="948"/>
      <c r="DC1" s="948"/>
      <c r="DD1" s="948"/>
      <c r="DE1" s="948"/>
      <c r="DF1" s="948"/>
      <c r="DG1" s="948"/>
      <c r="DH1" s="948"/>
      <c r="DI1" s="948"/>
      <c r="DJ1" s="948"/>
      <c r="DK1" s="948"/>
      <c r="DL1" s="948"/>
      <c r="DM1" s="948"/>
      <c r="DN1" s="948"/>
      <c r="DO1" s="948"/>
      <c r="DP1" s="948"/>
      <c r="DQ1" s="948"/>
      <c r="DR1" s="948"/>
      <c r="DS1" s="948"/>
      <c r="DT1" s="948"/>
      <c r="DU1" s="948"/>
    </row>
    <row r="2" spans="1:125" ht="12.75" customHeight="1" x14ac:dyDescent="0.3">
      <c r="A2" s="951" t="str">
        <f>"Armor: "&amp;'1-Hull'!D10&amp;""&amp;IF('1-Hull'!AC28=TRUE,"/"&amp;'1-Hull'!D10+3&amp;" vs. Lasers","")</f>
        <v>Armor: 0</v>
      </c>
      <c r="B2" s="951"/>
      <c r="C2" s="951"/>
      <c r="D2" s="951"/>
      <c r="E2" s="951"/>
      <c r="F2" s="951"/>
      <c r="G2" s="951"/>
      <c r="H2" s="951"/>
      <c r="I2" s="951"/>
      <c r="J2" s="951"/>
      <c r="K2" s="951"/>
      <c r="L2" s="951"/>
      <c r="M2" s="951"/>
      <c r="N2" s="951"/>
      <c r="O2" s="951"/>
      <c r="P2" s="951"/>
      <c r="Q2" s="951"/>
      <c r="R2" s="951"/>
      <c r="S2" s="951"/>
      <c r="T2" s="951"/>
      <c r="U2" s="19"/>
      <c r="V2" s="952" t="str">
        <f>IF('1-Hull'!AC47=TRUE,"Rad Shields: Rads - 1000","")</f>
        <v/>
      </c>
      <c r="W2" s="952"/>
      <c r="X2" s="952"/>
      <c r="Y2" s="952"/>
      <c r="Z2" s="952"/>
      <c r="AA2" s="952"/>
      <c r="AB2" s="952"/>
      <c r="AC2" s="952"/>
      <c r="AD2" s="952"/>
      <c r="AE2" s="952"/>
      <c r="AF2" s="952"/>
      <c r="AG2" s="952"/>
      <c r="AH2" s="952"/>
      <c r="AI2" s="952"/>
      <c r="AJ2" s="952"/>
      <c r="AK2" s="952"/>
      <c r="AL2" s="952"/>
      <c r="AM2" s="952"/>
      <c r="AN2" s="952"/>
      <c r="AO2" s="19"/>
      <c r="AP2" s="951" t="str">
        <f>IF('1-Hull'!AC34=TRUE,"Stealth: Sensors-2",IF('1-Hull'!AC35=TRUE,"Stealth: Sensors-2",IF('1-Hull'!AC36=TRUE,"Stealth: Sensors-4",IF('1-Hull'!AC37=TRUE,"Stealth: Sensors-6",""))))</f>
        <v/>
      </c>
      <c r="AQ2" s="951"/>
      <c r="AR2" s="951"/>
      <c r="AS2" s="951"/>
      <c r="AT2" s="951"/>
      <c r="AU2" s="951"/>
      <c r="AV2" s="951"/>
      <c r="AW2" s="951"/>
      <c r="AX2" s="951"/>
      <c r="AY2" s="951"/>
      <c r="AZ2" s="951"/>
      <c r="BA2" s="951"/>
      <c r="BB2" s="951"/>
      <c r="BC2" s="951"/>
      <c r="BD2" s="951"/>
      <c r="BE2" s="951"/>
      <c r="BF2" s="19"/>
      <c r="BG2" s="19" t="str">
        <f>'5-Bridge'!S25</f>
        <v>Bridge: No Modifiers</v>
      </c>
      <c r="BH2" s="19"/>
      <c r="BI2" s="19"/>
      <c r="BJ2" s="19"/>
      <c r="BK2" s="19"/>
      <c r="BL2" s="19"/>
      <c r="BM2" s="19"/>
      <c r="BN2" s="19"/>
      <c r="BO2" s="19"/>
      <c r="BP2" s="19"/>
      <c r="BQ2" s="19"/>
      <c r="BR2" s="19"/>
      <c r="BS2" s="19"/>
      <c r="BT2" s="19"/>
      <c r="BU2" s="19"/>
      <c r="BV2" s="19"/>
      <c r="BW2" s="19"/>
      <c r="BX2" s="19"/>
      <c r="BY2" s="19"/>
      <c r="BZ2" s="952" t="str">
        <f>"TL: "&amp;Tech_Level</f>
        <v>TL: 12</v>
      </c>
      <c r="CA2" s="952"/>
      <c r="CB2" s="952"/>
      <c r="CC2" s="952"/>
      <c r="CD2" s="952"/>
      <c r="CE2" s="952"/>
      <c r="CF2" s="952"/>
      <c r="CG2" s="952"/>
      <c r="CH2" s="952"/>
      <c r="CI2" s="19"/>
      <c r="CJ2" s="19"/>
      <c r="CK2" s="19"/>
      <c r="CL2" s="951" t="str">
        <f>"Thrust: "&amp;'2-Drives'!D14&amp;IF('2-Drives'!B14='2-Drives'!S4,", "&amp;'4-Fuel'!D8&amp;" Thrust Points","")</f>
        <v>Thrust: 0</v>
      </c>
      <c r="CM2" s="951"/>
      <c r="CN2" s="951"/>
      <c r="CO2" s="951"/>
      <c r="CP2" s="951"/>
      <c r="CQ2" s="951"/>
      <c r="CR2" s="951"/>
      <c r="CS2" s="951"/>
      <c r="CT2" s="951"/>
      <c r="CU2" s="951"/>
      <c r="CV2" s="951"/>
      <c r="CW2" s="951"/>
      <c r="CX2" s="951"/>
      <c r="CY2" s="951"/>
      <c r="CZ2" s="951"/>
      <c r="DA2" s="951"/>
      <c r="DB2" s="951"/>
      <c r="DC2" s="951"/>
      <c r="DD2" s="951"/>
      <c r="DE2" s="951"/>
      <c r="DF2" s="951"/>
      <c r="DG2" s="951"/>
      <c r="DH2" s="951"/>
      <c r="DI2" s="951"/>
      <c r="DJ2" s="951"/>
      <c r="DK2" s="19"/>
      <c r="DL2" s="19" t="str">
        <f>"Jump?"&amp;IF('2-Drives'!D29&gt;0," Y"," N")</f>
        <v>Jump? N</v>
      </c>
      <c r="DM2" s="19"/>
      <c r="DN2" s="19"/>
      <c r="DO2" s="19"/>
      <c r="DP2" s="19"/>
      <c r="DQ2" s="19"/>
      <c r="DR2" s="19"/>
      <c r="DS2" s="19"/>
      <c r="DT2" s="19"/>
      <c r="DU2" s="19"/>
    </row>
    <row r="3" spans="1:125" ht="13.5" customHeight="1" thickBot="1" x14ac:dyDescent="0.35">
      <c r="A3" s="949" t="str">
        <f>"Hull Points: "&amp;'1-Hull'!D7</f>
        <v>Hull Points: 40</v>
      </c>
      <c r="B3" s="949"/>
      <c r="C3" s="949"/>
      <c r="D3" s="949"/>
      <c r="E3" s="949"/>
      <c r="F3" s="949"/>
      <c r="G3" s="949"/>
      <c r="H3" s="949"/>
      <c r="I3" s="949"/>
      <c r="J3" s="949"/>
      <c r="K3" s="949"/>
      <c r="L3" s="949"/>
      <c r="M3" s="949"/>
      <c r="N3" s="949"/>
      <c r="O3" s="949"/>
      <c r="P3" s="949"/>
      <c r="Q3" s="949"/>
      <c r="R3" s="949"/>
      <c r="S3" s="949"/>
      <c r="T3" s="949"/>
      <c r="U3" s="19"/>
      <c r="V3" s="19"/>
      <c r="W3" s="19"/>
      <c r="X3" s="950" t="str">
        <f>"Hull Size: "&amp;'1-Hull'!B4&amp;" tons"</f>
        <v>Hull Size: 100 tons</v>
      </c>
      <c r="Y3" s="950"/>
      <c r="Z3" s="950"/>
      <c r="AA3" s="950"/>
      <c r="AB3" s="950"/>
      <c r="AC3" s="950"/>
      <c r="AD3" s="950"/>
      <c r="AE3" s="950"/>
      <c r="AF3" s="950"/>
      <c r="AG3" s="950"/>
      <c r="AH3" s="950"/>
      <c r="AI3" s="950"/>
      <c r="AJ3" s="950"/>
      <c r="AK3" s="950"/>
      <c r="AL3" s="950"/>
      <c r="AM3" s="950"/>
      <c r="AN3" s="950"/>
      <c r="AO3" s="950"/>
      <c r="AP3" s="950"/>
      <c r="AQ3" s="950"/>
      <c r="AR3" s="950"/>
      <c r="AS3" s="950"/>
      <c r="AT3" s="950"/>
      <c r="AU3" s="950"/>
      <c r="AV3" s="950"/>
      <c r="AW3" s="950"/>
      <c r="AX3" s="950"/>
      <c r="AY3" s="19"/>
      <c r="AZ3" s="950" t="str">
        <f>"Configuration: "&amp;'1-Hull'!B6</f>
        <v>Configuration: Standard</v>
      </c>
      <c r="BA3" s="950"/>
      <c r="BB3" s="950"/>
      <c r="BC3" s="950"/>
      <c r="BD3" s="950"/>
      <c r="BE3" s="950"/>
      <c r="BF3" s="950"/>
      <c r="BG3" s="950"/>
      <c r="BH3" s="950"/>
      <c r="BI3" s="950"/>
      <c r="BJ3" s="950"/>
      <c r="BK3" s="950"/>
      <c r="BL3" s="950"/>
      <c r="BM3" s="950"/>
      <c r="BN3" s="950"/>
      <c r="BO3" s="950"/>
      <c r="BP3" s="950"/>
      <c r="BQ3" s="950"/>
      <c r="BR3" s="950"/>
      <c r="BS3" s="950"/>
      <c r="BT3" s="950"/>
      <c r="BU3" s="950"/>
      <c r="BV3" s="950"/>
      <c r="BW3" s="950"/>
      <c r="BX3" s="19"/>
      <c r="BY3" s="950" t="str">
        <f>"Streamlining: "&amp;'1-Hull'!B8&amp;'1-Hull'!T70</f>
        <v>Streamlining: Partial</v>
      </c>
      <c r="BZ3" s="950"/>
      <c r="CA3" s="950"/>
      <c r="CB3" s="950"/>
      <c r="CC3" s="950"/>
      <c r="CD3" s="950"/>
      <c r="CE3" s="950"/>
      <c r="CF3" s="950"/>
      <c r="CG3" s="950"/>
      <c r="CH3" s="950"/>
      <c r="CI3" s="950"/>
      <c r="CJ3" s="950"/>
      <c r="CK3" s="950"/>
      <c r="CL3" s="950"/>
      <c r="CM3" s="950"/>
      <c r="CN3" s="950"/>
      <c r="CO3" s="950"/>
      <c r="CP3" s="950"/>
      <c r="CQ3" s="950"/>
      <c r="CR3" s="950"/>
      <c r="CS3" s="950"/>
      <c r="CT3" s="950"/>
      <c r="CU3" s="950"/>
      <c r="CV3" s="950"/>
      <c r="CW3" s="950"/>
      <c r="CX3" s="950"/>
      <c r="CY3" s="950"/>
      <c r="CZ3" s="950"/>
      <c r="DA3" s="950"/>
      <c r="DB3" s="19"/>
      <c r="DC3" s="953" t="s">
        <v>638</v>
      </c>
      <c r="DD3" s="953"/>
      <c r="DE3" s="953"/>
      <c r="DF3" s="953"/>
      <c r="DG3" s="953"/>
      <c r="DH3" s="953"/>
      <c r="DI3" s="952" t="str">
        <f>'10-Crew'!E5&amp;""&amp;IF('10-Crew'!E7=0,"","/"&amp;'10-Crew'!E7)</f>
        <v>5</v>
      </c>
      <c r="DJ3" s="952"/>
      <c r="DK3" s="952"/>
      <c r="DL3" s="952"/>
      <c r="DM3" s="952"/>
      <c r="DN3" s="952"/>
      <c r="DO3" s="952"/>
      <c r="DP3" s="952"/>
      <c r="DQ3" s="952"/>
      <c r="DR3" s="952"/>
      <c r="DS3" s="952"/>
      <c r="DT3" s="952"/>
      <c r="DU3" s="19"/>
    </row>
    <row r="4" spans="1:125" ht="6.6" customHeight="1" x14ac:dyDescent="0.3">
      <c r="A4" s="31">
        <v>1</v>
      </c>
      <c r="B4" s="32">
        <f>A4+1</f>
        <v>2</v>
      </c>
      <c r="C4" s="32">
        <f t="shared" ref="C4:BN4" si="0">B4+1</f>
        <v>3</v>
      </c>
      <c r="D4" s="32">
        <f t="shared" si="0"/>
        <v>4</v>
      </c>
      <c r="E4" s="32">
        <f t="shared" si="0"/>
        <v>5</v>
      </c>
      <c r="F4" s="32">
        <f t="shared" si="0"/>
        <v>6</v>
      </c>
      <c r="G4" s="32">
        <f t="shared" si="0"/>
        <v>7</v>
      </c>
      <c r="H4" s="32">
        <f t="shared" si="0"/>
        <v>8</v>
      </c>
      <c r="I4" s="32">
        <f t="shared" si="0"/>
        <v>9</v>
      </c>
      <c r="J4" s="33">
        <f t="shared" si="0"/>
        <v>10</v>
      </c>
      <c r="K4" s="31">
        <f t="shared" si="0"/>
        <v>11</v>
      </c>
      <c r="L4" s="32">
        <f t="shared" si="0"/>
        <v>12</v>
      </c>
      <c r="M4" s="32">
        <f t="shared" si="0"/>
        <v>13</v>
      </c>
      <c r="N4" s="32">
        <f t="shared" si="0"/>
        <v>14</v>
      </c>
      <c r="O4" s="32">
        <f t="shared" si="0"/>
        <v>15</v>
      </c>
      <c r="P4" s="32">
        <f t="shared" si="0"/>
        <v>16</v>
      </c>
      <c r="Q4" s="32">
        <f t="shared" si="0"/>
        <v>17</v>
      </c>
      <c r="R4" s="32">
        <f t="shared" si="0"/>
        <v>18</v>
      </c>
      <c r="S4" s="32">
        <f t="shared" si="0"/>
        <v>19</v>
      </c>
      <c r="T4" s="33">
        <f t="shared" si="0"/>
        <v>20</v>
      </c>
      <c r="U4" s="31">
        <f t="shared" si="0"/>
        <v>21</v>
      </c>
      <c r="V4" s="32">
        <f t="shared" si="0"/>
        <v>22</v>
      </c>
      <c r="W4" s="32">
        <f t="shared" si="0"/>
        <v>23</v>
      </c>
      <c r="X4" s="32">
        <f t="shared" si="0"/>
        <v>24</v>
      </c>
      <c r="Y4" s="32">
        <f t="shared" si="0"/>
        <v>25</v>
      </c>
      <c r="Z4" s="32">
        <f t="shared" si="0"/>
        <v>26</v>
      </c>
      <c r="AA4" s="32">
        <f t="shared" si="0"/>
        <v>27</v>
      </c>
      <c r="AB4" s="32">
        <f t="shared" si="0"/>
        <v>28</v>
      </c>
      <c r="AC4" s="32">
        <f t="shared" si="0"/>
        <v>29</v>
      </c>
      <c r="AD4" s="33">
        <f t="shared" si="0"/>
        <v>30</v>
      </c>
      <c r="AE4" s="31">
        <f t="shared" si="0"/>
        <v>31</v>
      </c>
      <c r="AF4" s="32">
        <f t="shared" si="0"/>
        <v>32</v>
      </c>
      <c r="AG4" s="32">
        <f t="shared" si="0"/>
        <v>33</v>
      </c>
      <c r="AH4" s="32">
        <f t="shared" si="0"/>
        <v>34</v>
      </c>
      <c r="AI4" s="32">
        <f t="shared" si="0"/>
        <v>35</v>
      </c>
      <c r="AJ4" s="32">
        <f t="shared" si="0"/>
        <v>36</v>
      </c>
      <c r="AK4" s="32">
        <f t="shared" si="0"/>
        <v>37</v>
      </c>
      <c r="AL4" s="32">
        <f t="shared" si="0"/>
        <v>38</v>
      </c>
      <c r="AM4" s="32">
        <f t="shared" si="0"/>
        <v>39</v>
      </c>
      <c r="AN4" s="33">
        <f t="shared" si="0"/>
        <v>40</v>
      </c>
      <c r="AO4" s="31">
        <f t="shared" si="0"/>
        <v>41</v>
      </c>
      <c r="AP4" s="32">
        <f t="shared" si="0"/>
        <v>42</v>
      </c>
      <c r="AQ4" s="32">
        <f t="shared" si="0"/>
        <v>43</v>
      </c>
      <c r="AR4" s="32">
        <f t="shared" si="0"/>
        <v>44</v>
      </c>
      <c r="AS4" s="32">
        <f t="shared" si="0"/>
        <v>45</v>
      </c>
      <c r="AT4" s="32">
        <f t="shared" si="0"/>
        <v>46</v>
      </c>
      <c r="AU4" s="32">
        <f t="shared" si="0"/>
        <v>47</v>
      </c>
      <c r="AV4" s="32">
        <f t="shared" si="0"/>
        <v>48</v>
      </c>
      <c r="AW4" s="32">
        <f t="shared" si="0"/>
        <v>49</v>
      </c>
      <c r="AX4" s="33">
        <f t="shared" si="0"/>
        <v>50</v>
      </c>
      <c r="AY4" s="31">
        <f t="shared" si="0"/>
        <v>51</v>
      </c>
      <c r="AZ4" s="32">
        <f t="shared" si="0"/>
        <v>52</v>
      </c>
      <c r="BA4" s="32">
        <f t="shared" si="0"/>
        <v>53</v>
      </c>
      <c r="BB4" s="32">
        <f t="shared" si="0"/>
        <v>54</v>
      </c>
      <c r="BC4" s="32">
        <f t="shared" si="0"/>
        <v>55</v>
      </c>
      <c r="BD4" s="32">
        <f t="shared" si="0"/>
        <v>56</v>
      </c>
      <c r="BE4" s="32">
        <f t="shared" si="0"/>
        <v>57</v>
      </c>
      <c r="BF4" s="32">
        <f t="shared" si="0"/>
        <v>58</v>
      </c>
      <c r="BG4" s="32">
        <f t="shared" si="0"/>
        <v>59</v>
      </c>
      <c r="BH4" s="33">
        <f t="shared" si="0"/>
        <v>60</v>
      </c>
      <c r="BI4" s="31">
        <f t="shared" si="0"/>
        <v>61</v>
      </c>
      <c r="BJ4" s="32">
        <f t="shared" si="0"/>
        <v>62</v>
      </c>
      <c r="BK4" s="32">
        <f t="shared" si="0"/>
        <v>63</v>
      </c>
      <c r="BL4" s="32">
        <f t="shared" si="0"/>
        <v>64</v>
      </c>
      <c r="BM4" s="32">
        <f t="shared" si="0"/>
        <v>65</v>
      </c>
      <c r="BN4" s="32">
        <f t="shared" si="0"/>
        <v>66</v>
      </c>
      <c r="BO4" s="32">
        <f t="shared" ref="BO4:DP4" si="1">BN4+1</f>
        <v>67</v>
      </c>
      <c r="BP4" s="32">
        <f t="shared" si="1"/>
        <v>68</v>
      </c>
      <c r="BQ4" s="32">
        <f t="shared" si="1"/>
        <v>69</v>
      </c>
      <c r="BR4" s="34">
        <f t="shared" si="1"/>
        <v>70</v>
      </c>
      <c r="BS4" s="31">
        <f t="shared" si="1"/>
        <v>71</v>
      </c>
      <c r="BT4" s="32">
        <f t="shared" si="1"/>
        <v>72</v>
      </c>
      <c r="BU4" s="32">
        <f t="shared" si="1"/>
        <v>73</v>
      </c>
      <c r="BV4" s="32">
        <f t="shared" si="1"/>
        <v>74</v>
      </c>
      <c r="BW4" s="32">
        <f t="shared" si="1"/>
        <v>75</v>
      </c>
      <c r="BX4" s="32">
        <f t="shared" si="1"/>
        <v>76</v>
      </c>
      <c r="BY4" s="32">
        <f t="shared" si="1"/>
        <v>77</v>
      </c>
      <c r="BZ4" s="32">
        <f t="shared" si="1"/>
        <v>78</v>
      </c>
      <c r="CA4" s="32">
        <f t="shared" si="1"/>
        <v>79</v>
      </c>
      <c r="CB4" s="33">
        <f t="shared" si="1"/>
        <v>80</v>
      </c>
      <c r="CC4" s="35">
        <f t="shared" si="1"/>
        <v>81</v>
      </c>
      <c r="CD4" s="32">
        <f t="shared" si="1"/>
        <v>82</v>
      </c>
      <c r="CE4" s="32">
        <f t="shared" si="1"/>
        <v>83</v>
      </c>
      <c r="CF4" s="32">
        <f t="shared" si="1"/>
        <v>84</v>
      </c>
      <c r="CG4" s="32">
        <f t="shared" si="1"/>
        <v>85</v>
      </c>
      <c r="CH4" s="32">
        <f t="shared" si="1"/>
        <v>86</v>
      </c>
      <c r="CI4" s="32">
        <f t="shared" si="1"/>
        <v>87</v>
      </c>
      <c r="CJ4" s="32">
        <f t="shared" si="1"/>
        <v>88</v>
      </c>
      <c r="CK4" s="32">
        <f t="shared" si="1"/>
        <v>89</v>
      </c>
      <c r="CL4" s="34">
        <f t="shared" si="1"/>
        <v>90</v>
      </c>
      <c r="CM4" s="31">
        <f t="shared" si="1"/>
        <v>91</v>
      </c>
      <c r="CN4" s="32">
        <f t="shared" si="1"/>
        <v>92</v>
      </c>
      <c r="CO4" s="32">
        <f t="shared" si="1"/>
        <v>93</v>
      </c>
      <c r="CP4" s="32">
        <f t="shared" si="1"/>
        <v>94</v>
      </c>
      <c r="CQ4" s="32">
        <f t="shared" si="1"/>
        <v>95</v>
      </c>
      <c r="CR4" s="32">
        <f t="shared" si="1"/>
        <v>96</v>
      </c>
      <c r="CS4" s="32">
        <f t="shared" si="1"/>
        <v>97</v>
      </c>
      <c r="CT4" s="32">
        <f t="shared" si="1"/>
        <v>98</v>
      </c>
      <c r="CU4" s="32">
        <f t="shared" si="1"/>
        <v>99</v>
      </c>
      <c r="CV4" s="33">
        <f t="shared" si="1"/>
        <v>100</v>
      </c>
      <c r="CW4" s="35">
        <f t="shared" si="1"/>
        <v>101</v>
      </c>
      <c r="CX4" s="32">
        <f t="shared" si="1"/>
        <v>102</v>
      </c>
      <c r="CY4" s="32">
        <f t="shared" si="1"/>
        <v>103</v>
      </c>
      <c r="CZ4" s="32">
        <f t="shared" si="1"/>
        <v>104</v>
      </c>
      <c r="DA4" s="32">
        <f t="shared" si="1"/>
        <v>105</v>
      </c>
      <c r="DB4" s="32">
        <f t="shared" si="1"/>
        <v>106</v>
      </c>
      <c r="DC4" s="32">
        <f t="shared" si="1"/>
        <v>107</v>
      </c>
      <c r="DD4" s="32">
        <f t="shared" si="1"/>
        <v>108</v>
      </c>
      <c r="DE4" s="32">
        <f t="shared" si="1"/>
        <v>109</v>
      </c>
      <c r="DF4" s="34">
        <f t="shared" si="1"/>
        <v>110</v>
      </c>
      <c r="DG4" s="31">
        <f t="shared" si="1"/>
        <v>111</v>
      </c>
      <c r="DH4" s="32">
        <f t="shared" si="1"/>
        <v>112</v>
      </c>
      <c r="DI4" s="32">
        <f t="shared" si="1"/>
        <v>113</v>
      </c>
      <c r="DJ4" s="32">
        <f t="shared" si="1"/>
        <v>114</v>
      </c>
      <c r="DK4" s="32">
        <f t="shared" si="1"/>
        <v>115</v>
      </c>
      <c r="DL4" s="32">
        <f t="shared" si="1"/>
        <v>116</v>
      </c>
      <c r="DM4" s="32">
        <f t="shared" si="1"/>
        <v>117</v>
      </c>
      <c r="DN4" s="32">
        <f t="shared" si="1"/>
        <v>118</v>
      </c>
      <c r="DO4" s="32">
        <f t="shared" si="1"/>
        <v>119</v>
      </c>
      <c r="DP4" s="33">
        <f t="shared" si="1"/>
        <v>120</v>
      </c>
      <c r="DQ4" s="30"/>
      <c r="DR4" s="151"/>
      <c r="DS4" s="151"/>
      <c r="DT4" s="30"/>
      <c r="DU4" s="30"/>
    </row>
    <row r="5" spans="1:125" ht="6.6" customHeight="1" x14ac:dyDescent="0.3">
      <c r="A5" s="36">
        <v>121</v>
      </c>
      <c r="B5" s="37">
        <f>A5+1</f>
        <v>122</v>
      </c>
      <c r="C5" s="37">
        <f t="shared" ref="C5:BN5" si="2">B5+1</f>
        <v>123</v>
      </c>
      <c r="D5" s="37">
        <f t="shared" si="2"/>
        <v>124</v>
      </c>
      <c r="E5" s="37">
        <f t="shared" si="2"/>
        <v>125</v>
      </c>
      <c r="F5" s="37">
        <f t="shared" si="2"/>
        <v>126</v>
      </c>
      <c r="G5" s="37">
        <f t="shared" si="2"/>
        <v>127</v>
      </c>
      <c r="H5" s="37">
        <f t="shared" si="2"/>
        <v>128</v>
      </c>
      <c r="I5" s="37">
        <f t="shared" si="2"/>
        <v>129</v>
      </c>
      <c r="J5" s="38">
        <f t="shared" si="2"/>
        <v>130</v>
      </c>
      <c r="K5" s="36">
        <f t="shared" si="2"/>
        <v>131</v>
      </c>
      <c r="L5" s="37">
        <f t="shared" si="2"/>
        <v>132</v>
      </c>
      <c r="M5" s="37">
        <f t="shared" si="2"/>
        <v>133</v>
      </c>
      <c r="N5" s="37">
        <f t="shared" si="2"/>
        <v>134</v>
      </c>
      <c r="O5" s="37">
        <f t="shared" si="2"/>
        <v>135</v>
      </c>
      <c r="P5" s="37">
        <f t="shared" si="2"/>
        <v>136</v>
      </c>
      <c r="Q5" s="37">
        <f t="shared" si="2"/>
        <v>137</v>
      </c>
      <c r="R5" s="37">
        <f t="shared" si="2"/>
        <v>138</v>
      </c>
      <c r="S5" s="37">
        <f t="shared" si="2"/>
        <v>139</v>
      </c>
      <c r="T5" s="38">
        <f t="shared" si="2"/>
        <v>140</v>
      </c>
      <c r="U5" s="36">
        <f t="shared" si="2"/>
        <v>141</v>
      </c>
      <c r="V5" s="37">
        <f t="shared" si="2"/>
        <v>142</v>
      </c>
      <c r="W5" s="37">
        <f t="shared" si="2"/>
        <v>143</v>
      </c>
      <c r="X5" s="37">
        <f t="shared" si="2"/>
        <v>144</v>
      </c>
      <c r="Y5" s="37">
        <f t="shared" si="2"/>
        <v>145</v>
      </c>
      <c r="Z5" s="37">
        <f t="shared" si="2"/>
        <v>146</v>
      </c>
      <c r="AA5" s="37">
        <f t="shared" si="2"/>
        <v>147</v>
      </c>
      <c r="AB5" s="37">
        <f t="shared" si="2"/>
        <v>148</v>
      </c>
      <c r="AC5" s="37">
        <f t="shared" si="2"/>
        <v>149</v>
      </c>
      <c r="AD5" s="38">
        <f t="shared" si="2"/>
        <v>150</v>
      </c>
      <c r="AE5" s="36">
        <f t="shared" si="2"/>
        <v>151</v>
      </c>
      <c r="AF5" s="37">
        <f t="shared" si="2"/>
        <v>152</v>
      </c>
      <c r="AG5" s="37">
        <f t="shared" si="2"/>
        <v>153</v>
      </c>
      <c r="AH5" s="37">
        <f t="shared" si="2"/>
        <v>154</v>
      </c>
      <c r="AI5" s="37">
        <f t="shared" si="2"/>
        <v>155</v>
      </c>
      <c r="AJ5" s="37">
        <f t="shared" si="2"/>
        <v>156</v>
      </c>
      <c r="AK5" s="37">
        <f t="shared" si="2"/>
        <v>157</v>
      </c>
      <c r="AL5" s="37">
        <f t="shared" si="2"/>
        <v>158</v>
      </c>
      <c r="AM5" s="37">
        <f t="shared" si="2"/>
        <v>159</v>
      </c>
      <c r="AN5" s="38">
        <f t="shared" si="2"/>
        <v>160</v>
      </c>
      <c r="AO5" s="36">
        <f t="shared" si="2"/>
        <v>161</v>
      </c>
      <c r="AP5" s="37">
        <f t="shared" si="2"/>
        <v>162</v>
      </c>
      <c r="AQ5" s="37">
        <f t="shared" si="2"/>
        <v>163</v>
      </c>
      <c r="AR5" s="37">
        <f t="shared" si="2"/>
        <v>164</v>
      </c>
      <c r="AS5" s="37">
        <f t="shared" si="2"/>
        <v>165</v>
      </c>
      <c r="AT5" s="37">
        <f t="shared" si="2"/>
        <v>166</v>
      </c>
      <c r="AU5" s="37">
        <f t="shared" si="2"/>
        <v>167</v>
      </c>
      <c r="AV5" s="37">
        <f t="shared" si="2"/>
        <v>168</v>
      </c>
      <c r="AW5" s="37">
        <f t="shared" si="2"/>
        <v>169</v>
      </c>
      <c r="AX5" s="38">
        <f t="shared" si="2"/>
        <v>170</v>
      </c>
      <c r="AY5" s="36">
        <f t="shared" si="2"/>
        <v>171</v>
      </c>
      <c r="AZ5" s="37">
        <f t="shared" si="2"/>
        <v>172</v>
      </c>
      <c r="BA5" s="37">
        <f t="shared" si="2"/>
        <v>173</v>
      </c>
      <c r="BB5" s="37">
        <f t="shared" si="2"/>
        <v>174</v>
      </c>
      <c r="BC5" s="37">
        <f t="shared" si="2"/>
        <v>175</v>
      </c>
      <c r="BD5" s="37">
        <f t="shared" si="2"/>
        <v>176</v>
      </c>
      <c r="BE5" s="37">
        <f t="shared" si="2"/>
        <v>177</v>
      </c>
      <c r="BF5" s="37">
        <f t="shared" si="2"/>
        <v>178</v>
      </c>
      <c r="BG5" s="37">
        <f t="shared" si="2"/>
        <v>179</v>
      </c>
      <c r="BH5" s="38">
        <f t="shared" si="2"/>
        <v>180</v>
      </c>
      <c r="BI5" s="36">
        <f t="shared" si="2"/>
        <v>181</v>
      </c>
      <c r="BJ5" s="37">
        <f t="shared" si="2"/>
        <v>182</v>
      </c>
      <c r="BK5" s="37">
        <f t="shared" si="2"/>
        <v>183</v>
      </c>
      <c r="BL5" s="37">
        <f t="shared" si="2"/>
        <v>184</v>
      </c>
      <c r="BM5" s="37">
        <f t="shared" si="2"/>
        <v>185</v>
      </c>
      <c r="BN5" s="37">
        <f t="shared" si="2"/>
        <v>186</v>
      </c>
      <c r="BO5" s="37">
        <f t="shared" ref="BO5:DP5" si="3">BN5+1</f>
        <v>187</v>
      </c>
      <c r="BP5" s="37">
        <f t="shared" si="3"/>
        <v>188</v>
      </c>
      <c r="BQ5" s="37">
        <f t="shared" si="3"/>
        <v>189</v>
      </c>
      <c r="BR5" s="39">
        <f t="shared" si="3"/>
        <v>190</v>
      </c>
      <c r="BS5" s="36">
        <f t="shared" si="3"/>
        <v>191</v>
      </c>
      <c r="BT5" s="37">
        <f t="shared" si="3"/>
        <v>192</v>
      </c>
      <c r="BU5" s="37">
        <f t="shared" si="3"/>
        <v>193</v>
      </c>
      <c r="BV5" s="37">
        <f t="shared" si="3"/>
        <v>194</v>
      </c>
      <c r="BW5" s="37">
        <f t="shared" si="3"/>
        <v>195</v>
      </c>
      <c r="BX5" s="37">
        <f t="shared" si="3"/>
        <v>196</v>
      </c>
      <c r="BY5" s="37">
        <f t="shared" si="3"/>
        <v>197</v>
      </c>
      <c r="BZ5" s="37">
        <f t="shared" si="3"/>
        <v>198</v>
      </c>
      <c r="CA5" s="37">
        <f t="shared" si="3"/>
        <v>199</v>
      </c>
      <c r="CB5" s="38">
        <f t="shared" si="3"/>
        <v>200</v>
      </c>
      <c r="CC5" s="40">
        <f t="shared" si="3"/>
        <v>201</v>
      </c>
      <c r="CD5" s="37">
        <f t="shared" si="3"/>
        <v>202</v>
      </c>
      <c r="CE5" s="37">
        <f t="shared" si="3"/>
        <v>203</v>
      </c>
      <c r="CF5" s="37">
        <f t="shared" si="3"/>
        <v>204</v>
      </c>
      <c r="CG5" s="37">
        <f t="shared" si="3"/>
        <v>205</v>
      </c>
      <c r="CH5" s="37">
        <f t="shared" si="3"/>
        <v>206</v>
      </c>
      <c r="CI5" s="37">
        <f t="shared" si="3"/>
        <v>207</v>
      </c>
      <c r="CJ5" s="37">
        <f t="shared" si="3"/>
        <v>208</v>
      </c>
      <c r="CK5" s="37">
        <f t="shared" si="3"/>
        <v>209</v>
      </c>
      <c r="CL5" s="39">
        <f t="shared" si="3"/>
        <v>210</v>
      </c>
      <c r="CM5" s="36">
        <f t="shared" si="3"/>
        <v>211</v>
      </c>
      <c r="CN5" s="37">
        <f t="shared" si="3"/>
        <v>212</v>
      </c>
      <c r="CO5" s="37">
        <f t="shared" si="3"/>
        <v>213</v>
      </c>
      <c r="CP5" s="37">
        <f t="shared" si="3"/>
        <v>214</v>
      </c>
      <c r="CQ5" s="37">
        <f t="shared" si="3"/>
        <v>215</v>
      </c>
      <c r="CR5" s="37">
        <f t="shared" si="3"/>
        <v>216</v>
      </c>
      <c r="CS5" s="37">
        <f t="shared" si="3"/>
        <v>217</v>
      </c>
      <c r="CT5" s="37">
        <f t="shared" si="3"/>
        <v>218</v>
      </c>
      <c r="CU5" s="37">
        <f t="shared" si="3"/>
        <v>219</v>
      </c>
      <c r="CV5" s="38">
        <f t="shared" si="3"/>
        <v>220</v>
      </c>
      <c r="CW5" s="40">
        <f t="shared" si="3"/>
        <v>221</v>
      </c>
      <c r="CX5" s="37">
        <f t="shared" si="3"/>
        <v>222</v>
      </c>
      <c r="CY5" s="37">
        <f t="shared" si="3"/>
        <v>223</v>
      </c>
      <c r="CZ5" s="37">
        <f t="shared" si="3"/>
        <v>224</v>
      </c>
      <c r="DA5" s="37">
        <f t="shared" si="3"/>
        <v>225</v>
      </c>
      <c r="DB5" s="37">
        <f t="shared" si="3"/>
        <v>226</v>
      </c>
      <c r="DC5" s="37">
        <f t="shared" si="3"/>
        <v>227</v>
      </c>
      <c r="DD5" s="37">
        <f t="shared" si="3"/>
        <v>228</v>
      </c>
      <c r="DE5" s="37">
        <f t="shared" si="3"/>
        <v>229</v>
      </c>
      <c r="DF5" s="39">
        <f t="shared" si="3"/>
        <v>230</v>
      </c>
      <c r="DG5" s="36">
        <f t="shared" si="3"/>
        <v>231</v>
      </c>
      <c r="DH5" s="37">
        <f t="shared" si="3"/>
        <v>232</v>
      </c>
      <c r="DI5" s="37">
        <f t="shared" si="3"/>
        <v>233</v>
      </c>
      <c r="DJ5" s="37">
        <f t="shared" si="3"/>
        <v>234</v>
      </c>
      <c r="DK5" s="37">
        <f t="shared" si="3"/>
        <v>235</v>
      </c>
      <c r="DL5" s="37">
        <f t="shared" si="3"/>
        <v>236</v>
      </c>
      <c r="DM5" s="37">
        <f t="shared" si="3"/>
        <v>237</v>
      </c>
      <c r="DN5" s="37">
        <f t="shared" si="3"/>
        <v>238</v>
      </c>
      <c r="DO5" s="37">
        <f t="shared" si="3"/>
        <v>239</v>
      </c>
      <c r="DP5" s="38">
        <f t="shared" si="3"/>
        <v>240</v>
      </c>
      <c r="DQ5" s="30"/>
      <c r="DR5" s="152"/>
      <c r="DS5" s="152"/>
      <c r="DT5" s="30"/>
      <c r="DU5" s="30"/>
    </row>
    <row r="6" spans="1:125" ht="6.6" customHeight="1" x14ac:dyDescent="0.3">
      <c r="A6" s="36">
        <v>241</v>
      </c>
      <c r="B6" s="37">
        <f>A6+1</f>
        <v>242</v>
      </c>
      <c r="C6" s="37">
        <f t="shared" ref="C6:BN6" si="4">B6+1</f>
        <v>243</v>
      </c>
      <c r="D6" s="37">
        <f t="shared" si="4"/>
        <v>244</v>
      </c>
      <c r="E6" s="37">
        <f t="shared" si="4"/>
        <v>245</v>
      </c>
      <c r="F6" s="37">
        <f t="shared" si="4"/>
        <v>246</v>
      </c>
      <c r="G6" s="37">
        <f t="shared" si="4"/>
        <v>247</v>
      </c>
      <c r="H6" s="37">
        <f t="shared" si="4"/>
        <v>248</v>
      </c>
      <c r="I6" s="37">
        <f t="shared" si="4"/>
        <v>249</v>
      </c>
      <c r="J6" s="38">
        <f t="shared" si="4"/>
        <v>250</v>
      </c>
      <c r="K6" s="36">
        <f t="shared" si="4"/>
        <v>251</v>
      </c>
      <c r="L6" s="37">
        <f t="shared" si="4"/>
        <v>252</v>
      </c>
      <c r="M6" s="37">
        <f t="shared" si="4"/>
        <v>253</v>
      </c>
      <c r="N6" s="37">
        <f t="shared" si="4"/>
        <v>254</v>
      </c>
      <c r="O6" s="37">
        <f t="shared" si="4"/>
        <v>255</v>
      </c>
      <c r="P6" s="37">
        <f t="shared" si="4"/>
        <v>256</v>
      </c>
      <c r="Q6" s="37">
        <f t="shared" si="4"/>
        <v>257</v>
      </c>
      <c r="R6" s="37">
        <f t="shared" si="4"/>
        <v>258</v>
      </c>
      <c r="S6" s="37">
        <f t="shared" si="4"/>
        <v>259</v>
      </c>
      <c r="T6" s="38">
        <f t="shared" si="4"/>
        <v>260</v>
      </c>
      <c r="U6" s="36">
        <f t="shared" si="4"/>
        <v>261</v>
      </c>
      <c r="V6" s="37">
        <f t="shared" si="4"/>
        <v>262</v>
      </c>
      <c r="W6" s="37">
        <f t="shared" si="4"/>
        <v>263</v>
      </c>
      <c r="X6" s="37">
        <f t="shared" si="4"/>
        <v>264</v>
      </c>
      <c r="Y6" s="37">
        <f t="shared" si="4"/>
        <v>265</v>
      </c>
      <c r="Z6" s="37">
        <f t="shared" si="4"/>
        <v>266</v>
      </c>
      <c r="AA6" s="37">
        <f t="shared" si="4"/>
        <v>267</v>
      </c>
      <c r="AB6" s="37">
        <f t="shared" si="4"/>
        <v>268</v>
      </c>
      <c r="AC6" s="37">
        <f t="shared" si="4"/>
        <v>269</v>
      </c>
      <c r="AD6" s="38">
        <f t="shared" si="4"/>
        <v>270</v>
      </c>
      <c r="AE6" s="36">
        <f t="shared" si="4"/>
        <v>271</v>
      </c>
      <c r="AF6" s="37">
        <f t="shared" si="4"/>
        <v>272</v>
      </c>
      <c r="AG6" s="37">
        <f t="shared" si="4"/>
        <v>273</v>
      </c>
      <c r="AH6" s="37">
        <f t="shared" si="4"/>
        <v>274</v>
      </c>
      <c r="AI6" s="37">
        <f t="shared" si="4"/>
        <v>275</v>
      </c>
      <c r="AJ6" s="37">
        <f t="shared" si="4"/>
        <v>276</v>
      </c>
      <c r="AK6" s="37">
        <f t="shared" si="4"/>
        <v>277</v>
      </c>
      <c r="AL6" s="37">
        <f t="shared" si="4"/>
        <v>278</v>
      </c>
      <c r="AM6" s="37">
        <f t="shared" si="4"/>
        <v>279</v>
      </c>
      <c r="AN6" s="38">
        <f t="shared" si="4"/>
        <v>280</v>
      </c>
      <c r="AO6" s="36">
        <f t="shared" si="4"/>
        <v>281</v>
      </c>
      <c r="AP6" s="37">
        <f t="shared" si="4"/>
        <v>282</v>
      </c>
      <c r="AQ6" s="37">
        <f t="shared" si="4"/>
        <v>283</v>
      </c>
      <c r="AR6" s="37">
        <f t="shared" si="4"/>
        <v>284</v>
      </c>
      <c r="AS6" s="37">
        <f t="shared" si="4"/>
        <v>285</v>
      </c>
      <c r="AT6" s="37">
        <f t="shared" si="4"/>
        <v>286</v>
      </c>
      <c r="AU6" s="37">
        <f t="shared" si="4"/>
        <v>287</v>
      </c>
      <c r="AV6" s="37">
        <f t="shared" si="4"/>
        <v>288</v>
      </c>
      <c r="AW6" s="37">
        <f t="shared" si="4"/>
        <v>289</v>
      </c>
      <c r="AX6" s="38">
        <f t="shared" si="4"/>
        <v>290</v>
      </c>
      <c r="AY6" s="36">
        <f t="shared" si="4"/>
        <v>291</v>
      </c>
      <c r="AZ6" s="37">
        <f t="shared" si="4"/>
        <v>292</v>
      </c>
      <c r="BA6" s="37">
        <f t="shared" si="4"/>
        <v>293</v>
      </c>
      <c r="BB6" s="37">
        <f t="shared" si="4"/>
        <v>294</v>
      </c>
      <c r="BC6" s="37">
        <f t="shared" si="4"/>
        <v>295</v>
      </c>
      <c r="BD6" s="37">
        <f t="shared" si="4"/>
        <v>296</v>
      </c>
      <c r="BE6" s="37">
        <f t="shared" si="4"/>
        <v>297</v>
      </c>
      <c r="BF6" s="37">
        <f t="shared" si="4"/>
        <v>298</v>
      </c>
      <c r="BG6" s="37">
        <f t="shared" si="4"/>
        <v>299</v>
      </c>
      <c r="BH6" s="38">
        <f t="shared" si="4"/>
        <v>300</v>
      </c>
      <c r="BI6" s="36">
        <f t="shared" si="4"/>
        <v>301</v>
      </c>
      <c r="BJ6" s="37">
        <f t="shared" si="4"/>
        <v>302</v>
      </c>
      <c r="BK6" s="37">
        <f t="shared" si="4"/>
        <v>303</v>
      </c>
      <c r="BL6" s="37">
        <f t="shared" si="4"/>
        <v>304</v>
      </c>
      <c r="BM6" s="37">
        <f t="shared" si="4"/>
        <v>305</v>
      </c>
      <c r="BN6" s="37">
        <f t="shared" si="4"/>
        <v>306</v>
      </c>
      <c r="BO6" s="37">
        <f t="shared" ref="BO6:DP6" si="5">BN6+1</f>
        <v>307</v>
      </c>
      <c r="BP6" s="37">
        <f t="shared" si="5"/>
        <v>308</v>
      </c>
      <c r="BQ6" s="37">
        <f t="shared" si="5"/>
        <v>309</v>
      </c>
      <c r="BR6" s="39">
        <f t="shared" si="5"/>
        <v>310</v>
      </c>
      <c r="BS6" s="36">
        <f t="shared" si="5"/>
        <v>311</v>
      </c>
      <c r="BT6" s="37">
        <f t="shared" si="5"/>
        <v>312</v>
      </c>
      <c r="BU6" s="37">
        <f t="shared" si="5"/>
        <v>313</v>
      </c>
      <c r="BV6" s="37">
        <f t="shared" si="5"/>
        <v>314</v>
      </c>
      <c r="BW6" s="37">
        <f t="shared" si="5"/>
        <v>315</v>
      </c>
      <c r="BX6" s="37">
        <f t="shared" si="5"/>
        <v>316</v>
      </c>
      <c r="BY6" s="37">
        <f t="shared" si="5"/>
        <v>317</v>
      </c>
      <c r="BZ6" s="37">
        <f t="shared" si="5"/>
        <v>318</v>
      </c>
      <c r="CA6" s="37">
        <f t="shared" si="5"/>
        <v>319</v>
      </c>
      <c r="CB6" s="38">
        <f t="shared" si="5"/>
        <v>320</v>
      </c>
      <c r="CC6" s="40">
        <f t="shared" si="5"/>
        <v>321</v>
      </c>
      <c r="CD6" s="37">
        <f t="shared" si="5"/>
        <v>322</v>
      </c>
      <c r="CE6" s="37">
        <f t="shared" si="5"/>
        <v>323</v>
      </c>
      <c r="CF6" s="37">
        <f t="shared" si="5"/>
        <v>324</v>
      </c>
      <c r="CG6" s="37">
        <f t="shared" si="5"/>
        <v>325</v>
      </c>
      <c r="CH6" s="37">
        <f t="shared" si="5"/>
        <v>326</v>
      </c>
      <c r="CI6" s="37">
        <f t="shared" si="5"/>
        <v>327</v>
      </c>
      <c r="CJ6" s="37">
        <f t="shared" si="5"/>
        <v>328</v>
      </c>
      <c r="CK6" s="37">
        <f t="shared" si="5"/>
        <v>329</v>
      </c>
      <c r="CL6" s="39">
        <f t="shared" si="5"/>
        <v>330</v>
      </c>
      <c r="CM6" s="36">
        <f t="shared" si="5"/>
        <v>331</v>
      </c>
      <c r="CN6" s="37">
        <f t="shared" si="5"/>
        <v>332</v>
      </c>
      <c r="CO6" s="37">
        <f t="shared" si="5"/>
        <v>333</v>
      </c>
      <c r="CP6" s="37">
        <f t="shared" si="5"/>
        <v>334</v>
      </c>
      <c r="CQ6" s="37">
        <f t="shared" si="5"/>
        <v>335</v>
      </c>
      <c r="CR6" s="37">
        <f t="shared" si="5"/>
        <v>336</v>
      </c>
      <c r="CS6" s="37">
        <f t="shared" si="5"/>
        <v>337</v>
      </c>
      <c r="CT6" s="37">
        <f t="shared" si="5"/>
        <v>338</v>
      </c>
      <c r="CU6" s="37">
        <f t="shared" si="5"/>
        <v>339</v>
      </c>
      <c r="CV6" s="38">
        <f t="shared" si="5"/>
        <v>340</v>
      </c>
      <c r="CW6" s="40">
        <f t="shared" si="5"/>
        <v>341</v>
      </c>
      <c r="CX6" s="37">
        <f t="shared" si="5"/>
        <v>342</v>
      </c>
      <c r="CY6" s="37">
        <f t="shared" si="5"/>
        <v>343</v>
      </c>
      <c r="CZ6" s="37">
        <f t="shared" si="5"/>
        <v>344</v>
      </c>
      <c r="DA6" s="37">
        <f t="shared" si="5"/>
        <v>345</v>
      </c>
      <c r="DB6" s="37">
        <f t="shared" si="5"/>
        <v>346</v>
      </c>
      <c r="DC6" s="37">
        <f t="shared" si="5"/>
        <v>347</v>
      </c>
      <c r="DD6" s="37">
        <f t="shared" si="5"/>
        <v>348</v>
      </c>
      <c r="DE6" s="37">
        <f t="shared" si="5"/>
        <v>349</v>
      </c>
      <c r="DF6" s="39">
        <f t="shared" si="5"/>
        <v>350</v>
      </c>
      <c r="DG6" s="36">
        <f t="shared" si="5"/>
        <v>351</v>
      </c>
      <c r="DH6" s="37">
        <f t="shared" si="5"/>
        <v>352</v>
      </c>
      <c r="DI6" s="37">
        <f t="shared" si="5"/>
        <v>353</v>
      </c>
      <c r="DJ6" s="37">
        <f t="shared" si="5"/>
        <v>354</v>
      </c>
      <c r="DK6" s="37">
        <f t="shared" si="5"/>
        <v>355</v>
      </c>
      <c r="DL6" s="37">
        <f t="shared" si="5"/>
        <v>356</v>
      </c>
      <c r="DM6" s="37">
        <f t="shared" si="5"/>
        <v>357</v>
      </c>
      <c r="DN6" s="37">
        <f t="shared" si="5"/>
        <v>358</v>
      </c>
      <c r="DO6" s="37">
        <f t="shared" si="5"/>
        <v>359</v>
      </c>
      <c r="DP6" s="38">
        <f t="shared" si="5"/>
        <v>360</v>
      </c>
      <c r="DQ6" s="30"/>
      <c r="DR6" s="898">
        <v>0</v>
      </c>
      <c r="DS6" s="899"/>
      <c r="DT6" s="898">
        <v>0</v>
      </c>
      <c r="DU6" s="899"/>
    </row>
    <row r="7" spans="1:125" ht="6.6" customHeight="1" x14ac:dyDescent="0.3">
      <c r="A7" s="36">
        <v>361</v>
      </c>
      <c r="B7" s="37">
        <f t="shared" ref="B7:BM7" si="6">A7+1</f>
        <v>362</v>
      </c>
      <c r="C7" s="37">
        <f t="shared" si="6"/>
        <v>363</v>
      </c>
      <c r="D7" s="37">
        <f t="shared" si="6"/>
        <v>364</v>
      </c>
      <c r="E7" s="37">
        <f t="shared" si="6"/>
        <v>365</v>
      </c>
      <c r="F7" s="37">
        <f t="shared" si="6"/>
        <v>366</v>
      </c>
      <c r="G7" s="37">
        <f t="shared" si="6"/>
        <v>367</v>
      </c>
      <c r="H7" s="37">
        <f t="shared" si="6"/>
        <v>368</v>
      </c>
      <c r="I7" s="37">
        <f t="shared" si="6"/>
        <v>369</v>
      </c>
      <c r="J7" s="38">
        <f t="shared" si="6"/>
        <v>370</v>
      </c>
      <c r="K7" s="36">
        <f t="shared" si="6"/>
        <v>371</v>
      </c>
      <c r="L7" s="37">
        <f t="shared" si="6"/>
        <v>372</v>
      </c>
      <c r="M7" s="37">
        <f t="shared" si="6"/>
        <v>373</v>
      </c>
      <c r="N7" s="37">
        <f t="shared" si="6"/>
        <v>374</v>
      </c>
      <c r="O7" s="37">
        <f t="shared" si="6"/>
        <v>375</v>
      </c>
      <c r="P7" s="37">
        <f t="shared" si="6"/>
        <v>376</v>
      </c>
      <c r="Q7" s="37">
        <f t="shared" si="6"/>
        <v>377</v>
      </c>
      <c r="R7" s="37">
        <f t="shared" si="6"/>
        <v>378</v>
      </c>
      <c r="S7" s="37">
        <f t="shared" si="6"/>
        <v>379</v>
      </c>
      <c r="T7" s="38">
        <f t="shared" si="6"/>
        <v>380</v>
      </c>
      <c r="U7" s="36">
        <f t="shared" si="6"/>
        <v>381</v>
      </c>
      <c r="V7" s="37">
        <f t="shared" si="6"/>
        <v>382</v>
      </c>
      <c r="W7" s="37">
        <f t="shared" si="6"/>
        <v>383</v>
      </c>
      <c r="X7" s="37">
        <f t="shared" si="6"/>
        <v>384</v>
      </c>
      <c r="Y7" s="37">
        <f t="shared" si="6"/>
        <v>385</v>
      </c>
      <c r="Z7" s="37">
        <f t="shared" si="6"/>
        <v>386</v>
      </c>
      <c r="AA7" s="37">
        <f t="shared" si="6"/>
        <v>387</v>
      </c>
      <c r="AB7" s="37">
        <f t="shared" si="6"/>
        <v>388</v>
      </c>
      <c r="AC7" s="37">
        <f t="shared" si="6"/>
        <v>389</v>
      </c>
      <c r="AD7" s="38">
        <f t="shared" si="6"/>
        <v>390</v>
      </c>
      <c r="AE7" s="36">
        <f t="shared" si="6"/>
        <v>391</v>
      </c>
      <c r="AF7" s="37">
        <f t="shared" si="6"/>
        <v>392</v>
      </c>
      <c r="AG7" s="37">
        <f t="shared" si="6"/>
        <v>393</v>
      </c>
      <c r="AH7" s="37">
        <f t="shared" si="6"/>
        <v>394</v>
      </c>
      <c r="AI7" s="37">
        <f t="shared" si="6"/>
        <v>395</v>
      </c>
      <c r="AJ7" s="37">
        <f t="shared" si="6"/>
        <v>396</v>
      </c>
      <c r="AK7" s="37">
        <f t="shared" si="6"/>
        <v>397</v>
      </c>
      <c r="AL7" s="37">
        <f t="shared" si="6"/>
        <v>398</v>
      </c>
      <c r="AM7" s="37">
        <f t="shared" si="6"/>
        <v>399</v>
      </c>
      <c r="AN7" s="38">
        <f t="shared" si="6"/>
        <v>400</v>
      </c>
      <c r="AO7" s="36">
        <f t="shared" si="6"/>
        <v>401</v>
      </c>
      <c r="AP7" s="37">
        <f t="shared" si="6"/>
        <v>402</v>
      </c>
      <c r="AQ7" s="37">
        <f t="shared" si="6"/>
        <v>403</v>
      </c>
      <c r="AR7" s="37">
        <f t="shared" si="6"/>
        <v>404</v>
      </c>
      <c r="AS7" s="37">
        <f t="shared" si="6"/>
        <v>405</v>
      </c>
      <c r="AT7" s="37">
        <f t="shared" si="6"/>
        <v>406</v>
      </c>
      <c r="AU7" s="37">
        <f t="shared" si="6"/>
        <v>407</v>
      </c>
      <c r="AV7" s="37">
        <f t="shared" si="6"/>
        <v>408</v>
      </c>
      <c r="AW7" s="37">
        <f t="shared" si="6"/>
        <v>409</v>
      </c>
      <c r="AX7" s="38">
        <f t="shared" si="6"/>
        <v>410</v>
      </c>
      <c r="AY7" s="36">
        <f t="shared" si="6"/>
        <v>411</v>
      </c>
      <c r="AZ7" s="37">
        <f t="shared" si="6"/>
        <v>412</v>
      </c>
      <c r="BA7" s="37">
        <f t="shared" si="6"/>
        <v>413</v>
      </c>
      <c r="BB7" s="37">
        <f t="shared" si="6"/>
        <v>414</v>
      </c>
      <c r="BC7" s="37">
        <f t="shared" si="6"/>
        <v>415</v>
      </c>
      <c r="BD7" s="37">
        <f t="shared" si="6"/>
        <v>416</v>
      </c>
      <c r="BE7" s="37">
        <f t="shared" si="6"/>
        <v>417</v>
      </c>
      <c r="BF7" s="37">
        <f t="shared" si="6"/>
        <v>418</v>
      </c>
      <c r="BG7" s="37">
        <f t="shared" si="6"/>
        <v>419</v>
      </c>
      <c r="BH7" s="38">
        <f t="shared" si="6"/>
        <v>420</v>
      </c>
      <c r="BI7" s="36">
        <f t="shared" si="6"/>
        <v>421</v>
      </c>
      <c r="BJ7" s="37">
        <f t="shared" si="6"/>
        <v>422</v>
      </c>
      <c r="BK7" s="37">
        <f t="shared" si="6"/>
        <v>423</v>
      </c>
      <c r="BL7" s="37">
        <f t="shared" si="6"/>
        <v>424</v>
      </c>
      <c r="BM7" s="37">
        <f t="shared" si="6"/>
        <v>425</v>
      </c>
      <c r="BN7" s="37">
        <f t="shared" ref="BN7:DP7" si="7">BM7+1</f>
        <v>426</v>
      </c>
      <c r="BO7" s="37">
        <f t="shared" si="7"/>
        <v>427</v>
      </c>
      <c r="BP7" s="37">
        <f t="shared" si="7"/>
        <v>428</v>
      </c>
      <c r="BQ7" s="37">
        <f t="shared" si="7"/>
        <v>429</v>
      </c>
      <c r="BR7" s="39">
        <f t="shared" si="7"/>
        <v>430</v>
      </c>
      <c r="BS7" s="36">
        <f t="shared" si="7"/>
        <v>431</v>
      </c>
      <c r="BT7" s="37">
        <f t="shared" si="7"/>
        <v>432</v>
      </c>
      <c r="BU7" s="37">
        <f t="shared" si="7"/>
        <v>433</v>
      </c>
      <c r="BV7" s="37">
        <f t="shared" si="7"/>
        <v>434</v>
      </c>
      <c r="BW7" s="37">
        <f t="shared" si="7"/>
        <v>435</v>
      </c>
      <c r="BX7" s="37">
        <f t="shared" si="7"/>
        <v>436</v>
      </c>
      <c r="BY7" s="37">
        <f t="shared" si="7"/>
        <v>437</v>
      </c>
      <c r="BZ7" s="37">
        <f t="shared" si="7"/>
        <v>438</v>
      </c>
      <c r="CA7" s="37">
        <f t="shared" si="7"/>
        <v>439</v>
      </c>
      <c r="CB7" s="38">
        <f t="shared" si="7"/>
        <v>440</v>
      </c>
      <c r="CC7" s="40">
        <f t="shared" si="7"/>
        <v>441</v>
      </c>
      <c r="CD7" s="37">
        <f t="shared" si="7"/>
        <v>442</v>
      </c>
      <c r="CE7" s="37">
        <f t="shared" si="7"/>
        <v>443</v>
      </c>
      <c r="CF7" s="37">
        <f t="shared" si="7"/>
        <v>444</v>
      </c>
      <c r="CG7" s="37">
        <f t="shared" si="7"/>
        <v>445</v>
      </c>
      <c r="CH7" s="37">
        <f t="shared" si="7"/>
        <v>446</v>
      </c>
      <c r="CI7" s="37">
        <f t="shared" si="7"/>
        <v>447</v>
      </c>
      <c r="CJ7" s="37">
        <f t="shared" si="7"/>
        <v>448</v>
      </c>
      <c r="CK7" s="37">
        <f t="shared" si="7"/>
        <v>449</v>
      </c>
      <c r="CL7" s="39">
        <f t="shared" si="7"/>
        <v>450</v>
      </c>
      <c r="CM7" s="36">
        <f t="shared" si="7"/>
        <v>451</v>
      </c>
      <c r="CN7" s="37">
        <f t="shared" si="7"/>
        <v>452</v>
      </c>
      <c r="CO7" s="37">
        <f t="shared" si="7"/>
        <v>453</v>
      </c>
      <c r="CP7" s="37">
        <f t="shared" si="7"/>
        <v>454</v>
      </c>
      <c r="CQ7" s="37">
        <f t="shared" si="7"/>
        <v>455</v>
      </c>
      <c r="CR7" s="37">
        <f t="shared" si="7"/>
        <v>456</v>
      </c>
      <c r="CS7" s="37">
        <f t="shared" si="7"/>
        <v>457</v>
      </c>
      <c r="CT7" s="37">
        <f t="shared" si="7"/>
        <v>458</v>
      </c>
      <c r="CU7" s="37">
        <f t="shared" si="7"/>
        <v>459</v>
      </c>
      <c r="CV7" s="38">
        <f t="shared" si="7"/>
        <v>460</v>
      </c>
      <c r="CW7" s="40">
        <f t="shared" si="7"/>
        <v>461</v>
      </c>
      <c r="CX7" s="37">
        <f t="shared" si="7"/>
        <v>462</v>
      </c>
      <c r="CY7" s="37">
        <f t="shared" si="7"/>
        <v>463</v>
      </c>
      <c r="CZ7" s="37">
        <f t="shared" si="7"/>
        <v>464</v>
      </c>
      <c r="DA7" s="37">
        <f t="shared" si="7"/>
        <v>465</v>
      </c>
      <c r="DB7" s="37">
        <f t="shared" si="7"/>
        <v>466</v>
      </c>
      <c r="DC7" s="37">
        <f t="shared" si="7"/>
        <v>467</v>
      </c>
      <c r="DD7" s="37">
        <f t="shared" si="7"/>
        <v>468</v>
      </c>
      <c r="DE7" s="37">
        <f t="shared" si="7"/>
        <v>469</v>
      </c>
      <c r="DF7" s="39">
        <f t="shared" si="7"/>
        <v>470</v>
      </c>
      <c r="DG7" s="36">
        <f t="shared" si="7"/>
        <v>471</v>
      </c>
      <c r="DH7" s="37">
        <f t="shared" si="7"/>
        <v>472</v>
      </c>
      <c r="DI7" s="37">
        <f t="shared" si="7"/>
        <v>473</v>
      </c>
      <c r="DJ7" s="37">
        <f t="shared" si="7"/>
        <v>474</v>
      </c>
      <c r="DK7" s="37">
        <f t="shared" si="7"/>
        <v>475</v>
      </c>
      <c r="DL7" s="37">
        <f t="shared" si="7"/>
        <v>476</v>
      </c>
      <c r="DM7" s="37">
        <f t="shared" si="7"/>
        <v>477</v>
      </c>
      <c r="DN7" s="37">
        <f t="shared" si="7"/>
        <v>478</v>
      </c>
      <c r="DO7" s="37">
        <f t="shared" si="7"/>
        <v>479</v>
      </c>
      <c r="DP7" s="38">
        <f t="shared" si="7"/>
        <v>480</v>
      </c>
      <c r="DQ7" s="30"/>
      <c r="DR7" s="900"/>
      <c r="DS7" s="901"/>
      <c r="DT7" s="900"/>
      <c r="DU7" s="901"/>
    </row>
    <row r="8" spans="1:125" ht="6.6" customHeight="1" x14ac:dyDescent="0.3">
      <c r="A8" s="36">
        <v>481</v>
      </c>
      <c r="B8" s="37">
        <f t="shared" ref="B8:BM8" si="8">A8+1</f>
        <v>482</v>
      </c>
      <c r="C8" s="37">
        <f t="shared" si="8"/>
        <v>483</v>
      </c>
      <c r="D8" s="37">
        <f t="shared" si="8"/>
        <v>484</v>
      </c>
      <c r="E8" s="37">
        <f t="shared" si="8"/>
        <v>485</v>
      </c>
      <c r="F8" s="37">
        <f t="shared" si="8"/>
        <v>486</v>
      </c>
      <c r="G8" s="37">
        <f t="shared" si="8"/>
        <v>487</v>
      </c>
      <c r="H8" s="37">
        <f t="shared" si="8"/>
        <v>488</v>
      </c>
      <c r="I8" s="37">
        <f t="shared" si="8"/>
        <v>489</v>
      </c>
      <c r="J8" s="38">
        <f t="shared" si="8"/>
        <v>490</v>
      </c>
      <c r="K8" s="36">
        <f t="shared" si="8"/>
        <v>491</v>
      </c>
      <c r="L8" s="37">
        <f t="shared" si="8"/>
        <v>492</v>
      </c>
      <c r="M8" s="37">
        <f t="shared" si="8"/>
        <v>493</v>
      </c>
      <c r="N8" s="37">
        <f t="shared" si="8"/>
        <v>494</v>
      </c>
      <c r="O8" s="37">
        <f t="shared" si="8"/>
        <v>495</v>
      </c>
      <c r="P8" s="37">
        <f t="shared" si="8"/>
        <v>496</v>
      </c>
      <c r="Q8" s="37">
        <f t="shared" si="8"/>
        <v>497</v>
      </c>
      <c r="R8" s="37">
        <f t="shared" si="8"/>
        <v>498</v>
      </c>
      <c r="S8" s="37">
        <f t="shared" si="8"/>
        <v>499</v>
      </c>
      <c r="T8" s="38">
        <f t="shared" si="8"/>
        <v>500</v>
      </c>
      <c r="U8" s="36">
        <f t="shared" si="8"/>
        <v>501</v>
      </c>
      <c r="V8" s="37">
        <f t="shared" si="8"/>
        <v>502</v>
      </c>
      <c r="W8" s="37">
        <f t="shared" si="8"/>
        <v>503</v>
      </c>
      <c r="X8" s="37">
        <f t="shared" si="8"/>
        <v>504</v>
      </c>
      <c r="Y8" s="37">
        <f t="shared" si="8"/>
        <v>505</v>
      </c>
      <c r="Z8" s="37">
        <f t="shared" si="8"/>
        <v>506</v>
      </c>
      <c r="AA8" s="37">
        <f t="shared" si="8"/>
        <v>507</v>
      </c>
      <c r="AB8" s="37">
        <f t="shared" si="8"/>
        <v>508</v>
      </c>
      <c r="AC8" s="37">
        <f t="shared" si="8"/>
        <v>509</v>
      </c>
      <c r="AD8" s="38">
        <f t="shared" si="8"/>
        <v>510</v>
      </c>
      <c r="AE8" s="36">
        <f t="shared" si="8"/>
        <v>511</v>
      </c>
      <c r="AF8" s="37">
        <f t="shared" si="8"/>
        <v>512</v>
      </c>
      <c r="AG8" s="37">
        <f t="shared" si="8"/>
        <v>513</v>
      </c>
      <c r="AH8" s="37">
        <f t="shared" si="8"/>
        <v>514</v>
      </c>
      <c r="AI8" s="37">
        <f t="shared" si="8"/>
        <v>515</v>
      </c>
      <c r="AJ8" s="37">
        <f t="shared" si="8"/>
        <v>516</v>
      </c>
      <c r="AK8" s="37">
        <f t="shared" si="8"/>
        <v>517</v>
      </c>
      <c r="AL8" s="37">
        <f t="shared" si="8"/>
        <v>518</v>
      </c>
      <c r="AM8" s="37">
        <f t="shared" si="8"/>
        <v>519</v>
      </c>
      <c r="AN8" s="38">
        <f t="shared" si="8"/>
        <v>520</v>
      </c>
      <c r="AO8" s="36">
        <f t="shared" si="8"/>
        <v>521</v>
      </c>
      <c r="AP8" s="37">
        <f t="shared" si="8"/>
        <v>522</v>
      </c>
      <c r="AQ8" s="37">
        <f t="shared" si="8"/>
        <v>523</v>
      </c>
      <c r="AR8" s="37">
        <f t="shared" si="8"/>
        <v>524</v>
      </c>
      <c r="AS8" s="37">
        <f t="shared" si="8"/>
        <v>525</v>
      </c>
      <c r="AT8" s="37">
        <f t="shared" si="8"/>
        <v>526</v>
      </c>
      <c r="AU8" s="37">
        <f t="shared" si="8"/>
        <v>527</v>
      </c>
      <c r="AV8" s="37">
        <f t="shared" si="8"/>
        <v>528</v>
      </c>
      <c r="AW8" s="37">
        <f t="shared" si="8"/>
        <v>529</v>
      </c>
      <c r="AX8" s="38">
        <f t="shared" si="8"/>
        <v>530</v>
      </c>
      <c r="AY8" s="36">
        <f t="shared" si="8"/>
        <v>531</v>
      </c>
      <c r="AZ8" s="37">
        <f t="shared" si="8"/>
        <v>532</v>
      </c>
      <c r="BA8" s="37">
        <f t="shared" si="8"/>
        <v>533</v>
      </c>
      <c r="BB8" s="37">
        <f t="shared" si="8"/>
        <v>534</v>
      </c>
      <c r="BC8" s="37">
        <f t="shared" si="8"/>
        <v>535</v>
      </c>
      <c r="BD8" s="37">
        <f t="shared" si="8"/>
        <v>536</v>
      </c>
      <c r="BE8" s="37">
        <f t="shared" si="8"/>
        <v>537</v>
      </c>
      <c r="BF8" s="37">
        <f t="shared" si="8"/>
        <v>538</v>
      </c>
      <c r="BG8" s="37">
        <f t="shared" si="8"/>
        <v>539</v>
      </c>
      <c r="BH8" s="38">
        <f t="shared" si="8"/>
        <v>540</v>
      </c>
      <c r="BI8" s="36">
        <f t="shared" si="8"/>
        <v>541</v>
      </c>
      <c r="BJ8" s="37">
        <f t="shared" si="8"/>
        <v>542</v>
      </c>
      <c r="BK8" s="37">
        <f t="shared" si="8"/>
        <v>543</v>
      </c>
      <c r="BL8" s="37">
        <f t="shared" si="8"/>
        <v>544</v>
      </c>
      <c r="BM8" s="37">
        <f t="shared" si="8"/>
        <v>545</v>
      </c>
      <c r="BN8" s="37">
        <f t="shared" ref="BN8:DP8" si="9">BM8+1</f>
        <v>546</v>
      </c>
      <c r="BO8" s="37">
        <f t="shared" si="9"/>
        <v>547</v>
      </c>
      <c r="BP8" s="37">
        <f t="shared" si="9"/>
        <v>548</v>
      </c>
      <c r="BQ8" s="37">
        <f t="shared" si="9"/>
        <v>549</v>
      </c>
      <c r="BR8" s="39">
        <f t="shared" si="9"/>
        <v>550</v>
      </c>
      <c r="BS8" s="36">
        <f t="shared" si="9"/>
        <v>551</v>
      </c>
      <c r="BT8" s="37">
        <f t="shared" si="9"/>
        <v>552</v>
      </c>
      <c r="BU8" s="37">
        <f t="shared" si="9"/>
        <v>553</v>
      </c>
      <c r="BV8" s="37">
        <f t="shared" si="9"/>
        <v>554</v>
      </c>
      <c r="BW8" s="37">
        <f t="shared" si="9"/>
        <v>555</v>
      </c>
      <c r="BX8" s="37">
        <f t="shared" si="9"/>
        <v>556</v>
      </c>
      <c r="BY8" s="37">
        <f t="shared" si="9"/>
        <v>557</v>
      </c>
      <c r="BZ8" s="37">
        <f t="shared" si="9"/>
        <v>558</v>
      </c>
      <c r="CA8" s="37">
        <f t="shared" si="9"/>
        <v>559</v>
      </c>
      <c r="CB8" s="38">
        <f t="shared" si="9"/>
        <v>560</v>
      </c>
      <c r="CC8" s="40">
        <f t="shared" si="9"/>
        <v>561</v>
      </c>
      <c r="CD8" s="37">
        <f t="shared" si="9"/>
        <v>562</v>
      </c>
      <c r="CE8" s="37">
        <f t="shared" si="9"/>
        <v>563</v>
      </c>
      <c r="CF8" s="37">
        <f t="shared" si="9"/>
        <v>564</v>
      </c>
      <c r="CG8" s="37">
        <f t="shared" si="9"/>
        <v>565</v>
      </c>
      <c r="CH8" s="37">
        <f t="shared" si="9"/>
        <v>566</v>
      </c>
      <c r="CI8" s="37">
        <f t="shared" si="9"/>
        <v>567</v>
      </c>
      <c r="CJ8" s="37">
        <f t="shared" si="9"/>
        <v>568</v>
      </c>
      <c r="CK8" s="37">
        <f t="shared" si="9"/>
        <v>569</v>
      </c>
      <c r="CL8" s="39">
        <f t="shared" si="9"/>
        <v>570</v>
      </c>
      <c r="CM8" s="36">
        <f t="shared" si="9"/>
        <v>571</v>
      </c>
      <c r="CN8" s="37">
        <f t="shared" si="9"/>
        <v>572</v>
      </c>
      <c r="CO8" s="37">
        <f t="shared" si="9"/>
        <v>573</v>
      </c>
      <c r="CP8" s="37">
        <f t="shared" si="9"/>
        <v>574</v>
      </c>
      <c r="CQ8" s="37">
        <f t="shared" si="9"/>
        <v>575</v>
      </c>
      <c r="CR8" s="37">
        <f t="shared" si="9"/>
        <v>576</v>
      </c>
      <c r="CS8" s="37">
        <f t="shared" si="9"/>
        <v>577</v>
      </c>
      <c r="CT8" s="37">
        <f t="shared" si="9"/>
        <v>578</v>
      </c>
      <c r="CU8" s="37">
        <f t="shared" si="9"/>
        <v>579</v>
      </c>
      <c r="CV8" s="38">
        <f t="shared" si="9"/>
        <v>580</v>
      </c>
      <c r="CW8" s="40">
        <f t="shared" si="9"/>
        <v>581</v>
      </c>
      <c r="CX8" s="37">
        <f t="shared" si="9"/>
        <v>582</v>
      </c>
      <c r="CY8" s="37">
        <f t="shared" si="9"/>
        <v>583</v>
      </c>
      <c r="CZ8" s="37">
        <f t="shared" si="9"/>
        <v>584</v>
      </c>
      <c r="DA8" s="37">
        <f t="shared" si="9"/>
        <v>585</v>
      </c>
      <c r="DB8" s="37">
        <f t="shared" si="9"/>
        <v>586</v>
      </c>
      <c r="DC8" s="37">
        <f t="shared" si="9"/>
        <v>587</v>
      </c>
      <c r="DD8" s="37">
        <f t="shared" si="9"/>
        <v>588</v>
      </c>
      <c r="DE8" s="37">
        <f t="shared" si="9"/>
        <v>589</v>
      </c>
      <c r="DF8" s="39">
        <f t="shared" si="9"/>
        <v>590</v>
      </c>
      <c r="DG8" s="36">
        <f t="shared" si="9"/>
        <v>591</v>
      </c>
      <c r="DH8" s="37">
        <f t="shared" si="9"/>
        <v>592</v>
      </c>
      <c r="DI8" s="37">
        <f t="shared" si="9"/>
        <v>593</v>
      </c>
      <c r="DJ8" s="37">
        <f t="shared" si="9"/>
        <v>594</v>
      </c>
      <c r="DK8" s="37">
        <f t="shared" si="9"/>
        <v>595</v>
      </c>
      <c r="DL8" s="37">
        <f t="shared" si="9"/>
        <v>596</v>
      </c>
      <c r="DM8" s="37">
        <f t="shared" si="9"/>
        <v>597</v>
      </c>
      <c r="DN8" s="37">
        <f t="shared" si="9"/>
        <v>598</v>
      </c>
      <c r="DO8" s="37">
        <f t="shared" si="9"/>
        <v>599</v>
      </c>
      <c r="DP8" s="38">
        <f t="shared" si="9"/>
        <v>600</v>
      </c>
      <c r="DQ8" s="30"/>
      <c r="DR8" s="898">
        <v>10</v>
      </c>
      <c r="DS8" s="899"/>
      <c r="DT8" s="898">
        <v>1</v>
      </c>
      <c r="DU8" s="899"/>
    </row>
    <row r="9" spans="1:125" ht="6.6" customHeight="1" x14ac:dyDescent="0.3">
      <c r="A9" s="36">
        <v>601</v>
      </c>
      <c r="B9" s="37">
        <f t="shared" ref="B9:BM9" si="10">A9+1</f>
        <v>602</v>
      </c>
      <c r="C9" s="37">
        <f t="shared" si="10"/>
        <v>603</v>
      </c>
      <c r="D9" s="37">
        <f t="shared" si="10"/>
        <v>604</v>
      </c>
      <c r="E9" s="37">
        <f t="shared" si="10"/>
        <v>605</v>
      </c>
      <c r="F9" s="37">
        <f t="shared" si="10"/>
        <v>606</v>
      </c>
      <c r="G9" s="37">
        <f t="shared" si="10"/>
        <v>607</v>
      </c>
      <c r="H9" s="37">
        <f t="shared" si="10"/>
        <v>608</v>
      </c>
      <c r="I9" s="37">
        <f t="shared" si="10"/>
        <v>609</v>
      </c>
      <c r="J9" s="38">
        <f t="shared" si="10"/>
        <v>610</v>
      </c>
      <c r="K9" s="36">
        <f t="shared" si="10"/>
        <v>611</v>
      </c>
      <c r="L9" s="37">
        <f t="shared" si="10"/>
        <v>612</v>
      </c>
      <c r="M9" s="37">
        <f t="shared" si="10"/>
        <v>613</v>
      </c>
      <c r="N9" s="37">
        <f t="shared" si="10"/>
        <v>614</v>
      </c>
      <c r="O9" s="37">
        <f t="shared" si="10"/>
        <v>615</v>
      </c>
      <c r="P9" s="37">
        <f t="shared" si="10"/>
        <v>616</v>
      </c>
      <c r="Q9" s="37">
        <f t="shared" si="10"/>
        <v>617</v>
      </c>
      <c r="R9" s="37">
        <f t="shared" si="10"/>
        <v>618</v>
      </c>
      <c r="S9" s="37">
        <f t="shared" si="10"/>
        <v>619</v>
      </c>
      <c r="T9" s="38">
        <f t="shared" si="10"/>
        <v>620</v>
      </c>
      <c r="U9" s="36">
        <f t="shared" si="10"/>
        <v>621</v>
      </c>
      <c r="V9" s="37">
        <f t="shared" si="10"/>
        <v>622</v>
      </c>
      <c r="W9" s="37">
        <f t="shared" si="10"/>
        <v>623</v>
      </c>
      <c r="X9" s="37">
        <f t="shared" si="10"/>
        <v>624</v>
      </c>
      <c r="Y9" s="37">
        <f t="shared" si="10"/>
        <v>625</v>
      </c>
      <c r="Z9" s="37">
        <f t="shared" si="10"/>
        <v>626</v>
      </c>
      <c r="AA9" s="37">
        <f t="shared" si="10"/>
        <v>627</v>
      </c>
      <c r="AB9" s="37">
        <f t="shared" si="10"/>
        <v>628</v>
      </c>
      <c r="AC9" s="37">
        <f t="shared" si="10"/>
        <v>629</v>
      </c>
      <c r="AD9" s="38">
        <f t="shared" si="10"/>
        <v>630</v>
      </c>
      <c r="AE9" s="36">
        <f t="shared" si="10"/>
        <v>631</v>
      </c>
      <c r="AF9" s="37">
        <f t="shared" si="10"/>
        <v>632</v>
      </c>
      <c r="AG9" s="37">
        <f t="shared" si="10"/>
        <v>633</v>
      </c>
      <c r="AH9" s="37">
        <f t="shared" si="10"/>
        <v>634</v>
      </c>
      <c r="AI9" s="37">
        <f t="shared" si="10"/>
        <v>635</v>
      </c>
      <c r="AJ9" s="37">
        <f t="shared" si="10"/>
        <v>636</v>
      </c>
      <c r="AK9" s="37">
        <f t="shared" si="10"/>
        <v>637</v>
      </c>
      <c r="AL9" s="37">
        <f t="shared" si="10"/>
        <v>638</v>
      </c>
      <c r="AM9" s="37">
        <f t="shared" si="10"/>
        <v>639</v>
      </c>
      <c r="AN9" s="38">
        <f t="shared" si="10"/>
        <v>640</v>
      </c>
      <c r="AO9" s="36">
        <f t="shared" si="10"/>
        <v>641</v>
      </c>
      <c r="AP9" s="37">
        <f t="shared" si="10"/>
        <v>642</v>
      </c>
      <c r="AQ9" s="37">
        <f t="shared" si="10"/>
        <v>643</v>
      </c>
      <c r="AR9" s="37">
        <f t="shared" si="10"/>
        <v>644</v>
      </c>
      <c r="AS9" s="37">
        <f t="shared" si="10"/>
        <v>645</v>
      </c>
      <c r="AT9" s="37">
        <f t="shared" si="10"/>
        <v>646</v>
      </c>
      <c r="AU9" s="37">
        <f t="shared" si="10"/>
        <v>647</v>
      </c>
      <c r="AV9" s="37">
        <f t="shared" si="10"/>
        <v>648</v>
      </c>
      <c r="AW9" s="37">
        <f t="shared" si="10"/>
        <v>649</v>
      </c>
      <c r="AX9" s="38">
        <f t="shared" si="10"/>
        <v>650</v>
      </c>
      <c r="AY9" s="36">
        <f t="shared" si="10"/>
        <v>651</v>
      </c>
      <c r="AZ9" s="37">
        <f t="shared" si="10"/>
        <v>652</v>
      </c>
      <c r="BA9" s="37">
        <f t="shared" si="10"/>
        <v>653</v>
      </c>
      <c r="BB9" s="37">
        <f t="shared" si="10"/>
        <v>654</v>
      </c>
      <c r="BC9" s="37">
        <f t="shared" si="10"/>
        <v>655</v>
      </c>
      <c r="BD9" s="37">
        <f t="shared" si="10"/>
        <v>656</v>
      </c>
      <c r="BE9" s="37">
        <f t="shared" si="10"/>
        <v>657</v>
      </c>
      <c r="BF9" s="37">
        <f t="shared" si="10"/>
        <v>658</v>
      </c>
      <c r="BG9" s="37">
        <f t="shared" si="10"/>
        <v>659</v>
      </c>
      <c r="BH9" s="38">
        <f t="shared" si="10"/>
        <v>660</v>
      </c>
      <c r="BI9" s="36">
        <f t="shared" si="10"/>
        <v>661</v>
      </c>
      <c r="BJ9" s="37">
        <f t="shared" si="10"/>
        <v>662</v>
      </c>
      <c r="BK9" s="37">
        <f t="shared" si="10"/>
        <v>663</v>
      </c>
      <c r="BL9" s="37">
        <f t="shared" si="10"/>
        <v>664</v>
      </c>
      <c r="BM9" s="37">
        <f t="shared" si="10"/>
        <v>665</v>
      </c>
      <c r="BN9" s="37">
        <f t="shared" ref="BN9:DP9" si="11">BM9+1</f>
        <v>666</v>
      </c>
      <c r="BO9" s="37">
        <f t="shared" si="11"/>
        <v>667</v>
      </c>
      <c r="BP9" s="37">
        <f t="shared" si="11"/>
        <v>668</v>
      </c>
      <c r="BQ9" s="37">
        <f t="shared" si="11"/>
        <v>669</v>
      </c>
      <c r="BR9" s="39">
        <f t="shared" si="11"/>
        <v>670</v>
      </c>
      <c r="BS9" s="36">
        <f t="shared" si="11"/>
        <v>671</v>
      </c>
      <c r="BT9" s="37">
        <f t="shared" si="11"/>
        <v>672</v>
      </c>
      <c r="BU9" s="37">
        <f t="shared" si="11"/>
        <v>673</v>
      </c>
      <c r="BV9" s="37">
        <f t="shared" si="11"/>
        <v>674</v>
      </c>
      <c r="BW9" s="37">
        <f t="shared" si="11"/>
        <v>675</v>
      </c>
      <c r="BX9" s="37">
        <f t="shared" si="11"/>
        <v>676</v>
      </c>
      <c r="BY9" s="37">
        <f t="shared" si="11"/>
        <v>677</v>
      </c>
      <c r="BZ9" s="37">
        <f t="shared" si="11"/>
        <v>678</v>
      </c>
      <c r="CA9" s="37">
        <f t="shared" si="11"/>
        <v>679</v>
      </c>
      <c r="CB9" s="38">
        <f t="shared" si="11"/>
        <v>680</v>
      </c>
      <c r="CC9" s="40">
        <f t="shared" si="11"/>
        <v>681</v>
      </c>
      <c r="CD9" s="37">
        <f t="shared" si="11"/>
        <v>682</v>
      </c>
      <c r="CE9" s="37">
        <f t="shared" si="11"/>
        <v>683</v>
      </c>
      <c r="CF9" s="37">
        <f t="shared" si="11"/>
        <v>684</v>
      </c>
      <c r="CG9" s="37">
        <f t="shared" si="11"/>
        <v>685</v>
      </c>
      <c r="CH9" s="37">
        <f t="shared" si="11"/>
        <v>686</v>
      </c>
      <c r="CI9" s="37">
        <f t="shared" si="11"/>
        <v>687</v>
      </c>
      <c r="CJ9" s="37">
        <f t="shared" si="11"/>
        <v>688</v>
      </c>
      <c r="CK9" s="37">
        <f t="shared" si="11"/>
        <v>689</v>
      </c>
      <c r="CL9" s="39">
        <f t="shared" si="11"/>
        <v>690</v>
      </c>
      <c r="CM9" s="36">
        <f t="shared" si="11"/>
        <v>691</v>
      </c>
      <c r="CN9" s="37">
        <f t="shared" si="11"/>
        <v>692</v>
      </c>
      <c r="CO9" s="37">
        <f t="shared" si="11"/>
        <v>693</v>
      </c>
      <c r="CP9" s="37">
        <f t="shared" si="11"/>
        <v>694</v>
      </c>
      <c r="CQ9" s="37">
        <f t="shared" si="11"/>
        <v>695</v>
      </c>
      <c r="CR9" s="37">
        <f t="shared" si="11"/>
        <v>696</v>
      </c>
      <c r="CS9" s="37">
        <f t="shared" si="11"/>
        <v>697</v>
      </c>
      <c r="CT9" s="37">
        <f t="shared" si="11"/>
        <v>698</v>
      </c>
      <c r="CU9" s="37">
        <f t="shared" si="11"/>
        <v>699</v>
      </c>
      <c r="CV9" s="38">
        <f t="shared" si="11"/>
        <v>700</v>
      </c>
      <c r="CW9" s="40">
        <f t="shared" si="11"/>
        <v>701</v>
      </c>
      <c r="CX9" s="37">
        <f t="shared" si="11"/>
        <v>702</v>
      </c>
      <c r="CY9" s="37">
        <f t="shared" si="11"/>
        <v>703</v>
      </c>
      <c r="CZ9" s="37">
        <f t="shared" si="11"/>
        <v>704</v>
      </c>
      <c r="DA9" s="37">
        <f t="shared" si="11"/>
        <v>705</v>
      </c>
      <c r="DB9" s="37">
        <f t="shared" si="11"/>
        <v>706</v>
      </c>
      <c r="DC9" s="37">
        <f t="shared" si="11"/>
        <v>707</v>
      </c>
      <c r="DD9" s="37">
        <f t="shared" si="11"/>
        <v>708</v>
      </c>
      <c r="DE9" s="37">
        <f t="shared" si="11"/>
        <v>709</v>
      </c>
      <c r="DF9" s="39">
        <f t="shared" si="11"/>
        <v>710</v>
      </c>
      <c r="DG9" s="36">
        <f t="shared" si="11"/>
        <v>711</v>
      </c>
      <c r="DH9" s="37">
        <f t="shared" si="11"/>
        <v>712</v>
      </c>
      <c r="DI9" s="37">
        <f t="shared" si="11"/>
        <v>713</v>
      </c>
      <c r="DJ9" s="37">
        <f t="shared" si="11"/>
        <v>714</v>
      </c>
      <c r="DK9" s="37">
        <f t="shared" si="11"/>
        <v>715</v>
      </c>
      <c r="DL9" s="37">
        <f t="shared" si="11"/>
        <v>716</v>
      </c>
      <c r="DM9" s="37">
        <f t="shared" si="11"/>
        <v>717</v>
      </c>
      <c r="DN9" s="37">
        <f t="shared" si="11"/>
        <v>718</v>
      </c>
      <c r="DO9" s="37">
        <f t="shared" si="11"/>
        <v>719</v>
      </c>
      <c r="DP9" s="38">
        <f t="shared" si="11"/>
        <v>720</v>
      </c>
      <c r="DQ9" s="30"/>
      <c r="DR9" s="900"/>
      <c r="DS9" s="901"/>
      <c r="DT9" s="900"/>
      <c r="DU9" s="901"/>
    </row>
    <row r="10" spans="1:125" ht="6.6" customHeight="1" x14ac:dyDescent="0.3">
      <c r="A10" s="36">
        <v>721</v>
      </c>
      <c r="B10" s="37">
        <f t="shared" ref="B10:BM10" si="12">A10+1</f>
        <v>722</v>
      </c>
      <c r="C10" s="37">
        <f t="shared" si="12"/>
        <v>723</v>
      </c>
      <c r="D10" s="37">
        <f t="shared" si="12"/>
        <v>724</v>
      </c>
      <c r="E10" s="37">
        <f t="shared" si="12"/>
        <v>725</v>
      </c>
      <c r="F10" s="37">
        <f t="shared" si="12"/>
        <v>726</v>
      </c>
      <c r="G10" s="37">
        <f t="shared" si="12"/>
        <v>727</v>
      </c>
      <c r="H10" s="37">
        <f t="shared" si="12"/>
        <v>728</v>
      </c>
      <c r="I10" s="37">
        <f t="shared" si="12"/>
        <v>729</v>
      </c>
      <c r="J10" s="38">
        <f t="shared" si="12"/>
        <v>730</v>
      </c>
      <c r="K10" s="36">
        <f t="shared" si="12"/>
        <v>731</v>
      </c>
      <c r="L10" s="37">
        <f t="shared" si="12"/>
        <v>732</v>
      </c>
      <c r="M10" s="37">
        <f t="shared" si="12"/>
        <v>733</v>
      </c>
      <c r="N10" s="37">
        <f t="shared" si="12"/>
        <v>734</v>
      </c>
      <c r="O10" s="37">
        <f t="shared" si="12"/>
        <v>735</v>
      </c>
      <c r="P10" s="37">
        <f t="shared" si="12"/>
        <v>736</v>
      </c>
      <c r="Q10" s="37">
        <f t="shared" si="12"/>
        <v>737</v>
      </c>
      <c r="R10" s="37">
        <f t="shared" si="12"/>
        <v>738</v>
      </c>
      <c r="S10" s="37">
        <f t="shared" si="12"/>
        <v>739</v>
      </c>
      <c r="T10" s="38">
        <f t="shared" si="12"/>
        <v>740</v>
      </c>
      <c r="U10" s="36">
        <f t="shared" si="12"/>
        <v>741</v>
      </c>
      <c r="V10" s="37">
        <f t="shared" si="12"/>
        <v>742</v>
      </c>
      <c r="W10" s="37">
        <f t="shared" si="12"/>
        <v>743</v>
      </c>
      <c r="X10" s="37">
        <f t="shared" si="12"/>
        <v>744</v>
      </c>
      <c r="Y10" s="37">
        <f t="shared" si="12"/>
        <v>745</v>
      </c>
      <c r="Z10" s="37">
        <f t="shared" si="12"/>
        <v>746</v>
      </c>
      <c r="AA10" s="37">
        <f t="shared" si="12"/>
        <v>747</v>
      </c>
      <c r="AB10" s="37">
        <f t="shared" si="12"/>
        <v>748</v>
      </c>
      <c r="AC10" s="37">
        <f t="shared" si="12"/>
        <v>749</v>
      </c>
      <c r="AD10" s="38">
        <f t="shared" si="12"/>
        <v>750</v>
      </c>
      <c r="AE10" s="36">
        <f t="shared" si="12"/>
        <v>751</v>
      </c>
      <c r="AF10" s="37">
        <f t="shared" si="12"/>
        <v>752</v>
      </c>
      <c r="AG10" s="37">
        <f t="shared" si="12"/>
        <v>753</v>
      </c>
      <c r="AH10" s="37">
        <f t="shared" si="12"/>
        <v>754</v>
      </c>
      <c r="AI10" s="37">
        <f t="shared" si="12"/>
        <v>755</v>
      </c>
      <c r="AJ10" s="37">
        <f t="shared" si="12"/>
        <v>756</v>
      </c>
      <c r="AK10" s="37">
        <f t="shared" si="12"/>
        <v>757</v>
      </c>
      <c r="AL10" s="37">
        <f t="shared" si="12"/>
        <v>758</v>
      </c>
      <c r="AM10" s="37">
        <f t="shared" si="12"/>
        <v>759</v>
      </c>
      <c r="AN10" s="38">
        <f t="shared" si="12"/>
        <v>760</v>
      </c>
      <c r="AO10" s="36">
        <f t="shared" si="12"/>
        <v>761</v>
      </c>
      <c r="AP10" s="37">
        <f t="shared" si="12"/>
        <v>762</v>
      </c>
      <c r="AQ10" s="37">
        <f t="shared" si="12"/>
        <v>763</v>
      </c>
      <c r="AR10" s="37">
        <f t="shared" si="12"/>
        <v>764</v>
      </c>
      <c r="AS10" s="37">
        <f t="shared" si="12"/>
        <v>765</v>
      </c>
      <c r="AT10" s="37">
        <f t="shared" si="12"/>
        <v>766</v>
      </c>
      <c r="AU10" s="37">
        <f t="shared" si="12"/>
        <v>767</v>
      </c>
      <c r="AV10" s="37">
        <f t="shared" si="12"/>
        <v>768</v>
      </c>
      <c r="AW10" s="37">
        <f t="shared" si="12"/>
        <v>769</v>
      </c>
      <c r="AX10" s="38">
        <f t="shared" si="12"/>
        <v>770</v>
      </c>
      <c r="AY10" s="36">
        <f t="shared" si="12"/>
        <v>771</v>
      </c>
      <c r="AZ10" s="37">
        <f t="shared" si="12"/>
        <v>772</v>
      </c>
      <c r="BA10" s="37">
        <f t="shared" si="12"/>
        <v>773</v>
      </c>
      <c r="BB10" s="37">
        <f t="shared" si="12"/>
        <v>774</v>
      </c>
      <c r="BC10" s="37">
        <f t="shared" si="12"/>
        <v>775</v>
      </c>
      <c r="BD10" s="37">
        <f t="shared" si="12"/>
        <v>776</v>
      </c>
      <c r="BE10" s="37">
        <f t="shared" si="12"/>
        <v>777</v>
      </c>
      <c r="BF10" s="37">
        <f t="shared" si="12"/>
        <v>778</v>
      </c>
      <c r="BG10" s="37">
        <f t="shared" si="12"/>
        <v>779</v>
      </c>
      <c r="BH10" s="38">
        <f t="shared" si="12"/>
        <v>780</v>
      </c>
      <c r="BI10" s="36">
        <f t="shared" si="12"/>
        <v>781</v>
      </c>
      <c r="BJ10" s="37">
        <f t="shared" si="12"/>
        <v>782</v>
      </c>
      <c r="BK10" s="37">
        <f t="shared" si="12"/>
        <v>783</v>
      </c>
      <c r="BL10" s="37">
        <f t="shared" si="12"/>
        <v>784</v>
      </c>
      <c r="BM10" s="37">
        <f t="shared" si="12"/>
        <v>785</v>
      </c>
      <c r="BN10" s="37">
        <f t="shared" ref="BN10:DP10" si="13">BM10+1</f>
        <v>786</v>
      </c>
      <c r="BO10" s="37">
        <f t="shared" si="13"/>
        <v>787</v>
      </c>
      <c r="BP10" s="37">
        <f t="shared" si="13"/>
        <v>788</v>
      </c>
      <c r="BQ10" s="37">
        <f t="shared" si="13"/>
        <v>789</v>
      </c>
      <c r="BR10" s="39">
        <f t="shared" si="13"/>
        <v>790</v>
      </c>
      <c r="BS10" s="36">
        <f t="shared" si="13"/>
        <v>791</v>
      </c>
      <c r="BT10" s="37">
        <f t="shared" si="13"/>
        <v>792</v>
      </c>
      <c r="BU10" s="37">
        <f t="shared" si="13"/>
        <v>793</v>
      </c>
      <c r="BV10" s="37">
        <f t="shared" si="13"/>
        <v>794</v>
      </c>
      <c r="BW10" s="37">
        <f t="shared" si="13"/>
        <v>795</v>
      </c>
      <c r="BX10" s="37">
        <f t="shared" si="13"/>
        <v>796</v>
      </c>
      <c r="BY10" s="37">
        <f t="shared" si="13"/>
        <v>797</v>
      </c>
      <c r="BZ10" s="37">
        <f t="shared" si="13"/>
        <v>798</v>
      </c>
      <c r="CA10" s="37">
        <f t="shared" si="13"/>
        <v>799</v>
      </c>
      <c r="CB10" s="38">
        <f t="shared" si="13"/>
        <v>800</v>
      </c>
      <c r="CC10" s="40">
        <f t="shared" si="13"/>
        <v>801</v>
      </c>
      <c r="CD10" s="37">
        <f t="shared" si="13"/>
        <v>802</v>
      </c>
      <c r="CE10" s="37">
        <f t="shared" si="13"/>
        <v>803</v>
      </c>
      <c r="CF10" s="37">
        <f t="shared" si="13"/>
        <v>804</v>
      </c>
      <c r="CG10" s="37">
        <f t="shared" si="13"/>
        <v>805</v>
      </c>
      <c r="CH10" s="37">
        <f t="shared" si="13"/>
        <v>806</v>
      </c>
      <c r="CI10" s="37">
        <f t="shared" si="13"/>
        <v>807</v>
      </c>
      <c r="CJ10" s="37">
        <f t="shared" si="13"/>
        <v>808</v>
      </c>
      <c r="CK10" s="37">
        <f t="shared" si="13"/>
        <v>809</v>
      </c>
      <c r="CL10" s="39">
        <f t="shared" si="13"/>
        <v>810</v>
      </c>
      <c r="CM10" s="36">
        <f t="shared" si="13"/>
        <v>811</v>
      </c>
      <c r="CN10" s="37">
        <f t="shared" si="13"/>
        <v>812</v>
      </c>
      <c r="CO10" s="37">
        <f t="shared" si="13"/>
        <v>813</v>
      </c>
      <c r="CP10" s="37">
        <f t="shared" si="13"/>
        <v>814</v>
      </c>
      <c r="CQ10" s="37">
        <f t="shared" si="13"/>
        <v>815</v>
      </c>
      <c r="CR10" s="37">
        <f t="shared" si="13"/>
        <v>816</v>
      </c>
      <c r="CS10" s="37">
        <f t="shared" si="13"/>
        <v>817</v>
      </c>
      <c r="CT10" s="37">
        <f t="shared" si="13"/>
        <v>818</v>
      </c>
      <c r="CU10" s="37">
        <f t="shared" si="13"/>
        <v>819</v>
      </c>
      <c r="CV10" s="38">
        <f t="shared" si="13"/>
        <v>820</v>
      </c>
      <c r="CW10" s="40">
        <f t="shared" si="13"/>
        <v>821</v>
      </c>
      <c r="CX10" s="37">
        <f t="shared" si="13"/>
        <v>822</v>
      </c>
      <c r="CY10" s="37">
        <f t="shared" si="13"/>
        <v>823</v>
      </c>
      <c r="CZ10" s="37">
        <f t="shared" si="13"/>
        <v>824</v>
      </c>
      <c r="DA10" s="37">
        <f t="shared" si="13"/>
        <v>825</v>
      </c>
      <c r="DB10" s="37">
        <f t="shared" si="13"/>
        <v>826</v>
      </c>
      <c r="DC10" s="37">
        <f t="shared" si="13"/>
        <v>827</v>
      </c>
      <c r="DD10" s="37">
        <f t="shared" si="13"/>
        <v>828</v>
      </c>
      <c r="DE10" s="37">
        <f t="shared" si="13"/>
        <v>829</v>
      </c>
      <c r="DF10" s="39">
        <f t="shared" si="13"/>
        <v>830</v>
      </c>
      <c r="DG10" s="36">
        <f t="shared" si="13"/>
        <v>831</v>
      </c>
      <c r="DH10" s="37">
        <f t="shared" si="13"/>
        <v>832</v>
      </c>
      <c r="DI10" s="37">
        <f t="shared" si="13"/>
        <v>833</v>
      </c>
      <c r="DJ10" s="37">
        <f t="shared" si="13"/>
        <v>834</v>
      </c>
      <c r="DK10" s="37">
        <f t="shared" si="13"/>
        <v>835</v>
      </c>
      <c r="DL10" s="37">
        <f t="shared" si="13"/>
        <v>836</v>
      </c>
      <c r="DM10" s="37">
        <f t="shared" si="13"/>
        <v>837</v>
      </c>
      <c r="DN10" s="37">
        <f t="shared" si="13"/>
        <v>838</v>
      </c>
      <c r="DO10" s="37">
        <f t="shared" si="13"/>
        <v>839</v>
      </c>
      <c r="DP10" s="38">
        <f t="shared" si="13"/>
        <v>840</v>
      </c>
      <c r="DQ10" s="30"/>
      <c r="DR10" s="898">
        <v>20</v>
      </c>
      <c r="DS10" s="899"/>
      <c r="DT10" s="898">
        <v>2</v>
      </c>
      <c r="DU10" s="899"/>
    </row>
    <row r="11" spans="1:125" ht="6.6" customHeight="1" x14ac:dyDescent="0.3">
      <c r="A11" s="36">
        <v>841</v>
      </c>
      <c r="B11" s="37">
        <f t="shared" ref="B11:BM11" si="14">A11+1</f>
        <v>842</v>
      </c>
      <c r="C11" s="37">
        <f t="shared" si="14"/>
        <v>843</v>
      </c>
      <c r="D11" s="37">
        <f t="shared" si="14"/>
        <v>844</v>
      </c>
      <c r="E11" s="37">
        <f t="shared" si="14"/>
        <v>845</v>
      </c>
      <c r="F11" s="37">
        <f t="shared" si="14"/>
        <v>846</v>
      </c>
      <c r="G11" s="37">
        <f t="shared" si="14"/>
        <v>847</v>
      </c>
      <c r="H11" s="37">
        <f t="shared" si="14"/>
        <v>848</v>
      </c>
      <c r="I11" s="37">
        <f t="shared" si="14"/>
        <v>849</v>
      </c>
      <c r="J11" s="38">
        <f t="shared" si="14"/>
        <v>850</v>
      </c>
      <c r="K11" s="36">
        <f t="shared" si="14"/>
        <v>851</v>
      </c>
      <c r="L11" s="37">
        <f t="shared" si="14"/>
        <v>852</v>
      </c>
      <c r="M11" s="37">
        <f t="shared" si="14"/>
        <v>853</v>
      </c>
      <c r="N11" s="37">
        <f t="shared" si="14"/>
        <v>854</v>
      </c>
      <c r="O11" s="37">
        <f t="shared" si="14"/>
        <v>855</v>
      </c>
      <c r="P11" s="37">
        <f t="shared" si="14"/>
        <v>856</v>
      </c>
      <c r="Q11" s="37">
        <f t="shared" si="14"/>
        <v>857</v>
      </c>
      <c r="R11" s="37">
        <f t="shared" si="14"/>
        <v>858</v>
      </c>
      <c r="S11" s="37">
        <f t="shared" si="14"/>
        <v>859</v>
      </c>
      <c r="T11" s="38">
        <f t="shared" si="14"/>
        <v>860</v>
      </c>
      <c r="U11" s="36">
        <f t="shared" si="14"/>
        <v>861</v>
      </c>
      <c r="V11" s="37">
        <f t="shared" si="14"/>
        <v>862</v>
      </c>
      <c r="W11" s="37">
        <f t="shared" si="14"/>
        <v>863</v>
      </c>
      <c r="X11" s="37">
        <f t="shared" si="14"/>
        <v>864</v>
      </c>
      <c r="Y11" s="37">
        <f t="shared" si="14"/>
        <v>865</v>
      </c>
      <c r="Z11" s="37">
        <f t="shared" si="14"/>
        <v>866</v>
      </c>
      <c r="AA11" s="37">
        <f t="shared" si="14"/>
        <v>867</v>
      </c>
      <c r="AB11" s="37">
        <f t="shared" si="14"/>
        <v>868</v>
      </c>
      <c r="AC11" s="37">
        <f t="shared" si="14"/>
        <v>869</v>
      </c>
      <c r="AD11" s="38">
        <f t="shared" si="14"/>
        <v>870</v>
      </c>
      <c r="AE11" s="36">
        <f t="shared" si="14"/>
        <v>871</v>
      </c>
      <c r="AF11" s="37">
        <f t="shared" si="14"/>
        <v>872</v>
      </c>
      <c r="AG11" s="37">
        <f t="shared" si="14"/>
        <v>873</v>
      </c>
      <c r="AH11" s="37">
        <f t="shared" si="14"/>
        <v>874</v>
      </c>
      <c r="AI11" s="37">
        <f t="shared" si="14"/>
        <v>875</v>
      </c>
      <c r="AJ11" s="37">
        <f t="shared" si="14"/>
        <v>876</v>
      </c>
      <c r="AK11" s="37">
        <f t="shared" si="14"/>
        <v>877</v>
      </c>
      <c r="AL11" s="37">
        <f t="shared" si="14"/>
        <v>878</v>
      </c>
      <c r="AM11" s="37">
        <f t="shared" si="14"/>
        <v>879</v>
      </c>
      <c r="AN11" s="38">
        <f t="shared" si="14"/>
        <v>880</v>
      </c>
      <c r="AO11" s="36">
        <f t="shared" si="14"/>
        <v>881</v>
      </c>
      <c r="AP11" s="37">
        <f t="shared" si="14"/>
        <v>882</v>
      </c>
      <c r="AQ11" s="37">
        <f t="shared" si="14"/>
        <v>883</v>
      </c>
      <c r="AR11" s="37">
        <f t="shared" si="14"/>
        <v>884</v>
      </c>
      <c r="AS11" s="37">
        <f t="shared" si="14"/>
        <v>885</v>
      </c>
      <c r="AT11" s="37">
        <f t="shared" si="14"/>
        <v>886</v>
      </c>
      <c r="AU11" s="37">
        <f t="shared" si="14"/>
        <v>887</v>
      </c>
      <c r="AV11" s="37">
        <f t="shared" si="14"/>
        <v>888</v>
      </c>
      <c r="AW11" s="37">
        <f t="shared" si="14"/>
        <v>889</v>
      </c>
      <c r="AX11" s="38">
        <f t="shared" si="14"/>
        <v>890</v>
      </c>
      <c r="AY11" s="36">
        <f t="shared" si="14"/>
        <v>891</v>
      </c>
      <c r="AZ11" s="37">
        <f t="shared" si="14"/>
        <v>892</v>
      </c>
      <c r="BA11" s="37">
        <f t="shared" si="14"/>
        <v>893</v>
      </c>
      <c r="BB11" s="37">
        <f t="shared" si="14"/>
        <v>894</v>
      </c>
      <c r="BC11" s="37">
        <f t="shared" si="14"/>
        <v>895</v>
      </c>
      <c r="BD11" s="37">
        <f t="shared" si="14"/>
        <v>896</v>
      </c>
      <c r="BE11" s="37">
        <f t="shared" si="14"/>
        <v>897</v>
      </c>
      <c r="BF11" s="37">
        <f t="shared" si="14"/>
        <v>898</v>
      </c>
      <c r="BG11" s="37">
        <f t="shared" si="14"/>
        <v>899</v>
      </c>
      <c r="BH11" s="38">
        <f t="shared" si="14"/>
        <v>900</v>
      </c>
      <c r="BI11" s="36">
        <f t="shared" si="14"/>
        <v>901</v>
      </c>
      <c r="BJ11" s="37">
        <f t="shared" si="14"/>
        <v>902</v>
      </c>
      <c r="BK11" s="37">
        <f t="shared" si="14"/>
        <v>903</v>
      </c>
      <c r="BL11" s="37">
        <f t="shared" si="14"/>
        <v>904</v>
      </c>
      <c r="BM11" s="37">
        <f t="shared" si="14"/>
        <v>905</v>
      </c>
      <c r="BN11" s="37">
        <f t="shared" ref="BN11:DP11" si="15">BM11+1</f>
        <v>906</v>
      </c>
      <c r="BO11" s="37">
        <f t="shared" si="15"/>
        <v>907</v>
      </c>
      <c r="BP11" s="37">
        <f t="shared" si="15"/>
        <v>908</v>
      </c>
      <c r="BQ11" s="37">
        <f t="shared" si="15"/>
        <v>909</v>
      </c>
      <c r="BR11" s="39">
        <f t="shared" si="15"/>
        <v>910</v>
      </c>
      <c r="BS11" s="36">
        <f t="shared" si="15"/>
        <v>911</v>
      </c>
      <c r="BT11" s="37">
        <f t="shared" si="15"/>
        <v>912</v>
      </c>
      <c r="BU11" s="37">
        <f t="shared" si="15"/>
        <v>913</v>
      </c>
      <c r="BV11" s="37">
        <f t="shared" si="15"/>
        <v>914</v>
      </c>
      <c r="BW11" s="37">
        <f t="shared" si="15"/>
        <v>915</v>
      </c>
      <c r="BX11" s="37">
        <f t="shared" si="15"/>
        <v>916</v>
      </c>
      <c r="BY11" s="37">
        <f t="shared" si="15"/>
        <v>917</v>
      </c>
      <c r="BZ11" s="37">
        <f t="shared" si="15"/>
        <v>918</v>
      </c>
      <c r="CA11" s="37">
        <f t="shared" si="15"/>
        <v>919</v>
      </c>
      <c r="CB11" s="38">
        <f t="shared" si="15"/>
        <v>920</v>
      </c>
      <c r="CC11" s="40">
        <f t="shared" si="15"/>
        <v>921</v>
      </c>
      <c r="CD11" s="37">
        <f t="shared" si="15"/>
        <v>922</v>
      </c>
      <c r="CE11" s="37">
        <f t="shared" si="15"/>
        <v>923</v>
      </c>
      <c r="CF11" s="37">
        <f t="shared" si="15"/>
        <v>924</v>
      </c>
      <c r="CG11" s="37">
        <f t="shared" si="15"/>
        <v>925</v>
      </c>
      <c r="CH11" s="37">
        <f t="shared" si="15"/>
        <v>926</v>
      </c>
      <c r="CI11" s="37">
        <f t="shared" si="15"/>
        <v>927</v>
      </c>
      <c r="CJ11" s="37">
        <f t="shared" si="15"/>
        <v>928</v>
      </c>
      <c r="CK11" s="37">
        <f t="shared" si="15"/>
        <v>929</v>
      </c>
      <c r="CL11" s="39">
        <f t="shared" si="15"/>
        <v>930</v>
      </c>
      <c r="CM11" s="36">
        <f t="shared" si="15"/>
        <v>931</v>
      </c>
      <c r="CN11" s="37">
        <f t="shared" si="15"/>
        <v>932</v>
      </c>
      <c r="CO11" s="37">
        <f t="shared" si="15"/>
        <v>933</v>
      </c>
      <c r="CP11" s="37">
        <f t="shared" si="15"/>
        <v>934</v>
      </c>
      <c r="CQ11" s="37">
        <f t="shared" si="15"/>
        <v>935</v>
      </c>
      <c r="CR11" s="37">
        <f t="shared" si="15"/>
        <v>936</v>
      </c>
      <c r="CS11" s="37">
        <f t="shared" si="15"/>
        <v>937</v>
      </c>
      <c r="CT11" s="37">
        <f t="shared" si="15"/>
        <v>938</v>
      </c>
      <c r="CU11" s="37">
        <f t="shared" si="15"/>
        <v>939</v>
      </c>
      <c r="CV11" s="38">
        <f t="shared" si="15"/>
        <v>940</v>
      </c>
      <c r="CW11" s="40">
        <f t="shared" si="15"/>
        <v>941</v>
      </c>
      <c r="CX11" s="37">
        <f t="shared" si="15"/>
        <v>942</v>
      </c>
      <c r="CY11" s="37">
        <f t="shared" si="15"/>
        <v>943</v>
      </c>
      <c r="CZ11" s="37">
        <f t="shared" si="15"/>
        <v>944</v>
      </c>
      <c r="DA11" s="37">
        <f t="shared" si="15"/>
        <v>945</v>
      </c>
      <c r="DB11" s="37">
        <f t="shared" si="15"/>
        <v>946</v>
      </c>
      <c r="DC11" s="37">
        <f t="shared" si="15"/>
        <v>947</v>
      </c>
      <c r="DD11" s="37">
        <f t="shared" si="15"/>
        <v>948</v>
      </c>
      <c r="DE11" s="37">
        <f t="shared" si="15"/>
        <v>949</v>
      </c>
      <c r="DF11" s="39">
        <f t="shared" si="15"/>
        <v>950</v>
      </c>
      <c r="DG11" s="36">
        <f t="shared" si="15"/>
        <v>951</v>
      </c>
      <c r="DH11" s="37">
        <f t="shared" si="15"/>
        <v>952</v>
      </c>
      <c r="DI11" s="37">
        <f t="shared" si="15"/>
        <v>953</v>
      </c>
      <c r="DJ11" s="37">
        <f t="shared" si="15"/>
        <v>954</v>
      </c>
      <c r="DK11" s="37">
        <f t="shared" si="15"/>
        <v>955</v>
      </c>
      <c r="DL11" s="37">
        <f t="shared" si="15"/>
        <v>956</v>
      </c>
      <c r="DM11" s="37">
        <f t="shared" si="15"/>
        <v>957</v>
      </c>
      <c r="DN11" s="37">
        <f t="shared" si="15"/>
        <v>958</v>
      </c>
      <c r="DO11" s="37">
        <f t="shared" si="15"/>
        <v>959</v>
      </c>
      <c r="DP11" s="38">
        <f t="shared" si="15"/>
        <v>960</v>
      </c>
      <c r="DQ11" s="30"/>
      <c r="DR11" s="900"/>
      <c r="DS11" s="901"/>
      <c r="DT11" s="900"/>
      <c r="DU11" s="901"/>
    </row>
    <row r="12" spans="1:125" ht="6.6" customHeight="1" x14ac:dyDescent="0.3">
      <c r="A12" s="36">
        <v>961</v>
      </c>
      <c r="B12" s="37">
        <f t="shared" ref="B12:BM12" si="16">A12+1</f>
        <v>962</v>
      </c>
      <c r="C12" s="37">
        <f t="shared" si="16"/>
        <v>963</v>
      </c>
      <c r="D12" s="37">
        <f t="shared" si="16"/>
        <v>964</v>
      </c>
      <c r="E12" s="37">
        <f t="shared" si="16"/>
        <v>965</v>
      </c>
      <c r="F12" s="37">
        <f t="shared" si="16"/>
        <v>966</v>
      </c>
      <c r="G12" s="37">
        <f t="shared" si="16"/>
        <v>967</v>
      </c>
      <c r="H12" s="37">
        <f t="shared" si="16"/>
        <v>968</v>
      </c>
      <c r="I12" s="37">
        <f t="shared" si="16"/>
        <v>969</v>
      </c>
      <c r="J12" s="38">
        <f t="shared" si="16"/>
        <v>970</v>
      </c>
      <c r="K12" s="36">
        <f t="shared" si="16"/>
        <v>971</v>
      </c>
      <c r="L12" s="37">
        <f t="shared" si="16"/>
        <v>972</v>
      </c>
      <c r="M12" s="37">
        <f t="shared" si="16"/>
        <v>973</v>
      </c>
      <c r="N12" s="37">
        <f t="shared" si="16"/>
        <v>974</v>
      </c>
      <c r="O12" s="37">
        <f t="shared" si="16"/>
        <v>975</v>
      </c>
      <c r="P12" s="37">
        <f t="shared" si="16"/>
        <v>976</v>
      </c>
      <c r="Q12" s="37">
        <f t="shared" si="16"/>
        <v>977</v>
      </c>
      <c r="R12" s="37">
        <f t="shared" si="16"/>
        <v>978</v>
      </c>
      <c r="S12" s="37">
        <f t="shared" si="16"/>
        <v>979</v>
      </c>
      <c r="T12" s="38">
        <f t="shared" si="16"/>
        <v>980</v>
      </c>
      <c r="U12" s="36">
        <f t="shared" si="16"/>
        <v>981</v>
      </c>
      <c r="V12" s="37">
        <f t="shared" si="16"/>
        <v>982</v>
      </c>
      <c r="W12" s="37">
        <f t="shared" si="16"/>
        <v>983</v>
      </c>
      <c r="X12" s="37">
        <f t="shared" si="16"/>
        <v>984</v>
      </c>
      <c r="Y12" s="37">
        <f t="shared" si="16"/>
        <v>985</v>
      </c>
      <c r="Z12" s="37">
        <f t="shared" si="16"/>
        <v>986</v>
      </c>
      <c r="AA12" s="37">
        <f t="shared" si="16"/>
        <v>987</v>
      </c>
      <c r="AB12" s="37">
        <f t="shared" si="16"/>
        <v>988</v>
      </c>
      <c r="AC12" s="37">
        <f t="shared" si="16"/>
        <v>989</v>
      </c>
      <c r="AD12" s="38">
        <f t="shared" si="16"/>
        <v>990</v>
      </c>
      <c r="AE12" s="36">
        <f t="shared" si="16"/>
        <v>991</v>
      </c>
      <c r="AF12" s="37">
        <f t="shared" si="16"/>
        <v>992</v>
      </c>
      <c r="AG12" s="37">
        <f t="shared" si="16"/>
        <v>993</v>
      </c>
      <c r="AH12" s="37">
        <f t="shared" si="16"/>
        <v>994</v>
      </c>
      <c r="AI12" s="37">
        <f t="shared" si="16"/>
        <v>995</v>
      </c>
      <c r="AJ12" s="37">
        <f t="shared" si="16"/>
        <v>996</v>
      </c>
      <c r="AK12" s="37">
        <f t="shared" si="16"/>
        <v>997</v>
      </c>
      <c r="AL12" s="37">
        <f t="shared" si="16"/>
        <v>998</v>
      </c>
      <c r="AM12" s="37">
        <f t="shared" si="16"/>
        <v>999</v>
      </c>
      <c r="AN12" s="38">
        <f t="shared" si="16"/>
        <v>1000</v>
      </c>
      <c r="AO12" s="36">
        <f t="shared" si="16"/>
        <v>1001</v>
      </c>
      <c r="AP12" s="37">
        <f t="shared" si="16"/>
        <v>1002</v>
      </c>
      <c r="AQ12" s="37">
        <f t="shared" si="16"/>
        <v>1003</v>
      </c>
      <c r="AR12" s="37">
        <f t="shared" si="16"/>
        <v>1004</v>
      </c>
      <c r="AS12" s="37">
        <f t="shared" si="16"/>
        <v>1005</v>
      </c>
      <c r="AT12" s="37">
        <f t="shared" si="16"/>
        <v>1006</v>
      </c>
      <c r="AU12" s="37">
        <f t="shared" si="16"/>
        <v>1007</v>
      </c>
      <c r="AV12" s="37">
        <f t="shared" si="16"/>
        <v>1008</v>
      </c>
      <c r="AW12" s="37">
        <f t="shared" si="16"/>
        <v>1009</v>
      </c>
      <c r="AX12" s="38">
        <f t="shared" si="16"/>
        <v>1010</v>
      </c>
      <c r="AY12" s="36">
        <f t="shared" si="16"/>
        <v>1011</v>
      </c>
      <c r="AZ12" s="37">
        <f t="shared" si="16"/>
        <v>1012</v>
      </c>
      <c r="BA12" s="37">
        <f t="shared" si="16"/>
        <v>1013</v>
      </c>
      <c r="BB12" s="37">
        <f t="shared" si="16"/>
        <v>1014</v>
      </c>
      <c r="BC12" s="37">
        <f t="shared" si="16"/>
        <v>1015</v>
      </c>
      <c r="BD12" s="37">
        <f t="shared" si="16"/>
        <v>1016</v>
      </c>
      <c r="BE12" s="37">
        <f t="shared" si="16"/>
        <v>1017</v>
      </c>
      <c r="BF12" s="37">
        <f t="shared" si="16"/>
        <v>1018</v>
      </c>
      <c r="BG12" s="37">
        <f t="shared" si="16"/>
        <v>1019</v>
      </c>
      <c r="BH12" s="38">
        <f t="shared" si="16"/>
        <v>1020</v>
      </c>
      <c r="BI12" s="36">
        <f t="shared" si="16"/>
        <v>1021</v>
      </c>
      <c r="BJ12" s="37">
        <f t="shared" si="16"/>
        <v>1022</v>
      </c>
      <c r="BK12" s="37">
        <f t="shared" si="16"/>
        <v>1023</v>
      </c>
      <c r="BL12" s="37">
        <f t="shared" si="16"/>
        <v>1024</v>
      </c>
      <c r="BM12" s="37">
        <f t="shared" si="16"/>
        <v>1025</v>
      </c>
      <c r="BN12" s="37">
        <f t="shared" ref="BN12:DP12" si="17">BM12+1</f>
        <v>1026</v>
      </c>
      <c r="BO12" s="37">
        <f t="shared" si="17"/>
        <v>1027</v>
      </c>
      <c r="BP12" s="37">
        <f t="shared" si="17"/>
        <v>1028</v>
      </c>
      <c r="BQ12" s="37">
        <f t="shared" si="17"/>
        <v>1029</v>
      </c>
      <c r="BR12" s="39">
        <f t="shared" si="17"/>
        <v>1030</v>
      </c>
      <c r="BS12" s="36">
        <f t="shared" si="17"/>
        <v>1031</v>
      </c>
      <c r="BT12" s="37">
        <f t="shared" si="17"/>
        <v>1032</v>
      </c>
      <c r="BU12" s="37">
        <f t="shared" si="17"/>
        <v>1033</v>
      </c>
      <c r="BV12" s="37">
        <f t="shared" si="17"/>
        <v>1034</v>
      </c>
      <c r="BW12" s="37">
        <f t="shared" si="17"/>
        <v>1035</v>
      </c>
      <c r="BX12" s="37">
        <f t="shared" si="17"/>
        <v>1036</v>
      </c>
      <c r="BY12" s="37">
        <f t="shared" si="17"/>
        <v>1037</v>
      </c>
      <c r="BZ12" s="37">
        <f t="shared" si="17"/>
        <v>1038</v>
      </c>
      <c r="CA12" s="37">
        <f t="shared" si="17"/>
        <v>1039</v>
      </c>
      <c r="CB12" s="38">
        <f t="shared" si="17"/>
        <v>1040</v>
      </c>
      <c r="CC12" s="40">
        <f t="shared" si="17"/>
        <v>1041</v>
      </c>
      <c r="CD12" s="37">
        <f t="shared" si="17"/>
        <v>1042</v>
      </c>
      <c r="CE12" s="37">
        <f t="shared" si="17"/>
        <v>1043</v>
      </c>
      <c r="CF12" s="37">
        <f t="shared" si="17"/>
        <v>1044</v>
      </c>
      <c r="CG12" s="37">
        <f t="shared" si="17"/>
        <v>1045</v>
      </c>
      <c r="CH12" s="37">
        <f t="shared" si="17"/>
        <v>1046</v>
      </c>
      <c r="CI12" s="37">
        <f t="shared" si="17"/>
        <v>1047</v>
      </c>
      <c r="CJ12" s="37">
        <f t="shared" si="17"/>
        <v>1048</v>
      </c>
      <c r="CK12" s="37">
        <f t="shared" si="17"/>
        <v>1049</v>
      </c>
      <c r="CL12" s="39">
        <f t="shared" si="17"/>
        <v>1050</v>
      </c>
      <c r="CM12" s="36">
        <f t="shared" si="17"/>
        <v>1051</v>
      </c>
      <c r="CN12" s="37">
        <f t="shared" si="17"/>
        <v>1052</v>
      </c>
      <c r="CO12" s="37">
        <f t="shared" si="17"/>
        <v>1053</v>
      </c>
      <c r="CP12" s="37">
        <f t="shared" si="17"/>
        <v>1054</v>
      </c>
      <c r="CQ12" s="37">
        <f t="shared" si="17"/>
        <v>1055</v>
      </c>
      <c r="CR12" s="37">
        <f t="shared" si="17"/>
        <v>1056</v>
      </c>
      <c r="CS12" s="37">
        <f t="shared" si="17"/>
        <v>1057</v>
      </c>
      <c r="CT12" s="37">
        <f t="shared" si="17"/>
        <v>1058</v>
      </c>
      <c r="CU12" s="37">
        <f t="shared" si="17"/>
        <v>1059</v>
      </c>
      <c r="CV12" s="38">
        <f t="shared" si="17"/>
        <v>1060</v>
      </c>
      <c r="CW12" s="40">
        <f t="shared" si="17"/>
        <v>1061</v>
      </c>
      <c r="CX12" s="37">
        <f t="shared" si="17"/>
        <v>1062</v>
      </c>
      <c r="CY12" s="37">
        <f t="shared" si="17"/>
        <v>1063</v>
      </c>
      <c r="CZ12" s="37">
        <f t="shared" si="17"/>
        <v>1064</v>
      </c>
      <c r="DA12" s="37">
        <f t="shared" si="17"/>
        <v>1065</v>
      </c>
      <c r="DB12" s="37">
        <f t="shared" si="17"/>
        <v>1066</v>
      </c>
      <c r="DC12" s="37">
        <f t="shared" si="17"/>
        <v>1067</v>
      </c>
      <c r="DD12" s="37">
        <f t="shared" si="17"/>
        <v>1068</v>
      </c>
      <c r="DE12" s="37">
        <f t="shared" si="17"/>
        <v>1069</v>
      </c>
      <c r="DF12" s="39">
        <f t="shared" si="17"/>
        <v>1070</v>
      </c>
      <c r="DG12" s="36">
        <f t="shared" si="17"/>
        <v>1071</v>
      </c>
      <c r="DH12" s="37">
        <f t="shared" si="17"/>
        <v>1072</v>
      </c>
      <c r="DI12" s="37">
        <f t="shared" si="17"/>
        <v>1073</v>
      </c>
      <c r="DJ12" s="37">
        <f t="shared" si="17"/>
        <v>1074</v>
      </c>
      <c r="DK12" s="37">
        <f t="shared" si="17"/>
        <v>1075</v>
      </c>
      <c r="DL12" s="37">
        <f t="shared" si="17"/>
        <v>1076</v>
      </c>
      <c r="DM12" s="37">
        <f t="shared" si="17"/>
        <v>1077</v>
      </c>
      <c r="DN12" s="37">
        <f t="shared" si="17"/>
        <v>1078</v>
      </c>
      <c r="DO12" s="37">
        <f t="shared" si="17"/>
        <v>1079</v>
      </c>
      <c r="DP12" s="38">
        <f t="shared" si="17"/>
        <v>1080</v>
      </c>
      <c r="DQ12" s="30"/>
      <c r="DR12" s="898">
        <v>30</v>
      </c>
      <c r="DS12" s="899"/>
      <c r="DT12" s="898">
        <v>3</v>
      </c>
      <c r="DU12" s="899"/>
    </row>
    <row r="13" spans="1:125" ht="6.6" customHeight="1" x14ac:dyDescent="0.3">
      <c r="A13" s="36">
        <v>1081</v>
      </c>
      <c r="B13" s="37">
        <f t="shared" ref="B13:BM16" si="18">A13+1</f>
        <v>1082</v>
      </c>
      <c r="C13" s="37">
        <f t="shared" si="18"/>
        <v>1083</v>
      </c>
      <c r="D13" s="37">
        <f t="shared" si="18"/>
        <v>1084</v>
      </c>
      <c r="E13" s="37">
        <f t="shared" si="18"/>
        <v>1085</v>
      </c>
      <c r="F13" s="37">
        <f t="shared" si="18"/>
        <v>1086</v>
      </c>
      <c r="G13" s="37">
        <f t="shared" si="18"/>
        <v>1087</v>
      </c>
      <c r="H13" s="37">
        <f t="shared" si="18"/>
        <v>1088</v>
      </c>
      <c r="I13" s="37">
        <f t="shared" si="18"/>
        <v>1089</v>
      </c>
      <c r="J13" s="38">
        <f t="shared" si="18"/>
        <v>1090</v>
      </c>
      <c r="K13" s="36">
        <f t="shared" si="18"/>
        <v>1091</v>
      </c>
      <c r="L13" s="37">
        <f t="shared" si="18"/>
        <v>1092</v>
      </c>
      <c r="M13" s="37">
        <f t="shared" si="18"/>
        <v>1093</v>
      </c>
      <c r="N13" s="37">
        <f t="shared" si="18"/>
        <v>1094</v>
      </c>
      <c r="O13" s="37">
        <f t="shared" si="18"/>
        <v>1095</v>
      </c>
      <c r="P13" s="37">
        <f t="shared" si="18"/>
        <v>1096</v>
      </c>
      <c r="Q13" s="37">
        <f t="shared" si="18"/>
        <v>1097</v>
      </c>
      <c r="R13" s="37">
        <f t="shared" si="18"/>
        <v>1098</v>
      </c>
      <c r="S13" s="37">
        <f t="shared" si="18"/>
        <v>1099</v>
      </c>
      <c r="T13" s="38">
        <f t="shared" si="18"/>
        <v>1100</v>
      </c>
      <c r="U13" s="36">
        <f t="shared" si="18"/>
        <v>1101</v>
      </c>
      <c r="V13" s="37">
        <f t="shared" si="18"/>
        <v>1102</v>
      </c>
      <c r="W13" s="37">
        <f t="shared" si="18"/>
        <v>1103</v>
      </c>
      <c r="X13" s="37">
        <f t="shared" si="18"/>
        <v>1104</v>
      </c>
      <c r="Y13" s="37">
        <f t="shared" si="18"/>
        <v>1105</v>
      </c>
      <c r="Z13" s="37">
        <f t="shared" si="18"/>
        <v>1106</v>
      </c>
      <c r="AA13" s="37">
        <f t="shared" si="18"/>
        <v>1107</v>
      </c>
      <c r="AB13" s="37">
        <f t="shared" si="18"/>
        <v>1108</v>
      </c>
      <c r="AC13" s="37">
        <f t="shared" si="18"/>
        <v>1109</v>
      </c>
      <c r="AD13" s="38">
        <f t="shared" si="18"/>
        <v>1110</v>
      </c>
      <c r="AE13" s="36">
        <f t="shared" si="18"/>
        <v>1111</v>
      </c>
      <c r="AF13" s="37">
        <f t="shared" si="18"/>
        <v>1112</v>
      </c>
      <c r="AG13" s="37">
        <f t="shared" si="18"/>
        <v>1113</v>
      </c>
      <c r="AH13" s="37">
        <f t="shared" si="18"/>
        <v>1114</v>
      </c>
      <c r="AI13" s="37">
        <f t="shared" si="18"/>
        <v>1115</v>
      </c>
      <c r="AJ13" s="37">
        <f t="shared" si="18"/>
        <v>1116</v>
      </c>
      <c r="AK13" s="37">
        <f t="shared" si="18"/>
        <v>1117</v>
      </c>
      <c r="AL13" s="37">
        <f t="shared" si="18"/>
        <v>1118</v>
      </c>
      <c r="AM13" s="37">
        <f t="shared" si="18"/>
        <v>1119</v>
      </c>
      <c r="AN13" s="38">
        <f t="shared" si="18"/>
        <v>1120</v>
      </c>
      <c r="AO13" s="36">
        <f t="shared" si="18"/>
        <v>1121</v>
      </c>
      <c r="AP13" s="37">
        <f t="shared" si="18"/>
        <v>1122</v>
      </c>
      <c r="AQ13" s="37">
        <f t="shared" si="18"/>
        <v>1123</v>
      </c>
      <c r="AR13" s="37">
        <f t="shared" si="18"/>
        <v>1124</v>
      </c>
      <c r="AS13" s="37">
        <f t="shared" si="18"/>
        <v>1125</v>
      </c>
      <c r="AT13" s="37">
        <f t="shared" si="18"/>
        <v>1126</v>
      </c>
      <c r="AU13" s="37">
        <f t="shared" si="18"/>
        <v>1127</v>
      </c>
      <c r="AV13" s="37">
        <f t="shared" si="18"/>
        <v>1128</v>
      </c>
      <c r="AW13" s="37">
        <f t="shared" si="18"/>
        <v>1129</v>
      </c>
      <c r="AX13" s="38">
        <f t="shared" si="18"/>
        <v>1130</v>
      </c>
      <c r="AY13" s="36">
        <f t="shared" si="18"/>
        <v>1131</v>
      </c>
      <c r="AZ13" s="37">
        <f t="shared" si="18"/>
        <v>1132</v>
      </c>
      <c r="BA13" s="37">
        <f t="shared" si="18"/>
        <v>1133</v>
      </c>
      <c r="BB13" s="37">
        <f t="shared" si="18"/>
        <v>1134</v>
      </c>
      <c r="BC13" s="37">
        <f t="shared" si="18"/>
        <v>1135</v>
      </c>
      <c r="BD13" s="37">
        <f t="shared" si="18"/>
        <v>1136</v>
      </c>
      <c r="BE13" s="37">
        <f t="shared" si="18"/>
        <v>1137</v>
      </c>
      <c r="BF13" s="37">
        <f t="shared" si="18"/>
        <v>1138</v>
      </c>
      <c r="BG13" s="37">
        <f t="shared" si="18"/>
        <v>1139</v>
      </c>
      <c r="BH13" s="38">
        <f t="shared" si="18"/>
        <v>1140</v>
      </c>
      <c r="BI13" s="36">
        <f t="shared" si="18"/>
        <v>1141</v>
      </c>
      <c r="BJ13" s="37">
        <f t="shared" si="18"/>
        <v>1142</v>
      </c>
      <c r="BK13" s="37">
        <f t="shared" si="18"/>
        <v>1143</v>
      </c>
      <c r="BL13" s="37">
        <f t="shared" si="18"/>
        <v>1144</v>
      </c>
      <c r="BM13" s="37">
        <f t="shared" si="18"/>
        <v>1145</v>
      </c>
      <c r="BN13" s="37">
        <f t="shared" ref="BN13:DP16" si="19">BM13+1</f>
        <v>1146</v>
      </c>
      <c r="BO13" s="37">
        <f t="shared" si="19"/>
        <v>1147</v>
      </c>
      <c r="BP13" s="37">
        <f t="shared" si="19"/>
        <v>1148</v>
      </c>
      <c r="BQ13" s="37">
        <f t="shared" si="19"/>
        <v>1149</v>
      </c>
      <c r="BR13" s="39">
        <f t="shared" si="19"/>
        <v>1150</v>
      </c>
      <c r="BS13" s="36">
        <f t="shared" si="19"/>
        <v>1151</v>
      </c>
      <c r="BT13" s="37">
        <f t="shared" si="19"/>
        <v>1152</v>
      </c>
      <c r="BU13" s="37">
        <f t="shared" si="19"/>
        <v>1153</v>
      </c>
      <c r="BV13" s="37">
        <f t="shared" si="19"/>
        <v>1154</v>
      </c>
      <c r="BW13" s="37">
        <f t="shared" si="19"/>
        <v>1155</v>
      </c>
      <c r="BX13" s="37">
        <f t="shared" si="19"/>
        <v>1156</v>
      </c>
      <c r="BY13" s="37">
        <f t="shared" si="19"/>
        <v>1157</v>
      </c>
      <c r="BZ13" s="37">
        <f t="shared" si="19"/>
        <v>1158</v>
      </c>
      <c r="CA13" s="37">
        <f t="shared" si="19"/>
        <v>1159</v>
      </c>
      <c r="CB13" s="38">
        <f t="shared" si="19"/>
        <v>1160</v>
      </c>
      <c r="CC13" s="40">
        <f t="shared" si="19"/>
        <v>1161</v>
      </c>
      <c r="CD13" s="37">
        <f t="shared" si="19"/>
        <v>1162</v>
      </c>
      <c r="CE13" s="37">
        <f t="shared" si="19"/>
        <v>1163</v>
      </c>
      <c r="CF13" s="37">
        <f t="shared" si="19"/>
        <v>1164</v>
      </c>
      <c r="CG13" s="37">
        <f t="shared" si="19"/>
        <v>1165</v>
      </c>
      <c r="CH13" s="37">
        <f t="shared" si="19"/>
        <v>1166</v>
      </c>
      <c r="CI13" s="37">
        <f t="shared" si="19"/>
        <v>1167</v>
      </c>
      <c r="CJ13" s="37">
        <f t="shared" si="19"/>
        <v>1168</v>
      </c>
      <c r="CK13" s="37">
        <f t="shared" si="19"/>
        <v>1169</v>
      </c>
      <c r="CL13" s="39">
        <f t="shared" si="19"/>
        <v>1170</v>
      </c>
      <c r="CM13" s="36">
        <f t="shared" si="19"/>
        <v>1171</v>
      </c>
      <c r="CN13" s="37">
        <f t="shared" si="19"/>
        <v>1172</v>
      </c>
      <c r="CO13" s="37">
        <f t="shared" si="19"/>
        <v>1173</v>
      </c>
      <c r="CP13" s="37">
        <f t="shared" si="19"/>
        <v>1174</v>
      </c>
      <c r="CQ13" s="37">
        <f t="shared" si="19"/>
        <v>1175</v>
      </c>
      <c r="CR13" s="37">
        <f t="shared" si="19"/>
        <v>1176</v>
      </c>
      <c r="CS13" s="37">
        <f t="shared" si="19"/>
        <v>1177</v>
      </c>
      <c r="CT13" s="37">
        <f t="shared" si="19"/>
        <v>1178</v>
      </c>
      <c r="CU13" s="37">
        <f t="shared" si="19"/>
        <v>1179</v>
      </c>
      <c r="CV13" s="38">
        <f t="shared" si="19"/>
        <v>1180</v>
      </c>
      <c r="CW13" s="40">
        <f t="shared" si="19"/>
        <v>1181</v>
      </c>
      <c r="CX13" s="37">
        <f t="shared" si="19"/>
        <v>1182</v>
      </c>
      <c r="CY13" s="37">
        <f t="shared" si="19"/>
        <v>1183</v>
      </c>
      <c r="CZ13" s="37">
        <f t="shared" si="19"/>
        <v>1184</v>
      </c>
      <c r="DA13" s="37">
        <f t="shared" si="19"/>
        <v>1185</v>
      </c>
      <c r="DB13" s="37">
        <f t="shared" si="19"/>
        <v>1186</v>
      </c>
      <c r="DC13" s="37">
        <f t="shared" si="19"/>
        <v>1187</v>
      </c>
      <c r="DD13" s="37">
        <f t="shared" si="19"/>
        <v>1188</v>
      </c>
      <c r="DE13" s="37">
        <f t="shared" si="19"/>
        <v>1189</v>
      </c>
      <c r="DF13" s="39">
        <f t="shared" si="19"/>
        <v>1190</v>
      </c>
      <c r="DG13" s="36">
        <f t="shared" si="19"/>
        <v>1191</v>
      </c>
      <c r="DH13" s="37">
        <f t="shared" si="19"/>
        <v>1192</v>
      </c>
      <c r="DI13" s="37">
        <f t="shared" si="19"/>
        <v>1193</v>
      </c>
      <c r="DJ13" s="37">
        <f t="shared" si="19"/>
        <v>1194</v>
      </c>
      <c r="DK13" s="37">
        <f t="shared" si="19"/>
        <v>1195</v>
      </c>
      <c r="DL13" s="37">
        <f t="shared" si="19"/>
        <v>1196</v>
      </c>
      <c r="DM13" s="37">
        <f t="shared" si="19"/>
        <v>1197</v>
      </c>
      <c r="DN13" s="37">
        <f t="shared" si="19"/>
        <v>1198</v>
      </c>
      <c r="DO13" s="37">
        <f t="shared" si="19"/>
        <v>1199</v>
      </c>
      <c r="DP13" s="38">
        <f t="shared" si="19"/>
        <v>1200</v>
      </c>
      <c r="DQ13" s="30"/>
      <c r="DR13" s="900"/>
      <c r="DS13" s="901"/>
      <c r="DT13" s="900"/>
      <c r="DU13" s="901"/>
    </row>
    <row r="14" spans="1:125" ht="6.6" customHeight="1" x14ac:dyDescent="0.3">
      <c r="A14" s="36">
        <v>1201</v>
      </c>
      <c r="B14" s="37">
        <f t="shared" si="18"/>
        <v>1202</v>
      </c>
      <c r="C14" s="37">
        <f t="shared" si="18"/>
        <v>1203</v>
      </c>
      <c r="D14" s="37">
        <f t="shared" si="18"/>
        <v>1204</v>
      </c>
      <c r="E14" s="37">
        <f t="shared" si="18"/>
        <v>1205</v>
      </c>
      <c r="F14" s="37">
        <f t="shared" si="18"/>
        <v>1206</v>
      </c>
      <c r="G14" s="37">
        <f t="shared" si="18"/>
        <v>1207</v>
      </c>
      <c r="H14" s="37">
        <f t="shared" si="18"/>
        <v>1208</v>
      </c>
      <c r="I14" s="37">
        <f t="shared" si="18"/>
        <v>1209</v>
      </c>
      <c r="J14" s="38">
        <f t="shared" si="18"/>
        <v>1210</v>
      </c>
      <c r="K14" s="36">
        <f t="shared" si="18"/>
        <v>1211</v>
      </c>
      <c r="L14" s="37">
        <f t="shared" si="18"/>
        <v>1212</v>
      </c>
      <c r="M14" s="37">
        <f t="shared" si="18"/>
        <v>1213</v>
      </c>
      <c r="N14" s="37">
        <f t="shared" si="18"/>
        <v>1214</v>
      </c>
      <c r="O14" s="37">
        <f t="shared" si="18"/>
        <v>1215</v>
      </c>
      <c r="P14" s="37">
        <f t="shared" si="18"/>
        <v>1216</v>
      </c>
      <c r="Q14" s="37">
        <f t="shared" si="18"/>
        <v>1217</v>
      </c>
      <c r="R14" s="37">
        <f t="shared" si="18"/>
        <v>1218</v>
      </c>
      <c r="S14" s="37">
        <f t="shared" si="18"/>
        <v>1219</v>
      </c>
      <c r="T14" s="38">
        <f t="shared" si="18"/>
        <v>1220</v>
      </c>
      <c r="U14" s="36">
        <f t="shared" si="18"/>
        <v>1221</v>
      </c>
      <c r="V14" s="37">
        <f t="shared" si="18"/>
        <v>1222</v>
      </c>
      <c r="W14" s="37">
        <f t="shared" si="18"/>
        <v>1223</v>
      </c>
      <c r="X14" s="37">
        <f t="shared" si="18"/>
        <v>1224</v>
      </c>
      <c r="Y14" s="37">
        <f t="shared" si="18"/>
        <v>1225</v>
      </c>
      <c r="Z14" s="37">
        <f t="shared" si="18"/>
        <v>1226</v>
      </c>
      <c r="AA14" s="37">
        <f t="shared" si="18"/>
        <v>1227</v>
      </c>
      <c r="AB14" s="37">
        <f t="shared" si="18"/>
        <v>1228</v>
      </c>
      <c r="AC14" s="37">
        <f t="shared" si="18"/>
        <v>1229</v>
      </c>
      <c r="AD14" s="38">
        <f t="shared" si="18"/>
        <v>1230</v>
      </c>
      <c r="AE14" s="36">
        <f t="shared" si="18"/>
        <v>1231</v>
      </c>
      <c r="AF14" s="37">
        <f t="shared" si="18"/>
        <v>1232</v>
      </c>
      <c r="AG14" s="37">
        <f t="shared" si="18"/>
        <v>1233</v>
      </c>
      <c r="AH14" s="37">
        <f t="shared" si="18"/>
        <v>1234</v>
      </c>
      <c r="AI14" s="37">
        <f t="shared" si="18"/>
        <v>1235</v>
      </c>
      <c r="AJ14" s="37">
        <f t="shared" si="18"/>
        <v>1236</v>
      </c>
      <c r="AK14" s="37">
        <f t="shared" si="18"/>
        <v>1237</v>
      </c>
      <c r="AL14" s="37">
        <f t="shared" si="18"/>
        <v>1238</v>
      </c>
      <c r="AM14" s="37">
        <f t="shared" si="18"/>
        <v>1239</v>
      </c>
      <c r="AN14" s="38">
        <f t="shared" si="18"/>
        <v>1240</v>
      </c>
      <c r="AO14" s="36">
        <f t="shared" si="18"/>
        <v>1241</v>
      </c>
      <c r="AP14" s="37">
        <f t="shared" si="18"/>
        <v>1242</v>
      </c>
      <c r="AQ14" s="37">
        <f t="shared" si="18"/>
        <v>1243</v>
      </c>
      <c r="AR14" s="37">
        <f t="shared" si="18"/>
        <v>1244</v>
      </c>
      <c r="AS14" s="37">
        <f t="shared" si="18"/>
        <v>1245</v>
      </c>
      <c r="AT14" s="37">
        <f t="shared" si="18"/>
        <v>1246</v>
      </c>
      <c r="AU14" s="37">
        <f t="shared" si="18"/>
        <v>1247</v>
      </c>
      <c r="AV14" s="37">
        <f t="shared" si="18"/>
        <v>1248</v>
      </c>
      <c r="AW14" s="37">
        <f t="shared" si="18"/>
        <v>1249</v>
      </c>
      <c r="AX14" s="38">
        <f t="shared" si="18"/>
        <v>1250</v>
      </c>
      <c r="AY14" s="36">
        <f t="shared" si="18"/>
        <v>1251</v>
      </c>
      <c r="AZ14" s="37">
        <f t="shared" si="18"/>
        <v>1252</v>
      </c>
      <c r="BA14" s="37">
        <f t="shared" si="18"/>
        <v>1253</v>
      </c>
      <c r="BB14" s="37">
        <f t="shared" si="18"/>
        <v>1254</v>
      </c>
      <c r="BC14" s="37">
        <f t="shared" si="18"/>
        <v>1255</v>
      </c>
      <c r="BD14" s="37">
        <f t="shared" si="18"/>
        <v>1256</v>
      </c>
      <c r="BE14" s="37">
        <f t="shared" si="18"/>
        <v>1257</v>
      </c>
      <c r="BF14" s="37">
        <f t="shared" si="18"/>
        <v>1258</v>
      </c>
      <c r="BG14" s="37">
        <f t="shared" si="18"/>
        <v>1259</v>
      </c>
      <c r="BH14" s="38">
        <f t="shared" si="18"/>
        <v>1260</v>
      </c>
      <c r="BI14" s="36">
        <f t="shared" si="18"/>
        <v>1261</v>
      </c>
      <c r="BJ14" s="37">
        <f t="shared" si="18"/>
        <v>1262</v>
      </c>
      <c r="BK14" s="37">
        <f t="shared" si="18"/>
        <v>1263</v>
      </c>
      <c r="BL14" s="37">
        <f t="shared" si="18"/>
        <v>1264</v>
      </c>
      <c r="BM14" s="37">
        <f t="shared" si="18"/>
        <v>1265</v>
      </c>
      <c r="BN14" s="37">
        <f t="shared" si="19"/>
        <v>1266</v>
      </c>
      <c r="BO14" s="37">
        <f t="shared" si="19"/>
        <v>1267</v>
      </c>
      <c r="BP14" s="37">
        <f t="shared" si="19"/>
        <v>1268</v>
      </c>
      <c r="BQ14" s="37">
        <f t="shared" si="19"/>
        <v>1269</v>
      </c>
      <c r="BR14" s="39">
        <f t="shared" si="19"/>
        <v>1270</v>
      </c>
      <c r="BS14" s="36">
        <f t="shared" si="19"/>
        <v>1271</v>
      </c>
      <c r="BT14" s="37">
        <f t="shared" si="19"/>
        <v>1272</v>
      </c>
      <c r="BU14" s="37">
        <f t="shared" si="19"/>
        <v>1273</v>
      </c>
      <c r="BV14" s="37">
        <f t="shared" si="19"/>
        <v>1274</v>
      </c>
      <c r="BW14" s="37">
        <f t="shared" si="19"/>
        <v>1275</v>
      </c>
      <c r="BX14" s="37">
        <f t="shared" si="19"/>
        <v>1276</v>
      </c>
      <c r="BY14" s="37">
        <f t="shared" si="19"/>
        <v>1277</v>
      </c>
      <c r="BZ14" s="37">
        <f t="shared" si="19"/>
        <v>1278</v>
      </c>
      <c r="CA14" s="37">
        <f t="shared" si="19"/>
        <v>1279</v>
      </c>
      <c r="CB14" s="38">
        <f t="shared" si="19"/>
        <v>1280</v>
      </c>
      <c r="CC14" s="40">
        <f t="shared" si="19"/>
        <v>1281</v>
      </c>
      <c r="CD14" s="37">
        <f t="shared" si="19"/>
        <v>1282</v>
      </c>
      <c r="CE14" s="37">
        <f t="shared" si="19"/>
        <v>1283</v>
      </c>
      <c r="CF14" s="37">
        <f t="shared" si="19"/>
        <v>1284</v>
      </c>
      <c r="CG14" s="37">
        <f t="shared" si="19"/>
        <v>1285</v>
      </c>
      <c r="CH14" s="37">
        <f t="shared" si="19"/>
        <v>1286</v>
      </c>
      <c r="CI14" s="37">
        <f t="shared" si="19"/>
        <v>1287</v>
      </c>
      <c r="CJ14" s="37">
        <f t="shared" si="19"/>
        <v>1288</v>
      </c>
      <c r="CK14" s="37">
        <f t="shared" si="19"/>
        <v>1289</v>
      </c>
      <c r="CL14" s="39">
        <f t="shared" si="19"/>
        <v>1290</v>
      </c>
      <c r="CM14" s="36">
        <f t="shared" si="19"/>
        <v>1291</v>
      </c>
      <c r="CN14" s="37">
        <f t="shared" si="19"/>
        <v>1292</v>
      </c>
      <c r="CO14" s="37">
        <f t="shared" si="19"/>
        <v>1293</v>
      </c>
      <c r="CP14" s="37">
        <f t="shared" si="19"/>
        <v>1294</v>
      </c>
      <c r="CQ14" s="37">
        <f t="shared" si="19"/>
        <v>1295</v>
      </c>
      <c r="CR14" s="37">
        <f t="shared" si="19"/>
        <v>1296</v>
      </c>
      <c r="CS14" s="37">
        <f t="shared" si="19"/>
        <v>1297</v>
      </c>
      <c r="CT14" s="37">
        <f t="shared" si="19"/>
        <v>1298</v>
      </c>
      <c r="CU14" s="37">
        <f t="shared" si="19"/>
        <v>1299</v>
      </c>
      <c r="CV14" s="38">
        <f t="shared" si="19"/>
        <v>1300</v>
      </c>
      <c r="CW14" s="40">
        <f t="shared" si="19"/>
        <v>1301</v>
      </c>
      <c r="CX14" s="37">
        <f t="shared" si="19"/>
        <v>1302</v>
      </c>
      <c r="CY14" s="37">
        <f t="shared" si="19"/>
        <v>1303</v>
      </c>
      <c r="CZ14" s="37">
        <f t="shared" si="19"/>
        <v>1304</v>
      </c>
      <c r="DA14" s="37">
        <f t="shared" si="19"/>
        <v>1305</v>
      </c>
      <c r="DB14" s="37">
        <f t="shared" si="19"/>
        <v>1306</v>
      </c>
      <c r="DC14" s="37">
        <f t="shared" si="19"/>
        <v>1307</v>
      </c>
      <c r="DD14" s="37">
        <f t="shared" si="19"/>
        <v>1308</v>
      </c>
      <c r="DE14" s="37">
        <f t="shared" si="19"/>
        <v>1309</v>
      </c>
      <c r="DF14" s="39">
        <f t="shared" si="19"/>
        <v>1310</v>
      </c>
      <c r="DG14" s="36">
        <f t="shared" si="19"/>
        <v>1311</v>
      </c>
      <c r="DH14" s="37">
        <f t="shared" si="19"/>
        <v>1312</v>
      </c>
      <c r="DI14" s="37">
        <f t="shared" si="19"/>
        <v>1313</v>
      </c>
      <c r="DJ14" s="37">
        <f t="shared" si="19"/>
        <v>1314</v>
      </c>
      <c r="DK14" s="37">
        <f t="shared" si="19"/>
        <v>1315</v>
      </c>
      <c r="DL14" s="37">
        <f t="shared" si="19"/>
        <v>1316</v>
      </c>
      <c r="DM14" s="37">
        <f t="shared" si="19"/>
        <v>1317</v>
      </c>
      <c r="DN14" s="37">
        <f t="shared" si="19"/>
        <v>1318</v>
      </c>
      <c r="DO14" s="37">
        <f t="shared" si="19"/>
        <v>1319</v>
      </c>
      <c r="DP14" s="38">
        <f t="shared" si="19"/>
        <v>1320</v>
      </c>
      <c r="DR14" s="898">
        <v>40</v>
      </c>
      <c r="DS14" s="899"/>
      <c r="DT14" s="898">
        <v>4</v>
      </c>
      <c r="DU14" s="899"/>
    </row>
    <row r="15" spans="1:125" ht="6.6" customHeight="1" x14ac:dyDescent="0.3">
      <c r="A15" s="36">
        <v>1321</v>
      </c>
      <c r="B15" s="37">
        <f t="shared" si="18"/>
        <v>1322</v>
      </c>
      <c r="C15" s="37">
        <f t="shared" si="18"/>
        <v>1323</v>
      </c>
      <c r="D15" s="37">
        <f t="shared" si="18"/>
        <v>1324</v>
      </c>
      <c r="E15" s="37">
        <f t="shared" si="18"/>
        <v>1325</v>
      </c>
      <c r="F15" s="37">
        <f t="shared" si="18"/>
        <v>1326</v>
      </c>
      <c r="G15" s="37">
        <f t="shared" si="18"/>
        <v>1327</v>
      </c>
      <c r="H15" s="37">
        <f t="shared" si="18"/>
        <v>1328</v>
      </c>
      <c r="I15" s="37">
        <f t="shared" si="18"/>
        <v>1329</v>
      </c>
      <c r="J15" s="38">
        <f t="shared" si="18"/>
        <v>1330</v>
      </c>
      <c r="K15" s="36">
        <f t="shared" si="18"/>
        <v>1331</v>
      </c>
      <c r="L15" s="37">
        <f t="shared" si="18"/>
        <v>1332</v>
      </c>
      <c r="M15" s="37">
        <f t="shared" si="18"/>
        <v>1333</v>
      </c>
      <c r="N15" s="37">
        <f t="shared" si="18"/>
        <v>1334</v>
      </c>
      <c r="O15" s="37">
        <f t="shared" si="18"/>
        <v>1335</v>
      </c>
      <c r="P15" s="37">
        <f t="shared" si="18"/>
        <v>1336</v>
      </c>
      <c r="Q15" s="37">
        <f t="shared" si="18"/>
        <v>1337</v>
      </c>
      <c r="R15" s="37">
        <f t="shared" si="18"/>
        <v>1338</v>
      </c>
      <c r="S15" s="37">
        <f t="shared" si="18"/>
        <v>1339</v>
      </c>
      <c r="T15" s="38">
        <f t="shared" si="18"/>
        <v>1340</v>
      </c>
      <c r="U15" s="36">
        <f t="shared" si="18"/>
        <v>1341</v>
      </c>
      <c r="V15" s="37">
        <f t="shared" si="18"/>
        <v>1342</v>
      </c>
      <c r="W15" s="37">
        <f t="shared" si="18"/>
        <v>1343</v>
      </c>
      <c r="X15" s="37">
        <f t="shared" si="18"/>
        <v>1344</v>
      </c>
      <c r="Y15" s="37">
        <f t="shared" si="18"/>
        <v>1345</v>
      </c>
      <c r="Z15" s="37">
        <f t="shared" si="18"/>
        <v>1346</v>
      </c>
      <c r="AA15" s="37">
        <f t="shared" si="18"/>
        <v>1347</v>
      </c>
      <c r="AB15" s="37">
        <f t="shared" si="18"/>
        <v>1348</v>
      </c>
      <c r="AC15" s="37">
        <f t="shared" si="18"/>
        <v>1349</v>
      </c>
      <c r="AD15" s="38">
        <f t="shared" si="18"/>
        <v>1350</v>
      </c>
      <c r="AE15" s="36">
        <f t="shared" si="18"/>
        <v>1351</v>
      </c>
      <c r="AF15" s="37">
        <f t="shared" si="18"/>
        <v>1352</v>
      </c>
      <c r="AG15" s="37">
        <f t="shared" si="18"/>
        <v>1353</v>
      </c>
      <c r="AH15" s="37">
        <f t="shared" si="18"/>
        <v>1354</v>
      </c>
      <c r="AI15" s="37">
        <f t="shared" si="18"/>
        <v>1355</v>
      </c>
      <c r="AJ15" s="37">
        <f t="shared" si="18"/>
        <v>1356</v>
      </c>
      <c r="AK15" s="37">
        <f t="shared" si="18"/>
        <v>1357</v>
      </c>
      <c r="AL15" s="37">
        <f t="shared" si="18"/>
        <v>1358</v>
      </c>
      <c r="AM15" s="37">
        <f t="shared" si="18"/>
        <v>1359</v>
      </c>
      <c r="AN15" s="38">
        <f t="shared" si="18"/>
        <v>1360</v>
      </c>
      <c r="AO15" s="36">
        <f t="shared" si="18"/>
        <v>1361</v>
      </c>
      <c r="AP15" s="37">
        <f t="shared" si="18"/>
        <v>1362</v>
      </c>
      <c r="AQ15" s="37">
        <f t="shared" si="18"/>
        <v>1363</v>
      </c>
      <c r="AR15" s="37">
        <f t="shared" si="18"/>
        <v>1364</v>
      </c>
      <c r="AS15" s="37">
        <f t="shared" si="18"/>
        <v>1365</v>
      </c>
      <c r="AT15" s="37">
        <f t="shared" si="18"/>
        <v>1366</v>
      </c>
      <c r="AU15" s="37">
        <f t="shared" si="18"/>
        <v>1367</v>
      </c>
      <c r="AV15" s="37">
        <f t="shared" si="18"/>
        <v>1368</v>
      </c>
      <c r="AW15" s="37">
        <f t="shared" si="18"/>
        <v>1369</v>
      </c>
      <c r="AX15" s="38">
        <f t="shared" si="18"/>
        <v>1370</v>
      </c>
      <c r="AY15" s="36">
        <f t="shared" si="18"/>
        <v>1371</v>
      </c>
      <c r="AZ15" s="37">
        <f t="shared" si="18"/>
        <v>1372</v>
      </c>
      <c r="BA15" s="37">
        <f t="shared" si="18"/>
        <v>1373</v>
      </c>
      <c r="BB15" s="37">
        <f t="shared" si="18"/>
        <v>1374</v>
      </c>
      <c r="BC15" s="37">
        <f t="shared" si="18"/>
        <v>1375</v>
      </c>
      <c r="BD15" s="37">
        <f t="shared" si="18"/>
        <v>1376</v>
      </c>
      <c r="BE15" s="37">
        <f t="shared" si="18"/>
        <v>1377</v>
      </c>
      <c r="BF15" s="37">
        <f t="shared" si="18"/>
        <v>1378</v>
      </c>
      <c r="BG15" s="37">
        <f t="shared" si="18"/>
        <v>1379</v>
      </c>
      <c r="BH15" s="38">
        <f t="shared" si="18"/>
        <v>1380</v>
      </c>
      <c r="BI15" s="36">
        <f t="shared" si="18"/>
        <v>1381</v>
      </c>
      <c r="BJ15" s="37">
        <f t="shared" si="18"/>
        <v>1382</v>
      </c>
      <c r="BK15" s="37">
        <f t="shared" si="18"/>
        <v>1383</v>
      </c>
      <c r="BL15" s="37">
        <f t="shared" si="18"/>
        <v>1384</v>
      </c>
      <c r="BM15" s="37">
        <f t="shared" si="18"/>
        <v>1385</v>
      </c>
      <c r="BN15" s="37">
        <f t="shared" si="19"/>
        <v>1386</v>
      </c>
      <c r="BO15" s="37">
        <f t="shared" si="19"/>
        <v>1387</v>
      </c>
      <c r="BP15" s="37">
        <f t="shared" si="19"/>
        <v>1388</v>
      </c>
      <c r="BQ15" s="37">
        <f t="shared" si="19"/>
        <v>1389</v>
      </c>
      <c r="BR15" s="39">
        <f t="shared" si="19"/>
        <v>1390</v>
      </c>
      <c r="BS15" s="36">
        <f t="shared" si="19"/>
        <v>1391</v>
      </c>
      <c r="BT15" s="37">
        <f t="shared" si="19"/>
        <v>1392</v>
      </c>
      <c r="BU15" s="37">
        <f t="shared" si="19"/>
        <v>1393</v>
      </c>
      <c r="BV15" s="37">
        <f t="shared" si="19"/>
        <v>1394</v>
      </c>
      <c r="BW15" s="37">
        <f t="shared" si="19"/>
        <v>1395</v>
      </c>
      <c r="BX15" s="37">
        <f t="shared" si="19"/>
        <v>1396</v>
      </c>
      <c r="BY15" s="37">
        <f t="shared" si="19"/>
        <v>1397</v>
      </c>
      <c r="BZ15" s="37">
        <f t="shared" si="19"/>
        <v>1398</v>
      </c>
      <c r="CA15" s="37">
        <f t="shared" si="19"/>
        <v>1399</v>
      </c>
      <c r="CB15" s="38">
        <f t="shared" si="19"/>
        <v>1400</v>
      </c>
      <c r="CC15" s="40">
        <f t="shared" si="19"/>
        <v>1401</v>
      </c>
      <c r="CD15" s="37">
        <f t="shared" si="19"/>
        <v>1402</v>
      </c>
      <c r="CE15" s="37">
        <f t="shared" si="19"/>
        <v>1403</v>
      </c>
      <c r="CF15" s="37">
        <f t="shared" si="19"/>
        <v>1404</v>
      </c>
      <c r="CG15" s="37">
        <f t="shared" si="19"/>
        <v>1405</v>
      </c>
      <c r="CH15" s="37">
        <f t="shared" si="19"/>
        <v>1406</v>
      </c>
      <c r="CI15" s="37">
        <f t="shared" si="19"/>
        <v>1407</v>
      </c>
      <c r="CJ15" s="37">
        <f t="shared" si="19"/>
        <v>1408</v>
      </c>
      <c r="CK15" s="37">
        <f t="shared" si="19"/>
        <v>1409</v>
      </c>
      <c r="CL15" s="39">
        <f t="shared" si="19"/>
        <v>1410</v>
      </c>
      <c r="CM15" s="36">
        <f t="shared" si="19"/>
        <v>1411</v>
      </c>
      <c r="CN15" s="37">
        <f t="shared" si="19"/>
        <v>1412</v>
      </c>
      <c r="CO15" s="37">
        <f t="shared" si="19"/>
        <v>1413</v>
      </c>
      <c r="CP15" s="37">
        <f t="shared" si="19"/>
        <v>1414</v>
      </c>
      <c r="CQ15" s="37">
        <f t="shared" si="19"/>
        <v>1415</v>
      </c>
      <c r="CR15" s="37">
        <f t="shared" si="19"/>
        <v>1416</v>
      </c>
      <c r="CS15" s="37">
        <f t="shared" si="19"/>
        <v>1417</v>
      </c>
      <c r="CT15" s="37">
        <f t="shared" si="19"/>
        <v>1418</v>
      </c>
      <c r="CU15" s="37">
        <f t="shared" si="19"/>
        <v>1419</v>
      </c>
      <c r="CV15" s="38">
        <f t="shared" si="19"/>
        <v>1420</v>
      </c>
      <c r="CW15" s="40">
        <f t="shared" si="19"/>
        <v>1421</v>
      </c>
      <c r="CX15" s="37">
        <f t="shared" si="19"/>
        <v>1422</v>
      </c>
      <c r="CY15" s="37">
        <f t="shared" si="19"/>
        <v>1423</v>
      </c>
      <c r="CZ15" s="37">
        <f t="shared" si="19"/>
        <v>1424</v>
      </c>
      <c r="DA15" s="37">
        <f t="shared" si="19"/>
        <v>1425</v>
      </c>
      <c r="DB15" s="37">
        <f t="shared" si="19"/>
        <v>1426</v>
      </c>
      <c r="DC15" s="37">
        <f t="shared" si="19"/>
        <v>1427</v>
      </c>
      <c r="DD15" s="37">
        <f t="shared" si="19"/>
        <v>1428</v>
      </c>
      <c r="DE15" s="37">
        <f t="shared" si="19"/>
        <v>1429</v>
      </c>
      <c r="DF15" s="39">
        <f t="shared" si="19"/>
        <v>1430</v>
      </c>
      <c r="DG15" s="36">
        <f t="shared" si="19"/>
        <v>1431</v>
      </c>
      <c r="DH15" s="37">
        <f t="shared" si="19"/>
        <v>1432</v>
      </c>
      <c r="DI15" s="37">
        <f t="shared" si="19"/>
        <v>1433</v>
      </c>
      <c r="DJ15" s="37">
        <f t="shared" si="19"/>
        <v>1434</v>
      </c>
      <c r="DK15" s="37">
        <f t="shared" si="19"/>
        <v>1435</v>
      </c>
      <c r="DL15" s="37">
        <f t="shared" si="19"/>
        <v>1436</v>
      </c>
      <c r="DM15" s="37">
        <f t="shared" si="19"/>
        <v>1437</v>
      </c>
      <c r="DN15" s="37">
        <f t="shared" si="19"/>
        <v>1438</v>
      </c>
      <c r="DO15" s="37">
        <f t="shared" si="19"/>
        <v>1439</v>
      </c>
      <c r="DP15" s="38">
        <f t="shared" si="19"/>
        <v>1440</v>
      </c>
      <c r="DR15" s="900"/>
      <c r="DS15" s="901"/>
      <c r="DT15" s="900"/>
      <c r="DU15" s="901"/>
    </row>
    <row r="16" spans="1:125" ht="6.6" customHeight="1" x14ac:dyDescent="0.3">
      <c r="A16" s="36">
        <v>1441</v>
      </c>
      <c r="B16" s="37">
        <f t="shared" si="18"/>
        <v>1442</v>
      </c>
      <c r="C16" s="37">
        <f t="shared" si="18"/>
        <v>1443</v>
      </c>
      <c r="D16" s="37">
        <f t="shared" si="18"/>
        <v>1444</v>
      </c>
      <c r="E16" s="37">
        <f t="shared" si="18"/>
        <v>1445</v>
      </c>
      <c r="F16" s="37">
        <f t="shared" si="18"/>
        <v>1446</v>
      </c>
      <c r="G16" s="37">
        <f t="shared" si="18"/>
        <v>1447</v>
      </c>
      <c r="H16" s="37">
        <f t="shared" si="18"/>
        <v>1448</v>
      </c>
      <c r="I16" s="37">
        <f t="shared" si="18"/>
        <v>1449</v>
      </c>
      <c r="J16" s="38">
        <f t="shared" si="18"/>
        <v>1450</v>
      </c>
      <c r="K16" s="36">
        <f t="shared" si="18"/>
        <v>1451</v>
      </c>
      <c r="L16" s="37">
        <f t="shared" si="18"/>
        <v>1452</v>
      </c>
      <c r="M16" s="37">
        <f t="shared" si="18"/>
        <v>1453</v>
      </c>
      <c r="N16" s="37">
        <f t="shared" si="18"/>
        <v>1454</v>
      </c>
      <c r="O16" s="37">
        <f t="shared" si="18"/>
        <v>1455</v>
      </c>
      <c r="P16" s="37">
        <f t="shared" si="18"/>
        <v>1456</v>
      </c>
      <c r="Q16" s="37">
        <f t="shared" si="18"/>
        <v>1457</v>
      </c>
      <c r="R16" s="37">
        <f t="shared" si="18"/>
        <v>1458</v>
      </c>
      <c r="S16" s="37">
        <f t="shared" si="18"/>
        <v>1459</v>
      </c>
      <c r="T16" s="38">
        <f t="shared" si="18"/>
        <v>1460</v>
      </c>
      <c r="U16" s="36">
        <f t="shared" si="18"/>
        <v>1461</v>
      </c>
      <c r="V16" s="37">
        <f t="shared" si="18"/>
        <v>1462</v>
      </c>
      <c r="W16" s="37">
        <f t="shared" si="18"/>
        <v>1463</v>
      </c>
      <c r="X16" s="37">
        <f t="shared" si="18"/>
        <v>1464</v>
      </c>
      <c r="Y16" s="37">
        <f t="shared" si="18"/>
        <v>1465</v>
      </c>
      <c r="Z16" s="37">
        <f t="shared" si="18"/>
        <v>1466</v>
      </c>
      <c r="AA16" s="37">
        <f t="shared" si="18"/>
        <v>1467</v>
      </c>
      <c r="AB16" s="37">
        <f t="shared" si="18"/>
        <v>1468</v>
      </c>
      <c r="AC16" s="37">
        <f t="shared" si="18"/>
        <v>1469</v>
      </c>
      <c r="AD16" s="38">
        <f t="shared" si="18"/>
        <v>1470</v>
      </c>
      <c r="AE16" s="36">
        <f t="shared" si="18"/>
        <v>1471</v>
      </c>
      <c r="AF16" s="37">
        <f t="shared" si="18"/>
        <v>1472</v>
      </c>
      <c r="AG16" s="37">
        <f t="shared" si="18"/>
        <v>1473</v>
      </c>
      <c r="AH16" s="37">
        <f t="shared" si="18"/>
        <v>1474</v>
      </c>
      <c r="AI16" s="37">
        <f t="shared" si="18"/>
        <v>1475</v>
      </c>
      <c r="AJ16" s="37">
        <f t="shared" si="18"/>
        <v>1476</v>
      </c>
      <c r="AK16" s="37">
        <f t="shared" si="18"/>
        <v>1477</v>
      </c>
      <c r="AL16" s="37">
        <f t="shared" si="18"/>
        <v>1478</v>
      </c>
      <c r="AM16" s="37">
        <f t="shared" si="18"/>
        <v>1479</v>
      </c>
      <c r="AN16" s="38">
        <f t="shared" si="18"/>
        <v>1480</v>
      </c>
      <c r="AO16" s="36">
        <f t="shared" si="18"/>
        <v>1481</v>
      </c>
      <c r="AP16" s="37">
        <f t="shared" si="18"/>
        <v>1482</v>
      </c>
      <c r="AQ16" s="37">
        <f t="shared" si="18"/>
        <v>1483</v>
      </c>
      <c r="AR16" s="37">
        <f t="shared" si="18"/>
        <v>1484</v>
      </c>
      <c r="AS16" s="37">
        <f t="shared" si="18"/>
        <v>1485</v>
      </c>
      <c r="AT16" s="37">
        <f t="shared" si="18"/>
        <v>1486</v>
      </c>
      <c r="AU16" s="37">
        <f t="shared" si="18"/>
        <v>1487</v>
      </c>
      <c r="AV16" s="37">
        <f t="shared" si="18"/>
        <v>1488</v>
      </c>
      <c r="AW16" s="37">
        <f t="shared" si="18"/>
        <v>1489</v>
      </c>
      <c r="AX16" s="38">
        <f t="shared" si="18"/>
        <v>1490</v>
      </c>
      <c r="AY16" s="36">
        <f t="shared" si="18"/>
        <v>1491</v>
      </c>
      <c r="AZ16" s="37">
        <f t="shared" si="18"/>
        <v>1492</v>
      </c>
      <c r="BA16" s="37">
        <f t="shared" si="18"/>
        <v>1493</v>
      </c>
      <c r="BB16" s="37">
        <f t="shared" si="18"/>
        <v>1494</v>
      </c>
      <c r="BC16" s="37">
        <f t="shared" si="18"/>
        <v>1495</v>
      </c>
      <c r="BD16" s="37">
        <f t="shared" si="18"/>
        <v>1496</v>
      </c>
      <c r="BE16" s="37">
        <f t="shared" si="18"/>
        <v>1497</v>
      </c>
      <c r="BF16" s="37">
        <f t="shared" si="18"/>
        <v>1498</v>
      </c>
      <c r="BG16" s="37">
        <f t="shared" si="18"/>
        <v>1499</v>
      </c>
      <c r="BH16" s="38">
        <f t="shared" si="18"/>
        <v>1500</v>
      </c>
      <c r="BI16" s="36">
        <f t="shared" si="18"/>
        <v>1501</v>
      </c>
      <c r="BJ16" s="37">
        <f t="shared" si="18"/>
        <v>1502</v>
      </c>
      <c r="BK16" s="37">
        <f t="shared" si="18"/>
        <v>1503</v>
      </c>
      <c r="BL16" s="37">
        <f t="shared" si="18"/>
        <v>1504</v>
      </c>
      <c r="BM16" s="37">
        <f t="shared" ref="BM16" si="20">BL16+1</f>
        <v>1505</v>
      </c>
      <c r="BN16" s="37">
        <f t="shared" si="19"/>
        <v>1506</v>
      </c>
      <c r="BO16" s="37">
        <f t="shared" si="19"/>
        <v>1507</v>
      </c>
      <c r="BP16" s="37">
        <f t="shared" si="19"/>
        <v>1508</v>
      </c>
      <c r="BQ16" s="37">
        <f t="shared" si="19"/>
        <v>1509</v>
      </c>
      <c r="BR16" s="39">
        <f t="shared" si="19"/>
        <v>1510</v>
      </c>
      <c r="BS16" s="36">
        <f t="shared" si="19"/>
        <v>1511</v>
      </c>
      <c r="BT16" s="37">
        <f t="shared" si="19"/>
        <v>1512</v>
      </c>
      <c r="BU16" s="37">
        <f t="shared" si="19"/>
        <v>1513</v>
      </c>
      <c r="BV16" s="37">
        <f t="shared" si="19"/>
        <v>1514</v>
      </c>
      <c r="BW16" s="37">
        <f t="shared" si="19"/>
        <v>1515</v>
      </c>
      <c r="BX16" s="37">
        <f t="shared" si="19"/>
        <v>1516</v>
      </c>
      <c r="BY16" s="37">
        <f t="shared" si="19"/>
        <v>1517</v>
      </c>
      <c r="BZ16" s="37">
        <f t="shared" si="19"/>
        <v>1518</v>
      </c>
      <c r="CA16" s="37">
        <f t="shared" si="19"/>
        <v>1519</v>
      </c>
      <c r="CB16" s="38">
        <f t="shared" si="19"/>
        <v>1520</v>
      </c>
      <c r="CC16" s="40">
        <f t="shared" si="19"/>
        <v>1521</v>
      </c>
      <c r="CD16" s="37">
        <f t="shared" si="19"/>
        <v>1522</v>
      </c>
      <c r="CE16" s="37">
        <f t="shared" si="19"/>
        <v>1523</v>
      </c>
      <c r="CF16" s="37">
        <f t="shared" si="19"/>
        <v>1524</v>
      </c>
      <c r="CG16" s="37">
        <f t="shared" si="19"/>
        <v>1525</v>
      </c>
      <c r="CH16" s="37">
        <f t="shared" si="19"/>
        <v>1526</v>
      </c>
      <c r="CI16" s="37">
        <f t="shared" si="19"/>
        <v>1527</v>
      </c>
      <c r="CJ16" s="37">
        <f t="shared" si="19"/>
        <v>1528</v>
      </c>
      <c r="CK16" s="37">
        <f t="shared" si="19"/>
        <v>1529</v>
      </c>
      <c r="CL16" s="39">
        <f t="shared" si="19"/>
        <v>1530</v>
      </c>
      <c r="CM16" s="36">
        <f t="shared" si="19"/>
        <v>1531</v>
      </c>
      <c r="CN16" s="37">
        <f t="shared" si="19"/>
        <v>1532</v>
      </c>
      <c r="CO16" s="37">
        <f t="shared" si="19"/>
        <v>1533</v>
      </c>
      <c r="CP16" s="37">
        <f t="shared" si="19"/>
        <v>1534</v>
      </c>
      <c r="CQ16" s="37">
        <f t="shared" si="19"/>
        <v>1535</v>
      </c>
      <c r="CR16" s="37">
        <f t="shared" si="19"/>
        <v>1536</v>
      </c>
      <c r="CS16" s="37">
        <f t="shared" si="19"/>
        <v>1537</v>
      </c>
      <c r="CT16" s="37">
        <f t="shared" si="19"/>
        <v>1538</v>
      </c>
      <c r="CU16" s="37">
        <f t="shared" si="19"/>
        <v>1539</v>
      </c>
      <c r="CV16" s="38">
        <f t="shared" si="19"/>
        <v>1540</v>
      </c>
      <c r="CW16" s="40">
        <f t="shared" si="19"/>
        <v>1541</v>
      </c>
      <c r="CX16" s="37">
        <f t="shared" si="19"/>
        <v>1542</v>
      </c>
      <c r="CY16" s="37">
        <f t="shared" si="19"/>
        <v>1543</v>
      </c>
      <c r="CZ16" s="37">
        <f t="shared" si="19"/>
        <v>1544</v>
      </c>
      <c r="DA16" s="37">
        <f t="shared" si="19"/>
        <v>1545</v>
      </c>
      <c r="DB16" s="37">
        <f t="shared" si="19"/>
        <v>1546</v>
      </c>
      <c r="DC16" s="37">
        <f t="shared" si="19"/>
        <v>1547</v>
      </c>
      <c r="DD16" s="37">
        <f t="shared" si="19"/>
        <v>1548</v>
      </c>
      <c r="DE16" s="37">
        <f t="shared" si="19"/>
        <v>1549</v>
      </c>
      <c r="DF16" s="39">
        <f t="shared" si="19"/>
        <v>1550</v>
      </c>
      <c r="DG16" s="36">
        <f t="shared" si="19"/>
        <v>1551</v>
      </c>
      <c r="DH16" s="37">
        <f t="shared" si="19"/>
        <v>1552</v>
      </c>
      <c r="DI16" s="37">
        <f t="shared" si="19"/>
        <v>1553</v>
      </c>
      <c r="DJ16" s="37">
        <f t="shared" si="19"/>
        <v>1554</v>
      </c>
      <c r="DK16" s="37">
        <f t="shared" si="19"/>
        <v>1555</v>
      </c>
      <c r="DL16" s="37">
        <f t="shared" si="19"/>
        <v>1556</v>
      </c>
      <c r="DM16" s="37">
        <f t="shared" si="19"/>
        <v>1557</v>
      </c>
      <c r="DN16" s="37">
        <f t="shared" si="19"/>
        <v>1558</v>
      </c>
      <c r="DO16" s="37">
        <f t="shared" si="19"/>
        <v>1559</v>
      </c>
      <c r="DP16" s="38">
        <f t="shared" si="19"/>
        <v>1560</v>
      </c>
      <c r="DR16" s="898">
        <v>50</v>
      </c>
      <c r="DS16" s="899"/>
      <c r="DT16" s="898">
        <v>5</v>
      </c>
      <c r="DU16" s="899"/>
    </row>
    <row r="17" spans="1:126" ht="6.6" customHeight="1" x14ac:dyDescent="0.3">
      <c r="A17" s="36">
        <v>1561</v>
      </c>
      <c r="B17" s="37">
        <f t="shared" ref="B17:Q28" si="21">A17+1</f>
        <v>1562</v>
      </c>
      <c r="C17" s="37">
        <f t="shared" si="21"/>
        <v>1563</v>
      </c>
      <c r="D17" s="37">
        <f t="shared" si="21"/>
        <v>1564</v>
      </c>
      <c r="E17" s="37">
        <f t="shared" si="21"/>
        <v>1565</v>
      </c>
      <c r="F17" s="37">
        <f t="shared" si="21"/>
        <v>1566</v>
      </c>
      <c r="G17" s="37">
        <f t="shared" si="21"/>
        <v>1567</v>
      </c>
      <c r="H17" s="37">
        <f t="shared" si="21"/>
        <v>1568</v>
      </c>
      <c r="I17" s="37">
        <f t="shared" si="21"/>
        <v>1569</v>
      </c>
      <c r="J17" s="38">
        <f t="shared" si="21"/>
        <v>1570</v>
      </c>
      <c r="K17" s="36">
        <f t="shared" si="21"/>
        <v>1571</v>
      </c>
      <c r="L17" s="37">
        <f t="shared" si="21"/>
        <v>1572</v>
      </c>
      <c r="M17" s="37">
        <f t="shared" si="21"/>
        <v>1573</v>
      </c>
      <c r="N17" s="37">
        <f t="shared" si="21"/>
        <v>1574</v>
      </c>
      <c r="O17" s="37">
        <f t="shared" si="21"/>
        <v>1575</v>
      </c>
      <c r="P17" s="37">
        <f t="shared" si="21"/>
        <v>1576</v>
      </c>
      <c r="Q17" s="37">
        <f t="shared" si="21"/>
        <v>1577</v>
      </c>
      <c r="R17" s="37">
        <f t="shared" ref="R17:AG28" si="22">Q17+1</f>
        <v>1578</v>
      </c>
      <c r="S17" s="37">
        <f t="shared" si="22"/>
        <v>1579</v>
      </c>
      <c r="T17" s="38">
        <f t="shared" si="22"/>
        <v>1580</v>
      </c>
      <c r="U17" s="36">
        <f t="shared" si="22"/>
        <v>1581</v>
      </c>
      <c r="V17" s="37">
        <f t="shared" si="22"/>
        <v>1582</v>
      </c>
      <c r="W17" s="37">
        <f t="shared" si="22"/>
        <v>1583</v>
      </c>
      <c r="X17" s="37">
        <f t="shared" si="22"/>
        <v>1584</v>
      </c>
      <c r="Y17" s="37">
        <f t="shared" si="22"/>
        <v>1585</v>
      </c>
      <c r="Z17" s="37">
        <f t="shared" si="22"/>
        <v>1586</v>
      </c>
      <c r="AA17" s="37">
        <f t="shared" si="22"/>
        <v>1587</v>
      </c>
      <c r="AB17" s="37">
        <f t="shared" si="22"/>
        <v>1588</v>
      </c>
      <c r="AC17" s="37">
        <f t="shared" si="22"/>
        <v>1589</v>
      </c>
      <c r="AD17" s="38">
        <f t="shared" si="22"/>
        <v>1590</v>
      </c>
      <c r="AE17" s="36">
        <f t="shared" si="22"/>
        <v>1591</v>
      </c>
      <c r="AF17" s="37">
        <f t="shared" si="22"/>
        <v>1592</v>
      </c>
      <c r="AG17" s="37">
        <f t="shared" si="22"/>
        <v>1593</v>
      </c>
      <c r="AH17" s="37">
        <f t="shared" ref="AH17:AW28" si="23">AG17+1</f>
        <v>1594</v>
      </c>
      <c r="AI17" s="37">
        <f t="shared" si="23"/>
        <v>1595</v>
      </c>
      <c r="AJ17" s="37">
        <f t="shared" si="23"/>
        <v>1596</v>
      </c>
      <c r="AK17" s="37">
        <f t="shared" si="23"/>
        <v>1597</v>
      </c>
      <c r="AL17" s="37">
        <f t="shared" si="23"/>
        <v>1598</v>
      </c>
      <c r="AM17" s="37">
        <f t="shared" si="23"/>
        <v>1599</v>
      </c>
      <c r="AN17" s="38">
        <f t="shared" si="23"/>
        <v>1600</v>
      </c>
      <c r="AO17" s="36">
        <f t="shared" si="23"/>
        <v>1601</v>
      </c>
      <c r="AP17" s="37">
        <f t="shared" si="23"/>
        <v>1602</v>
      </c>
      <c r="AQ17" s="37">
        <f t="shared" si="23"/>
        <v>1603</v>
      </c>
      <c r="AR17" s="37">
        <f t="shared" si="23"/>
        <v>1604</v>
      </c>
      <c r="AS17" s="37">
        <f t="shared" si="23"/>
        <v>1605</v>
      </c>
      <c r="AT17" s="37">
        <f t="shared" si="23"/>
        <v>1606</v>
      </c>
      <c r="AU17" s="37">
        <f t="shared" si="23"/>
        <v>1607</v>
      </c>
      <c r="AV17" s="37">
        <f t="shared" si="23"/>
        <v>1608</v>
      </c>
      <c r="AW17" s="37">
        <f t="shared" si="23"/>
        <v>1609</v>
      </c>
      <c r="AX17" s="38">
        <f t="shared" ref="AX17:BL28" si="24">AW17+1</f>
        <v>1610</v>
      </c>
      <c r="AY17" s="36">
        <f t="shared" si="24"/>
        <v>1611</v>
      </c>
      <c r="AZ17" s="37">
        <f t="shared" si="24"/>
        <v>1612</v>
      </c>
      <c r="BA17" s="37">
        <f t="shared" si="24"/>
        <v>1613</v>
      </c>
      <c r="BB17" s="37">
        <f t="shared" si="24"/>
        <v>1614</v>
      </c>
      <c r="BC17" s="37">
        <f t="shared" si="24"/>
        <v>1615</v>
      </c>
      <c r="BD17" s="37">
        <f t="shared" si="24"/>
        <v>1616</v>
      </c>
      <c r="BE17" s="37">
        <f t="shared" si="24"/>
        <v>1617</v>
      </c>
      <c r="BF17" s="37">
        <f t="shared" si="24"/>
        <v>1618</v>
      </c>
      <c r="BG17" s="37">
        <f t="shared" si="24"/>
        <v>1619</v>
      </c>
      <c r="BH17" s="38">
        <f t="shared" si="24"/>
        <v>1620</v>
      </c>
      <c r="BI17" s="36">
        <f t="shared" si="24"/>
        <v>1621</v>
      </c>
      <c r="BJ17" s="37">
        <f t="shared" si="24"/>
        <v>1622</v>
      </c>
      <c r="BK17" s="37">
        <f t="shared" si="24"/>
        <v>1623</v>
      </c>
      <c r="BL17" s="37">
        <f t="shared" si="24"/>
        <v>1624</v>
      </c>
      <c r="BM17" s="37">
        <f t="shared" ref="BM17:BM28" si="25">BL17+1</f>
        <v>1625</v>
      </c>
      <c r="BN17" s="37">
        <f t="shared" ref="BN17:BN28" si="26">BM17+1</f>
        <v>1626</v>
      </c>
      <c r="BO17" s="37">
        <f t="shared" ref="BO17:BO28" si="27">BN17+1</f>
        <v>1627</v>
      </c>
      <c r="BP17" s="37">
        <f t="shared" ref="BP17:BP28" si="28">BO17+1</f>
        <v>1628</v>
      </c>
      <c r="BQ17" s="37">
        <f t="shared" ref="BQ17:BQ28" si="29">BP17+1</f>
        <v>1629</v>
      </c>
      <c r="BR17" s="39">
        <f t="shared" ref="BR17:BR28" si="30">BQ17+1</f>
        <v>1630</v>
      </c>
      <c r="BS17" s="36">
        <f t="shared" ref="BS17:BS28" si="31">BR17+1</f>
        <v>1631</v>
      </c>
      <c r="BT17" s="37">
        <f t="shared" ref="BT17:BT28" si="32">BS17+1</f>
        <v>1632</v>
      </c>
      <c r="BU17" s="37">
        <f t="shared" ref="BU17:BU28" si="33">BT17+1</f>
        <v>1633</v>
      </c>
      <c r="BV17" s="37">
        <f t="shared" ref="BV17:BV28" si="34">BU17+1</f>
        <v>1634</v>
      </c>
      <c r="BW17" s="37">
        <f t="shared" ref="BW17:BW28" si="35">BV17+1</f>
        <v>1635</v>
      </c>
      <c r="BX17" s="37">
        <f t="shared" ref="BX17:BX28" si="36">BW17+1</f>
        <v>1636</v>
      </c>
      <c r="BY17" s="37">
        <f t="shared" ref="BY17:BY28" si="37">BX17+1</f>
        <v>1637</v>
      </c>
      <c r="BZ17" s="37">
        <f t="shared" ref="BZ17:BZ28" si="38">BY17+1</f>
        <v>1638</v>
      </c>
      <c r="CA17" s="37">
        <f t="shared" ref="CA17:CA28" si="39">BZ17+1</f>
        <v>1639</v>
      </c>
      <c r="CB17" s="38">
        <f t="shared" ref="CB17:CB28" si="40">CA17+1</f>
        <v>1640</v>
      </c>
      <c r="CC17" s="40">
        <f t="shared" ref="CC17:CC28" si="41">CB17+1</f>
        <v>1641</v>
      </c>
      <c r="CD17" s="37">
        <f t="shared" ref="CD17:CD28" si="42">CC17+1</f>
        <v>1642</v>
      </c>
      <c r="CE17" s="37">
        <f t="shared" ref="CE17:CE28" si="43">CD17+1</f>
        <v>1643</v>
      </c>
      <c r="CF17" s="37">
        <f t="shared" ref="CF17:CF28" si="44">CE17+1</f>
        <v>1644</v>
      </c>
      <c r="CG17" s="37">
        <f t="shared" ref="CG17:CG28" si="45">CF17+1</f>
        <v>1645</v>
      </c>
      <c r="CH17" s="37">
        <f t="shared" ref="CH17:CH28" si="46">CG17+1</f>
        <v>1646</v>
      </c>
      <c r="CI17" s="37">
        <f t="shared" ref="CI17:CI28" si="47">CH17+1</f>
        <v>1647</v>
      </c>
      <c r="CJ17" s="37">
        <f t="shared" ref="CJ17:CJ28" si="48">CI17+1</f>
        <v>1648</v>
      </c>
      <c r="CK17" s="37">
        <f t="shared" ref="CK17:CK28" si="49">CJ17+1</f>
        <v>1649</v>
      </c>
      <c r="CL17" s="39">
        <f t="shared" ref="CL17:CL28" si="50">CK17+1</f>
        <v>1650</v>
      </c>
      <c r="CM17" s="36">
        <f t="shared" ref="CM17:CM28" si="51">CL17+1</f>
        <v>1651</v>
      </c>
      <c r="CN17" s="37">
        <f t="shared" ref="CN17:CN28" si="52">CM17+1</f>
        <v>1652</v>
      </c>
      <c r="CO17" s="37">
        <f t="shared" ref="CO17:CO28" si="53">CN17+1</f>
        <v>1653</v>
      </c>
      <c r="CP17" s="37">
        <f t="shared" ref="CP17:CP28" si="54">CO17+1</f>
        <v>1654</v>
      </c>
      <c r="CQ17" s="37">
        <f t="shared" ref="CQ17:CQ28" si="55">CP17+1</f>
        <v>1655</v>
      </c>
      <c r="CR17" s="37">
        <f t="shared" ref="CR17:CR28" si="56">CQ17+1</f>
        <v>1656</v>
      </c>
      <c r="CS17" s="37">
        <f t="shared" ref="CS17:CS28" si="57">CR17+1</f>
        <v>1657</v>
      </c>
      <c r="CT17" s="37">
        <f t="shared" ref="CT17:CT28" si="58">CS17+1</f>
        <v>1658</v>
      </c>
      <c r="CU17" s="37">
        <f t="shared" ref="CU17:CU28" si="59">CT17+1</f>
        <v>1659</v>
      </c>
      <c r="CV17" s="38">
        <f t="shared" ref="CV17:CV28" si="60">CU17+1</f>
        <v>1660</v>
      </c>
      <c r="CW17" s="40">
        <f t="shared" ref="CW17:CW28" si="61">CV17+1</f>
        <v>1661</v>
      </c>
      <c r="CX17" s="37">
        <f t="shared" ref="CX17:CX28" si="62">CW17+1</f>
        <v>1662</v>
      </c>
      <c r="CY17" s="37">
        <f t="shared" ref="CY17:CY28" si="63">CX17+1</f>
        <v>1663</v>
      </c>
      <c r="CZ17" s="37">
        <f t="shared" ref="CZ17:CZ28" si="64">CY17+1</f>
        <v>1664</v>
      </c>
      <c r="DA17" s="37">
        <f t="shared" ref="DA17:DA28" si="65">CZ17+1</f>
        <v>1665</v>
      </c>
      <c r="DB17" s="37">
        <f t="shared" ref="DB17:DB28" si="66">DA17+1</f>
        <v>1666</v>
      </c>
      <c r="DC17" s="37">
        <f t="shared" ref="DC17:DC28" si="67">DB17+1</f>
        <v>1667</v>
      </c>
      <c r="DD17" s="37">
        <f t="shared" ref="DD17:DD28" si="68">DC17+1</f>
        <v>1668</v>
      </c>
      <c r="DE17" s="37">
        <f t="shared" ref="DE17:DE28" si="69">DD17+1</f>
        <v>1669</v>
      </c>
      <c r="DF17" s="39">
        <f t="shared" ref="DF17:DF28" si="70">DE17+1</f>
        <v>1670</v>
      </c>
      <c r="DG17" s="36">
        <f t="shared" ref="DG17:DG28" si="71">DF17+1</f>
        <v>1671</v>
      </c>
      <c r="DH17" s="37">
        <f t="shared" ref="DH17:DH28" si="72">DG17+1</f>
        <v>1672</v>
      </c>
      <c r="DI17" s="37">
        <f t="shared" ref="DI17:DI28" si="73">DH17+1</f>
        <v>1673</v>
      </c>
      <c r="DJ17" s="37">
        <f t="shared" ref="DJ17:DJ28" si="74">DI17+1</f>
        <v>1674</v>
      </c>
      <c r="DK17" s="37">
        <f t="shared" ref="DK17:DK28" si="75">DJ17+1</f>
        <v>1675</v>
      </c>
      <c r="DL17" s="37">
        <f t="shared" ref="DL17:DL28" si="76">DK17+1</f>
        <v>1676</v>
      </c>
      <c r="DM17" s="37">
        <f t="shared" ref="DM17:DM28" si="77">DL17+1</f>
        <v>1677</v>
      </c>
      <c r="DN17" s="37">
        <f t="shared" ref="DN17:DN28" si="78">DM17+1</f>
        <v>1678</v>
      </c>
      <c r="DO17" s="37">
        <f t="shared" ref="DO17:DO28" si="79">DN17+1</f>
        <v>1679</v>
      </c>
      <c r="DP17" s="38">
        <f t="shared" ref="DP17:DP28" si="80">DO17+1</f>
        <v>1680</v>
      </c>
      <c r="DR17" s="900"/>
      <c r="DS17" s="901"/>
      <c r="DT17" s="900"/>
      <c r="DU17" s="901"/>
    </row>
    <row r="18" spans="1:126" ht="6.6" customHeight="1" x14ac:dyDescent="0.3">
      <c r="A18" s="36">
        <v>1681</v>
      </c>
      <c r="B18" s="37">
        <f t="shared" si="21"/>
        <v>1682</v>
      </c>
      <c r="C18" s="37">
        <f t="shared" si="21"/>
        <v>1683</v>
      </c>
      <c r="D18" s="37">
        <f t="shared" si="21"/>
        <v>1684</v>
      </c>
      <c r="E18" s="37">
        <f t="shared" si="21"/>
        <v>1685</v>
      </c>
      <c r="F18" s="37">
        <f t="shared" si="21"/>
        <v>1686</v>
      </c>
      <c r="G18" s="37">
        <f t="shared" si="21"/>
        <v>1687</v>
      </c>
      <c r="H18" s="37">
        <f t="shared" si="21"/>
        <v>1688</v>
      </c>
      <c r="I18" s="37">
        <f t="shared" si="21"/>
        <v>1689</v>
      </c>
      <c r="J18" s="38">
        <f t="shared" si="21"/>
        <v>1690</v>
      </c>
      <c r="K18" s="36">
        <f t="shared" si="21"/>
        <v>1691</v>
      </c>
      <c r="L18" s="37">
        <f t="shared" si="21"/>
        <v>1692</v>
      </c>
      <c r="M18" s="37">
        <f t="shared" si="21"/>
        <v>1693</v>
      </c>
      <c r="N18" s="37">
        <f t="shared" si="21"/>
        <v>1694</v>
      </c>
      <c r="O18" s="37">
        <f t="shared" si="21"/>
        <v>1695</v>
      </c>
      <c r="P18" s="37">
        <f t="shared" si="21"/>
        <v>1696</v>
      </c>
      <c r="Q18" s="37">
        <f t="shared" si="21"/>
        <v>1697</v>
      </c>
      <c r="R18" s="37">
        <f t="shared" si="22"/>
        <v>1698</v>
      </c>
      <c r="S18" s="37">
        <f t="shared" si="22"/>
        <v>1699</v>
      </c>
      <c r="T18" s="38">
        <f t="shared" si="22"/>
        <v>1700</v>
      </c>
      <c r="U18" s="36">
        <f t="shared" si="22"/>
        <v>1701</v>
      </c>
      <c r="V18" s="37">
        <f t="shared" si="22"/>
        <v>1702</v>
      </c>
      <c r="W18" s="37">
        <f t="shared" si="22"/>
        <v>1703</v>
      </c>
      <c r="X18" s="37">
        <f t="shared" si="22"/>
        <v>1704</v>
      </c>
      <c r="Y18" s="37">
        <f t="shared" si="22"/>
        <v>1705</v>
      </c>
      <c r="Z18" s="37">
        <f t="shared" si="22"/>
        <v>1706</v>
      </c>
      <c r="AA18" s="37">
        <f t="shared" si="22"/>
        <v>1707</v>
      </c>
      <c r="AB18" s="37">
        <f t="shared" si="22"/>
        <v>1708</v>
      </c>
      <c r="AC18" s="37">
        <f t="shared" si="22"/>
        <v>1709</v>
      </c>
      <c r="AD18" s="38">
        <f t="shared" si="22"/>
        <v>1710</v>
      </c>
      <c r="AE18" s="36">
        <f t="shared" si="22"/>
        <v>1711</v>
      </c>
      <c r="AF18" s="37">
        <f t="shared" si="22"/>
        <v>1712</v>
      </c>
      <c r="AG18" s="37">
        <f t="shared" si="22"/>
        <v>1713</v>
      </c>
      <c r="AH18" s="37">
        <f t="shared" si="23"/>
        <v>1714</v>
      </c>
      <c r="AI18" s="37">
        <f t="shared" si="23"/>
        <v>1715</v>
      </c>
      <c r="AJ18" s="37">
        <f t="shared" si="23"/>
        <v>1716</v>
      </c>
      <c r="AK18" s="37">
        <f t="shared" si="23"/>
        <v>1717</v>
      </c>
      <c r="AL18" s="37">
        <f t="shared" si="23"/>
        <v>1718</v>
      </c>
      <c r="AM18" s="37">
        <f t="shared" si="23"/>
        <v>1719</v>
      </c>
      <c r="AN18" s="38">
        <f t="shared" si="23"/>
        <v>1720</v>
      </c>
      <c r="AO18" s="36">
        <f t="shared" si="23"/>
        <v>1721</v>
      </c>
      <c r="AP18" s="37">
        <f t="shared" si="23"/>
        <v>1722</v>
      </c>
      <c r="AQ18" s="37">
        <f t="shared" si="23"/>
        <v>1723</v>
      </c>
      <c r="AR18" s="37">
        <f t="shared" si="23"/>
        <v>1724</v>
      </c>
      <c r="AS18" s="37">
        <f t="shared" si="23"/>
        <v>1725</v>
      </c>
      <c r="AT18" s="37">
        <f t="shared" si="23"/>
        <v>1726</v>
      </c>
      <c r="AU18" s="37">
        <f t="shared" si="23"/>
        <v>1727</v>
      </c>
      <c r="AV18" s="37">
        <f t="shared" si="23"/>
        <v>1728</v>
      </c>
      <c r="AW18" s="37">
        <f t="shared" si="23"/>
        <v>1729</v>
      </c>
      <c r="AX18" s="38">
        <f t="shared" si="24"/>
        <v>1730</v>
      </c>
      <c r="AY18" s="36">
        <f t="shared" si="24"/>
        <v>1731</v>
      </c>
      <c r="AZ18" s="37">
        <f t="shared" si="24"/>
        <v>1732</v>
      </c>
      <c r="BA18" s="37">
        <f t="shared" si="24"/>
        <v>1733</v>
      </c>
      <c r="BB18" s="37">
        <f t="shared" si="24"/>
        <v>1734</v>
      </c>
      <c r="BC18" s="37">
        <f t="shared" si="24"/>
        <v>1735</v>
      </c>
      <c r="BD18" s="37">
        <f t="shared" si="24"/>
        <v>1736</v>
      </c>
      <c r="BE18" s="37">
        <f t="shared" si="24"/>
        <v>1737</v>
      </c>
      <c r="BF18" s="37">
        <f t="shared" si="24"/>
        <v>1738</v>
      </c>
      <c r="BG18" s="37">
        <f t="shared" si="24"/>
        <v>1739</v>
      </c>
      <c r="BH18" s="38">
        <f t="shared" si="24"/>
        <v>1740</v>
      </c>
      <c r="BI18" s="36">
        <f t="shared" si="24"/>
        <v>1741</v>
      </c>
      <c r="BJ18" s="37">
        <f t="shared" si="24"/>
        <v>1742</v>
      </c>
      <c r="BK18" s="37">
        <f t="shared" si="24"/>
        <v>1743</v>
      </c>
      <c r="BL18" s="37">
        <f t="shared" si="24"/>
        <v>1744</v>
      </c>
      <c r="BM18" s="37">
        <f t="shared" si="25"/>
        <v>1745</v>
      </c>
      <c r="BN18" s="37">
        <f t="shared" si="26"/>
        <v>1746</v>
      </c>
      <c r="BO18" s="37">
        <f t="shared" si="27"/>
        <v>1747</v>
      </c>
      <c r="BP18" s="37">
        <f t="shared" si="28"/>
        <v>1748</v>
      </c>
      <c r="BQ18" s="37">
        <f t="shared" si="29"/>
        <v>1749</v>
      </c>
      <c r="BR18" s="39">
        <f t="shared" si="30"/>
        <v>1750</v>
      </c>
      <c r="BS18" s="36">
        <f t="shared" si="31"/>
        <v>1751</v>
      </c>
      <c r="BT18" s="37">
        <f t="shared" si="32"/>
        <v>1752</v>
      </c>
      <c r="BU18" s="37">
        <f t="shared" si="33"/>
        <v>1753</v>
      </c>
      <c r="BV18" s="37">
        <f t="shared" si="34"/>
        <v>1754</v>
      </c>
      <c r="BW18" s="37">
        <f t="shared" si="35"/>
        <v>1755</v>
      </c>
      <c r="BX18" s="37">
        <f t="shared" si="36"/>
        <v>1756</v>
      </c>
      <c r="BY18" s="37">
        <f t="shared" si="37"/>
        <v>1757</v>
      </c>
      <c r="BZ18" s="37">
        <f t="shared" si="38"/>
        <v>1758</v>
      </c>
      <c r="CA18" s="37">
        <f t="shared" si="39"/>
        <v>1759</v>
      </c>
      <c r="CB18" s="38">
        <f t="shared" si="40"/>
        <v>1760</v>
      </c>
      <c r="CC18" s="40">
        <f t="shared" si="41"/>
        <v>1761</v>
      </c>
      <c r="CD18" s="37">
        <f t="shared" si="42"/>
        <v>1762</v>
      </c>
      <c r="CE18" s="37">
        <f t="shared" si="43"/>
        <v>1763</v>
      </c>
      <c r="CF18" s="37">
        <f t="shared" si="44"/>
        <v>1764</v>
      </c>
      <c r="CG18" s="37">
        <f t="shared" si="45"/>
        <v>1765</v>
      </c>
      <c r="CH18" s="37">
        <f t="shared" si="46"/>
        <v>1766</v>
      </c>
      <c r="CI18" s="37">
        <f t="shared" si="47"/>
        <v>1767</v>
      </c>
      <c r="CJ18" s="37">
        <f t="shared" si="48"/>
        <v>1768</v>
      </c>
      <c r="CK18" s="37">
        <f t="shared" si="49"/>
        <v>1769</v>
      </c>
      <c r="CL18" s="39">
        <f t="shared" si="50"/>
        <v>1770</v>
      </c>
      <c r="CM18" s="36">
        <f t="shared" si="51"/>
        <v>1771</v>
      </c>
      <c r="CN18" s="37">
        <f t="shared" si="52"/>
        <v>1772</v>
      </c>
      <c r="CO18" s="37">
        <f t="shared" si="53"/>
        <v>1773</v>
      </c>
      <c r="CP18" s="37">
        <f t="shared" si="54"/>
        <v>1774</v>
      </c>
      <c r="CQ18" s="37">
        <f t="shared" si="55"/>
        <v>1775</v>
      </c>
      <c r="CR18" s="37">
        <f t="shared" si="56"/>
        <v>1776</v>
      </c>
      <c r="CS18" s="37">
        <f t="shared" si="57"/>
        <v>1777</v>
      </c>
      <c r="CT18" s="37">
        <f t="shared" si="58"/>
        <v>1778</v>
      </c>
      <c r="CU18" s="37">
        <f t="shared" si="59"/>
        <v>1779</v>
      </c>
      <c r="CV18" s="38">
        <f t="shared" si="60"/>
        <v>1780</v>
      </c>
      <c r="CW18" s="40">
        <f t="shared" si="61"/>
        <v>1781</v>
      </c>
      <c r="CX18" s="37">
        <f t="shared" si="62"/>
        <v>1782</v>
      </c>
      <c r="CY18" s="37">
        <f t="shared" si="63"/>
        <v>1783</v>
      </c>
      <c r="CZ18" s="37">
        <f t="shared" si="64"/>
        <v>1784</v>
      </c>
      <c r="DA18" s="37">
        <f t="shared" si="65"/>
        <v>1785</v>
      </c>
      <c r="DB18" s="37">
        <f t="shared" si="66"/>
        <v>1786</v>
      </c>
      <c r="DC18" s="37">
        <f t="shared" si="67"/>
        <v>1787</v>
      </c>
      <c r="DD18" s="37">
        <f t="shared" si="68"/>
        <v>1788</v>
      </c>
      <c r="DE18" s="37">
        <f t="shared" si="69"/>
        <v>1789</v>
      </c>
      <c r="DF18" s="39">
        <f t="shared" si="70"/>
        <v>1790</v>
      </c>
      <c r="DG18" s="36">
        <f t="shared" si="71"/>
        <v>1791</v>
      </c>
      <c r="DH18" s="37">
        <f t="shared" si="72"/>
        <v>1792</v>
      </c>
      <c r="DI18" s="37">
        <f t="shared" si="73"/>
        <v>1793</v>
      </c>
      <c r="DJ18" s="37">
        <f t="shared" si="74"/>
        <v>1794</v>
      </c>
      <c r="DK18" s="37">
        <f t="shared" si="75"/>
        <v>1795</v>
      </c>
      <c r="DL18" s="37">
        <f t="shared" si="76"/>
        <v>1796</v>
      </c>
      <c r="DM18" s="37">
        <f t="shared" si="77"/>
        <v>1797</v>
      </c>
      <c r="DN18" s="37">
        <f t="shared" si="78"/>
        <v>1798</v>
      </c>
      <c r="DO18" s="37">
        <f t="shared" si="79"/>
        <v>1799</v>
      </c>
      <c r="DP18" s="38">
        <f t="shared" si="80"/>
        <v>1800</v>
      </c>
      <c r="DR18" s="898">
        <v>60</v>
      </c>
      <c r="DS18" s="899"/>
      <c r="DT18" s="898">
        <v>6</v>
      </c>
      <c r="DU18" s="899"/>
    </row>
    <row r="19" spans="1:126" ht="6.6" customHeight="1" x14ac:dyDescent="0.3">
      <c r="A19" s="36">
        <v>1801</v>
      </c>
      <c r="B19" s="37">
        <f t="shared" si="21"/>
        <v>1802</v>
      </c>
      <c r="C19" s="37">
        <f t="shared" si="21"/>
        <v>1803</v>
      </c>
      <c r="D19" s="37">
        <f t="shared" si="21"/>
        <v>1804</v>
      </c>
      <c r="E19" s="37">
        <f t="shared" si="21"/>
        <v>1805</v>
      </c>
      <c r="F19" s="37">
        <f t="shared" si="21"/>
        <v>1806</v>
      </c>
      <c r="G19" s="37">
        <f t="shared" si="21"/>
        <v>1807</v>
      </c>
      <c r="H19" s="37">
        <f t="shared" si="21"/>
        <v>1808</v>
      </c>
      <c r="I19" s="37">
        <f t="shared" si="21"/>
        <v>1809</v>
      </c>
      <c r="J19" s="38">
        <f t="shared" si="21"/>
        <v>1810</v>
      </c>
      <c r="K19" s="36">
        <f t="shared" si="21"/>
        <v>1811</v>
      </c>
      <c r="L19" s="37">
        <f t="shared" si="21"/>
        <v>1812</v>
      </c>
      <c r="M19" s="37">
        <f t="shared" si="21"/>
        <v>1813</v>
      </c>
      <c r="N19" s="37">
        <f t="shared" si="21"/>
        <v>1814</v>
      </c>
      <c r="O19" s="37">
        <f t="shared" si="21"/>
        <v>1815</v>
      </c>
      <c r="P19" s="37">
        <f t="shared" si="21"/>
        <v>1816</v>
      </c>
      <c r="Q19" s="37">
        <f t="shared" si="21"/>
        <v>1817</v>
      </c>
      <c r="R19" s="37">
        <f t="shared" si="22"/>
        <v>1818</v>
      </c>
      <c r="S19" s="37">
        <f t="shared" si="22"/>
        <v>1819</v>
      </c>
      <c r="T19" s="38">
        <f t="shared" si="22"/>
        <v>1820</v>
      </c>
      <c r="U19" s="36">
        <f t="shared" si="22"/>
        <v>1821</v>
      </c>
      <c r="V19" s="37">
        <f t="shared" si="22"/>
        <v>1822</v>
      </c>
      <c r="W19" s="37">
        <f t="shared" si="22"/>
        <v>1823</v>
      </c>
      <c r="X19" s="37">
        <f t="shared" si="22"/>
        <v>1824</v>
      </c>
      <c r="Y19" s="37">
        <f t="shared" si="22"/>
        <v>1825</v>
      </c>
      <c r="Z19" s="37">
        <f t="shared" si="22"/>
        <v>1826</v>
      </c>
      <c r="AA19" s="37">
        <f t="shared" si="22"/>
        <v>1827</v>
      </c>
      <c r="AB19" s="37">
        <f t="shared" si="22"/>
        <v>1828</v>
      </c>
      <c r="AC19" s="37">
        <f t="shared" si="22"/>
        <v>1829</v>
      </c>
      <c r="AD19" s="38">
        <f t="shared" si="22"/>
        <v>1830</v>
      </c>
      <c r="AE19" s="36">
        <f t="shared" si="22"/>
        <v>1831</v>
      </c>
      <c r="AF19" s="37">
        <f t="shared" si="22"/>
        <v>1832</v>
      </c>
      <c r="AG19" s="37">
        <f t="shared" si="22"/>
        <v>1833</v>
      </c>
      <c r="AH19" s="37">
        <f t="shared" si="23"/>
        <v>1834</v>
      </c>
      <c r="AI19" s="37">
        <f t="shared" si="23"/>
        <v>1835</v>
      </c>
      <c r="AJ19" s="37">
        <f t="shared" si="23"/>
        <v>1836</v>
      </c>
      <c r="AK19" s="37">
        <f t="shared" si="23"/>
        <v>1837</v>
      </c>
      <c r="AL19" s="37">
        <f t="shared" si="23"/>
        <v>1838</v>
      </c>
      <c r="AM19" s="37">
        <f t="shared" si="23"/>
        <v>1839</v>
      </c>
      <c r="AN19" s="38">
        <f t="shared" si="23"/>
        <v>1840</v>
      </c>
      <c r="AO19" s="36">
        <f t="shared" si="23"/>
        <v>1841</v>
      </c>
      <c r="AP19" s="37">
        <f t="shared" si="23"/>
        <v>1842</v>
      </c>
      <c r="AQ19" s="37">
        <f t="shared" si="23"/>
        <v>1843</v>
      </c>
      <c r="AR19" s="37">
        <f t="shared" si="23"/>
        <v>1844</v>
      </c>
      <c r="AS19" s="37">
        <f t="shared" si="23"/>
        <v>1845</v>
      </c>
      <c r="AT19" s="37">
        <f t="shared" si="23"/>
        <v>1846</v>
      </c>
      <c r="AU19" s="37">
        <f t="shared" si="23"/>
        <v>1847</v>
      </c>
      <c r="AV19" s="37">
        <f t="shared" si="23"/>
        <v>1848</v>
      </c>
      <c r="AW19" s="37">
        <f t="shared" si="23"/>
        <v>1849</v>
      </c>
      <c r="AX19" s="38">
        <f t="shared" si="24"/>
        <v>1850</v>
      </c>
      <c r="AY19" s="36">
        <f t="shared" si="24"/>
        <v>1851</v>
      </c>
      <c r="AZ19" s="37">
        <f t="shared" si="24"/>
        <v>1852</v>
      </c>
      <c r="BA19" s="37">
        <f t="shared" si="24"/>
        <v>1853</v>
      </c>
      <c r="BB19" s="37">
        <f t="shared" si="24"/>
        <v>1854</v>
      </c>
      <c r="BC19" s="37">
        <f t="shared" si="24"/>
        <v>1855</v>
      </c>
      <c r="BD19" s="37">
        <f t="shared" si="24"/>
        <v>1856</v>
      </c>
      <c r="BE19" s="37">
        <f t="shared" si="24"/>
        <v>1857</v>
      </c>
      <c r="BF19" s="37">
        <f t="shared" si="24"/>
        <v>1858</v>
      </c>
      <c r="BG19" s="37">
        <f t="shared" si="24"/>
        <v>1859</v>
      </c>
      <c r="BH19" s="38">
        <f t="shared" si="24"/>
        <v>1860</v>
      </c>
      <c r="BI19" s="36">
        <f t="shared" si="24"/>
        <v>1861</v>
      </c>
      <c r="BJ19" s="37">
        <f t="shared" si="24"/>
        <v>1862</v>
      </c>
      <c r="BK19" s="37">
        <f t="shared" si="24"/>
        <v>1863</v>
      </c>
      <c r="BL19" s="37">
        <f t="shared" si="24"/>
        <v>1864</v>
      </c>
      <c r="BM19" s="37">
        <f t="shared" si="25"/>
        <v>1865</v>
      </c>
      <c r="BN19" s="37">
        <f t="shared" si="26"/>
        <v>1866</v>
      </c>
      <c r="BO19" s="37">
        <f t="shared" si="27"/>
        <v>1867</v>
      </c>
      <c r="BP19" s="37">
        <f t="shared" si="28"/>
        <v>1868</v>
      </c>
      <c r="BQ19" s="37">
        <f t="shared" si="29"/>
        <v>1869</v>
      </c>
      <c r="BR19" s="39">
        <f t="shared" si="30"/>
        <v>1870</v>
      </c>
      <c r="BS19" s="36">
        <f t="shared" si="31"/>
        <v>1871</v>
      </c>
      <c r="BT19" s="37">
        <f t="shared" si="32"/>
        <v>1872</v>
      </c>
      <c r="BU19" s="37">
        <f t="shared" si="33"/>
        <v>1873</v>
      </c>
      <c r="BV19" s="37">
        <f t="shared" si="34"/>
        <v>1874</v>
      </c>
      <c r="BW19" s="37">
        <f t="shared" si="35"/>
        <v>1875</v>
      </c>
      <c r="BX19" s="37">
        <f t="shared" si="36"/>
        <v>1876</v>
      </c>
      <c r="BY19" s="37">
        <f t="shared" si="37"/>
        <v>1877</v>
      </c>
      <c r="BZ19" s="37">
        <f t="shared" si="38"/>
        <v>1878</v>
      </c>
      <c r="CA19" s="37">
        <f t="shared" si="39"/>
        <v>1879</v>
      </c>
      <c r="CB19" s="38">
        <f t="shared" si="40"/>
        <v>1880</v>
      </c>
      <c r="CC19" s="40">
        <f t="shared" si="41"/>
        <v>1881</v>
      </c>
      <c r="CD19" s="37">
        <f t="shared" si="42"/>
        <v>1882</v>
      </c>
      <c r="CE19" s="37">
        <f t="shared" si="43"/>
        <v>1883</v>
      </c>
      <c r="CF19" s="37">
        <f t="shared" si="44"/>
        <v>1884</v>
      </c>
      <c r="CG19" s="37">
        <f t="shared" si="45"/>
        <v>1885</v>
      </c>
      <c r="CH19" s="37">
        <f t="shared" si="46"/>
        <v>1886</v>
      </c>
      <c r="CI19" s="37">
        <f t="shared" si="47"/>
        <v>1887</v>
      </c>
      <c r="CJ19" s="37">
        <f t="shared" si="48"/>
        <v>1888</v>
      </c>
      <c r="CK19" s="37">
        <f t="shared" si="49"/>
        <v>1889</v>
      </c>
      <c r="CL19" s="39">
        <f t="shared" si="50"/>
        <v>1890</v>
      </c>
      <c r="CM19" s="36">
        <f t="shared" si="51"/>
        <v>1891</v>
      </c>
      <c r="CN19" s="37">
        <f t="shared" si="52"/>
        <v>1892</v>
      </c>
      <c r="CO19" s="37">
        <f t="shared" si="53"/>
        <v>1893</v>
      </c>
      <c r="CP19" s="37">
        <f t="shared" si="54"/>
        <v>1894</v>
      </c>
      <c r="CQ19" s="37">
        <f t="shared" si="55"/>
        <v>1895</v>
      </c>
      <c r="CR19" s="37">
        <f t="shared" si="56"/>
        <v>1896</v>
      </c>
      <c r="CS19" s="37">
        <f t="shared" si="57"/>
        <v>1897</v>
      </c>
      <c r="CT19" s="37">
        <f t="shared" si="58"/>
        <v>1898</v>
      </c>
      <c r="CU19" s="37">
        <f t="shared" si="59"/>
        <v>1899</v>
      </c>
      <c r="CV19" s="38">
        <f t="shared" si="60"/>
        <v>1900</v>
      </c>
      <c r="CW19" s="40">
        <f t="shared" si="61"/>
        <v>1901</v>
      </c>
      <c r="CX19" s="37">
        <f t="shared" si="62"/>
        <v>1902</v>
      </c>
      <c r="CY19" s="37">
        <f t="shared" si="63"/>
        <v>1903</v>
      </c>
      <c r="CZ19" s="37">
        <f t="shared" si="64"/>
        <v>1904</v>
      </c>
      <c r="DA19" s="37">
        <f t="shared" si="65"/>
        <v>1905</v>
      </c>
      <c r="DB19" s="37">
        <f t="shared" si="66"/>
        <v>1906</v>
      </c>
      <c r="DC19" s="37">
        <f t="shared" si="67"/>
        <v>1907</v>
      </c>
      <c r="DD19" s="37">
        <f t="shared" si="68"/>
        <v>1908</v>
      </c>
      <c r="DE19" s="37">
        <f t="shared" si="69"/>
        <v>1909</v>
      </c>
      <c r="DF19" s="39">
        <f t="shared" si="70"/>
        <v>1910</v>
      </c>
      <c r="DG19" s="36">
        <f t="shared" si="71"/>
        <v>1911</v>
      </c>
      <c r="DH19" s="37">
        <f t="shared" si="72"/>
        <v>1912</v>
      </c>
      <c r="DI19" s="37">
        <f t="shared" si="73"/>
        <v>1913</v>
      </c>
      <c r="DJ19" s="37">
        <f t="shared" si="74"/>
        <v>1914</v>
      </c>
      <c r="DK19" s="37">
        <f t="shared" si="75"/>
        <v>1915</v>
      </c>
      <c r="DL19" s="37">
        <f t="shared" si="76"/>
        <v>1916</v>
      </c>
      <c r="DM19" s="37">
        <f t="shared" si="77"/>
        <v>1917</v>
      </c>
      <c r="DN19" s="37">
        <f t="shared" si="78"/>
        <v>1918</v>
      </c>
      <c r="DO19" s="37">
        <f t="shared" si="79"/>
        <v>1919</v>
      </c>
      <c r="DP19" s="38">
        <f t="shared" si="80"/>
        <v>1920</v>
      </c>
      <c r="DR19" s="900"/>
      <c r="DS19" s="901"/>
      <c r="DT19" s="900"/>
      <c r="DU19" s="901"/>
    </row>
    <row r="20" spans="1:126" ht="6.6" customHeight="1" x14ac:dyDescent="0.3">
      <c r="A20" s="36">
        <v>1921</v>
      </c>
      <c r="B20" s="37">
        <f t="shared" si="21"/>
        <v>1922</v>
      </c>
      <c r="C20" s="37">
        <f t="shared" si="21"/>
        <v>1923</v>
      </c>
      <c r="D20" s="37">
        <f t="shared" si="21"/>
        <v>1924</v>
      </c>
      <c r="E20" s="37">
        <f t="shared" si="21"/>
        <v>1925</v>
      </c>
      <c r="F20" s="37">
        <f t="shared" si="21"/>
        <v>1926</v>
      </c>
      <c r="G20" s="37">
        <f t="shared" si="21"/>
        <v>1927</v>
      </c>
      <c r="H20" s="37">
        <f t="shared" si="21"/>
        <v>1928</v>
      </c>
      <c r="I20" s="37">
        <f t="shared" si="21"/>
        <v>1929</v>
      </c>
      <c r="J20" s="38">
        <f t="shared" si="21"/>
        <v>1930</v>
      </c>
      <c r="K20" s="36">
        <f t="shared" si="21"/>
        <v>1931</v>
      </c>
      <c r="L20" s="37">
        <f t="shared" si="21"/>
        <v>1932</v>
      </c>
      <c r="M20" s="37">
        <f t="shared" si="21"/>
        <v>1933</v>
      </c>
      <c r="N20" s="37">
        <f t="shared" si="21"/>
        <v>1934</v>
      </c>
      <c r="O20" s="37">
        <f t="shared" si="21"/>
        <v>1935</v>
      </c>
      <c r="P20" s="37">
        <f t="shared" si="21"/>
        <v>1936</v>
      </c>
      <c r="Q20" s="37">
        <f t="shared" si="21"/>
        <v>1937</v>
      </c>
      <c r="R20" s="37">
        <f t="shared" si="22"/>
        <v>1938</v>
      </c>
      <c r="S20" s="37">
        <f t="shared" si="22"/>
        <v>1939</v>
      </c>
      <c r="T20" s="38">
        <f t="shared" si="22"/>
        <v>1940</v>
      </c>
      <c r="U20" s="36">
        <f t="shared" si="22"/>
        <v>1941</v>
      </c>
      <c r="V20" s="37">
        <f t="shared" si="22"/>
        <v>1942</v>
      </c>
      <c r="W20" s="37">
        <f t="shared" si="22"/>
        <v>1943</v>
      </c>
      <c r="X20" s="37">
        <f t="shared" si="22"/>
        <v>1944</v>
      </c>
      <c r="Y20" s="37">
        <f t="shared" si="22"/>
        <v>1945</v>
      </c>
      <c r="Z20" s="37">
        <f t="shared" si="22"/>
        <v>1946</v>
      </c>
      <c r="AA20" s="37">
        <f t="shared" si="22"/>
        <v>1947</v>
      </c>
      <c r="AB20" s="37">
        <f t="shared" si="22"/>
        <v>1948</v>
      </c>
      <c r="AC20" s="37">
        <f t="shared" si="22"/>
        <v>1949</v>
      </c>
      <c r="AD20" s="38">
        <f t="shared" si="22"/>
        <v>1950</v>
      </c>
      <c r="AE20" s="36">
        <f t="shared" si="22"/>
        <v>1951</v>
      </c>
      <c r="AF20" s="37">
        <f t="shared" si="22"/>
        <v>1952</v>
      </c>
      <c r="AG20" s="37">
        <f t="shared" si="22"/>
        <v>1953</v>
      </c>
      <c r="AH20" s="37">
        <f t="shared" si="23"/>
        <v>1954</v>
      </c>
      <c r="AI20" s="37">
        <f t="shared" si="23"/>
        <v>1955</v>
      </c>
      <c r="AJ20" s="37">
        <f t="shared" si="23"/>
        <v>1956</v>
      </c>
      <c r="AK20" s="37">
        <f t="shared" si="23"/>
        <v>1957</v>
      </c>
      <c r="AL20" s="37">
        <f t="shared" si="23"/>
        <v>1958</v>
      </c>
      <c r="AM20" s="37">
        <f t="shared" si="23"/>
        <v>1959</v>
      </c>
      <c r="AN20" s="38">
        <f t="shared" si="23"/>
        <v>1960</v>
      </c>
      <c r="AO20" s="36">
        <f t="shared" si="23"/>
        <v>1961</v>
      </c>
      <c r="AP20" s="37">
        <f t="shared" si="23"/>
        <v>1962</v>
      </c>
      <c r="AQ20" s="37">
        <f t="shared" si="23"/>
        <v>1963</v>
      </c>
      <c r="AR20" s="37">
        <f t="shared" si="23"/>
        <v>1964</v>
      </c>
      <c r="AS20" s="37">
        <f t="shared" si="23"/>
        <v>1965</v>
      </c>
      <c r="AT20" s="37">
        <f t="shared" si="23"/>
        <v>1966</v>
      </c>
      <c r="AU20" s="37">
        <f t="shared" si="23"/>
        <v>1967</v>
      </c>
      <c r="AV20" s="37">
        <f t="shared" si="23"/>
        <v>1968</v>
      </c>
      <c r="AW20" s="37">
        <f t="shared" si="23"/>
        <v>1969</v>
      </c>
      <c r="AX20" s="38">
        <f t="shared" si="24"/>
        <v>1970</v>
      </c>
      <c r="AY20" s="36">
        <f t="shared" si="24"/>
        <v>1971</v>
      </c>
      <c r="AZ20" s="37">
        <f t="shared" si="24"/>
        <v>1972</v>
      </c>
      <c r="BA20" s="37">
        <f t="shared" si="24"/>
        <v>1973</v>
      </c>
      <c r="BB20" s="37">
        <f t="shared" si="24"/>
        <v>1974</v>
      </c>
      <c r="BC20" s="37">
        <f>BB20+1</f>
        <v>1975</v>
      </c>
      <c r="BD20" s="37">
        <f t="shared" si="24"/>
        <v>1976</v>
      </c>
      <c r="BE20" s="37">
        <f t="shared" si="24"/>
        <v>1977</v>
      </c>
      <c r="BF20" s="37">
        <f t="shared" si="24"/>
        <v>1978</v>
      </c>
      <c r="BG20" s="37">
        <f t="shared" si="24"/>
        <v>1979</v>
      </c>
      <c r="BH20" s="38">
        <f t="shared" si="24"/>
        <v>1980</v>
      </c>
      <c r="BI20" s="36">
        <f t="shared" si="24"/>
        <v>1981</v>
      </c>
      <c r="BJ20" s="37">
        <f t="shared" si="24"/>
        <v>1982</v>
      </c>
      <c r="BK20" s="37">
        <f t="shared" si="24"/>
        <v>1983</v>
      </c>
      <c r="BL20" s="37">
        <f t="shared" si="24"/>
        <v>1984</v>
      </c>
      <c r="BM20" s="37">
        <f t="shared" si="25"/>
        <v>1985</v>
      </c>
      <c r="BN20" s="37">
        <f t="shared" si="26"/>
        <v>1986</v>
      </c>
      <c r="BO20" s="37">
        <f t="shared" si="27"/>
        <v>1987</v>
      </c>
      <c r="BP20" s="37">
        <f t="shared" si="28"/>
        <v>1988</v>
      </c>
      <c r="BQ20" s="37">
        <f t="shared" si="29"/>
        <v>1989</v>
      </c>
      <c r="BR20" s="39">
        <f t="shared" si="30"/>
        <v>1990</v>
      </c>
      <c r="BS20" s="36">
        <f t="shared" si="31"/>
        <v>1991</v>
      </c>
      <c r="BT20" s="37">
        <f t="shared" si="32"/>
        <v>1992</v>
      </c>
      <c r="BU20" s="37">
        <f t="shared" si="33"/>
        <v>1993</v>
      </c>
      <c r="BV20" s="37">
        <f t="shared" si="34"/>
        <v>1994</v>
      </c>
      <c r="BW20" s="37">
        <f t="shared" si="35"/>
        <v>1995</v>
      </c>
      <c r="BX20" s="37">
        <f t="shared" si="36"/>
        <v>1996</v>
      </c>
      <c r="BY20" s="37">
        <f t="shared" si="37"/>
        <v>1997</v>
      </c>
      <c r="BZ20" s="37">
        <f t="shared" si="38"/>
        <v>1998</v>
      </c>
      <c r="CA20" s="37">
        <f t="shared" si="39"/>
        <v>1999</v>
      </c>
      <c r="CB20" s="38">
        <f t="shared" si="40"/>
        <v>2000</v>
      </c>
      <c r="CC20" s="40">
        <f t="shared" si="41"/>
        <v>2001</v>
      </c>
      <c r="CD20" s="37">
        <f t="shared" si="42"/>
        <v>2002</v>
      </c>
      <c r="CE20" s="37">
        <f t="shared" si="43"/>
        <v>2003</v>
      </c>
      <c r="CF20" s="37">
        <f t="shared" si="44"/>
        <v>2004</v>
      </c>
      <c r="CG20" s="37">
        <f t="shared" si="45"/>
        <v>2005</v>
      </c>
      <c r="CH20" s="37">
        <f t="shared" si="46"/>
        <v>2006</v>
      </c>
      <c r="CI20" s="37">
        <f t="shared" si="47"/>
        <v>2007</v>
      </c>
      <c r="CJ20" s="37">
        <f t="shared" si="48"/>
        <v>2008</v>
      </c>
      <c r="CK20" s="37">
        <f t="shared" si="49"/>
        <v>2009</v>
      </c>
      <c r="CL20" s="39">
        <f t="shared" si="50"/>
        <v>2010</v>
      </c>
      <c r="CM20" s="36">
        <f t="shared" si="51"/>
        <v>2011</v>
      </c>
      <c r="CN20" s="37">
        <f t="shared" si="52"/>
        <v>2012</v>
      </c>
      <c r="CO20" s="37">
        <f t="shared" si="53"/>
        <v>2013</v>
      </c>
      <c r="CP20" s="37">
        <f t="shared" si="54"/>
        <v>2014</v>
      </c>
      <c r="CQ20" s="37">
        <f t="shared" si="55"/>
        <v>2015</v>
      </c>
      <c r="CR20" s="37">
        <f t="shared" si="56"/>
        <v>2016</v>
      </c>
      <c r="CS20" s="37">
        <f t="shared" si="57"/>
        <v>2017</v>
      </c>
      <c r="CT20" s="37">
        <f t="shared" si="58"/>
        <v>2018</v>
      </c>
      <c r="CU20" s="37">
        <f t="shared" si="59"/>
        <v>2019</v>
      </c>
      <c r="CV20" s="38">
        <f t="shared" si="60"/>
        <v>2020</v>
      </c>
      <c r="CW20" s="40">
        <f t="shared" si="61"/>
        <v>2021</v>
      </c>
      <c r="CX20" s="37">
        <f t="shared" si="62"/>
        <v>2022</v>
      </c>
      <c r="CY20" s="37">
        <f t="shared" si="63"/>
        <v>2023</v>
      </c>
      <c r="CZ20" s="37">
        <f t="shared" si="64"/>
        <v>2024</v>
      </c>
      <c r="DA20" s="37">
        <f t="shared" si="65"/>
        <v>2025</v>
      </c>
      <c r="DB20" s="37">
        <f t="shared" si="66"/>
        <v>2026</v>
      </c>
      <c r="DC20" s="37">
        <f t="shared" si="67"/>
        <v>2027</v>
      </c>
      <c r="DD20" s="37">
        <f t="shared" si="68"/>
        <v>2028</v>
      </c>
      <c r="DE20" s="37">
        <f t="shared" si="69"/>
        <v>2029</v>
      </c>
      <c r="DF20" s="39">
        <f t="shared" si="70"/>
        <v>2030</v>
      </c>
      <c r="DG20" s="36">
        <f t="shared" si="71"/>
        <v>2031</v>
      </c>
      <c r="DH20" s="37">
        <f t="shared" si="72"/>
        <v>2032</v>
      </c>
      <c r="DI20" s="37">
        <f t="shared" si="73"/>
        <v>2033</v>
      </c>
      <c r="DJ20" s="37">
        <f t="shared" si="74"/>
        <v>2034</v>
      </c>
      <c r="DK20" s="37">
        <f t="shared" si="75"/>
        <v>2035</v>
      </c>
      <c r="DL20" s="37">
        <f t="shared" si="76"/>
        <v>2036</v>
      </c>
      <c r="DM20" s="37">
        <f t="shared" si="77"/>
        <v>2037</v>
      </c>
      <c r="DN20" s="37">
        <f t="shared" si="78"/>
        <v>2038</v>
      </c>
      <c r="DO20" s="37">
        <f t="shared" si="79"/>
        <v>2039</v>
      </c>
      <c r="DP20" s="38">
        <f t="shared" si="80"/>
        <v>2040</v>
      </c>
      <c r="DR20" s="898">
        <v>70</v>
      </c>
      <c r="DS20" s="899"/>
      <c r="DT20" s="898">
        <v>7</v>
      </c>
      <c r="DU20" s="899"/>
    </row>
    <row r="21" spans="1:126" ht="6.6" customHeight="1" x14ac:dyDescent="0.3">
      <c r="A21" s="36">
        <v>2041</v>
      </c>
      <c r="B21" s="37">
        <f t="shared" si="21"/>
        <v>2042</v>
      </c>
      <c r="C21" s="37">
        <f t="shared" si="21"/>
        <v>2043</v>
      </c>
      <c r="D21" s="37">
        <f t="shared" si="21"/>
        <v>2044</v>
      </c>
      <c r="E21" s="37">
        <f t="shared" si="21"/>
        <v>2045</v>
      </c>
      <c r="F21" s="37">
        <f t="shared" si="21"/>
        <v>2046</v>
      </c>
      <c r="G21" s="37">
        <f t="shared" si="21"/>
        <v>2047</v>
      </c>
      <c r="H21" s="37">
        <f t="shared" si="21"/>
        <v>2048</v>
      </c>
      <c r="I21" s="37">
        <f t="shared" si="21"/>
        <v>2049</v>
      </c>
      <c r="J21" s="38">
        <f t="shared" si="21"/>
        <v>2050</v>
      </c>
      <c r="K21" s="36">
        <f t="shared" si="21"/>
        <v>2051</v>
      </c>
      <c r="L21" s="37">
        <f t="shared" si="21"/>
        <v>2052</v>
      </c>
      <c r="M21" s="37">
        <f t="shared" si="21"/>
        <v>2053</v>
      </c>
      <c r="N21" s="37">
        <f t="shared" si="21"/>
        <v>2054</v>
      </c>
      <c r="O21" s="37">
        <f t="shared" si="21"/>
        <v>2055</v>
      </c>
      <c r="P21" s="37">
        <f t="shared" si="21"/>
        <v>2056</v>
      </c>
      <c r="Q21" s="37">
        <f t="shared" si="21"/>
        <v>2057</v>
      </c>
      <c r="R21" s="37">
        <f t="shared" si="22"/>
        <v>2058</v>
      </c>
      <c r="S21" s="37">
        <f t="shared" si="22"/>
        <v>2059</v>
      </c>
      <c r="T21" s="38">
        <f t="shared" si="22"/>
        <v>2060</v>
      </c>
      <c r="U21" s="36">
        <f t="shared" si="22"/>
        <v>2061</v>
      </c>
      <c r="V21" s="37">
        <f t="shared" si="22"/>
        <v>2062</v>
      </c>
      <c r="W21" s="37">
        <f t="shared" si="22"/>
        <v>2063</v>
      </c>
      <c r="X21" s="37">
        <f t="shared" si="22"/>
        <v>2064</v>
      </c>
      <c r="Y21" s="37">
        <f t="shared" si="22"/>
        <v>2065</v>
      </c>
      <c r="Z21" s="37">
        <f t="shared" si="22"/>
        <v>2066</v>
      </c>
      <c r="AA21" s="37">
        <f t="shared" si="22"/>
        <v>2067</v>
      </c>
      <c r="AB21" s="37">
        <f t="shared" si="22"/>
        <v>2068</v>
      </c>
      <c r="AC21" s="37">
        <f t="shared" si="22"/>
        <v>2069</v>
      </c>
      <c r="AD21" s="38">
        <f t="shared" si="22"/>
        <v>2070</v>
      </c>
      <c r="AE21" s="36">
        <f t="shared" si="22"/>
        <v>2071</v>
      </c>
      <c r="AF21" s="37">
        <f t="shared" si="22"/>
        <v>2072</v>
      </c>
      <c r="AG21" s="37">
        <f t="shared" si="22"/>
        <v>2073</v>
      </c>
      <c r="AH21" s="37">
        <f t="shared" si="23"/>
        <v>2074</v>
      </c>
      <c r="AI21" s="37">
        <f t="shared" si="23"/>
        <v>2075</v>
      </c>
      <c r="AJ21" s="37">
        <f t="shared" si="23"/>
        <v>2076</v>
      </c>
      <c r="AK21" s="37">
        <f t="shared" si="23"/>
        <v>2077</v>
      </c>
      <c r="AL21" s="37">
        <f t="shared" si="23"/>
        <v>2078</v>
      </c>
      <c r="AM21" s="37">
        <f t="shared" si="23"/>
        <v>2079</v>
      </c>
      <c r="AN21" s="38">
        <f t="shared" si="23"/>
        <v>2080</v>
      </c>
      <c r="AO21" s="36">
        <f t="shared" si="23"/>
        <v>2081</v>
      </c>
      <c r="AP21" s="37">
        <f t="shared" si="23"/>
        <v>2082</v>
      </c>
      <c r="AQ21" s="37">
        <f t="shared" si="23"/>
        <v>2083</v>
      </c>
      <c r="AR21" s="37">
        <f t="shared" si="23"/>
        <v>2084</v>
      </c>
      <c r="AS21" s="37">
        <f t="shared" si="23"/>
        <v>2085</v>
      </c>
      <c r="AT21" s="37">
        <f t="shared" si="23"/>
        <v>2086</v>
      </c>
      <c r="AU21" s="37">
        <f t="shared" si="23"/>
        <v>2087</v>
      </c>
      <c r="AV21" s="37">
        <f t="shared" si="23"/>
        <v>2088</v>
      </c>
      <c r="AW21" s="37">
        <f t="shared" si="23"/>
        <v>2089</v>
      </c>
      <c r="AX21" s="38">
        <f t="shared" si="24"/>
        <v>2090</v>
      </c>
      <c r="AY21" s="36">
        <f t="shared" si="24"/>
        <v>2091</v>
      </c>
      <c r="AZ21" s="37">
        <f t="shared" si="24"/>
        <v>2092</v>
      </c>
      <c r="BA21" s="37">
        <f t="shared" si="24"/>
        <v>2093</v>
      </c>
      <c r="BB21" s="37">
        <f t="shared" si="24"/>
        <v>2094</v>
      </c>
      <c r="BC21" s="37">
        <f t="shared" si="24"/>
        <v>2095</v>
      </c>
      <c r="BD21" s="37">
        <f t="shared" si="24"/>
        <v>2096</v>
      </c>
      <c r="BE21" s="37">
        <f t="shared" si="24"/>
        <v>2097</v>
      </c>
      <c r="BF21" s="37">
        <f t="shared" si="24"/>
        <v>2098</v>
      </c>
      <c r="BG21" s="37">
        <f t="shared" si="24"/>
        <v>2099</v>
      </c>
      <c r="BH21" s="38">
        <f t="shared" si="24"/>
        <v>2100</v>
      </c>
      <c r="BI21" s="36">
        <f t="shared" si="24"/>
        <v>2101</v>
      </c>
      <c r="BJ21" s="37">
        <f t="shared" si="24"/>
        <v>2102</v>
      </c>
      <c r="BK21" s="37">
        <f t="shared" si="24"/>
        <v>2103</v>
      </c>
      <c r="BL21" s="37">
        <f t="shared" si="24"/>
        <v>2104</v>
      </c>
      <c r="BM21" s="37">
        <f t="shared" si="25"/>
        <v>2105</v>
      </c>
      <c r="BN21" s="37">
        <f t="shared" si="26"/>
        <v>2106</v>
      </c>
      <c r="BO21" s="37">
        <f t="shared" si="27"/>
        <v>2107</v>
      </c>
      <c r="BP21" s="37">
        <f t="shared" si="28"/>
        <v>2108</v>
      </c>
      <c r="BQ21" s="37">
        <f t="shared" si="29"/>
        <v>2109</v>
      </c>
      <c r="BR21" s="39">
        <f t="shared" si="30"/>
        <v>2110</v>
      </c>
      <c r="BS21" s="36">
        <f t="shared" si="31"/>
        <v>2111</v>
      </c>
      <c r="BT21" s="37">
        <f t="shared" si="32"/>
        <v>2112</v>
      </c>
      <c r="BU21" s="37">
        <f t="shared" si="33"/>
        <v>2113</v>
      </c>
      <c r="BV21" s="37">
        <f t="shared" si="34"/>
        <v>2114</v>
      </c>
      <c r="BW21" s="37">
        <f t="shared" si="35"/>
        <v>2115</v>
      </c>
      <c r="BX21" s="37">
        <f t="shared" si="36"/>
        <v>2116</v>
      </c>
      <c r="BY21" s="37">
        <f t="shared" si="37"/>
        <v>2117</v>
      </c>
      <c r="BZ21" s="37">
        <f t="shared" si="38"/>
        <v>2118</v>
      </c>
      <c r="CA21" s="37">
        <f t="shared" si="39"/>
        <v>2119</v>
      </c>
      <c r="CB21" s="38">
        <f t="shared" si="40"/>
        <v>2120</v>
      </c>
      <c r="CC21" s="40">
        <f t="shared" si="41"/>
        <v>2121</v>
      </c>
      <c r="CD21" s="37">
        <f t="shared" si="42"/>
        <v>2122</v>
      </c>
      <c r="CE21" s="37">
        <f t="shared" si="43"/>
        <v>2123</v>
      </c>
      <c r="CF21" s="37">
        <f t="shared" si="44"/>
        <v>2124</v>
      </c>
      <c r="CG21" s="37">
        <f t="shared" si="45"/>
        <v>2125</v>
      </c>
      <c r="CH21" s="37">
        <f t="shared" si="46"/>
        <v>2126</v>
      </c>
      <c r="CI21" s="37">
        <f t="shared" si="47"/>
        <v>2127</v>
      </c>
      <c r="CJ21" s="37">
        <f t="shared" si="48"/>
        <v>2128</v>
      </c>
      <c r="CK21" s="37">
        <f t="shared" si="49"/>
        <v>2129</v>
      </c>
      <c r="CL21" s="39">
        <f t="shared" si="50"/>
        <v>2130</v>
      </c>
      <c r="CM21" s="36">
        <f t="shared" si="51"/>
        <v>2131</v>
      </c>
      <c r="CN21" s="37">
        <f t="shared" si="52"/>
        <v>2132</v>
      </c>
      <c r="CO21" s="37">
        <f t="shared" si="53"/>
        <v>2133</v>
      </c>
      <c r="CP21" s="37">
        <f t="shared" si="54"/>
        <v>2134</v>
      </c>
      <c r="CQ21" s="37">
        <f t="shared" si="55"/>
        <v>2135</v>
      </c>
      <c r="CR21" s="37">
        <f t="shared" si="56"/>
        <v>2136</v>
      </c>
      <c r="CS21" s="37">
        <f t="shared" si="57"/>
        <v>2137</v>
      </c>
      <c r="CT21" s="37">
        <f t="shared" si="58"/>
        <v>2138</v>
      </c>
      <c r="CU21" s="37">
        <f t="shared" si="59"/>
        <v>2139</v>
      </c>
      <c r="CV21" s="38">
        <f t="shared" si="60"/>
        <v>2140</v>
      </c>
      <c r="CW21" s="40">
        <f t="shared" si="61"/>
        <v>2141</v>
      </c>
      <c r="CX21" s="37">
        <f t="shared" si="62"/>
        <v>2142</v>
      </c>
      <c r="CY21" s="37">
        <f t="shared" si="63"/>
        <v>2143</v>
      </c>
      <c r="CZ21" s="37">
        <f t="shared" si="64"/>
        <v>2144</v>
      </c>
      <c r="DA21" s="37">
        <f t="shared" si="65"/>
        <v>2145</v>
      </c>
      <c r="DB21" s="37">
        <f t="shared" si="66"/>
        <v>2146</v>
      </c>
      <c r="DC21" s="37">
        <f t="shared" si="67"/>
        <v>2147</v>
      </c>
      <c r="DD21" s="37">
        <f t="shared" si="68"/>
        <v>2148</v>
      </c>
      <c r="DE21" s="37">
        <f t="shared" si="69"/>
        <v>2149</v>
      </c>
      <c r="DF21" s="39">
        <f t="shared" si="70"/>
        <v>2150</v>
      </c>
      <c r="DG21" s="36">
        <f t="shared" si="71"/>
        <v>2151</v>
      </c>
      <c r="DH21" s="37">
        <f t="shared" si="72"/>
        <v>2152</v>
      </c>
      <c r="DI21" s="37">
        <f t="shared" si="73"/>
        <v>2153</v>
      </c>
      <c r="DJ21" s="37">
        <f t="shared" si="74"/>
        <v>2154</v>
      </c>
      <c r="DK21" s="37">
        <f t="shared" si="75"/>
        <v>2155</v>
      </c>
      <c r="DL21" s="37">
        <f t="shared" si="76"/>
        <v>2156</v>
      </c>
      <c r="DM21" s="37">
        <f t="shared" si="77"/>
        <v>2157</v>
      </c>
      <c r="DN21" s="37">
        <f t="shared" si="78"/>
        <v>2158</v>
      </c>
      <c r="DO21" s="37">
        <f t="shared" si="79"/>
        <v>2159</v>
      </c>
      <c r="DP21" s="38">
        <f t="shared" si="80"/>
        <v>2160</v>
      </c>
      <c r="DR21" s="900"/>
      <c r="DS21" s="901"/>
      <c r="DT21" s="900"/>
      <c r="DU21" s="901"/>
    </row>
    <row r="22" spans="1:126" ht="5.85" customHeight="1" x14ac:dyDescent="0.3">
      <c r="A22" s="36">
        <v>2161</v>
      </c>
      <c r="B22" s="37">
        <f t="shared" si="21"/>
        <v>2162</v>
      </c>
      <c r="C22" s="37">
        <f t="shared" si="21"/>
        <v>2163</v>
      </c>
      <c r="D22" s="37">
        <f t="shared" si="21"/>
        <v>2164</v>
      </c>
      <c r="E22" s="37">
        <f t="shared" si="21"/>
        <v>2165</v>
      </c>
      <c r="F22" s="37">
        <f t="shared" si="21"/>
        <v>2166</v>
      </c>
      <c r="G22" s="37">
        <f t="shared" si="21"/>
        <v>2167</v>
      </c>
      <c r="H22" s="37">
        <f t="shared" si="21"/>
        <v>2168</v>
      </c>
      <c r="I22" s="37">
        <f t="shared" si="21"/>
        <v>2169</v>
      </c>
      <c r="J22" s="38">
        <f t="shared" si="21"/>
        <v>2170</v>
      </c>
      <c r="K22" s="36">
        <f t="shared" si="21"/>
        <v>2171</v>
      </c>
      <c r="L22" s="37">
        <f t="shared" si="21"/>
        <v>2172</v>
      </c>
      <c r="M22" s="37">
        <f t="shared" si="21"/>
        <v>2173</v>
      </c>
      <c r="N22" s="37">
        <f t="shared" si="21"/>
        <v>2174</v>
      </c>
      <c r="O22" s="37">
        <f t="shared" si="21"/>
        <v>2175</v>
      </c>
      <c r="P22" s="37">
        <f t="shared" si="21"/>
        <v>2176</v>
      </c>
      <c r="Q22" s="37">
        <f t="shared" si="21"/>
        <v>2177</v>
      </c>
      <c r="R22" s="37">
        <f t="shared" si="22"/>
        <v>2178</v>
      </c>
      <c r="S22" s="37">
        <f t="shared" si="22"/>
        <v>2179</v>
      </c>
      <c r="T22" s="38">
        <f t="shared" si="22"/>
        <v>2180</v>
      </c>
      <c r="U22" s="36">
        <f t="shared" si="22"/>
        <v>2181</v>
      </c>
      <c r="V22" s="37">
        <f t="shared" si="22"/>
        <v>2182</v>
      </c>
      <c r="W22" s="37">
        <f t="shared" si="22"/>
        <v>2183</v>
      </c>
      <c r="X22" s="37">
        <f t="shared" si="22"/>
        <v>2184</v>
      </c>
      <c r="Y22" s="37">
        <f t="shared" si="22"/>
        <v>2185</v>
      </c>
      <c r="Z22" s="37">
        <f t="shared" si="22"/>
        <v>2186</v>
      </c>
      <c r="AA22" s="37">
        <f t="shared" si="22"/>
        <v>2187</v>
      </c>
      <c r="AB22" s="37">
        <f t="shared" si="22"/>
        <v>2188</v>
      </c>
      <c r="AC22" s="37">
        <f t="shared" si="22"/>
        <v>2189</v>
      </c>
      <c r="AD22" s="38">
        <f t="shared" si="22"/>
        <v>2190</v>
      </c>
      <c r="AE22" s="36">
        <f t="shared" si="22"/>
        <v>2191</v>
      </c>
      <c r="AF22" s="37">
        <f t="shared" si="22"/>
        <v>2192</v>
      </c>
      <c r="AG22" s="37">
        <f t="shared" si="22"/>
        <v>2193</v>
      </c>
      <c r="AH22" s="37">
        <f t="shared" si="23"/>
        <v>2194</v>
      </c>
      <c r="AI22" s="37">
        <f t="shared" si="23"/>
        <v>2195</v>
      </c>
      <c r="AJ22" s="37">
        <f t="shared" si="23"/>
        <v>2196</v>
      </c>
      <c r="AK22" s="37">
        <f t="shared" si="23"/>
        <v>2197</v>
      </c>
      <c r="AL22" s="37">
        <f t="shared" si="23"/>
        <v>2198</v>
      </c>
      <c r="AM22" s="37">
        <f t="shared" si="23"/>
        <v>2199</v>
      </c>
      <c r="AN22" s="38">
        <f t="shared" si="23"/>
        <v>2200</v>
      </c>
      <c r="AO22" s="36">
        <f t="shared" si="23"/>
        <v>2201</v>
      </c>
      <c r="AP22" s="37">
        <f t="shared" si="23"/>
        <v>2202</v>
      </c>
      <c r="AQ22" s="37">
        <f t="shared" si="23"/>
        <v>2203</v>
      </c>
      <c r="AR22" s="37">
        <f t="shared" si="23"/>
        <v>2204</v>
      </c>
      <c r="AS22" s="37">
        <f t="shared" si="23"/>
        <v>2205</v>
      </c>
      <c r="AT22" s="37">
        <f t="shared" si="23"/>
        <v>2206</v>
      </c>
      <c r="AU22" s="37">
        <f t="shared" si="23"/>
        <v>2207</v>
      </c>
      <c r="AV22" s="37">
        <f t="shared" si="23"/>
        <v>2208</v>
      </c>
      <c r="AW22" s="37">
        <f t="shared" si="23"/>
        <v>2209</v>
      </c>
      <c r="AX22" s="38">
        <f t="shared" si="24"/>
        <v>2210</v>
      </c>
      <c r="AY22" s="36">
        <f t="shared" si="24"/>
        <v>2211</v>
      </c>
      <c r="AZ22" s="37">
        <f t="shared" si="24"/>
        <v>2212</v>
      </c>
      <c r="BA22" s="37">
        <f t="shared" si="24"/>
        <v>2213</v>
      </c>
      <c r="BB22" s="37">
        <f t="shared" si="24"/>
        <v>2214</v>
      </c>
      <c r="BC22" s="37">
        <f t="shared" si="24"/>
        <v>2215</v>
      </c>
      <c r="BD22" s="37">
        <f t="shared" si="24"/>
        <v>2216</v>
      </c>
      <c r="BE22" s="37">
        <f t="shared" si="24"/>
        <v>2217</v>
      </c>
      <c r="BF22" s="37">
        <f t="shared" si="24"/>
        <v>2218</v>
      </c>
      <c r="BG22" s="37">
        <f t="shared" si="24"/>
        <v>2219</v>
      </c>
      <c r="BH22" s="38">
        <f t="shared" si="24"/>
        <v>2220</v>
      </c>
      <c r="BI22" s="36">
        <f t="shared" si="24"/>
        <v>2221</v>
      </c>
      <c r="BJ22" s="37">
        <f t="shared" si="24"/>
        <v>2222</v>
      </c>
      <c r="BK22" s="37">
        <f t="shared" si="24"/>
        <v>2223</v>
      </c>
      <c r="BL22" s="37">
        <f t="shared" si="24"/>
        <v>2224</v>
      </c>
      <c r="BM22" s="37">
        <f t="shared" si="25"/>
        <v>2225</v>
      </c>
      <c r="BN22" s="37">
        <f t="shared" si="26"/>
        <v>2226</v>
      </c>
      <c r="BO22" s="37">
        <f t="shared" si="27"/>
        <v>2227</v>
      </c>
      <c r="BP22" s="37">
        <f t="shared" si="28"/>
        <v>2228</v>
      </c>
      <c r="BQ22" s="37">
        <f t="shared" si="29"/>
        <v>2229</v>
      </c>
      <c r="BR22" s="39">
        <f t="shared" si="30"/>
        <v>2230</v>
      </c>
      <c r="BS22" s="36">
        <f t="shared" si="31"/>
        <v>2231</v>
      </c>
      <c r="BT22" s="37">
        <f t="shared" si="32"/>
        <v>2232</v>
      </c>
      <c r="BU22" s="37">
        <f t="shared" si="33"/>
        <v>2233</v>
      </c>
      <c r="BV22" s="37">
        <f t="shared" si="34"/>
        <v>2234</v>
      </c>
      <c r="BW22" s="37">
        <f t="shared" si="35"/>
        <v>2235</v>
      </c>
      <c r="BX22" s="37">
        <f t="shared" si="36"/>
        <v>2236</v>
      </c>
      <c r="BY22" s="37">
        <f t="shared" si="37"/>
        <v>2237</v>
      </c>
      <c r="BZ22" s="37">
        <f t="shared" si="38"/>
        <v>2238</v>
      </c>
      <c r="CA22" s="37">
        <f t="shared" si="39"/>
        <v>2239</v>
      </c>
      <c r="CB22" s="38">
        <f t="shared" si="40"/>
        <v>2240</v>
      </c>
      <c r="CC22" s="40">
        <f t="shared" si="41"/>
        <v>2241</v>
      </c>
      <c r="CD22" s="37">
        <f t="shared" si="42"/>
        <v>2242</v>
      </c>
      <c r="CE22" s="37">
        <f t="shared" si="43"/>
        <v>2243</v>
      </c>
      <c r="CF22" s="37">
        <f t="shared" si="44"/>
        <v>2244</v>
      </c>
      <c r="CG22" s="37">
        <f t="shared" si="45"/>
        <v>2245</v>
      </c>
      <c r="CH22" s="37">
        <f t="shared" si="46"/>
        <v>2246</v>
      </c>
      <c r="CI22" s="37">
        <f t="shared" si="47"/>
        <v>2247</v>
      </c>
      <c r="CJ22" s="37">
        <f t="shared" si="48"/>
        <v>2248</v>
      </c>
      <c r="CK22" s="37">
        <f t="shared" si="49"/>
        <v>2249</v>
      </c>
      <c r="CL22" s="39">
        <f t="shared" si="50"/>
        <v>2250</v>
      </c>
      <c r="CM22" s="36">
        <f t="shared" si="51"/>
        <v>2251</v>
      </c>
      <c r="CN22" s="37">
        <f t="shared" si="52"/>
        <v>2252</v>
      </c>
      <c r="CO22" s="37">
        <f t="shared" si="53"/>
        <v>2253</v>
      </c>
      <c r="CP22" s="37">
        <f t="shared" si="54"/>
        <v>2254</v>
      </c>
      <c r="CQ22" s="37">
        <f t="shared" si="55"/>
        <v>2255</v>
      </c>
      <c r="CR22" s="37">
        <f t="shared" si="56"/>
        <v>2256</v>
      </c>
      <c r="CS22" s="37">
        <f t="shared" si="57"/>
        <v>2257</v>
      </c>
      <c r="CT22" s="37">
        <f t="shared" si="58"/>
        <v>2258</v>
      </c>
      <c r="CU22" s="37">
        <f t="shared" si="59"/>
        <v>2259</v>
      </c>
      <c r="CV22" s="38">
        <f t="shared" si="60"/>
        <v>2260</v>
      </c>
      <c r="CW22" s="40">
        <f t="shared" si="61"/>
        <v>2261</v>
      </c>
      <c r="CX22" s="37">
        <f t="shared" si="62"/>
        <v>2262</v>
      </c>
      <c r="CY22" s="37">
        <f t="shared" si="63"/>
        <v>2263</v>
      </c>
      <c r="CZ22" s="37">
        <f t="shared" si="64"/>
        <v>2264</v>
      </c>
      <c r="DA22" s="37">
        <f t="shared" si="65"/>
        <v>2265</v>
      </c>
      <c r="DB22" s="37">
        <f t="shared" si="66"/>
        <v>2266</v>
      </c>
      <c r="DC22" s="37">
        <f t="shared" si="67"/>
        <v>2267</v>
      </c>
      <c r="DD22" s="37">
        <f t="shared" si="68"/>
        <v>2268</v>
      </c>
      <c r="DE22" s="37">
        <f t="shared" si="69"/>
        <v>2269</v>
      </c>
      <c r="DF22" s="39">
        <f t="shared" si="70"/>
        <v>2270</v>
      </c>
      <c r="DG22" s="36">
        <f t="shared" si="71"/>
        <v>2271</v>
      </c>
      <c r="DH22" s="37">
        <f t="shared" si="72"/>
        <v>2272</v>
      </c>
      <c r="DI22" s="37">
        <f t="shared" si="73"/>
        <v>2273</v>
      </c>
      <c r="DJ22" s="37">
        <f t="shared" si="74"/>
        <v>2274</v>
      </c>
      <c r="DK22" s="37">
        <f t="shared" si="75"/>
        <v>2275</v>
      </c>
      <c r="DL22" s="37">
        <f t="shared" si="76"/>
        <v>2276</v>
      </c>
      <c r="DM22" s="37">
        <f t="shared" si="77"/>
        <v>2277</v>
      </c>
      <c r="DN22" s="37">
        <f t="shared" si="78"/>
        <v>2278</v>
      </c>
      <c r="DO22" s="37">
        <f t="shared" si="79"/>
        <v>2279</v>
      </c>
      <c r="DP22" s="38">
        <f t="shared" si="80"/>
        <v>2280</v>
      </c>
      <c r="DQ22" s="64"/>
      <c r="DR22" s="894">
        <v>80</v>
      </c>
      <c r="DS22" s="895"/>
      <c r="DT22" s="898">
        <v>8</v>
      </c>
      <c r="DU22" s="899"/>
      <c r="DV22" s="51"/>
    </row>
    <row r="23" spans="1:126" ht="5.85" customHeight="1" x14ac:dyDescent="0.3">
      <c r="A23" s="36">
        <v>2281</v>
      </c>
      <c r="B23" s="37">
        <f t="shared" si="21"/>
        <v>2282</v>
      </c>
      <c r="C23" s="37">
        <f t="shared" si="21"/>
        <v>2283</v>
      </c>
      <c r="D23" s="37">
        <f t="shared" si="21"/>
        <v>2284</v>
      </c>
      <c r="E23" s="37">
        <f t="shared" si="21"/>
        <v>2285</v>
      </c>
      <c r="F23" s="37">
        <f t="shared" si="21"/>
        <v>2286</v>
      </c>
      <c r="G23" s="37">
        <f t="shared" si="21"/>
        <v>2287</v>
      </c>
      <c r="H23" s="37">
        <f t="shared" si="21"/>
        <v>2288</v>
      </c>
      <c r="I23" s="37">
        <f t="shared" si="21"/>
        <v>2289</v>
      </c>
      <c r="J23" s="38">
        <f t="shared" si="21"/>
        <v>2290</v>
      </c>
      <c r="K23" s="36">
        <f t="shared" si="21"/>
        <v>2291</v>
      </c>
      <c r="L23" s="37">
        <f t="shared" si="21"/>
        <v>2292</v>
      </c>
      <c r="M23" s="37">
        <f t="shared" si="21"/>
        <v>2293</v>
      </c>
      <c r="N23" s="37">
        <f t="shared" si="21"/>
        <v>2294</v>
      </c>
      <c r="O23" s="37">
        <f t="shared" si="21"/>
        <v>2295</v>
      </c>
      <c r="P23" s="37">
        <f t="shared" si="21"/>
        <v>2296</v>
      </c>
      <c r="Q23" s="37">
        <f t="shared" si="21"/>
        <v>2297</v>
      </c>
      <c r="R23" s="37">
        <f t="shared" si="22"/>
        <v>2298</v>
      </c>
      <c r="S23" s="37">
        <f t="shared" si="22"/>
        <v>2299</v>
      </c>
      <c r="T23" s="38">
        <f t="shared" si="22"/>
        <v>2300</v>
      </c>
      <c r="U23" s="36">
        <f t="shared" si="22"/>
        <v>2301</v>
      </c>
      <c r="V23" s="37">
        <f t="shared" si="22"/>
        <v>2302</v>
      </c>
      <c r="W23" s="37">
        <f t="shared" si="22"/>
        <v>2303</v>
      </c>
      <c r="X23" s="37">
        <f t="shared" si="22"/>
        <v>2304</v>
      </c>
      <c r="Y23" s="37">
        <f t="shared" si="22"/>
        <v>2305</v>
      </c>
      <c r="Z23" s="37">
        <f t="shared" si="22"/>
        <v>2306</v>
      </c>
      <c r="AA23" s="37">
        <f t="shared" si="22"/>
        <v>2307</v>
      </c>
      <c r="AB23" s="37">
        <f t="shared" si="22"/>
        <v>2308</v>
      </c>
      <c r="AC23" s="37">
        <f t="shared" si="22"/>
        <v>2309</v>
      </c>
      <c r="AD23" s="38">
        <f t="shared" si="22"/>
        <v>2310</v>
      </c>
      <c r="AE23" s="36">
        <f t="shared" si="22"/>
        <v>2311</v>
      </c>
      <c r="AF23" s="37">
        <f t="shared" si="22"/>
        <v>2312</v>
      </c>
      <c r="AG23" s="37">
        <f t="shared" si="22"/>
        <v>2313</v>
      </c>
      <c r="AH23" s="37">
        <f t="shared" si="23"/>
        <v>2314</v>
      </c>
      <c r="AI23" s="37">
        <f t="shared" si="23"/>
        <v>2315</v>
      </c>
      <c r="AJ23" s="37">
        <f t="shared" si="23"/>
        <v>2316</v>
      </c>
      <c r="AK23" s="37">
        <f t="shared" si="23"/>
        <v>2317</v>
      </c>
      <c r="AL23" s="37">
        <f t="shared" si="23"/>
        <v>2318</v>
      </c>
      <c r="AM23" s="37">
        <f t="shared" si="23"/>
        <v>2319</v>
      </c>
      <c r="AN23" s="38">
        <f t="shared" si="23"/>
        <v>2320</v>
      </c>
      <c r="AO23" s="36">
        <f t="shared" si="23"/>
        <v>2321</v>
      </c>
      <c r="AP23" s="37">
        <f t="shared" si="23"/>
        <v>2322</v>
      </c>
      <c r="AQ23" s="37">
        <f t="shared" si="23"/>
        <v>2323</v>
      </c>
      <c r="AR23" s="37">
        <f t="shared" si="23"/>
        <v>2324</v>
      </c>
      <c r="AS23" s="37">
        <f t="shared" si="23"/>
        <v>2325</v>
      </c>
      <c r="AT23" s="37">
        <f t="shared" si="23"/>
        <v>2326</v>
      </c>
      <c r="AU23" s="37">
        <f t="shared" si="23"/>
        <v>2327</v>
      </c>
      <c r="AV23" s="37">
        <f t="shared" si="23"/>
        <v>2328</v>
      </c>
      <c r="AW23" s="37">
        <f t="shared" si="23"/>
        <v>2329</v>
      </c>
      <c r="AX23" s="38">
        <f t="shared" si="24"/>
        <v>2330</v>
      </c>
      <c r="AY23" s="36">
        <f t="shared" si="24"/>
        <v>2331</v>
      </c>
      <c r="AZ23" s="37">
        <f t="shared" si="24"/>
        <v>2332</v>
      </c>
      <c r="BA23" s="37">
        <f t="shared" si="24"/>
        <v>2333</v>
      </c>
      <c r="BB23" s="37">
        <f t="shared" si="24"/>
        <v>2334</v>
      </c>
      <c r="BC23" s="37">
        <f t="shared" si="24"/>
        <v>2335</v>
      </c>
      <c r="BD23" s="37">
        <f t="shared" si="24"/>
        <v>2336</v>
      </c>
      <c r="BE23" s="37">
        <f t="shared" si="24"/>
        <v>2337</v>
      </c>
      <c r="BF23" s="37">
        <f t="shared" si="24"/>
        <v>2338</v>
      </c>
      <c r="BG23" s="37">
        <f t="shared" si="24"/>
        <v>2339</v>
      </c>
      <c r="BH23" s="38">
        <f t="shared" si="24"/>
        <v>2340</v>
      </c>
      <c r="BI23" s="36">
        <f t="shared" si="24"/>
        <v>2341</v>
      </c>
      <c r="BJ23" s="37">
        <f t="shared" si="24"/>
        <v>2342</v>
      </c>
      <c r="BK23" s="37">
        <f t="shared" si="24"/>
        <v>2343</v>
      </c>
      <c r="BL23" s="37">
        <f t="shared" si="24"/>
        <v>2344</v>
      </c>
      <c r="BM23" s="37">
        <f t="shared" si="25"/>
        <v>2345</v>
      </c>
      <c r="BN23" s="37">
        <f t="shared" si="26"/>
        <v>2346</v>
      </c>
      <c r="BO23" s="37">
        <f t="shared" si="27"/>
        <v>2347</v>
      </c>
      <c r="BP23" s="37">
        <f t="shared" si="28"/>
        <v>2348</v>
      </c>
      <c r="BQ23" s="37">
        <f t="shared" si="29"/>
        <v>2349</v>
      </c>
      <c r="BR23" s="39">
        <f t="shared" si="30"/>
        <v>2350</v>
      </c>
      <c r="BS23" s="36">
        <f t="shared" si="31"/>
        <v>2351</v>
      </c>
      <c r="BT23" s="37">
        <f t="shared" si="32"/>
        <v>2352</v>
      </c>
      <c r="BU23" s="37">
        <f t="shared" si="33"/>
        <v>2353</v>
      </c>
      <c r="BV23" s="37">
        <f t="shared" si="34"/>
        <v>2354</v>
      </c>
      <c r="BW23" s="37">
        <f t="shared" si="35"/>
        <v>2355</v>
      </c>
      <c r="BX23" s="37">
        <f t="shared" si="36"/>
        <v>2356</v>
      </c>
      <c r="BY23" s="37">
        <f t="shared" si="37"/>
        <v>2357</v>
      </c>
      <c r="BZ23" s="37">
        <f t="shared" si="38"/>
        <v>2358</v>
      </c>
      <c r="CA23" s="37">
        <f t="shared" si="39"/>
        <v>2359</v>
      </c>
      <c r="CB23" s="38">
        <f t="shared" si="40"/>
        <v>2360</v>
      </c>
      <c r="CC23" s="40">
        <f t="shared" si="41"/>
        <v>2361</v>
      </c>
      <c r="CD23" s="37">
        <f t="shared" si="42"/>
        <v>2362</v>
      </c>
      <c r="CE23" s="37">
        <f t="shared" si="43"/>
        <v>2363</v>
      </c>
      <c r="CF23" s="37">
        <f t="shared" si="44"/>
        <v>2364</v>
      </c>
      <c r="CG23" s="37">
        <f t="shared" si="45"/>
        <v>2365</v>
      </c>
      <c r="CH23" s="37">
        <f t="shared" si="46"/>
        <v>2366</v>
      </c>
      <c r="CI23" s="37">
        <f t="shared" si="47"/>
        <v>2367</v>
      </c>
      <c r="CJ23" s="37">
        <f t="shared" si="48"/>
        <v>2368</v>
      </c>
      <c r="CK23" s="37">
        <f t="shared" si="49"/>
        <v>2369</v>
      </c>
      <c r="CL23" s="39">
        <f t="shared" si="50"/>
        <v>2370</v>
      </c>
      <c r="CM23" s="36">
        <f t="shared" si="51"/>
        <v>2371</v>
      </c>
      <c r="CN23" s="37">
        <f t="shared" si="52"/>
        <v>2372</v>
      </c>
      <c r="CO23" s="37">
        <f t="shared" si="53"/>
        <v>2373</v>
      </c>
      <c r="CP23" s="37">
        <f t="shared" si="54"/>
        <v>2374</v>
      </c>
      <c r="CQ23" s="37">
        <f t="shared" si="55"/>
        <v>2375</v>
      </c>
      <c r="CR23" s="37">
        <f t="shared" si="56"/>
        <v>2376</v>
      </c>
      <c r="CS23" s="37">
        <f t="shared" si="57"/>
        <v>2377</v>
      </c>
      <c r="CT23" s="37">
        <f t="shared" si="58"/>
        <v>2378</v>
      </c>
      <c r="CU23" s="37">
        <f t="shared" si="59"/>
        <v>2379</v>
      </c>
      <c r="CV23" s="38">
        <f t="shared" si="60"/>
        <v>2380</v>
      </c>
      <c r="CW23" s="40">
        <f t="shared" si="61"/>
        <v>2381</v>
      </c>
      <c r="CX23" s="37">
        <f t="shared" si="62"/>
        <v>2382</v>
      </c>
      <c r="CY23" s="37">
        <f t="shared" si="63"/>
        <v>2383</v>
      </c>
      <c r="CZ23" s="37">
        <f t="shared" si="64"/>
        <v>2384</v>
      </c>
      <c r="DA23" s="37">
        <f t="shared" si="65"/>
        <v>2385</v>
      </c>
      <c r="DB23" s="37">
        <f t="shared" si="66"/>
        <v>2386</v>
      </c>
      <c r="DC23" s="37">
        <f t="shared" si="67"/>
        <v>2387</v>
      </c>
      <c r="DD23" s="37">
        <f t="shared" si="68"/>
        <v>2388</v>
      </c>
      <c r="DE23" s="37">
        <f t="shared" si="69"/>
        <v>2389</v>
      </c>
      <c r="DF23" s="39">
        <f t="shared" si="70"/>
        <v>2390</v>
      </c>
      <c r="DG23" s="36">
        <f t="shared" si="71"/>
        <v>2391</v>
      </c>
      <c r="DH23" s="37">
        <f t="shared" si="72"/>
        <v>2392</v>
      </c>
      <c r="DI23" s="37">
        <f t="shared" si="73"/>
        <v>2393</v>
      </c>
      <c r="DJ23" s="37">
        <f t="shared" si="74"/>
        <v>2394</v>
      </c>
      <c r="DK23" s="37">
        <f t="shared" si="75"/>
        <v>2395</v>
      </c>
      <c r="DL23" s="37">
        <f t="shared" si="76"/>
        <v>2396</v>
      </c>
      <c r="DM23" s="37">
        <f t="shared" si="77"/>
        <v>2397</v>
      </c>
      <c r="DN23" s="37">
        <f t="shared" si="78"/>
        <v>2398</v>
      </c>
      <c r="DO23" s="37">
        <f t="shared" si="79"/>
        <v>2399</v>
      </c>
      <c r="DP23" s="38">
        <f t="shared" si="80"/>
        <v>2400</v>
      </c>
      <c r="DQ23" s="63"/>
      <c r="DR23" s="896"/>
      <c r="DS23" s="897"/>
      <c r="DT23" s="900"/>
      <c r="DU23" s="901"/>
      <c r="DV23" s="51"/>
    </row>
    <row r="24" spans="1:126" ht="5.85" customHeight="1" x14ac:dyDescent="0.3">
      <c r="A24" s="36">
        <v>2401</v>
      </c>
      <c r="B24" s="37">
        <f t="shared" si="21"/>
        <v>2402</v>
      </c>
      <c r="C24" s="37">
        <f t="shared" si="21"/>
        <v>2403</v>
      </c>
      <c r="D24" s="37">
        <f t="shared" si="21"/>
        <v>2404</v>
      </c>
      <c r="E24" s="37">
        <f t="shared" si="21"/>
        <v>2405</v>
      </c>
      <c r="F24" s="37">
        <f t="shared" si="21"/>
        <v>2406</v>
      </c>
      <c r="G24" s="37">
        <f t="shared" si="21"/>
        <v>2407</v>
      </c>
      <c r="H24" s="37">
        <f t="shared" si="21"/>
        <v>2408</v>
      </c>
      <c r="I24" s="37">
        <f t="shared" si="21"/>
        <v>2409</v>
      </c>
      <c r="J24" s="38">
        <f t="shared" si="21"/>
        <v>2410</v>
      </c>
      <c r="K24" s="36">
        <f t="shared" si="21"/>
        <v>2411</v>
      </c>
      <c r="L24" s="37">
        <f t="shared" si="21"/>
        <v>2412</v>
      </c>
      <c r="M24" s="37">
        <f t="shared" si="21"/>
        <v>2413</v>
      </c>
      <c r="N24" s="37">
        <f t="shared" si="21"/>
        <v>2414</v>
      </c>
      <c r="O24" s="37">
        <f t="shared" si="21"/>
        <v>2415</v>
      </c>
      <c r="P24" s="37">
        <f t="shared" si="21"/>
        <v>2416</v>
      </c>
      <c r="Q24" s="37">
        <f t="shared" si="21"/>
        <v>2417</v>
      </c>
      <c r="R24" s="37">
        <f t="shared" si="22"/>
        <v>2418</v>
      </c>
      <c r="S24" s="37">
        <f t="shared" si="22"/>
        <v>2419</v>
      </c>
      <c r="T24" s="38">
        <f t="shared" si="22"/>
        <v>2420</v>
      </c>
      <c r="U24" s="36">
        <f t="shared" si="22"/>
        <v>2421</v>
      </c>
      <c r="V24" s="37">
        <f t="shared" si="22"/>
        <v>2422</v>
      </c>
      <c r="W24" s="37">
        <f t="shared" si="22"/>
        <v>2423</v>
      </c>
      <c r="X24" s="37">
        <f t="shared" si="22"/>
        <v>2424</v>
      </c>
      <c r="Y24" s="37">
        <f t="shared" si="22"/>
        <v>2425</v>
      </c>
      <c r="Z24" s="37">
        <f t="shared" si="22"/>
        <v>2426</v>
      </c>
      <c r="AA24" s="37">
        <f t="shared" si="22"/>
        <v>2427</v>
      </c>
      <c r="AB24" s="37">
        <f t="shared" si="22"/>
        <v>2428</v>
      </c>
      <c r="AC24" s="37">
        <f t="shared" si="22"/>
        <v>2429</v>
      </c>
      <c r="AD24" s="38">
        <f t="shared" si="22"/>
        <v>2430</v>
      </c>
      <c r="AE24" s="36">
        <f t="shared" si="22"/>
        <v>2431</v>
      </c>
      <c r="AF24" s="37">
        <f t="shared" si="22"/>
        <v>2432</v>
      </c>
      <c r="AG24" s="37">
        <f t="shared" si="22"/>
        <v>2433</v>
      </c>
      <c r="AH24" s="37">
        <f t="shared" si="23"/>
        <v>2434</v>
      </c>
      <c r="AI24" s="37">
        <f t="shared" si="23"/>
        <v>2435</v>
      </c>
      <c r="AJ24" s="37">
        <f t="shared" si="23"/>
        <v>2436</v>
      </c>
      <c r="AK24" s="37">
        <f t="shared" si="23"/>
        <v>2437</v>
      </c>
      <c r="AL24" s="37">
        <f t="shared" si="23"/>
        <v>2438</v>
      </c>
      <c r="AM24" s="37">
        <f t="shared" si="23"/>
        <v>2439</v>
      </c>
      <c r="AN24" s="38">
        <f t="shared" si="23"/>
        <v>2440</v>
      </c>
      <c r="AO24" s="36">
        <f t="shared" si="23"/>
        <v>2441</v>
      </c>
      <c r="AP24" s="37">
        <f t="shared" si="23"/>
        <v>2442</v>
      </c>
      <c r="AQ24" s="37">
        <f t="shared" si="23"/>
        <v>2443</v>
      </c>
      <c r="AR24" s="37">
        <f t="shared" si="23"/>
        <v>2444</v>
      </c>
      <c r="AS24" s="37">
        <f t="shared" si="23"/>
        <v>2445</v>
      </c>
      <c r="AT24" s="37">
        <f t="shared" si="23"/>
        <v>2446</v>
      </c>
      <c r="AU24" s="37">
        <f t="shared" si="23"/>
        <v>2447</v>
      </c>
      <c r="AV24" s="37">
        <f t="shared" si="23"/>
        <v>2448</v>
      </c>
      <c r="AW24" s="37">
        <f t="shared" si="23"/>
        <v>2449</v>
      </c>
      <c r="AX24" s="38">
        <f t="shared" si="24"/>
        <v>2450</v>
      </c>
      <c r="AY24" s="36">
        <f t="shared" si="24"/>
        <v>2451</v>
      </c>
      <c r="AZ24" s="37">
        <f t="shared" si="24"/>
        <v>2452</v>
      </c>
      <c r="BA24" s="37">
        <f t="shared" si="24"/>
        <v>2453</v>
      </c>
      <c r="BB24" s="37">
        <f t="shared" si="24"/>
        <v>2454</v>
      </c>
      <c r="BC24" s="37">
        <f t="shared" si="24"/>
        <v>2455</v>
      </c>
      <c r="BD24" s="37">
        <f t="shared" si="24"/>
        <v>2456</v>
      </c>
      <c r="BE24" s="37">
        <f t="shared" si="24"/>
        <v>2457</v>
      </c>
      <c r="BF24" s="37">
        <f t="shared" si="24"/>
        <v>2458</v>
      </c>
      <c r="BG24" s="37">
        <f t="shared" si="24"/>
        <v>2459</v>
      </c>
      <c r="BH24" s="38">
        <f t="shared" si="24"/>
        <v>2460</v>
      </c>
      <c r="BI24" s="36">
        <f t="shared" si="24"/>
        <v>2461</v>
      </c>
      <c r="BJ24" s="37">
        <f t="shared" si="24"/>
        <v>2462</v>
      </c>
      <c r="BK24" s="37">
        <f t="shared" si="24"/>
        <v>2463</v>
      </c>
      <c r="BL24" s="37">
        <f t="shared" si="24"/>
        <v>2464</v>
      </c>
      <c r="BM24" s="37">
        <f t="shared" si="25"/>
        <v>2465</v>
      </c>
      <c r="BN24" s="37">
        <f t="shared" si="26"/>
        <v>2466</v>
      </c>
      <c r="BO24" s="37">
        <f t="shared" si="27"/>
        <v>2467</v>
      </c>
      <c r="BP24" s="37">
        <f t="shared" si="28"/>
        <v>2468</v>
      </c>
      <c r="BQ24" s="37">
        <f t="shared" si="29"/>
        <v>2469</v>
      </c>
      <c r="BR24" s="39">
        <f t="shared" si="30"/>
        <v>2470</v>
      </c>
      <c r="BS24" s="36">
        <f t="shared" si="31"/>
        <v>2471</v>
      </c>
      <c r="BT24" s="37">
        <f t="shared" si="32"/>
        <v>2472</v>
      </c>
      <c r="BU24" s="37">
        <f t="shared" si="33"/>
        <v>2473</v>
      </c>
      <c r="BV24" s="37">
        <f t="shared" si="34"/>
        <v>2474</v>
      </c>
      <c r="BW24" s="37">
        <f t="shared" si="35"/>
        <v>2475</v>
      </c>
      <c r="BX24" s="37">
        <f t="shared" si="36"/>
        <v>2476</v>
      </c>
      <c r="BY24" s="37">
        <f t="shared" si="37"/>
        <v>2477</v>
      </c>
      <c r="BZ24" s="37">
        <f t="shared" si="38"/>
        <v>2478</v>
      </c>
      <c r="CA24" s="37">
        <f t="shared" si="39"/>
        <v>2479</v>
      </c>
      <c r="CB24" s="38">
        <f t="shared" si="40"/>
        <v>2480</v>
      </c>
      <c r="CC24" s="40">
        <f t="shared" si="41"/>
        <v>2481</v>
      </c>
      <c r="CD24" s="37">
        <f t="shared" si="42"/>
        <v>2482</v>
      </c>
      <c r="CE24" s="37">
        <f t="shared" si="43"/>
        <v>2483</v>
      </c>
      <c r="CF24" s="37">
        <f t="shared" si="44"/>
        <v>2484</v>
      </c>
      <c r="CG24" s="37">
        <f t="shared" si="45"/>
        <v>2485</v>
      </c>
      <c r="CH24" s="37">
        <f t="shared" si="46"/>
        <v>2486</v>
      </c>
      <c r="CI24" s="37">
        <f t="shared" si="47"/>
        <v>2487</v>
      </c>
      <c r="CJ24" s="37">
        <f t="shared" si="48"/>
        <v>2488</v>
      </c>
      <c r="CK24" s="37">
        <f t="shared" si="49"/>
        <v>2489</v>
      </c>
      <c r="CL24" s="39">
        <f t="shared" si="50"/>
        <v>2490</v>
      </c>
      <c r="CM24" s="36">
        <f t="shared" si="51"/>
        <v>2491</v>
      </c>
      <c r="CN24" s="37">
        <f t="shared" si="52"/>
        <v>2492</v>
      </c>
      <c r="CO24" s="37">
        <f t="shared" si="53"/>
        <v>2493</v>
      </c>
      <c r="CP24" s="37">
        <f t="shared" si="54"/>
        <v>2494</v>
      </c>
      <c r="CQ24" s="37">
        <f t="shared" si="55"/>
        <v>2495</v>
      </c>
      <c r="CR24" s="37">
        <f t="shared" si="56"/>
        <v>2496</v>
      </c>
      <c r="CS24" s="37">
        <f t="shared" si="57"/>
        <v>2497</v>
      </c>
      <c r="CT24" s="37">
        <f t="shared" si="58"/>
        <v>2498</v>
      </c>
      <c r="CU24" s="37">
        <f t="shared" si="59"/>
        <v>2499</v>
      </c>
      <c r="CV24" s="38">
        <f t="shared" si="60"/>
        <v>2500</v>
      </c>
      <c r="CW24" s="40">
        <f t="shared" si="61"/>
        <v>2501</v>
      </c>
      <c r="CX24" s="37">
        <f t="shared" si="62"/>
        <v>2502</v>
      </c>
      <c r="CY24" s="37">
        <f t="shared" si="63"/>
        <v>2503</v>
      </c>
      <c r="CZ24" s="37">
        <f t="shared" si="64"/>
        <v>2504</v>
      </c>
      <c r="DA24" s="37">
        <f t="shared" si="65"/>
        <v>2505</v>
      </c>
      <c r="DB24" s="37">
        <f t="shared" si="66"/>
        <v>2506</v>
      </c>
      <c r="DC24" s="37">
        <f t="shared" si="67"/>
        <v>2507</v>
      </c>
      <c r="DD24" s="37">
        <f t="shared" si="68"/>
        <v>2508</v>
      </c>
      <c r="DE24" s="37">
        <f t="shared" si="69"/>
        <v>2509</v>
      </c>
      <c r="DF24" s="39">
        <f t="shared" si="70"/>
        <v>2510</v>
      </c>
      <c r="DG24" s="36">
        <f t="shared" si="71"/>
        <v>2511</v>
      </c>
      <c r="DH24" s="37">
        <f t="shared" si="72"/>
        <v>2512</v>
      </c>
      <c r="DI24" s="37">
        <f t="shared" si="73"/>
        <v>2513</v>
      </c>
      <c r="DJ24" s="37">
        <f t="shared" si="74"/>
        <v>2514</v>
      </c>
      <c r="DK24" s="37">
        <f t="shared" si="75"/>
        <v>2515</v>
      </c>
      <c r="DL24" s="37">
        <f t="shared" si="76"/>
        <v>2516</v>
      </c>
      <c r="DM24" s="37">
        <f t="shared" si="77"/>
        <v>2517</v>
      </c>
      <c r="DN24" s="37">
        <f t="shared" si="78"/>
        <v>2518</v>
      </c>
      <c r="DO24" s="37">
        <f t="shared" si="79"/>
        <v>2519</v>
      </c>
      <c r="DP24" s="38">
        <f t="shared" si="80"/>
        <v>2520</v>
      </c>
      <c r="DQ24" s="63"/>
      <c r="DR24" s="898">
        <v>90</v>
      </c>
      <c r="DS24" s="899"/>
      <c r="DT24" s="898">
        <v>9</v>
      </c>
      <c r="DU24" s="899"/>
      <c r="DV24" s="51"/>
    </row>
    <row r="25" spans="1:126" ht="5.85" customHeight="1" x14ac:dyDescent="0.3">
      <c r="A25" s="36">
        <v>2521</v>
      </c>
      <c r="B25" s="37">
        <f t="shared" si="21"/>
        <v>2522</v>
      </c>
      <c r="C25" s="37">
        <f t="shared" si="21"/>
        <v>2523</v>
      </c>
      <c r="D25" s="37">
        <f t="shared" si="21"/>
        <v>2524</v>
      </c>
      <c r="E25" s="37">
        <f t="shared" si="21"/>
        <v>2525</v>
      </c>
      <c r="F25" s="37">
        <f t="shared" si="21"/>
        <v>2526</v>
      </c>
      <c r="G25" s="37">
        <f t="shared" si="21"/>
        <v>2527</v>
      </c>
      <c r="H25" s="37">
        <f t="shared" si="21"/>
        <v>2528</v>
      </c>
      <c r="I25" s="37">
        <f t="shared" si="21"/>
        <v>2529</v>
      </c>
      <c r="J25" s="38">
        <f t="shared" si="21"/>
        <v>2530</v>
      </c>
      <c r="K25" s="36">
        <f t="shared" si="21"/>
        <v>2531</v>
      </c>
      <c r="L25" s="37">
        <f t="shared" si="21"/>
        <v>2532</v>
      </c>
      <c r="M25" s="37">
        <f t="shared" si="21"/>
        <v>2533</v>
      </c>
      <c r="N25" s="37">
        <f t="shared" si="21"/>
        <v>2534</v>
      </c>
      <c r="O25" s="37">
        <f t="shared" si="21"/>
        <v>2535</v>
      </c>
      <c r="P25" s="37">
        <f t="shared" si="21"/>
        <v>2536</v>
      </c>
      <c r="Q25" s="37">
        <f t="shared" si="21"/>
        <v>2537</v>
      </c>
      <c r="R25" s="37">
        <f t="shared" si="22"/>
        <v>2538</v>
      </c>
      <c r="S25" s="37">
        <f t="shared" si="22"/>
        <v>2539</v>
      </c>
      <c r="T25" s="38">
        <f t="shared" si="22"/>
        <v>2540</v>
      </c>
      <c r="U25" s="36">
        <f t="shared" si="22"/>
        <v>2541</v>
      </c>
      <c r="V25" s="37">
        <f t="shared" si="22"/>
        <v>2542</v>
      </c>
      <c r="W25" s="37">
        <f t="shared" si="22"/>
        <v>2543</v>
      </c>
      <c r="X25" s="37">
        <f t="shared" si="22"/>
        <v>2544</v>
      </c>
      <c r="Y25" s="37">
        <f t="shared" si="22"/>
        <v>2545</v>
      </c>
      <c r="Z25" s="37">
        <f t="shared" si="22"/>
        <v>2546</v>
      </c>
      <c r="AA25" s="37">
        <f t="shared" si="22"/>
        <v>2547</v>
      </c>
      <c r="AB25" s="37">
        <f t="shared" si="22"/>
        <v>2548</v>
      </c>
      <c r="AC25" s="37">
        <f t="shared" si="22"/>
        <v>2549</v>
      </c>
      <c r="AD25" s="38">
        <f t="shared" si="22"/>
        <v>2550</v>
      </c>
      <c r="AE25" s="36">
        <f t="shared" si="22"/>
        <v>2551</v>
      </c>
      <c r="AF25" s="37">
        <f t="shared" si="22"/>
        <v>2552</v>
      </c>
      <c r="AG25" s="37">
        <f t="shared" si="22"/>
        <v>2553</v>
      </c>
      <c r="AH25" s="37">
        <f t="shared" si="23"/>
        <v>2554</v>
      </c>
      <c r="AI25" s="37">
        <f t="shared" si="23"/>
        <v>2555</v>
      </c>
      <c r="AJ25" s="37">
        <f t="shared" si="23"/>
        <v>2556</v>
      </c>
      <c r="AK25" s="37">
        <f t="shared" si="23"/>
        <v>2557</v>
      </c>
      <c r="AL25" s="37">
        <f t="shared" si="23"/>
        <v>2558</v>
      </c>
      <c r="AM25" s="37">
        <f t="shared" si="23"/>
        <v>2559</v>
      </c>
      <c r="AN25" s="38">
        <f t="shared" si="23"/>
        <v>2560</v>
      </c>
      <c r="AO25" s="36">
        <f t="shared" si="23"/>
        <v>2561</v>
      </c>
      <c r="AP25" s="37">
        <f t="shared" si="23"/>
        <v>2562</v>
      </c>
      <c r="AQ25" s="37">
        <f t="shared" si="23"/>
        <v>2563</v>
      </c>
      <c r="AR25" s="37">
        <f t="shared" si="23"/>
        <v>2564</v>
      </c>
      <c r="AS25" s="37">
        <f t="shared" si="23"/>
        <v>2565</v>
      </c>
      <c r="AT25" s="37">
        <f t="shared" si="23"/>
        <v>2566</v>
      </c>
      <c r="AU25" s="37">
        <f t="shared" si="23"/>
        <v>2567</v>
      </c>
      <c r="AV25" s="37">
        <f t="shared" si="23"/>
        <v>2568</v>
      </c>
      <c r="AW25" s="37">
        <f t="shared" si="23"/>
        <v>2569</v>
      </c>
      <c r="AX25" s="38">
        <f t="shared" si="24"/>
        <v>2570</v>
      </c>
      <c r="AY25" s="36">
        <f t="shared" si="24"/>
        <v>2571</v>
      </c>
      <c r="AZ25" s="37">
        <f t="shared" si="24"/>
        <v>2572</v>
      </c>
      <c r="BA25" s="37">
        <f t="shared" si="24"/>
        <v>2573</v>
      </c>
      <c r="BB25" s="37">
        <f t="shared" si="24"/>
        <v>2574</v>
      </c>
      <c r="BC25" s="37">
        <f t="shared" si="24"/>
        <v>2575</v>
      </c>
      <c r="BD25" s="37">
        <f t="shared" si="24"/>
        <v>2576</v>
      </c>
      <c r="BE25" s="37">
        <f t="shared" si="24"/>
        <v>2577</v>
      </c>
      <c r="BF25" s="37">
        <f t="shared" si="24"/>
        <v>2578</v>
      </c>
      <c r="BG25" s="37">
        <f t="shared" si="24"/>
        <v>2579</v>
      </c>
      <c r="BH25" s="38">
        <f t="shared" si="24"/>
        <v>2580</v>
      </c>
      <c r="BI25" s="36">
        <f t="shared" si="24"/>
        <v>2581</v>
      </c>
      <c r="BJ25" s="37">
        <f t="shared" si="24"/>
        <v>2582</v>
      </c>
      <c r="BK25" s="37">
        <f t="shared" si="24"/>
        <v>2583</v>
      </c>
      <c r="BL25" s="37">
        <f t="shared" si="24"/>
        <v>2584</v>
      </c>
      <c r="BM25" s="37">
        <f t="shared" si="25"/>
        <v>2585</v>
      </c>
      <c r="BN25" s="37">
        <f t="shared" si="26"/>
        <v>2586</v>
      </c>
      <c r="BO25" s="37">
        <f t="shared" si="27"/>
        <v>2587</v>
      </c>
      <c r="BP25" s="37">
        <f t="shared" si="28"/>
        <v>2588</v>
      </c>
      <c r="BQ25" s="37">
        <f t="shared" si="29"/>
        <v>2589</v>
      </c>
      <c r="BR25" s="39">
        <f t="shared" si="30"/>
        <v>2590</v>
      </c>
      <c r="BS25" s="36">
        <f t="shared" si="31"/>
        <v>2591</v>
      </c>
      <c r="BT25" s="37">
        <f t="shared" si="32"/>
        <v>2592</v>
      </c>
      <c r="BU25" s="37">
        <f t="shared" si="33"/>
        <v>2593</v>
      </c>
      <c r="BV25" s="37">
        <f t="shared" si="34"/>
        <v>2594</v>
      </c>
      <c r="BW25" s="37">
        <f t="shared" si="35"/>
        <v>2595</v>
      </c>
      <c r="BX25" s="37">
        <f t="shared" si="36"/>
        <v>2596</v>
      </c>
      <c r="BY25" s="37">
        <f t="shared" si="37"/>
        <v>2597</v>
      </c>
      <c r="BZ25" s="37">
        <f t="shared" si="38"/>
        <v>2598</v>
      </c>
      <c r="CA25" s="37">
        <f t="shared" si="39"/>
        <v>2599</v>
      </c>
      <c r="CB25" s="38">
        <f t="shared" si="40"/>
        <v>2600</v>
      </c>
      <c r="CC25" s="40">
        <f t="shared" si="41"/>
        <v>2601</v>
      </c>
      <c r="CD25" s="37">
        <f t="shared" si="42"/>
        <v>2602</v>
      </c>
      <c r="CE25" s="37">
        <f t="shared" si="43"/>
        <v>2603</v>
      </c>
      <c r="CF25" s="37">
        <f t="shared" si="44"/>
        <v>2604</v>
      </c>
      <c r="CG25" s="37">
        <f t="shared" si="45"/>
        <v>2605</v>
      </c>
      <c r="CH25" s="37">
        <f t="shared" si="46"/>
        <v>2606</v>
      </c>
      <c r="CI25" s="37">
        <f t="shared" si="47"/>
        <v>2607</v>
      </c>
      <c r="CJ25" s="37">
        <f t="shared" si="48"/>
        <v>2608</v>
      </c>
      <c r="CK25" s="37">
        <f t="shared" si="49"/>
        <v>2609</v>
      </c>
      <c r="CL25" s="39">
        <f t="shared" si="50"/>
        <v>2610</v>
      </c>
      <c r="CM25" s="36">
        <f t="shared" si="51"/>
        <v>2611</v>
      </c>
      <c r="CN25" s="37">
        <f t="shared" si="52"/>
        <v>2612</v>
      </c>
      <c r="CO25" s="37">
        <f t="shared" si="53"/>
        <v>2613</v>
      </c>
      <c r="CP25" s="37">
        <f t="shared" si="54"/>
        <v>2614</v>
      </c>
      <c r="CQ25" s="37">
        <f t="shared" si="55"/>
        <v>2615</v>
      </c>
      <c r="CR25" s="37">
        <f t="shared" si="56"/>
        <v>2616</v>
      </c>
      <c r="CS25" s="37">
        <f t="shared" si="57"/>
        <v>2617</v>
      </c>
      <c r="CT25" s="37">
        <f t="shared" si="58"/>
        <v>2618</v>
      </c>
      <c r="CU25" s="37">
        <f t="shared" si="59"/>
        <v>2619</v>
      </c>
      <c r="CV25" s="38">
        <f t="shared" si="60"/>
        <v>2620</v>
      </c>
      <c r="CW25" s="40">
        <f t="shared" si="61"/>
        <v>2621</v>
      </c>
      <c r="CX25" s="37">
        <f t="shared" si="62"/>
        <v>2622</v>
      </c>
      <c r="CY25" s="37">
        <f t="shared" si="63"/>
        <v>2623</v>
      </c>
      <c r="CZ25" s="37">
        <f t="shared" si="64"/>
        <v>2624</v>
      </c>
      <c r="DA25" s="37">
        <f t="shared" si="65"/>
        <v>2625</v>
      </c>
      <c r="DB25" s="37">
        <f t="shared" si="66"/>
        <v>2626</v>
      </c>
      <c r="DC25" s="37">
        <f t="shared" si="67"/>
        <v>2627</v>
      </c>
      <c r="DD25" s="37">
        <f t="shared" si="68"/>
        <v>2628</v>
      </c>
      <c r="DE25" s="37">
        <f t="shared" si="69"/>
        <v>2629</v>
      </c>
      <c r="DF25" s="39">
        <f t="shared" si="70"/>
        <v>2630</v>
      </c>
      <c r="DG25" s="36">
        <f t="shared" si="71"/>
        <v>2631</v>
      </c>
      <c r="DH25" s="37">
        <f t="shared" si="72"/>
        <v>2632</v>
      </c>
      <c r="DI25" s="37">
        <f t="shared" si="73"/>
        <v>2633</v>
      </c>
      <c r="DJ25" s="37">
        <f t="shared" si="74"/>
        <v>2634</v>
      </c>
      <c r="DK25" s="37">
        <f t="shared" si="75"/>
        <v>2635</v>
      </c>
      <c r="DL25" s="37">
        <f t="shared" si="76"/>
        <v>2636</v>
      </c>
      <c r="DM25" s="37">
        <f t="shared" si="77"/>
        <v>2637</v>
      </c>
      <c r="DN25" s="37">
        <f t="shared" si="78"/>
        <v>2638</v>
      </c>
      <c r="DO25" s="37">
        <f t="shared" si="79"/>
        <v>2639</v>
      </c>
      <c r="DP25" s="38">
        <f t="shared" si="80"/>
        <v>2640</v>
      </c>
      <c r="DQ25" s="63"/>
      <c r="DR25" s="900"/>
      <c r="DS25" s="901"/>
      <c r="DT25" s="900"/>
      <c r="DU25" s="901"/>
      <c r="DV25" s="51"/>
    </row>
    <row r="26" spans="1:126" ht="5.85" customHeight="1" x14ac:dyDescent="0.3">
      <c r="A26" s="36">
        <v>2641</v>
      </c>
      <c r="B26" s="37">
        <f t="shared" si="21"/>
        <v>2642</v>
      </c>
      <c r="C26" s="37">
        <f t="shared" si="21"/>
        <v>2643</v>
      </c>
      <c r="D26" s="37">
        <f t="shared" si="21"/>
        <v>2644</v>
      </c>
      <c r="E26" s="37">
        <f t="shared" si="21"/>
        <v>2645</v>
      </c>
      <c r="F26" s="37">
        <f t="shared" si="21"/>
        <v>2646</v>
      </c>
      <c r="G26" s="37">
        <f t="shared" si="21"/>
        <v>2647</v>
      </c>
      <c r="H26" s="37">
        <f t="shared" si="21"/>
        <v>2648</v>
      </c>
      <c r="I26" s="37">
        <f t="shared" si="21"/>
        <v>2649</v>
      </c>
      <c r="J26" s="38">
        <f t="shared" si="21"/>
        <v>2650</v>
      </c>
      <c r="K26" s="36">
        <f t="shared" si="21"/>
        <v>2651</v>
      </c>
      <c r="L26" s="37">
        <f t="shared" si="21"/>
        <v>2652</v>
      </c>
      <c r="M26" s="37">
        <f t="shared" si="21"/>
        <v>2653</v>
      </c>
      <c r="N26" s="37">
        <f t="shared" si="21"/>
        <v>2654</v>
      </c>
      <c r="O26" s="37">
        <f t="shared" si="21"/>
        <v>2655</v>
      </c>
      <c r="P26" s="37">
        <f t="shared" si="21"/>
        <v>2656</v>
      </c>
      <c r="Q26" s="37">
        <f t="shared" si="21"/>
        <v>2657</v>
      </c>
      <c r="R26" s="37">
        <f t="shared" si="22"/>
        <v>2658</v>
      </c>
      <c r="S26" s="37">
        <f t="shared" si="22"/>
        <v>2659</v>
      </c>
      <c r="T26" s="38">
        <f t="shared" si="22"/>
        <v>2660</v>
      </c>
      <c r="U26" s="36">
        <f t="shared" si="22"/>
        <v>2661</v>
      </c>
      <c r="V26" s="37">
        <f t="shared" si="22"/>
        <v>2662</v>
      </c>
      <c r="W26" s="37">
        <f t="shared" si="22"/>
        <v>2663</v>
      </c>
      <c r="X26" s="37">
        <f t="shared" si="22"/>
        <v>2664</v>
      </c>
      <c r="Y26" s="37">
        <f t="shared" si="22"/>
        <v>2665</v>
      </c>
      <c r="Z26" s="37">
        <f t="shared" si="22"/>
        <v>2666</v>
      </c>
      <c r="AA26" s="37">
        <f t="shared" si="22"/>
        <v>2667</v>
      </c>
      <c r="AB26" s="37">
        <f t="shared" si="22"/>
        <v>2668</v>
      </c>
      <c r="AC26" s="37">
        <f t="shared" si="22"/>
        <v>2669</v>
      </c>
      <c r="AD26" s="38">
        <f t="shared" si="22"/>
        <v>2670</v>
      </c>
      <c r="AE26" s="36">
        <f t="shared" si="22"/>
        <v>2671</v>
      </c>
      <c r="AF26" s="37">
        <f t="shared" si="22"/>
        <v>2672</v>
      </c>
      <c r="AG26" s="37">
        <f t="shared" si="22"/>
        <v>2673</v>
      </c>
      <c r="AH26" s="37">
        <f t="shared" si="23"/>
        <v>2674</v>
      </c>
      <c r="AI26" s="37">
        <f t="shared" si="23"/>
        <v>2675</v>
      </c>
      <c r="AJ26" s="37">
        <f t="shared" si="23"/>
        <v>2676</v>
      </c>
      <c r="AK26" s="37">
        <f t="shared" si="23"/>
        <v>2677</v>
      </c>
      <c r="AL26" s="37">
        <f t="shared" si="23"/>
        <v>2678</v>
      </c>
      <c r="AM26" s="37">
        <f t="shared" si="23"/>
        <v>2679</v>
      </c>
      <c r="AN26" s="38">
        <f t="shared" si="23"/>
        <v>2680</v>
      </c>
      <c r="AO26" s="36">
        <f t="shared" si="23"/>
        <v>2681</v>
      </c>
      <c r="AP26" s="37">
        <f t="shared" si="23"/>
        <v>2682</v>
      </c>
      <c r="AQ26" s="37">
        <f t="shared" si="23"/>
        <v>2683</v>
      </c>
      <c r="AR26" s="37">
        <f t="shared" si="23"/>
        <v>2684</v>
      </c>
      <c r="AS26" s="37">
        <f t="shared" si="23"/>
        <v>2685</v>
      </c>
      <c r="AT26" s="37">
        <f t="shared" si="23"/>
        <v>2686</v>
      </c>
      <c r="AU26" s="37">
        <f t="shared" si="23"/>
        <v>2687</v>
      </c>
      <c r="AV26" s="37">
        <f t="shared" si="23"/>
        <v>2688</v>
      </c>
      <c r="AW26" s="37">
        <f t="shared" si="23"/>
        <v>2689</v>
      </c>
      <c r="AX26" s="38">
        <f t="shared" si="24"/>
        <v>2690</v>
      </c>
      <c r="AY26" s="36">
        <f t="shared" si="24"/>
        <v>2691</v>
      </c>
      <c r="AZ26" s="37">
        <f t="shared" si="24"/>
        <v>2692</v>
      </c>
      <c r="BA26" s="37">
        <f t="shared" si="24"/>
        <v>2693</v>
      </c>
      <c r="BB26" s="37">
        <f t="shared" si="24"/>
        <v>2694</v>
      </c>
      <c r="BC26" s="37">
        <f t="shared" si="24"/>
        <v>2695</v>
      </c>
      <c r="BD26" s="37">
        <f t="shared" si="24"/>
        <v>2696</v>
      </c>
      <c r="BE26" s="37">
        <f t="shared" si="24"/>
        <v>2697</v>
      </c>
      <c r="BF26" s="37">
        <f t="shared" si="24"/>
        <v>2698</v>
      </c>
      <c r="BG26" s="37">
        <f t="shared" si="24"/>
        <v>2699</v>
      </c>
      <c r="BH26" s="38">
        <f t="shared" si="24"/>
        <v>2700</v>
      </c>
      <c r="BI26" s="36">
        <f t="shared" si="24"/>
        <v>2701</v>
      </c>
      <c r="BJ26" s="37">
        <f t="shared" si="24"/>
        <v>2702</v>
      </c>
      <c r="BK26" s="37">
        <f t="shared" si="24"/>
        <v>2703</v>
      </c>
      <c r="BL26" s="37">
        <f t="shared" si="24"/>
        <v>2704</v>
      </c>
      <c r="BM26" s="37">
        <f t="shared" si="25"/>
        <v>2705</v>
      </c>
      <c r="BN26" s="37">
        <f t="shared" si="26"/>
        <v>2706</v>
      </c>
      <c r="BO26" s="37">
        <f t="shared" si="27"/>
        <v>2707</v>
      </c>
      <c r="BP26" s="37">
        <f t="shared" si="28"/>
        <v>2708</v>
      </c>
      <c r="BQ26" s="37">
        <f t="shared" si="29"/>
        <v>2709</v>
      </c>
      <c r="BR26" s="39">
        <f t="shared" si="30"/>
        <v>2710</v>
      </c>
      <c r="BS26" s="36">
        <f t="shared" si="31"/>
        <v>2711</v>
      </c>
      <c r="BT26" s="37">
        <f t="shared" si="32"/>
        <v>2712</v>
      </c>
      <c r="BU26" s="37">
        <f t="shared" si="33"/>
        <v>2713</v>
      </c>
      <c r="BV26" s="37">
        <f t="shared" si="34"/>
        <v>2714</v>
      </c>
      <c r="BW26" s="37">
        <f t="shared" si="35"/>
        <v>2715</v>
      </c>
      <c r="BX26" s="37">
        <f t="shared" si="36"/>
        <v>2716</v>
      </c>
      <c r="BY26" s="37">
        <f t="shared" si="37"/>
        <v>2717</v>
      </c>
      <c r="BZ26" s="37">
        <f t="shared" si="38"/>
        <v>2718</v>
      </c>
      <c r="CA26" s="37">
        <f t="shared" si="39"/>
        <v>2719</v>
      </c>
      <c r="CB26" s="38">
        <f t="shared" si="40"/>
        <v>2720</v>
      </c>
      <c r="CC26" s="40">
        <f t="shared" si="41"/>
        <v>2721</v>
      </c>
      <c r="CD26" s="37">
        <f t="shared" si="42"/>
        <v>2722</v>
      </c>
      <c r="CE26" s="37">
        <f t="shared" si="43"/>
        <v>2723</v>
      </c>
      <c r="CF26" s="37">
        <f t="shared" si="44"/>
        <v>2724</v>
      </c>
      <c r="CG26" s="37">
        <f t="shared" si="45"/>
        <v>2725</v>
      </c>
      <c r="CH26" s="37">
        <f t="shared" si="46"/>
        <v>2726</v>
      </c>
      <c r="CI26" s="37">
        <f t="shared" si="47"/>
        <v>2727</v>
      </c>
      <c r="CJ26" s="37">
        <f t="shared" si="48"/>
        <v>2728</v>
      </c>
      <c r="CK26" s="37">
        <f t="shared" si="49"/>
        <v>2729</v>
      </c>
      <c r="CL26" s="39">
        <f t="shared" si="50"/>
        <v>2730</v>
      </c>
      <c r="CM26" s="36">
        <f t="shared" si="51"/>
        <v>2731</v>
      </c>
      <c r="CN26" s="37">
        <f t="shared" si="52"/>
        <v>2732</v>
      </c>
      <c r="CO26" s="37">
        <f t="shared" si="53"/>
        <v>2733</v>
      </c>
      <c r="CP26" s="37">
        <f t="shared" si="54"/>
        <v>2734</v>
      </c>
      <c r="CQ26" s="37">
        <f t="shared" si="55"/>
        <v>2735</v>
      </c>
      <c r="CR26" s="37">
        <f t="shared" si="56"/>
        <v>2736</v>
      </c>
      <c r="CS26" s="37">
        <f t="shared" si="57"/>
        <v>2737</v>
      </c>
      <c r="CT26" s="37">
        <f t="shared" si="58"/>
        <v>2738</v>
      </c>
      <c r="CU26" s="37">
        <f t="shared" si="59"/>
        <v>2739</v>
      </c>
      <c r="CV26" s="38">
        <f t="shared" si="60"/>
        <v>2740</v>
      </c>
      <c r="CW26" s="40">
        <f t="shared" si="61"/>
        <v>2741</v>
      </c>
      <c r="CX26" s="37">
        <f t="shared" si="62"/>
        <v>2742</v>
      </c>
      <c r="CY26" s="37">
        <f t="shared" si="63"/>
        <v>2743</v>
      </c>
      <c r="CZ26" s="37">
        <f t="shared" si="64"/>
        <v>2744</v>
      </c>
      <c r="DA26" s="37">
        <f t="shared" si="65"/>
        <v>2745</v>
      </c>
      <c r="DB26" s="37">
        <f t="shared" si="66"/>
        <v>2746</v>
      </c>
      <c r="DC26" s="37">
        <f t="shared" si="67"/>
        <v>2747</v>
      </c>
      <c r="DD26" s="37">
        <f t="shared" si="68"/>
        <v>2748</v>
      </c>
      <c r="DE26" s="37">
        <f t="shared" si="69"/>
        <v>2749</v>
      </c>
      <c r="DF26" s="39">
        <f t="shared" si="70"/>
        <v>2750</v>
      </c>
      <c r="DG26" s="36">
        <f t="shared" si="71"/>
        <v>2751</v>
      </c>
      <c r="DH26" s="37">
        <f t="shared" si="72"/>
        <v>2752</v>
      </c>
      <c r="DI26" s="37">
        <f t="shared" si="73"/>
        <v>2753</v>
      </c>
      <c r="DJ26" s="37">
        <f t="shared" si="74"/>
        <v>2754</v>
      </c>
      <c r="DK26" s="37">
        <f t="shared" si="75"/>
        <v>2755</v>
      </c>
      <c r="DL26" s="37">
        <f t="shared" si="76"/>
        <v>2756</v>
      </c>
      <c r="DM26" s="37">
        <f t="shared" si="77"/>
        <v>2757</v>
      </c>
      <c r="DN26" s="37">
        <f t="shared" si="78"/>
        <v>2758</v>
      </c>
      <c r="DO26" s="37">
        <f t="shared" si="79"/>
        <v>2759</v>
      </c>
      <c r="DP26" s="38">
        <f t="shared" si="80"/>
        <v>2760</v>
      </c>
      <c r="DQ26" s="62"/>
      <c r="DR26" s="62"/>
      <c r="DS26" s="62"/>
      <c r="DT26" s="62"/>
      <c r="DU26" s="50"/>
      <c r="DV26" s="51"/>
    </row>
    <row r="27" spans="1:126" ht="5.85" customHeight="1" x14ac:dyDescent="0.3">
      <c r="A27" s="36">
        <v>2761</v>
      </c>
      <c r="B27" s="37">
        <f t="shared" si="21"/>
        <v>2762</v>
      </c>
      <c r="C27" s="37">
        <f t="shared" si="21"/>
        <v>2763</v>
      </c>
      <c r="D27" s="37">
        <f t="shared" si="21"/>
        <v>2764</v>
      </c>
      <c r="E27" s="37">
        <f t="shared" si="21"/>
        <v>2765</v>
      </c>
      <c r="F27" s="37">
        <f t="shared" si="21"/>
        <v>2766</v>
      </c>
      <c r="G27" s="37">
        <f t="shared" si="21"/>
        <v>2767</v>
      </c>
      <c r="H27" s="37">
        <f t="shared" si="21"/>
        <v>2768</v>
      </c>
      <c r="I27" s="37">
        <f t="shared" si="21"/>
        <v>2769</v>
      </c>
      <c r="J27" s="38">
        <f t="shared" si="21"/>
        <v>2770</v>
      </c>
      <c r="K27" s="36">
        <f t="shared" si="21"/>
        <v>2771</v>
      </c>
      <c r="L27" s="37">
        <f t="shared" si="21"/>
        <v>2772</v>
      </c>
      <c r="M27" s="37">
        <f t="shared" si="21"/>
        <v>2773</v>
      </c>
      <c r="N27" s="37">
        <f t="shared" si="21"/>
        <v>2774</v>
      </c>
      <c r="O27" s="37">
        <f t="shared" si="21"/>
        <v>2775</v>
      </c>
      <c r="P27" s="37">
        <f t="shared" si="21"/>
        <v>2776</v>
      </c>
      <c r="Q27" s="37">
        <f t="shared" si="21"/>
        <v>2777</v>
      </c>
      <c r="R27" s="37">
        <f t="shared" si="22"/>
        <v>2778</v>
      </c>
      <c r="S27" s="37">
        <f t="shared" si="22"/>
        <v>2779</v>
      </c>
      <c r="T27" s="38">
        <f t="shared" si="22"/>
        <v>2780</v>
      </c>
      <c r="U27" s="36">
        <f t="shared" si="22"/>
        <v>2781</v>
      </c>
      <c r="V27" s="37">
        <f t="shared" si="22"/>
        <v>2782</v>
      </c>
      <c r="W27" s="37">
        <f t="shared" si="22"/>
        <v>2783</v>
      </c>
      <c r="X27" s="37">
        <f t="shared" si="22"/>
        <v>2784</v>
      </c>
      <c r="Y27" s="37">
        <f t="shared" si="22"/>
        <v>2785</v>
      </c>
      <c r="Z27" s="37">
        <f t="shared" si="22"/>
        <v>2786</v>
      </c>
      <c r="AA27" s="37">
        <f t="shared" si="22"/>
        <v>2787</v>
      </c>
      <c r="AB27" s="37">
        <f t="shared" si="22"/>
        <v>2788</v>
      </c>
      <c r="AC27" s="37">
        <f t="shared" si="22"/>
        <v>2789</v>
      </c>
      <c r="AD27" s="38">
        <f t="shared" si="22"/>
        <v>2790</v>
      </c>
      <c r="AE27" s="36">
        <f t="shared" si="22"/>
        <v>2791</v>
      </c>
      <c r="AF27" s="37">
        <f t="shared" si="22"/>
        <v>2792</v>
      </c>
      <c r="AG27" s="37">
        <f t="shared" si="22"/>
        <v>2793</v>
      </c>
      <c r="AH27" s="37">
        <f t="shared" si="23"/>
        <v>2794</v>
      </c>
      <c r="AI27" s="37">
        <f t="shared" si="23"/>
        <v>2795</v>
      </c>
      <c r="AJ27" s="37">
        <f t="shared" si="23"/>
        <v>2796</v>
      </c>
      <c r="AK27" s="37">
        <f t="shared" si="23"/>
        <v>2797</v>
      </c>
      <c r="AL27" s="37">
        <f t="shared" si="23"/>
        <v>2798</v>
      </c>
      <c r="AM27" s="37">
        <f t="shared" si="23"/>
        <v>2799</v>
      </c>
      <c r="AN27" s="38">
        <f t="shared" si="23"/>
        <v>2800</v>
      </c>
      <c r="AO27" s="36">
        <f t="shared" si="23"/>
        <v>2801</v>
      </c>
      <c r="AP27" s="37">
        <f t="shared" si="23"/>
        <v>2802</v>
      </c>
      <c r="AQ27" s="37">
        <f t="shared" si="23"/>
        <v>2803</v>
      </c>
      <c r="AR27" s="37">
        <f t="shared" si="23"/>
        <v>2804</v>
      </c>
      <c r="AS27" s="37">
        <f t="shared" si="23"/>
        <v>2805</v>
      </c>
      <c r="AT27" s="37">
        <f t="shared" si="23"/>
        <v>2806</v>
      </c>
      <c r="AU27" s="37">
        <f t="shared" si="23"/>
        <v>2807</v>
      </c>
      <c r="AV27" s="37">
        <f t="shared" si="23"/>
        <v>2808</v>
      </c>
      <c r="AW27" s="37">
        <f t="shared" si="23"/>
        <v>2809</v>
      </c>
      <c r="AX27" s="38">
        <f t="shared" si="24"/>
        <v>2810</v>
      </c>
      <c r="AY27" s="36">
        <f t="shared" si="24"/>
        <v>2811</v>
      </c>
      <c r="AZ27" s="37">
        <f t="shared" si="24"/>
        <v>2812</v>
      </c>
      <c r="BA27" s="37">
        <f t="shared" si="24"/>
        <v>2813</v>
      </c>
      <c r="BB27" s="37">
        <f t="shared" si="24"/>
        <v>2814</v>
      </c>
      <c r="BC27" s="37">
        <f t="shared" si="24"/>
        <v>2815</v>
      </c>
      <c r="BD27" s="37">
        <f t="shared" si="24"/>
        <v>2816</v>
      </c>
      <c r="BE27" s="37">
        <f t="shared" si="24"/>
        <v>2817</v>
      </c>
      <c r="BF27" s="37">
        <f t="shared" si="24"/>
        <v>2818</v>
      </c>
      <c r="BG27" s="37">
        <f t="shared" si="24"/>
        <v>2819</v>
      </c>
      <c r="BH27" s="38">
        <f t="shared" si="24"/>
        <v>2820</v>
      </c>
      <c r="BI27" s="36">
        <f t="shared" si="24"/>
        <v>2821</v>
      </c>
      <c r="BJ27" s="37">
        <f t="shared" si="24"/>
        <v>2822</v>
      </c>
      <c r="BK27" s="37">
        <f t="shared" si="24"/>
        <v>2823</v>
      </c>
      <c r="BL27" s="37">
        <f t="shared" si="24"/>
        <v>2824</v>
      </c>
      <c r="BM27" s="37">
        <f t="shared" si="25"/>
        <v>2825</v>
      </c>
      <c r="BN27" s="37">
        <f t="shared" si="26"/>
        <v>2826</v>
      </c>
      <c r="BO27" s="37">
        <f t="shared" si="27"/>
        <v>2827</v>
      </c>
      <c r="BP27" s="37">
        <f t="shared" si="28"/>
        <v>2828</v>
      </c>
      <c r="BQ27" s="37">
        <f t="shared" si="29"/>
        <v>2829</v>
      </c>
      <c r="BR27" s="39">
        <f t="shared" si="30"/>
        <v>2830</v>
      </c>
      <c r="BS27" s="36">
        <f t="shared" si="31"/>
        <v>2831</v>
      </c>
      <c r="BT27" s="37">
        <f t="shared" si="32"/>
        <v>2832</v>
      </c>
      <c r="BU27" s="37">
        <f t="shared" si="33"/>
        <v>2833</v>
      </c>
      <c r="BV27" s="37">
        <f t="shared" si="34"/>
        <v>2834</v>
      </c>
      <c r="BW27" s="37">
        <f t="shared" si="35"/>
        <v>2835</v>
      </c>
      <c r="BX27" s="37">
        <f t="shared" si="36"/>
        <v>2836</v>
      </c>
      <c r="BY27" s="37">
        <f t="shared" si="37"/>
        <v>2837</v>
      </c>
      <c r="BZ27" s="37">
        <f t="shared" si="38"/>
        <v>2838</v>
      </c>
      <c r="CA27" s="37">
        <f t="shared" si="39"/>
        <v>2839</v>
      </c>
      <c r="CB27" s="38">
        <f t="shared" si="40"/>
        <v>2840</v>
      </c>
      <c r="CC27" s="40">
        <f t="shared" si="41"/>
        <v>2841</v>
      </c>
      <c r="CD27" s="37">
        <f t="shared" si="42"/>
        <v>2842</v>
      </c>
      <c r="CE27" s="37">
        <f t="shared" si="43"/>
        <v>2843</v>
      </c>
      <c r="CF27" s="37">
        <f t="shared" si="44"/>
        <v>2844</v>
      </c>
      <c r="CG27" s="37">
        <f t="shared" si="45"/>
        <v>2845</v>
      </c>
      <c r="CH27" s="37">
        <f t="shared" si="46"/>
        <v>2846</v>
      </c>
      <c r="CI27" s="37">
        <f t="shared" si="47"/>
        <v>2847</v>
      </c>
      <c r="CJ27" s="37">
        <f t="shared" si="48"/>
        <v>2848</v>
      </c>
      <c r="CK27" s="37">
        <f t="shared" si="49"/>
        <v>2849</v>
      </c>
      <c r="CL27" s="39">
        <f t="shared" si="50"/>
        <v>2850</v>
      </c>
      <c r="CM27" s="36">
        <f t="shared" si="51"/>
        <v>2851</v>
      </c>
      <c r="CN27" s="37">
        <f t="shared" si="52"/>
        <v>2852</v>
      </c>
      <c r="CO27" s="37">
        <f t="shared" si="53"/>
        <v>2853</v>
      </c>
      <c r="CP27" s="37">
        <f t="shared" si="54"/>
        <v>2854</v>
      </c>
      <c r="CQ27" s="37">
        <f t="shared" si="55"/>
        <v>2855</v>
      </c>
      <c r="CR27" s="37">
        <f t="shared" si="56"/>
        <v>2856</v>
      </c>
      <c r="CS27" s="37">
        <f t="shared" si="57"/>
        <v>2857</v>
      </c>
      <c r="CT27" s="37">
        <f t="shared" si="58"/>
        <v>2858</v>
      </c>
      <c r="CU27" s="37">
        <f t="shared" si="59"/>
        <v>2859</v>
      </c>
      <c r="CV27" s="38">
        <f t="shared" si="60"/>
        <v>2860</v>
      </c>
      <c r="CW27" s="40">
        <f t="shared" si="61"/>
        <v>2861</v>
      </c>
      <c r="CX27" s="37">
        <f t="shared" si="62"/>
        <v>2862</v>
      </c>
      <c r="CY27" s="37">
        <f t="shared" si="63"/>
        <v>2863</v>
      </c>
      <c r="CZ27" s="37">
        <f t="shared" si="64"/>
        <v>2864</v>
      </c>
      <c r="DA27" s="37">
        <f t="shared" si="65"/>
        <v>2865</v>
      </c>
      <c r="DB27" s="37">
        <f t="shared" si="66"/>
        <v>2866</v>
      </c>
      <c r="DC27" s="37">
        <f t="shared" si="67"/>
        <v>2867</v>
      </c>
      <c r="DD27" s="37">
        <f t="shared" si="68"/>
        <v>2868</v>
      </c>
      <c r="DE27" s="37">
        <f t="shared" si="69"/>
        <v>2869</v>
      </c>
      <c r="DF27" s="39">
        <f t="shared" si="70"/>
        <v>2870</v>
      </c>
      <c r="DG27" s="36">
        <f t="shared" si="71"/>
        <v>2871</v>
      </c>
      <c r="DH27" s="37">
        <f t="shared" si="72"/>
        <v>2872</v>
      </c>
      <c r="DI27" s="37">
        <f t="shared" si="73"/>
        <v>2873</v>
      </c>
      <c r="DJ27" s="37">
        <f t="shared" si="74"/>
        <v>2874</v>
      </c>
      <c r="DK27" s="37">
        <f t="shared" si="75"/>
        <v>2875</v>
      </c>
      <c r="DL27" s="37">
        <f t="shared" si="76"/>
        <v>2876</v>
      </c>
      <c r="DM27" s="37">
        <f t="shared" si="77"/>
        <v>2877</v>
      </c>
      <c r="DN27" s="37">
        <f t="shared" si="78"/>
        <v>2878</v>
      </c>
      <c r="DO27" s="37">
        <f t="shared" si="79"/>
        <v>2879</v>
      </c>
      <c r="DP27" s="38">
        <f t="shared" si="80"/>
        <v>2880</v>
      </c>
      <c r="DQ27" s="62"/>
      <c r="DR27" s="62"/>
      <c r="DS27" s="62"/>
      <c r="DT27" s="62"/>
      <c r="DU27" s="50"/>
      <c r="DV27" s="51"/>
    </row>
    <row r="28" spans="1:126" ht="5.85" customHeight="1" thickBot="1" x14ac:dyDescent="0.35">
      <c r="A28" s="41">
        <v>2881</v>
      </c>
      <c r="B28" s="42">
        <f t="shared" si="21"/>
        <v>2882</v>
      </c>
      <c r="C28" s="42">
        <f t="shared" si="21"/>
        <v>2883</v>
      </c>
      <c r="D28" s="42">
        <f t="shared" si="21"/>
        <v>2884</v>
      </c>
      <c r="E28" s="42">
        <f t="shared" si="21"/>
        <v>2885</v>
      </c>
      <c r="F28" s="42">
        <f t="shared" si="21"/>
        <v>2886</v>
      </c>
      <c r="G28" s="42">
        <f t="shared" si="21"/>
        <v>2887</v>
      </c>
      <c r="H28" s="42">
        <f t="shared" si="21"/>
        <v>2888</v>
      </c>
      <c r="I28" s="42">
        <f t="shared" si="21"/>
        <v>2889</v>
      </c>
      <c r="J28" s="65">
        <f t="shared" si="21"/>
        <v>2890</v>
      </c>
      <c r="K28" s="41">
        <f t="shared" si="21"/>
        <v>2891</v>
      </c>
      <c r="L28" s="42">
        <f t="shared" si="21"/>
        <v>2892</v>
      </c>
      <c r="M28" s="42">
        <f t="shared" si="21"/>
        <v>2893</v>
      </c>
      <c r="N28" s="42">
        <f t="shared" si="21"/>
        <v>2894</v>
      </c>
      <c r="O28" s="42">
        <f t="shared" si="21"/>
        <v>2895</v>
      </c>
      <c r="P28" s="42">
        <f t="shared" si="21"/>
        <v>2896</v>
      </c>
      <c r="Q28" s="42">
        <f t="shared" si="21"/>
        <v>2897</v>
      </c>
      <c r="R28" s="42">
        <f t="shared" si="22"/>
        <v>2898</v>
      </c>
      <c r="S28" s="42">
        <f t="shared" si="22"/>
        <v>2899</v>
      </c>
      <c r="T28" s="65">
        <f t="shared" si="22"/>
        <v>2900</v>
      </c>
      <c r="U28" s="41">
        <f t="shared" si="22"/>
        <v>2901</v>
      </c>
      <c r="V28" s="42">
        <f t="shared" si="22"/>
        <v>2902</v>
      </c>
      <c r="W28" s="42">
        <f t="shared" si="22"/>
        <v>2903</v>
      </c>
      <c r="X28" s="42">
        <f t="shared" si="22"/>
        <v>2904</v>
      </c>
      <c r="Y28" s="42">
        <f t="shared" si="22"/>
        <v>2905</v>
      </c>
      <c r="Z28" s="42">
        <f t="shared" si="22"/>
        <v>2906</v>
      </c>
      <c r="AA28" s="42">
        <f t="shared" si="22"/>
        <v>2907</v>
      </c>
      <c r="AB28" s="42">
        <f t="shared" si="22"/>
        <v>2908</v>
      </c>
      <c r="AC28" s="42">
        <f t="shared" si="22"/>
        <v>2909</v>
      </c>
      <c r="AD28" s="65">
        <f t="shared" si="22"/>
        <v>2910</v>
      </c>
      <c r="AE28" s="41">
        <f t="shared" si="22"/>
        <v>2911</v>
      </c>
      <c r="AF28" s="42">
        <f t="shared" si="22"/>
        <v>2912</v>
      </c>
      <c r="AG28" s="42">
        <f t="shared" si="22"/>
        <v>2913</v>
      </c>
      <c r="AH28" s="42">
        <f t="shared" si="23"/>
        <v>2914</v>
      </c>
      <c r="AI28" s="42">
        <f t="shared" si="23"/>
        <v>2915</v>
      </c>
      <c r="AJ28" s="42">
        <f t="shared" si="23"/>
        <v>2916</v>
      </c>
      <c r="AK28" s="42">
        <f t="shared" si="23"/>
        <v>2917</v>
      </c>
      <c r="AL28" s="42">
        <f t="shared" si="23"/>
        <v>2918</v>
      </c>
      <c r="AM28" s="42">
        <f t="shared" si="23"/>
        <v>2919</v>
      </c>
      <c r="AN28" s="65">
        <f t="shared" si="23"/>
        <v>2920</v>
      </c>
      <c r="AO28" s="41">
        <f t="shared" si="23"/>
        <v>2921</v>
      </c>
      <c r="AP28" s="42">
        <f t="shared" si="23"/>
        <v>2922</v>
      </c>
      <c r="AQ28" s="42">
        <f t="shared" si="23"/>
        <v>2923</v>
      </c>
      <c r="AR28" s="42">
        <f t="shared" si="23"/>
        <v>2924</v>
      </c>
      <c r="AS28" s="42">
        <f t="shared" si="23"/>
        <v>2925</v>
      </c>
      <c r="AT28" s="42">
        <f t="shared" si="23"/>
        <v>2926</v>
      </c>
      <c r="AU28" s="42">
        <f t="shared" si="23"/>
        <v>2927</v>
      </c>
      <c r="AV28" s="42">
        <f t="shared" si="23"/>
        <v>2928</v>
      </c>
      <c r="AW28" s="42">
        <f t="shared" si="23"/>
        <v>2929</v>
      </c>
      <c r="AX28" s="65">
        <f t="shared" si="24"/>
        <v>2930</v>
      </c>
      <c r="AY28" s="41">
        <f t="shared" si="24"/>
        <v>2931</v>
      </c>
      <c r="AZ28" s="42">
        <f t="shared" si="24"/>
        <v>2932</v>
      </c>
      <c r="BA28" s="42">
        <f t="shared" si="24"/>
        <v>2933</v>
      </c>
      <c r="BB28" s="42">
        <f t="shared" si="24"/>
        <v>2934</v>
      </c>
      <c r="BC28" s="42">
        <f t="shared" si="24"/>
        <v>2935</v>
      </c>
      <c r="BD28" s="42">
        <f t="shared" si="24"/>
        <v>2936</v>
      </c>
      <c r="BE28" s="42">
        <f t="shared" si="24"/>
        <v>2937</v>
      </c>
      <c r="BF28" s="42">
        <f t="shared" si="24"/>
        <v>2938</v>
      </c>
      <c r="BG28" s="42">
        <f t="shared" si="24"/>
        <v>2939</v>
      </c>
      <c r="BH28" s="65">
        <f t="shared" si="24"/>
        <v>2940</v>
      </c>
      <c r="BI28" s="41">
        <f t="shared" si="24"/>
        <v>2941</v>
      </c>
      <c r="BJ28" s="42">
        <f t="shared" si="24"/>
        <v>2942</v>
      </c>
      <c r="BK28" s="42">
        <f t="shared" si="24"/>
        <v>2943</v>
      </c>
      <c r="BL28" s="42">
        <f t="shared" si="24"/>
        <v>2944</v>
      </c>
      <c r="BM28" s="42">
        <f t="shared" si="25"/>
        <v>2945</v>
      </c>
      <c r="BN28" s="42">
        <f t="shared" si="26"/>
        <v>2946</v>
      </c>
      <c r="BO28" s="42">
        <f t="shared" si="27"/>
        <v>2947</v>
      </c>
      <c r="BP28" s="42">
        <f t="shared" si="28"/>
        <v>2948</v>
      </c>
      <c r="BQ28" s="42">
        <f t="shared" si="29"/>
        <v>2949</v>
      </c>
      <c r="BR28" s="43">
        <f t="shared" si="30"/>
        <v>2950</v>
      </c>
      <c r="BS28" s="41">
        <f t="shared" si="31"/>
        <v>2951</v>
      </c>
      <c r="BT28" s="42">
        <f t="shared" si="32"/>
        <v>2952</v>
      </c>
      <c r="BU28" s="42">
        <f t="shared" si="33"/>
        <v>2953</v>
      </c>
      <c r="BV28" s="42">
        <f t="shared" si="34"/>
        <v>2954</v>
      </c>
      <c r="BW28" s="42">
        <f t="shared" si="35"/>
        <v>2955</v>
      </c>
      <c r="BX28" s="42">
        <f t="shared" si="36"/>
        <v>2956</v>
      </c>
      <c r="BY28" s="42">
        <f t="shared" si="37"/>
        <v>2957</v>
      </c>
      <c r="BZ28" s="42">
        <f t="shared" si="38"/>
        <v>2958</v>
      </c>
      <c r="CA28" s="42">
        <f t="shared" si="39"/>
        <v>2959</v>
      </c>
      <c r="CB28" s="65">
        <f t="shared" si="40"/>
        <v>2960</v>
      </c>
      <c r="CC28" s="66">
        <f t="shared" si="41"/>
        <v>2961</v>
      </c>
      <c r="CD28" s="42">
        <f t="shared" si="42"/>
        <v>2962</v>
      </c>
      <c r="CE28" s="42">
        <f t="shared" si="43"/>
        <v>2963</v>
      </c>
      <c r="CF28" s="42">
        <f t="shared" si="44"/>
        <v>2964</v>
      </c>
      <c r="CG28" s="42">
        <f t="shared" si="45"/>
        <v>2965</v>
      </c>
      <c r="CH28" s="42">
        <f t="shared" si="46"/>
        <v>2966</v>
      </c>
      <c r="CI28" s="42">
        <f t="shared" si="47"/>
        <v>2967</v>
      </c>
      <c r="CJ28" s="42">
        <f t="shared" si="48"/>
        <v>2968</v>
      </c>
      <c r="CK28" s="42">
        <f t="shared" si="49"/>
        <v>2969</v>
      </c>
      <c r="CL28" s="43">
        <f t="shared" si="50"/>
        <v>2970</v>
      </c>
      <c r="CM28" s="41">
        <f t="shared" si="51"/>
        <v>2971</v>
      </c>
      <c r="CN28" s="42">
        <f t="shared" si="52"/>
        <v>2972</v>
      </c>
      <c r="CO28" s="42">
        <f t="shared" si="53"/>
        <v>2973</v>
      </c>
      <c r="CP28" s="42">
        <f t="shared" si="54"/>
        <v>2974</v>
      </c>
      <c r="CQ28" s="42">
        <f t="shared" si="55"/>
        <v>2975</v>
      </c>
      <c r="CR28" s="42">
        <f t="shared" si="56"/>
        <v>2976</v>
      </c>
      <c r="CS28" s="42">
        <f t="shared" si="57"/>
        <v>2977</v>
      </c>
      <c r="CT28" s="42">
        <f t="shared" si="58"/>
        <v>2978</v>
      </c>
      <c r="CU28" s="42">
        <f t="shared" si="59"/>
        <v>2979</v>
      </c>
      <c r="CV28" s="65">
        <f t="shared" si="60"/>
        <v>2980</v>
      </c>
      <c r="CW28" s="66">
        <f t="shared" si="61"/>
        <v>2981</v>
      </c>
      <c r="CX28" s="42">
        <f t="shared" si="62"/>
        <v>2982</v>
      </c>
      <c r="CY28" s="42">
        <f t="shared" si="63"/>
        <v>2983</v>
      </c>
      <c r="CZ28" s="42">
        <f t="shared" si="64"/>
        <v>2984</v>
      </c>
      <c r="DA28" s="42">
        <f t="shared" si="65"/>
        <v>2985</v>
      </c>
      <c r="DB28" s="42">
        <f t="shared" si="66"/>
        <v>2986</v>
      </c>
      <c r="DC28" s="42">
        <f t="shared" si="67"/>
        <v>2987</v>
      </c>
      <c r="DD28" s="42">
        <f t="shared" si="68"/>
        <v>2988</v>
      </c>
      <c r="DE28" s="42">
        <f t="shared" si="69"/>
        <v>2989</v>
      </c>
      <c r="DF28" s="43">
        <f t="shared" si="70"/>
        <v>2990</v>
      </c>
      <c r="DG28" s="41">
        <f t="shared" si="71"/>
        <v>2991</v>
      </c>
      <c r="DH28" s="42">
        <f t="shared" si="72"/>
        <v>2992</v>
      </c>
      <c r="DI28" s="42">
        <f t="shared" si="73"/>
        <v>2993</v>
      </c>
      <c r="DJ28" s="42">
        <f t="shared" si="74"/>
        <v>2994</v>
      </c>
      <c r="DK28" s="42">
        <f t="shared" si="75"/>
        <v>2995</v>
      </c>
      <c r="DL28" s="42">
        <f t="shared" si="76"/>
        <v>2996</v>
      </c>
      <c r="DM28" s="42">
        <f t="shared" si="77"/>
        <v>2997</v>
      </c>
      <c r="DN28" s="42">
        <f t="shared" si="78"/>
        <v>2998</v>
      </c>
      <c r="DO28" s="42">
        <f t="shared" si="79"/>
        <v>2999</v>
      </c>
      <c r="DP28" s="65">
        <f t="shared" si="80"/>
        <v>3000</v>
      </c>
      <c r="DQ28" s="62"/>
      <c r="DR28" s="62"/>
      <c r="DS28" s="62"/>
      <c r="DT28" s="62"/>
      <c r="DU28" s="50"/>
      <c r="DV28" s="51"/>
    </row>
    <row r="29" spans="1:126" ht="15" thickBot="1" x14ac:dyDescent="0.35">
      <c r="A29" s="241"/>
      <c r="B29" s="241"/>
      <c r="C29" s="241"/>
      <c r="D29" s="241"/>
      <c r="E29" s="241"/>
      <c r="F29" s="241"/>
      <c r="G29" s="241"/>
      <c r="H29" s="241"/>
      <c r="I29" s="241"/>
      <c r="J29" s="241"/>
      <c r="K29" s="241"/>
      <c r="L29" s="241"/>
      <c r="M29" s="241"/>
      <c r="N29" s="241"/>
      <c r="O29" s="241"/>
      <c r="P29" s="241"/>
      <c r="Q29" s="241"/>
      <c r="R29" s="241"/>
      <c r="S29" s="241"/>
      <c r="T29" s="241"/>
      <c r="U29" s="241"/>
      <c r="V29" s="241"/>
      <c r="W29" s="241"/>
      <c r="X29" s="241"/>
      <c r="Y29" s="241"/>
      <c r="Z29" s="241"/>
      <c r="AA29" s="241"/>
      <c r="AB29" s="241"/>
      <c r="AC29" s="241"/>
      <c r="AD29" s="242"/>
      <c r="AE29" s="242"/>
      <c r="AF29" s="242"/>
      <c r="AG29" s="242"/>
      <c r="AH29" s="242"/>
      <c r="AI29" s="242"/>
      <c r="AJ29" s="242"/>
      <c r="AK29" s="242"/>
      <c r="AL29" s="242"/>
      <c r="AM29" s="242"/>
      <c r="AN29" s="242"/>
      <c r="AO29" s="243" t="s">
        <v>1580</v>
      </c>
      <c r="AP29" s="242"/>
      <c r="AQ29" s="242"/>
      <c r="AR29" s="242"/>
      <c r="AS29" s="242"/>
      <c r="AT29" s="242"/>
      <c r="AU29" s="242"/>
      <c r="AV29" s="242"/>
      <c r="AW29" s="242"/>
      <c r="AX29" s="242"/>
      <c r="AY29" s="242"/>
      <c r="AZ29" s="242"/>
      <c r="BA29" s="242"/>
      <c r="BB29" s="242"/>
      <c r="BC29" s="242"/>
      <c r="BD29" s="242"/>
      <c r="BF29" s="242"/>
      <c r="BG29" s="242"/>
      <c r="BH29" s="242"/>
      <c r="BI29" s="242"/>
      <c r="BJ29" s="242"/>
      <c r="BK29" s="242"/>
      <c r="BL29" s="242"/>
      <c r="BM29" s="242"/>
      <c r="BN29" s="242"/>
      <c r="BO29" s="242"/>
      <c r="BP29" s="242"/>
      <c r="BQ29" s="242"/>
      <c r="BR29" s="242"/>
      <c r="BS29" s="893" t="str">
        <f>'Ship Info'!G22&amp;": "&amp;'Ship Info'!I31</f>
        <v xml:space="preserve">Standard Automation: </v>
      </c>
      <c r="BT29" s="893"/>
      <c r="BU29" s="893"/>
      <c r="BV29" s="893"/>
      <c r="BW29" s="893"/>
      <c r="BX29" s="893"/>
      <c r="BY29" s="893"/>
      <c r="BZ29" s="893"/>
      <c r="CA29" s="893"/>
      <c r="CB29" s="893"/>
      <c r="CC29" s="893"/>
      <c r="CD29" s="893"/>
      <c r="CE29" s="893"/>
      <c r="CF29" s="893"/>
      <c r="CG29" s="893"/>
      <c r="CH29" s="893"/>
      <c r="CI29" s="893"/>
      <c r="CJ29" s="893"/>
      <c r="CK29" s="893"/>
      <c r="CL29" s="893"/>
      <c r="CM29" s="893"/>
      <c r="CN29" s="893"/>
      <c r="CO29" s="893"/>
      <c r="CP29" s="893"/>
      <c r="CQ29" s="893"/>
      <c r="CR29" s="893"/>
      <c r="CS29" s="893"/>
      <c r="CT29" s="893"/>
      <c r="CU29" s="893"/>
      <c r="CV29" s="893"/>
      <c r="CW29" s="893"/>
      <c r="CX29" s="893"/>
      <c r="CY29" s="893"/>
      <c r="CZ29" s="893"/>
      <c r="DA29" s="893"/>
      <c r="DB29" s="893"/>
      <c r="DC29" s="893"/>
      <c r="DD29" s="893"/>
      <c r="DE29" s="893"/>
      <c r="DF29" s="893"/>
      <c r="DG29" s="244"/>
      <c r="DH29" s="244"/>
      <c r="DI29" s="244"/>
      <c r="DJ29" s="244"/>
      <c r="DK29" s="244"/>
      <c r="DL29" s="244"/>
      <c r="DM29" s="244"/>
      <c r="DN29" s="244"/>
      <c r="DO29" s="244"/>
      <c r="DP29" s="244"/>
      <c r="DQ29" s="244"/>
      <c r="DR29" s="257" t="str">
        <f>IF('1-Hull'!D7&lt;3100,"",IF('1-Hull'!D7&lt;31000,"SCALE: 1 Box = 10 Damage","SCALE: 1 Box = 100 Damage"))</f>
        <v/>
      </c>
      <c r="DS29" s="244"/>
      <c r="DT29" s="244"/>
      <c r="DU29" s="50"/>
      <c r="DV29" s="51"/>
    </row>
    <row r="30" spans="1:126" ht="15" thickBot="1" x14ac:dyDescent="0.35">
      <c r="A30" s="1017" t="s">
        <v>295</v>
      </c>
      <c r="B30" s="1018"/>
      <c r="C30" s="1018"/>
      <c r="D30" s="1018"/>
      <c r="E30" s="1018"/>
      <c r="F30" s="1018"/>
      <c r="G30" s="1018"/>
      <c r="H30" s="1018"/>
      <c r="I30" s="1018"/>
      <c r="J30" s="1018"/>
      <c r="K30" s="1018"/>
      <c r="L30" s="1018"/>
      <c r="M30" s="1018"/>
      <c r="N30" s="1018"/>
      <c r="O30" s="1018"/>
      <c r="P30" s="1018"/>
      <c r="Q30" s="1018"/>
      <c r="R30" s="1018"/>
      <c r="S30" s="1018"/>
      <c r="T30" s="1018"/>
      <c r="U30" s="1018"/>
      <c r="V30" s="1018"/>
      <c r="W30" s="1018"/>
      <c r="X30" s="1018"/>
      <c r="Y30" s="1018"/>
      <c r="Z30" s="1018"/>
      <c r="AA30" s="1018"/>
      <c r="AB30" s="1018"/>
      <c r="AC30" s="1019"/>
      <c r="AD30" s="902" t="s">
        <v>314</v>
      </c>
      <c r="AE30" s="924"/>
      <c r="AF30" s="924"/>
      <c r="AG30" s="924"/>
      <c r="AH30" s="924"/>
      <c r="AI30" s="924"/>
      <c r="AJ30" s="924"/>
      <c r="AK30" s="924"/>
      <c r="AL30" s="924"/>
      <c r="AM30" s="924"/>
      <c r="AN30" s="925"/>
      <c r="AO30" s="902" t="s">
        <v>378</v>
      </c>
      <c r="AP30" s="924"/>
      <c r="AQ30" s="924"/>
      <c r="AR30" s="924"/>
      <c r="AS30" s="924"/>
      <c r="AT30" s="924"/>
      <c r="AU30" s="924"/>
      <c r="AV30" s="924"/>
      <c r="AW30" s="924"/>
      <c r="AX30" s="925"/>
      <c r="AY30" s="902" t="s">
        <v>684</v>
      </c>
      <c r="AZ30" s="924"/>
      <c r="BA30" s="924"/>
      <c r="BB30" s="924"/>
      <c r="BC30" s="924"/>
      <c r="BD30" s="924"/>
      <c r="BE30" s="924"/>
      <c r="BF30" s="924"/>
      <c r="BG30" s="924"/>
      <c r="BH30" s="924"/>
      <c r="BI30" s="924"/>
      <c r="BJ30" s="924"/>
      <c r="BK30" s="924"/>
      <c r="BL30" s="924"/>
      <c r="BM30" s="924"/>
      <c r="BN30" s="924"/>
      <c r="BO30" s="924"/>
      <c r="BP30" s="924"/>
      <c r="BQ30" s="924"/>
      <c r="BR30" s="925"/>
      <c r="BS30" s="902" t="s">
        <v>641</v>
      </c>
      <c r="BT30" s="903"/>
      <c r="BU30" s="903"/>
      <c r="BV30" s="903"/>
      <c r="BW30" s="903"/>
      <c r="BX30" s="903"/>
      <c r="BY30" s="903"/>
      <c r="BZ30" s="903"/>
      <c r="CA30" s="903"/>
      <c r="CB30" s="903"/>
      <c r="CC30" s="903"/>
      <c r="CD30" s="924" t="s">
        <v>640</v>
      </c>
      <c r="CE30" s="924"/>
      <c r="CF30" s="924"/>
      <c r="CG30" s="924"/>
      <c r="CH30" s="924"/>
      <c r="CI30" s="924"/>
      <c r="CJ30" s="924"/>
      <c r="CK30" s="924"/>
      <c r="CL30" s="924"/>
      <c r="CM30" s="924"/>
      <c r="CN30" s="924"/>
      <c r="CO30" s="924"/>
      <c r="CP30" s="924"/>
      <c r="CQ30" s="924"/>
      <c r="CR30" s="924"/>
      <c r="CS30" s="924"/>
      <c r="CT30" s="924"/>
      <c r="CU30" s="924"/>
      <c r="CV30" s="924"/>
      <c r="CW30" s="924"/>
      <c r="CX30" s="924"/>
      <c r="CY30" s="924"/>
      <c r="CZ30" s="924"/>
      <c r="DA30" s="924"/>
      <c r="DB30" s="924"/>
      <c r="DC30" s="924"/>
      <c r="DD30" s="924"/>
      <c r="DE30" s="924"/>
      <c r="DF30" s="924"/>
      <c r="DG30" s="924"/>
      <c r="DH30" s="924"/>
      <c r="DI30" s="924"/>
      <c r="DJ30" s="924"/>
      <c r="DK30" s="924"/>
      <c r="DL30" s="924"/>
      <c r="DM30" s="924"/>
      <c r="DN30" s="924"/>
      <c r="DO30" s="924"/>
      <c r="DP30" s="924"/>
      <c r="DQ30" s="924"/>
      <c r="DR30" s="924"/>
      <c r="DS30" s="924"/>
      <c r="DT30" s="925"/>
      <c r="DU30" s="50"/>
      <c r="DV30" s="51"/>
    </row>
    <row r="31" spans="1:126" x14ac:dyDescent="0.3">
      <c r="A31" s="1020" t="str">
        <f>'8a-Weapons'!AS113</f>
        <v/>
      </c>
      <c r="B31" s="1021"/>
      <c r="C31" s="1021"/>
      <c r="D31" s="1021"/>
      <c r="E31" s="1021"/>
      <c r="F31" s="1021"/>
      <c r="G31" s="1021"/>
      <c r="H31" s="1021"/>
      <c r="I31" s="1021"/>
      <c r="J31" s="1021"/>
      <c r="K31" s="1021"/>
      <c r="L31" s="1021"/>
      <c r="M31" s="1021"/>
      <c r="N31" s="1021"/>
      <c r="O31" s="1021"/>
      <c r="P31" s="1021"/>
      <c r="Q31" s="1021"/>
      <c r="R31" s="1021"/>
      <c r="S31" s="1021"/>
      <c r="T31" s="1021"/>
      <c r="U31" s="1021"/>
      <c r="V31" s="1021"/>
      <c r="W31" s="1021"/>
      <c r="X31" s="1021"/>
      <c r="Y31" s="1021"/>
      <c r="Z31" s="1021"/>
      <c r="AA31" s="1021"/>
      <c r="AB31" s="1021"/>
      <c r="AC31" s="1022"/>
      <c r="AD31" s="1023" t="str">
        <f>'8a-Weapons'!AQ28</f>
        <v/>
      </c>
      <c r="AE31" s="1024"/>
      <c r="AF31" s="1024"/>
      <c r="AG31" s="1024"/>
      <c r="AH31" s="1024"/>
      <c r="AI31" s="1024"/>
      <c r="AJ31" s="1024"/>
      <c r="AK31" s="1024"/>
      <c r="AL31" s="1024"/>
      <c r="AM31" s="1024"/>
      <c r="AN31" s="1025"/>
      <c r="AO31" s="1010" t="str">
        <f>'8a-Weapons'!AR28</f>
        <v/>
      </c>
      <c r="AP31" s="1011"/>
      <c r="AQ31" s="1011"/>
      <c r="AR31" s="1011"/>
      <c r="AS31" s="1011"/>
      <c r="AT31" s="1011"/>
      <c r="AU31" s="1011"/>
      <c r="AV31" s="1011"/>
      <c r="AW31" s="1011"/>
      <c r="AX31" s="1012"/>
      <c r="AY31" s="1010" t="str">
        <f>'8a-Weapons'!AU113</f>
        <v/>
      </c>
      <c r="AZ31" s="1011"/>
      <c r="BA31" s="1011"/>
      <c r="BB31" s="1011"/>
      <c r="BC31" s="1011"/>
      <c r="BD31" s="1011"/>
      <c r="BE31" s="1011"/>
      <c r="BF31" s="1011"/>
      <c r="BG31" s="1011"/>
      <c r="BH31" s="1011"/>
      <c r="BI31" s="1011"/>
      <c r="BJ31" s="1011"/>
      <c r="BK31" s="1011"/>
      <c r="BL31" s="1011"/>
      <c r="BM31" s="1011"/>
      <c r="BN31" s="1011"/>
      <c r="BO31" s="1011"/>
      <c r="BP31" s="1011"/>
      <c r="BQ31" s="1011"/>
      <c r="BR31" s="1012"/>
      <c r="BS31" s="915"/>
      <c r="BT31" s="916"/>
      <c r="BU31" s="928" t="s">
        <v>639</v>
      </c>
      <c r="BV31" s="929"/>
      <c r="BW31" s="929"/>
      <c r="BX31" s="929"/>
      <c r="BY31" s="929"/>
      <c r="BZ31" s="929"/>
      <c r="CA31" s="929"/>
      <c r="CB31" s="929"/>
      <c r="CC31" s="930"/>
      <c r="CD31" s="904">
        <v>1</v>
      </c>
      <c r="CE31" s="905"/>
      <c r="CF31" s="905"/>
      <c r="CG31" s="905"/>
      <c r="CH31" s="905"/>
      <c r="CI31" s="905"/>
      <c r="CJ31" s="905"/>
      <c r="CK31" s="905">
        <v>2</v>
      </c>
      <c r="CL31" s="905"/>
      <c r="CM31" s="905"/>
      <c r="CN31" s="905"/>
      <c r="CO31" s="905"/>
      <c r="CP31" s="905"/>
      <c r="CQ31" s="905"/>
      <c r="CR31" s="905"/>
      <c r="CS31" s="905">
        <v>3</v>
      </c>
      <c r="CT31" s="905"/>
      <c r="CU31" s="905"/>
      <c r="CV31" s="905"/>
      <c r="CW31" s="905"/>
      <c r="CX31" s="905"/>
      <c r="CY31" s="905"/>
      <c r="CZ31" s="905">
        <v>4</v>
      </c>
      <c r="DA31" s="905"/>
      <c r="DB31" s="905"/>
      <c r="DC31" s="905"/>
      <c r="DD31" s="905"/>
      <c r="DE31" s="905"/>
      <c r="DF31" s="905"/>
      <c r="DG31" s="905">
        <v>5</v>
      </c>
      <c r="DH31" s="905"/>
      <c r="DI31" s="905"/>
      <c r="DJ31" s="905"/>
      <c r="DK31" s="905"/>
      <c r="DL31" s="905"/>
      <c r="DM31" s="905"/>
      <c r="DN31" s="905">
        <v>6</v>
      </c>
      <c r="DO31" s="905"/>
      <c r="DP31" s="905"/>
      <c r="DQ31" s="905"/>
      <c r="DR31" s="905"/>
      <c r="DS31" s="905"/>
      <c r="DT31" s="946"/>
      <c r="DU31" s="50"/>
      <c r="DV31" s="51"/>
    </row>
    <row r="32" spans="1:126" ht="7.35" customHeight="1" x14ac:dyDescent="0.3">
      <c r="A32" s="1037" t="str">
        <f>'8a-Weapons'!AS114</f>
        <v/>
      </c>
      <c r="B32" s="1038"/>
      <c r="C32" s="1038"/>
      <c r="D32" s="1038"/>
      <c r="E32" s="1038"/>
      <c r="F32" s="1038"/>
      <c r="G32" s="1038"/>
      <c r="H32" s="1038"/>
      <c r="I32" s="1038"/>
      <c r="J32" s="1038"/>
      <c r="K32" s="1038"/>
      <c r="L32" s="1038"/>
      <c r="M32" s="1038"/>
      <c r="N32" s="1038"/>
      <c r="O32" s="1038"/>
      <c r="P32" s="1038"/>
      <c r="Q32" s="1038"/>
      <c r="R32" s="1038"/>
      <c r="S32" s="1038"/>
      <c r="T32" s="1038"/>
      <c r="U32" s="1038"/>
      <c r="V32" s="1038"/>
      <c r="W32" s="1038"/>
      <c r="X32" s="1038"/>
      <c r="Y32" s="1038"/>
      <c r="Z32" s="1038"/>
      <c r="AA32" s="1038"/>
      <c r="AB32" s="1038"/>
      <c r="AC32" s="1039"/>
      <c r="AD32" s="1043" t="str">
        <f>'8a-Weapons'!AQ29</f>
        <v/>
      </c>
      <c r="AE32" s="1044"/>
      <c r="AF32" s="1044"/>
      <c r="AG32" s="1044"/>
      <c r="AH32" s="1044"/>
      <c r="AI32" s="1044"/>
      <c r="AJ32" s="1044"/>
      <c r="AK32" s="1044"/>
      <c r="AL32" s="1044"/>
      <c r="AM32" s="1044"/>
      <c r="AN32" s="1045"/>
      <c r="AO32" s="1049" t="str">
        <f>'8a-Weapons'!AR29</f>
        <v/>
      </c>
      <c r="AP32" s="1050"/>
      <c r="AQ32" s="1050"/>
      <c r="AR32" s="1050"/>
      <c r="AS32" s="1050"/>
      <c r="AT32" s="1050"/>
      <c r="AU32" s="1050"/>
      <c r="AV32" s="1050"/>
      <c r="AW32" s="1050"/>
      <c r="AX32" s="1051"/>
      <c r="AY32" s="1049" t="str">
        <f>'8a-Weapons'!AU114</f>
        <v/>
      </c>
      <c r="AZ32" s="1050"/>
      <c r="BA32" s="1050"/>
      <c r="BB32" s="1050"/>
      <c r="BC32" s="1050"/>
      <c r="BD32" s="1050"/>
      <c r="BE32" s="1050"/>
      <c r="BF32" s="1050"/>
      <c r="BG32" s="1050"/>
      <c r="BH32" s="1050"/>
      <c r="BI32" s="1050"/>
      <c r="BJ32" s="1050"/>
      <c r="BK32" s="1050"/>
      <c r="BL32" s="1050"/>
      <c r="BM32" s="1050"/>
      <c r="BN32" s="1050"/>
      <c r="BO32" s="1050"/>
      <c r="BP32" s="1050"/>
      <c r="BQ32" s="1050"/>
      <c r="BR32" s="1051"/>
      <c r="BS32" s="999">
        <v>2</v>
      </c>
      <c r="BT32" s="1000"/>
      <c r="BU32" s="1003" t="str">
        <f>"Sensors"&amp;IF('7-Sensors'!B33='7-Sensors'!S11,""," (CS-1)")</f>
        <v>Sensors</v>
      </c>
      <c r="BV32" s="1003"/>
      <c r="BW32" s="1003"/>
      <c r="BX32" s="1003"/>
      <c r="BY32" s="1003"/>
      <c r="BZ32" s="1003"/>
      <c r="CA32" s="1003"/>
      <c r="CB32" s="1003"/>
      <c r="CC32" s="1004"/>
      <c r="CD32" s="1007" t="s">
        <v>646</v>
      </c>
      <c r="CE32" s="907"/>
      <c r="CF32" s="907"/>
      <c r="CG32" s="907"/>
      <c r="CH32" s="907"/>
      <c r="CI32" s="907"/>
      <c r="CJ32" s="908"/>
      <c r="CK32" s="906" t="s">
        <v>1316</v>
      </c>
      <c r="CL32" s="907"/>
      <c r="CM32" s="907"/>
      <c r="CN32" s="907"/>
      <c r="CO32" s="907"/>
      <c r="CP32" s="907"/>
      <c r="CQ32" s="907"/>
      <c r="CR32" s="908"/>
      <c r="CS32" s="906" t="s">
        <v>1316</v>
      </c>
      <c r="CT32" s="907"/>
      <c r="CU32" s="907"/>
      <c r="CV32" s="907"/>
      <c r="CW32" s="907"/>
      <c r="CX32" s="907"/>
      <c r="CY32" s="908"/>
      <c r="CZ32" s="906" t="s">
        <v>1316</v>
      </c>
      <c r="DA32" s="907"/>
      <c r="DB32" s="907"/>
      <c r="DC32" s="907"/>
      <c r="DD32" s="907"/>
      <c r="DE32" s="907"/>
      <c r="DF32" s="908"/>
      <c r="DG32" s="906" t="s">
        <v>1316</v>
      </c>
      <c r="DH32" s="907"/>
      <c r="DI32" s="907"/>
      <c r="DJ32" s="907"/>
      <c r="DK32" s="907"/>
      <c r="DL32" s="907"/>
      <c r="DM32" s="908"/>
      <c r="DN32" s="906" t="s">
        <v>643</v>
      </c>
      <c r="DO32" s="907"/>
      <c r="DP32" s="907"/>
      <c r="DQ32" s="907"/>
      <c r="DR32" s="907"/>
      <c r="DS32" s="907"/>
      <c r="DT32" s="936"/>
      <c r="DU32" s="50"/>
      <c r="DV32" s="51"/>
    </row>
    <row r="33" spans="1:126" ht="7.35" customHeight="1" x14ac:dyDescent="0.3">
      <c r="A33" s="1040"/>
      <c r="B33" s="1041"/>
      <c r="C33" s="1041"/>
      <c r="D33" s="1041"/>
      <c r="E33" s="1041"/>
      <c r="F33" s="1041"/>
      <c r="G33" s="1041"/>
      <c r="H33" s="1041"/>
      <c r="I33" s="1041"/>
      <c r="J33" s="1041"/>
      <c r="K33" s="1041"/>
      <c r="L33" s="1041"/>
      <c r="M33" s="1041"/>
      <c r="N33" s="1041"/>
      <c r="O33" s="1041"/>
      <c r="P33" s="1041"/>
      <c r="Q33" s="1041"/>
      <c r="R33" s="1041"/>
      <c r="S33" s="1041"/>
      <c r="T33" s="1041"/>
      <c r="U33" s="1041"/>
      <c r="V33" s="1041"/>
      <c r="W33" s="1041"/>
      <c r="X33" s="1041"/>
      <c r="Y33" s="1041"/>
      <c r="Z33" s="1041"/>
      <c r="AA33" s="1041"/>
      <c r="AB33" s="1041"/>
      <c r="AC33" s="1042"/>
      <c r="AD33" s="1046"/>
      <c r="AE33" s="1047"/>
      <c r="AF33" s="1047"/>
      <c r="AG33" s="1047"/>
      <c r="AH33" s="1047"/>
      <c r="AI33" s="1047"/>
      <c r="AJ33" s="1047"/>
      <c r="AK33" s="1047"/>
      <c r="AL33" s="1047"/>
      <c r="AM33" s="1047"/>
      <c r="AN33" s="1048"/>
      <c r="AO33" s="1052"/>
      <c r="AP33" s="1053"/>
      <c r="AQ33" s="1053"/>
      <c r="AR33" s="1053"/>
      <c r="AS33" s="1053"/>
      <c r="AT33" s="1053"/>
      <c r="AU33" s="1053"/>
      <c r="AV33" s="1053"/>
      <c r="AW33" s="1053"/>
      <c r="AX33" s="1054"/>
      <c r="AY33" s="1052"/>
      <c r="AZ33" s="1053"/>
      <c r="BA33" s="1053"/>
      <c r="BB33" s="1053"/>
      <c r="BC33" s="1053"/>
      <c r="BD33" s="1053"/>
      <c r="BE33" s="1053"/>
      <c r="BF33" s="1053"/>
      <c r="BG33" s="1053"/>
      <c r="BH33" s="1053"/>
      <c r="BI33" s="1053"/>
      <c r="BJ33" s="1053"/>
      <c r="BK33" s="1053"/>
      <c r="BL33" s="1053"/>
      <c r="BM33" s="1053"/>
      <c r="BN33" s="1053"/>
      <c r="BO33" s="1053"/>
      <c r="BP33" s="1053"/>
      <c r="BQ33" s="1053"/>
      <c r="BR33" s="1054"/>
      <c r="BS33" s="1001"/>
      <c r="BT33" s="1002"/>
      <c r="BU33" s="1005"/>
      <c r="BV33" s="1005"/>
      <c r="BW33" s="1005"/>
      <c r="BX33" s="1005"/>
      <c r="BY33" s="1005"/>
      <c r="BZ33" s="1005"/>
      <c r="CA33" s="1005"/>
      <c r="CB33" s="1005"/>
      <c r="CC33" s="1006"/>
      <c r="CD33" s="1008"/>
      <c r="CE33" s="938"/>
      <c r="CF33" s="938"/>
      <c r="CG33" s="938"/>
      <c r="CH33" s="938"/>
      <c r="CI33" s="938"/>
      <c r="CJ33" s="1009"/>
      <c r="CK33" s="1129" t="s">
        <v>316</v>
      </c>
      <c r="CL33" s="1130"/>
      <c r="CM33" s="1130"/>
      <c r="CN33" s="1130"/>
      <c r="CO33" s="1130"/>
      <c r="CP33" s="1130"/>
      <c r="CQ33" s="1130"/>
      <c r="CR33" s="1131"/>
      <c r="CS33" s="1129" t="s">
        <v>1050</v>
      </c>
      <c r="CT33" s="1130"/>
      <c r="CU33" s="1130"/>
      <c r="CV33" s="1130"/>
      <c r="CW33" s="1130"/>
      <c r="CX33" s="1130"/>
      <c r="CY33" s="1131"/>
      <c r="CZ33" s="1129" t="s">
        <v>610</v>
      </c>
      <c r="DA33" s="1130"/>
      <c r="DB33" s="1130"/>
      <c r="DC33" s="1130"/>
      <c r="DD33" s="1130"/>
      <c r="DE33" s="1130"/>
      <c r="DF33" s="1131"/>
      <c r="DG33" s="1129" t="s">
        <v>318</v>
      </c>
      <c r="DH33" s="1130"/>
      <c r="DI33" s="1130"/>
      <c r="DJ33" s="1130"/>
      <c r="DK33" s="1130"/>
      <c r="DL33" s="1130"/>
      <c r="DM33" s="1131"/>
      <c r="DN33" s="937"/>
      <c r="DO33" s="938"/>
      <c r="DP33" s="938"/>
      <c r="DQ33" s="938"/>
      <c r="DR33" s="938"/>
      <c r="DS33" s="938"/>
      <c r="DT33" s="939"/>
      <c r="DU33" s="50"/>
      <c r="DV33" s="51"/>
    </row>
    <row r="34" spans="1:126" x14ac:dyDescent="0.3">
      <c r="A34" s="940" t="str">
        <f>'8a-Weapons'!AS115</f>
        <v/>
      </c>
      <c r="B34" s="941"/>
      <c r="C34" s="941"/>
      <c r="D34" s="941"/>
      <c r="E34" s="941"/>
      <c r="F34" s="941"/>
      <c r="G34" s="941"/>
      <c r="H34" s="941"/>
      <c r="I34" s="941"/>
      <c r="J34" s="941"/>
      <c r="K34" s="941"/>
      <c r="L34" s="941"/>
      <c r="M34" s="941"/>
      <c r="N34" s="941"/>
      <c r="O34" s="941"/>
      <c r="P34" s="941"/>
      <c r="Q34" s="941"/>
      <c r="R34" s="941"/>
      <c r="S34" s="941"/>
      <c r="T34" s="941"/>
      <c r="U34" s="941"/>
      <c r="V34" s="941"/>
      <c r="W34" s="941"/>
      <c r="X34" s="941"/>
      <c r="Y34" s="941"/>
      <c r="Z34" s="941"/>
      <c r="AA34" s="941"/>
      <c r="AB34" s="941"/>
      <c r="AC34" s="942"/>
      <c r="AD34" s="959" t="str">
        <f>'8a-Weapons'!AQ30</f>
        <v/>
      </c>
      <c r="AE34" s="960"/>
      <c r="AF34" s="960"/>
      <c r="AG34" s="960"/>
      <c r="AH34" s="960"/>
      <c r="AI34" s="960"/>
      <c r="AJ34" s="960"/>
      <c r="AK34" s="960"/>
      <c r="AL34" s="960"/>
      <c r="AM34" s="960"/>
      <c r="AN34" s="961"/>
      <c r="AO34" s="965" t="str">
        <f>'8a-Weapons'!AR30</f>
        <v/>
      </c>
      <c r="AP34" s="966"/>
      <c r="AQ34" s="966"/>
      <c r="AR34" s="966"/>
      <c r="AS34" s="966"/>
      <c r="AT34" s="966"/>
      <c r="AU34" s="966"/>
      <c r="AV34" s="966"/>
      <c r="AW34" s="966"/>
      <c r="AX34" s="967"/>
      <c r="AY34" s="965" t="str">
        <f>'8a-Weapons'!AU115</f>
        <v/>
      </c>
      <c r="AZ34" s="966"/>
      <c r="BA34" s="966"/>
      <c r="BB34" s="966"/>
      <c r="BC34" s="966"/>
      <c r="BD34" s="966"/>
      <c r="BE34" s="966"/>
      <c r="BF34" s="966"/>
      <c r="BG34" s="966"/>
      <c r="BH34" s="966"/>
      <c r="BI34" s="966"/>
      <c r="BJ34" s="966"/>
      <c r="BK34" s="966"/>
      <c r="BL34" s="966"/>
      <c r="BM34" s="966"/>
      <c r="BN34" s="966"/>
      <c r="BO34" s="966"/>
      <c r="BP34" s="966"/>
      <c r="BQ34" s="966"/>
      <c r="BR34" s="967"/>
      <c r="BS34" s="917">
        <v>3</v>
      </c>
      <c r="BT34" s="918"/>
      <c r="BU34" s="931" t="str">
        <f>"Pwr Plant"&amp;IF('3-Pwr Plant'!C16="No",""," (CS-1)")</f>
        <v>Pwr Plant</v>
      </c>
      <c r="BV34" s="932"/>
      <c r="BW34" s="932"/>
      <c r="BX34" s="932"/>
      <c r="BY34" s="932"/>
      <c r="BZ34" s="932"/>
      <c r="CA34" s="932"/>
      <c r="CB34" s="932"/>
      <c r="CC34" s="933"/>
      <c r="CD34" s="934" t="s">
        <v>1312</v>
      </c>
      <c r="CE34" s="910"/>
      <c r="CF34" s="910"/>
      <c r="CG34" s="910"/>
      <c r="CH34" s="910"/>
      <c r="CI34" s="910"/>
      <c r="CJ34" s="911"/>
      <c r="CK34" s="909" t="s">
        <v>1312</v>
      </c>
      <c r="CL34" s="910"/>
      <c r="CM34" s="910"/>
      <c r="CN34" s="910"/>
      <c r="CO34" s="910"/>
      <c r="CP34" s="910"/>
      <c r="CQ34" s="910"/>
      <c r="CR34" s="911"/>
      <c r="CS34" s="909" t="s">
        <v>1313</v>
      </c>
      <c r="CT34" s="910"/>
      <c r="CU34" s="910"/>
      <c r="CV34" s="910"/>
      <c r="CW34" s="910"/>
      <c r="CX34" s="910"/>
      <c r="CY34" s="911"/>
      <c r="CZ34" s="909" t="s">
        <v>1314</v>
      </c>
      <c r="DA34" s="910"/>
      <c r="DB34" s="910"/>
      <c r="DC34" s="910"/>
      <c r="DD34" s="910"/>
      <c r="DE34" s="910"/>
      <c r="DF34" s="911"/>
      <c r="DG34" s="909" t="s">
        <v>644</v>
      </c>
      <c r="DH34" s="910"/>
      <c r="DI34" s="910"/>
      <c r="DJ34" s="910"/>
      <c r="DK34" s="910"/>
      <c r="DL34" s="910"/>
      <c r="DM34" s="911"/>
      <c r="DN34" s="909" t="s">
        <v>645</v>
      </c>
      <c r="DO34" s="910"/>
      <c r="DP34" s="910"/>
      <c r="DQ34" s="910"/>
      <c r="DR34" s="910"/>
      <c r="DS34" s="910"/>
      <c r="DT34" s="926"/>
      <c r="DU34" s="50"/>
      <c r="DV34" s="51"/>
    </row>
    <row r="35" spans="1:126" x14ac:dyDescent="0.3">
      <c r="A35" s="943" t="str">
        <f>'8a-Weapons'!AS116</f>
        <v/>
      </c>
      <c r="B35" s="944"/>
      <c r="C35" s="944"/>
      <c r="D35" s="944"/>
      <c r="E35" s="944"/>
      <c r="F35" s="944"/>
      <c r="G35" s="944"/>
      <c r="H35" s="944"/>
      <c r="I35" s="944"/>
      <c r="J35" s="944"/>
      <c r="K35" s="944"/>
      <c r="L35" s="944"/>
      <c r="M35" s="944"/>
      <c r="N35" s="944"/>
      <c r="O35" s="944"/>
      <c r="P35" s="944"/>
      <c r="Q35" s="944"/>
      <c r="R35" s="944"/>
      <c r="S35" s="944"/>
      <c r="T35" s="944"/>
      <c r="U35" s="944"/>
      <c r="V35" s="944"/>
      <c r="W35" s="944"/>
      <c r="X35" s="944"/>
      <c r="Y35" s="944"/>
      <c r="Z35" s="944"/>
      <c r="AA35" s="944"/>
      <c r="AB35" s="944"/>
      <c r="AC35" s="945"/>
      <c r="AD35" s="956" t="str">
        <f>'8a-Weapons'!AQ31</f>
        <v/>
      </c>
      <c r="AE35" s="957"/>
      <c r="AF35" s="957"/>
      <c r="AG35" s="957"/>
      <c r="AH35" s="957"/>
      <c r="AI35" s="957"/>
      <c r="AJ35" s="957"/>
      <c r="AK35" s="957"/>
      <c r="AL35" s="957"/>
      <c r="AM35" s="957"/>
      <c r="AN35" s="958"/>
      <c r="AO35" s="968" t="str">
        <f>'8a-Weapons'!AR31</f>
        <v/>
      </c>
      <c r="AP35" s="969"/>
      <c r="AQ35" s="969"/>
      <c r="AR35" s="969"/>
      <c r="AS35" s="969"/>
      <c r="AT35" s="969"/>
      <c r="AU35" s="969"/>
      <c r="AV35" s="969"/>
      <c r="AW35" s="969"/>
      <c r="AX35" s="970"/>
      <c r="AY35" s="968" t="str">
        <f>'8a-Weapons'!AU116</f>
        <v/>
      </c>
      <c r="AZ35" s="969"/>
      <c r="BA35" s="969"/>
      <c r="BB35" s="969"/>
      <c r="BC35" s="969"/>
      <c r="BD35" s="969"/>
      <c r="BE35" s="969"/>
      <c r="BF35" s="969"/>
      <c r="BG35" s="969"/>
      <c r="BH35" s="969"/>
      <c r="BI35" s="969"/>
      <c r="BJ35" s="969"/>
      <c r="BK35" s="969"/>
      <c r="BL35" s="969"/>
      <c r="BM35" s="969"/>
      <c r="BN35" s="969"/>
      <c r="BO35" s="969"/>
      <c r="BP35" s="969"/>
      <c r="BQ35" s="969"/>
      <c r="BR35" s="970"/>
      <c r="BS35" s="919">
        <v>4</v>
      </c>
      <c r="BT35" s="920"/>
      <c r="BU35" s="921" t="str">
        <f>"Fuel"&amp;IF('4-Fuel'!C12='4-Fuel'!T10," (CS-1)","")</f>
        <v>Fuel</v>
      </c>
      <c r="BV35" s="922"/>
      <c r="BW35" s="922"/>
      <c r="BX35" s="922"/>
      <c r="BY35" s="922"/>
      <c r="BZ35" s="922"/>
      <c r="CA35" s="922"/>
      <c r="CB35" s="922"/>
      <c r="CC35" s="923"/>
      <c r="CD35" s="935" t="s">
        <v>647</v>
      </c>
      <c r="CE35" s="913"/>
      <c r="CF35" s="913"/>
      <c r="CG35" s="913"/>
      <c r="CH35" s="913"/>
      <c r="CI35" s="913"/>
      <c r="CJ35" s="914"/>
      <c r="CK35" s="912" t="s">
        <v>648</v>
      </c>
      <c r="CL35" s="913"/>
      <c r="CM35" s="913"/>
      <c r="CN35" s="913"/>
      <c r="CO35" s="913"/>
      <c r="CP35" s="913"/>
      <c r="CQ35" s="913"/>
      <c r="CR35" s="914"/>
      <c r="CS35" s="912" t="s">
        <v>649</v>
      </c>
      <c r="CT35" s="913"/>
      <c r="CU35" s="913"/>
      <c r="CV35" s="913"/>
      <c r="CW35" s="913"/>
      <c r="CX35" s="913"/>
      <c r="CY35" s="914"/>
      <c r="CZ35" s="912" t="s">
        <v>650</v>
      </c>
      <c r="DA35" s="913"/>
      <c r="DB35" s="913"/>
      <c r="DC35" s="913"/>
      <c r="DD35" s="913"/>
      <c r="DE35" s="913"/>
      <c r="DF35" s="914"/>
      <c r="DG35" s="912" t="s">
        <v>644</v>
      </c>
      <c r="DH35" s="913"/>
      <c r="DI35" s="913"/>
      <c r="DJ35" s="913"/>
      <c r="DK35" s="913"/>
      <c r="DL35" s="913"/>
      <c r="DM35" s="914"/>
      <c r="DN35" s="912" t="s">
        <v>645</v>
      </c>
      <c r="DO35" s="913"/>
      <c r="DP35" s="913"/>
      <c r="DQ35" s="913"/>
      <c r="DR35" s="913"/>
      <c r="DS35" s="913"/>
      <c r="DT35" s="927"/>
      <c r="DU35" s="51"/>
      <c r="DV35" s="51"/>
    </row>
    <row r="36" spans="1:126" ht="7.35" customHeight="1" x14ac:dyDescent="0.3">
      <c r="A36" s="1067" t="str">
        <f>'8a-Weapons'!AS117</f>
        <v/>
      </c>
      <c r="B36" s="1068"/>
      <c r="C36" s="1068"/>
      <c r="D36" s="1068"/>
      <c r="E36" s="1068"/>
      <c r="F36" s="1068"/>
      <c r="G36" s="1068"/>
      <c r="H36" s="1068"/>
      <c r="I36" s="1068"/>
      <c r="J36" s="1068"/>
      <c r="K36" s="1068"/>
      <c r="L36" s="1068"/>
      <c r="M36" s="1068"/>
      <c r="N36" s="1068"/>
      <c r="O36" s="1068"/>
      <c r="P36" s="1068"/>
      <c r="Q36" s="1068"/>
      <c r="R36" s="1068"/>
      <c r="S36" s="1068"/>
      <c r="T36" s="1068"/>
      <c r="U36" s="1068"/>
      <c r="V36" s="1068"/>
      <c r="W36" s="1068"/>
      <c r="X36" s="1068"/>
      <c r="Y36" s="1068"/>
      <c r="Z36" s="1068"/>
      <c r="AA36" s="1068"/>
      <c r="AB36" s="1068"/>
      <c r="AC36" s="1069"/>
      <c r="AD36" s="1055" t="str">
        <f>'8a-Weapons'!AQ32</f>
        <v/>
      </c>
      <c r="AE36" s="1056"/>
      <c r="AF36" s="1056"/>
      <c r="AG36" s="1056"/>
      <c r="AH36" s="1056"/>
      <c r="AI36" s="1056"/>
      <c r="AJ36" s="1056"/>
      <c r="AK36" s="1056"/>
      <c r="AL36" s="1056"/>
      <c r="AM36" s="1056"/>
      <c r="AN36" s="1057"/>
      <c r="AO36" s="984" t="str">
        <f>'8a-Weapons'!AR32</f>
        <v/>
      </c>
      <c r="AP36" s="985"/>
      <c r="AQ36" s="985"/>
      <c r="AR36" s="985"/>
      <c r="AS36" s="985"/>
      <c r="AT36" s="985"/>
      <c r="AU36" s="985"/>
      <c r="AV36" s="985"/>
      <c r="AW36" s="985"/>
      <c r="AX36" s="986"/>
      <c r="AY36" s="984" t="str">
        <f>'8a-Weapons'!AU117</f>
        <v/>
      </c>
      <c r="AZ36" s="985"/>
      <c r="BA36" s="985"/>
      <c r="BB36" s="985"/>
      <c r="BC36" s="985"/>
      <c r="BD36" s="985"/>
      <c r="BE36" s="985"/>
      <c r="BF36" s="985"/>
      <c r="BG36" s="985"/>
      <c r="BH36" s="985"/>
      <c r="BI36" s="985"/>
      <c r="BJ36" s="985"/>
      <c r="BK36" s="985"/>
      <c r="BL36" s="985"/>
      <c r="BM36" s="985"/>
      <c r="BN36" s="985"/>
      <c r="BO36" s="985"/>
      <c r="BP36" s="985"/>
      <c r="BQ36" s="985"/>
      <c r="BR36" s="986"/>
      <c r="BS36" s="990">
        <v>5</v>
      </c>
      <c r="BT36" s="991"/>
      <c r="BU36" s="994" t="str">
        <f>"Weapon*"</f>
        <v>Weapon*</v>
      </c>
      <c r="BV36" s="994"/>
      <c r="BW36" s="994"/>
      <c r="BX36" s="994"/>
      <c r="BY36" s="994"/>
      <c r="BZ36" s="994"/>
      <c r="CA36" s="994"/>
      <c r="CB36" s="994"/>
      <c r="CC36" s="995"/>
      <c r="CD36" s="1026" t="s">
        <v>1317</v>
      </c>
      <c r="CE36" s="977"/>
      <c r="CF36" s="977"/>
      <c r="CG36" s="977"/>
      <c r="CH36" s="977"/>
      <c r="CI36" s="977"/>
      <c r="CJ36" s="978"/>
      <c r="CK36" s="976" t="s">
        <v>1317</v>
      </c>
      <c r="CL36" s="977"/>
      <c r="CM36" s="977"/>
      <c r="CN36" s="977"/>
      <c r="CO36" s="977"/>
      <c r="CP36" s="977"/>
      <c r="CQ36" s="977"/>
      <c r="CR36" s="978"/>
      <c r="CS36" s="973" t="s">
        <v>1319</v>
      </c>
      <c r="CT36" s="974"/>
      <c r="CU36" s="974"/>
      <c r="CV36" s="974"/>
      <c r="CW36" s="974"/>
      <c r="CX36" s="974"/>
      <c r="CY36" s="975"/>
      <c r="CZ36" s="976" t="s">
        <v>1320</v>
      </c>
      <c r="DA36" s="977"/>
      <c r="DB36" s="977"/>
      <c r="DC36" s="977"/>
      <c r="DD36" s="977"/>
      <c r="DE36" s="977"/>
      <c r="DF36" s="978"/>
      <c r="DG36" s="973" t="s">
        <v>1321</v>
      </c>
      <c r="DH36" s="974"/>
      <c r="DI36" s="974"/>
      <c r="DJ36" s="974"/>
      <c r="DK36" s="974"/>
      <c r="DL36" s="974"/>
      <c r="DM36" s="975"/>
      <c r="DN36" s="976" t="s">
        <v>1322</v>
      </c>
      <c r="DO36" s="977"/>
      <c r="DP36" s="977"/>
      <c r="DQ36" s="977"/>
      <c r="DR36" s="977"/>
      <c r="DS36" s="977"/>
      <c r="DT36" s="1080"/>
      <c r="DU36" s="51"/>
      <c r="DV36" s="51"/>
    </row>
    <row r="37" spans="1:126" ht="7.35" customHeight="1" x14ac:dyDescent="0.3">
      <c r="A37" s="1070"/>
      <c r="B37" s="1071"/>
      <c r="C37" s="1071"/>
      <c r="D37" s="1071"/>
      <c r="E37" s="1071"/>
      <c r="F37" s="1071"/>
      <c r="G37" s="1071"/>
      <c r="H37" s="1071"/>
      <c r="I37" s="1071"/>
      <c r="J37" s="1071"/>
      <c r="K37" s="1071"/>
      <c r="L37" s="1071"/>
      <c r="M37" s="1071"/>
      <c r="N37" s="1071"/>
      <c r="O37" s="1071"/>
      <c r="P37" s="1071"/>
      <c r="Q37" s="1071"/>
      <c r="R37" s="1071"/>
      <c r="S37" s="1071"/>
      <c r="T37" s="1071"/>
      <c r="U37" s="1071"/>
      <c r="V37" s="1071"/>
      <c r="W37" s="1071"/>
      <c r="X37" s="1071"/>
      <c r="Y37" s="1071"/>
      <c r="Z37" s="1071"/>
      <c r="AA37" s="1071"/>
      <c r="AB37" s="1071"/>
      <c r="AC37" s="1072"/>
      <c r="AD37" s="1058"/>
      <c r="AE37" s="1059"/>
      <c r="AF37" s="1059"/>
      <c r="AG37" s="1059"/>
      <c r="AH37" s="1059"/>
      <c r="AI37" s="1059"/>
      <c r="AJ37" s="1059"/>
      <c r="AK37" s="1059"/>
      <c r="AL37" s="1059"/>
      <c r="AM37" s="1059"/>
      <c r="AN37" s="1060"/>
      <c r="AO37" s="987"/>
      <c r="AP37" s="988"/>
      <c r="AQ37" s="988"/>
      <c r="AR37" s="988"/>
      <c r="AS37" s="988"/>
      <c r="AT37" s="988"/>
      <c r="AU37" s="988"/>
      <c r="AV37" s="988"/>
      <c r="AW37" s="988"/>
      <c r="AX37" s="989"/>
      <c r="AY37" s="987"/>
      <c r="AZ37" s="988"/>
      <c r="BA37" s="988"/>
      <c r="BB37" s="988"/>
      <c r="BC37" s="988"/>
      <c r="BD37" s="988"/>
      <c r="BE37" s="988"/>
      <c r="BF37" s="988"/>
      <c r="BG37" s="988"/>
      <c r="BH37" s="988"/>
      <c r="BI37" s="988"/>
      <c r="BJ37" s="988"/>
      <c r="BK37" s="988"/>
      <c r="BL37" s="988"/>
      <c r="BM37" s="988"/>
      <c r="BN37" s="988"/>
      <c r="BO37" s="988"/>
      <c r="BP37" s="988"/>
      <c r="BQ37" s="988"/>
      <c r="BR37" s="989"/>
      <c r="BS37" s="992"/>
      <c r="BT37" s="993"/>
      <c r="BU37" s="996"/>
      <c r="BV37" s="996"/>
      <c r="BW37" s="996"/>
      <c r="BX37" s="996"/>
      <c r="BY37" s="996"/>
      <c r="BZ37" s="996"/>
      <c r="CA37" s="996"/>
      <c r="CB37" s="996"/>
      <c r="CC37" s="997"/>
      <c r="CD37" s="1013" t="s">
        <v>1315</v>
      </c>
      <c r="CE37" s="1014"/>
      <c r="CF37" s="1014"/>
      <c r="CG37" s="1014"/>
      <c r="CH37" s="1014"/>
      <c r="CI37" s="1014"/>
      <c r="CJ37" s="1015"/>
      <c r="CK37" s="1016" t="s">
        <v>1318</v>
      </c>
      <c r="CL37" s="1014"/>
      <c r="CM37" s="1014"/>
      <c r="CN37" s="1014"/>
      <c r="CO37" s="1014"/>
      <c r="CP37" s="1014"/>
      <c r="CQ37" s="1014"/>
      <c r="CR37" s="1015"/>
      <c r="CS37" s="979" t="s">
        <v>650</v>
      </c>
      <c r="CT37" s="980"/>
      <c r="CU37" s="980"/>
      <c r="CV37" s="980"/>
      <c r="CW37" s="980"/>
      <c r="CX37" s="980"/>
      <c r="CY37" s="981"/>
      <c r="CZ37" s="979" t="s">
        <v>644</v>
      </c>
      <c r="DA37" s="980"/>
      <c r="DB37" s="980"/>
      <c r="DC37" s="980"/>
      <c r="DD37" s="980"/>
      <c r="DE37" s="980"/>
      <c r="DF37" s="981"/>
      <c r="DG37" s="1081" t="s">
        <v>644</v>
      </c>
      <c r="DH37" s="1082"/>
      <c r="DI37" s="1082"/>
      <c r="DJ37" s="1082"/>
      <c r="DK37" s="1082"/>
      <c r="DL37" s="1082"/>
      <c r="DM37" s="1083"/>
      <c r="DN37" s="1081" t="s">
        <v>644</v>
      </c>
      <c r="DO37" s="1082"/>
      <c r="DP37" s="1082"/>
      <c r="DQ37" s="1082"/>
      <c r="DR37" s="1082"/>
      <c r="DS37" s="1082"/>
      <c r="DT37" s="1084"/>
      <c r="DU37" s="51"/>
      <c r="DV37" s="51"/>
    </row>
    <row r="38" spans="1:126" ht="7.35" customHeight="1" x14ac:dyDescent="0.3">
      <c r="A38" s="1037" t="str">
        <f>'8a-Weapons'!AS118</f>
        <v/>
      </c>
      <c r="B38" s="1038"/>
      <c r="C38" s="1038"/>
      <c r="D38" s="1038"/>
      <c r="E38" s="1038"/>
      <c r="F38" s="1038"/>
      <c r="G38" s="1038"/>
      <c r="H38" s="1038"/>
      <c r="I38" s="1038"/>
      <c r="J38" s="1038"/>
      <c r="K38" s="1038"/>
      <c r="L38" s="1038"/>
      <c r="M38" s="1038"/>
      <c r="N38" s="1038"/>
      <c r="O38" s="1038"/>
      <c r="P38" s="1038"/>
      <c r="Q38" s="1038"/>
      <c r="R38" s="1038"/>
      <c r="S38" s="1038"/>
      <c r="T38" s="1038"/>
      <c r="U38" s="1038"/>
      <c r="V38" s="1038"/>
      <c r="W38" s="1038"/>
      <c r="X38" s="1038"/>
      <c r="Y38" s="1038"/>
      <c r="Z38" s="1038"/>
      <c r="AA38" s="1038"/>
      <c r="AB38" s="1038"/>
      <c r="AC38" s="1039"/>
      <c r="AD38" s="1043" t="str">
        <f>'8a-Weapons'!AQ33</f>
        <v/>
      </c>
      <c r="AE38" s="1044"/>
      <c r="AF38" s="1044"/>
      <c r="AG38" s="1044"/>
      <c r="AH38" s="1044"/>
      <c r="AI38" s="1044"/>
      <c r="AJ38" s="1044"/>
      <c r="AK38" s="1044"/>
      <c r="AL38" s="1044"/>
      <c r="AM38" s="1044"/>
      <c r="AN38" s="1045"/>
      <c r="AO38" s="1049" t="str">
        <f>'8a-Weapons'!AR33</f>
        <v/>
      </c>
      <c r="AP38" s="1050"/>
      <c r="AQ38" s="1050"/>
      <c r="AR38" s="1050"/>
      <c r="AS38" s="1050"/>
      <c r="AT38" s="1050"/>
      <c r="AU38" s="1050"/>
      <c r="AV38" s="1050"/>
      <c r="AW38" s="1050"/>
      <c r="AX38" s="1051"/>
      <c r="AY38" s="1049" t="str">
        <f>'8a-Weapons'!AU118</f>
        <v/>
      </c>
      <c r="AZ38" s="1050"/>
      <c r="BA38" s="1050"/>
      <c r="BB38" s="1050"/>
      <c r="BC38" s="1050"/>
      <c r="BD38" s="1050"/>
      <c r="BE38" s="1050"/>
      <c r="BF38" s="1050"/>
      <c r="BG38" s="1050"/>
      <c r="BH38" s="1050"/>
      <c r="BI38" s="1050"/>
      <c r="BJ38" s="1050"/>
      <c r="BK38" s="1050"/>
      <c r="BL38" s="1050"/>
      <c r="BM38" s="1050"/>
      <c r="BN38" s="1050"/>
      <c r="BO38" s="1050"/>
      <c r="BP38" s="1050"/>
      <c r="BQ38" s="1050"/>
      <c r="BR38" s="1051"/>
      <c r="BS38" s="999">
        <v>6</v>
      </c>
      <c r="BT38" s="1000"/>
      <c r="BU38" s="1003" t="s">
        <v>555</v>
      </c>
      <c r="BV38" s="1003"/>
      <c r="BW38" s="1003"/>
      <c r="BX38" s="1003"/>
      <c r="BY38" s="1003"/>
      <c r="BZ38" s="1003"/>
      <c r="CA38" s="1003"/>
      <c r="CB38" s="1003"/>
      <c r="CC38" s="1004"/>
      <c r="CD38" s="1007" t="s">
        <v>651</v>
      </c>
      <c r="CE38" s="907"/>
      <c r="CF38" s="907"/>
      <c r="CG38" s="907"/>
      <c r="CH38" s="907"/>
      <c r="CI38" s="907"/>
      <c r="CJ38" s="908"/>
      <c r="CK38" s="906" t="s">
        <v>652</v>
      </c>
      <c r="CL38" s="907"/>
      <c r="CM38" s="907"/>
      <c r="CN38" s="907"/>
      <c r="CO38" s="907"/>
      <c r="CP38" s="907"/>
      <c r="CQ38" s="907"/>
      <c r="CR38" s="908"/>
      <c r="CS38" s="906" t="s">
        <v>653</v>
      </c>
      <c r="CT38" s="907"/>
      <c r="CU38" s="907"/>
      <c r="CV38" s="907"/>
      <c r="CW38" s="907"/>
      <c r="CX38" s="907"/>
      <c r="CY38" s="908"/>
      <c r="CZ38" s="906" t="s">
        <v>653</v>
      </c>
      <c r="DA38" s="907"/>
      <c r="DB38" s="907"/>
      <c r="DC38" s="907"/>
      <c r="DD38" s="907"/>
      <c r="DE38" s="907"/>
      <c r="DF38" s="908"/>
      <c r="DG38" s="906" t="s">
        <v>1323</v>
      </c>
      <c r="DH38" s="907"/>
      <c r="DI38" s="907"/>
      <c r="DJ38" s="907"/>
      <c r="DK38" s="907"/>
      <c r="DL38" s="907"/>
      <c r="DM38" s="908"/>
      <c r="DN38" s="906" t="s">
        <v>1323</v>
      </c>
      <c r="DO38" s="907"/>
      <c r="DP38" s="907"/>
      <c r="DQ38" s="907"/>
      <c r="DR38" s="907"/>
      <c r="DS38" s="907"/>
      <c r="DT38" s="936"/>
      <c r="DU38" s="51"/>
      <c r="DV38" s="51"/>
    </row>
    <row r="39" spans="1:126" ht="7.35" customHeight="1" x14ac:dyDescent="0.3">
      <c r="A39" s="1040"/>
      <c r="B39" s="1041"/>
      <c r="C39" s="1041"/>
      <c r="D39" s="1041"/>
      <c r="E39" s="1041"/>
      <c r="F39" s="1041"/>
      <c r="G39" s="1041"/>
      <c r="H39" s="1041"/>
      <c r="I39" s="1041"/>
      <c r="J39" s="1041"/>
      <c r="K39" s="1041"/>
      <c r="L39" s="1041"/>
      <c r="M39" s="1041"/>
      <c r="N39" s="1041"/>
      <c r="O39" s="1041"/>
      <c r="P39" s="1041"/>
      <c r="Q39" s="1041"/>
      <c r="R39" s="1041"/>
      <c r="S39" s="1041"/>
      <c r="T39" s="1041"/>
      <c r="U39" s="1041"/>
      <c r="V39" s="1041"/>
      <c r="W39" s="1041"/>
      <c r="X39" s="1041"/>
      <c r="Y39" s="1041"/>
      <c r="Z39" s="1041"/>
      <c r="AA39" s="1041"/>
      <c r="AB39" s="1041"/>
      <c r="AC39" s="1042"/>
      <c r="AD39" s="1046"/>
      <c r="AE39" s="1047"/>
      <c r="AF39" s="1047"/>
      <c r="AG39" s="1047"/>
      <c r="AH39" s="1047"/>
      <c r="AI39" s="1047"/>
      <c r="AJ39" s="1047"/>
      <c r="AK39" s="1047"/>
      <c r="AL39" s="1047"/>
      <c r="AM39" s="1047"/>
      <c r="AN39" s="1048"/>
      <c r="AO39" s="1052"/>
      <c r="AP39" s="1053"/>
      <c r="AQ39" s="1053"/>
      <c r="AR39" s="1053"/>
      <c r="AS39" s="1053"/>
      <c r="AT39" s="1053"/>
      <c r="AU39" s="1053"/>
      <c r="AV39" s="1053"/>
      <c r="AW39" s="1053"/>
      <c r="AX39" s="1054"/>
      <c r="AY39" s="1052"/>
      <c r="AZ39" s="1053"/>
      <c r="BA39" s="1053"/>
      <c r="BB39" s="1053"/>
      <c r="BC39" s="1053"/>
      <c r="BD39" s="1053"/>
      <c r="BE39" s="1053"/>
      <c r="BF39" s="1053"/>
      <c r="BG39" s="1053"/>
      <c r="BH39" s="1053"/>
      <c r="BI39" s="1053"/>
      <c r="BJ39" s="1053"/>
      <c r="BK39" s="1053"/>
      <c r="BL39" s="1053"/>
      <c r="BM39" s="1053"/>
      <c r="BN39" s="1053"/>
      <c r="BO39" s="1053"/>
      <c r="BP39" s="1053"/>
      <c r="BQ39" s="1053"/>
      <c r="BR39" s="1054"/>
      <c r="BS39" s="1001"/>
      <c r="BT39" s="1002"/>
      <c r="BU39" s="1005"/>
      <c r="BV39" s="1005"/>
      <c r="BW39" s="1005"/>
      <c r="BX39" s="1005"/>
      <c r="BY39" s="1005"/>
      <c r="BZ39" s="1005"/>
      <c r="CA39" s="1005"/>
      <c r="CB39" s="1005"/>
      <c r="CC39" s="1006"/>
      <c r="CD39" s="1008"/>
      <c r="CE39" s="938"/>
      <c r="CF39" s="938"/>
      <c r="CG39" s="938"/>
      <c r="CH39" s="938"/>
      <c r="CI39" s="938"/>
      <c r="CJ39" s="1009"/>
      <c r="CK39" s="937"/>
      <c r="CL39" s="938"/>
      <c r="CM39" s="938"/>
      <c r="CN39" s="938"/>
      <c r="CO39" s="938"/>
      <c r="CP39" s="938"/>
      <c r="CQ39" s="938"/>
      <c r="CR39" s="1009"/>
      <c r="CS39" s="937"/>
      <c r="CT39" s="938"/>
      <c r="CU39" s="938"/>
      <c r="CV39" s="938"/>
      <c r="CW39" s="938"/>
      <c r="CX39" s="938"/>
      <c r="CY39" s="1009"/>
      <c r="CZ39" s="937"/>
      <c r="DA39" s="938"/>
      <c r="DB39" s="938"/>
      <c r="DC39" s="938"/>
      <c r="DD39" s="938"/>
      <c r="DE39" s="938"/>
      <c r="DF39" s="1009"/>
      <c r="DG39" s="1027" t="s">
        <v>644</v>
      </c>
      <c r="DH39" s="1028"/>
      <c r="DI39" s="1028"/>
      <c r="DJ39" s="1028"/>
      <c r="DK39" s="1028"/>
      <c r="DL39" s="1028"/>
      <c r="DM39" s="1029"/>
      <c r="DN39" s="1027" t="s">
        <v>644</v>
      </c>
      <c r="DO39" s="1028"/>
      <c r="DP39" s="1028"/>
      <c r="DQ39" s="1028"/>
      <c r="DR39" s="1028"/>
      <c r="DS39" s="1028"/>
      <c r="DT39" s="1030"/>
      <c r="DU39" s="51"/>
      <c r="DV39" s="51"/>
    </row>
    <row r="40" spans="1:126" x14ac:dyDescent="0.3">
      <c r="A40" s="940" t="str">
        <f>'8a-Weapons'!AS119</f>
        <v/>
      </c>
      <c r="B40" s="941"/>
      <c r="C40" s="941"/>
      <c r="D40" s="941"/>
      <c r="E40" s="941"/>
      <c r="F40" s="941"/>
      <c r="G40" s="941"/>
      <c r="H40" s="941"/>
      <c r="I40" s="941"/>
      <c r="J40" s="941"/>
      <c r="K40" s="941"/>
      <c r="L40" s="941"/>
      <c r="M40" s="941"/>
      <c r="N40" s="941"/>
      <c r="O40" s="941"/>
      <c r="P40" s="941"/>
      <c r="Q40" s="941"/>
      <c r="R40" s="941"/>
      <c r="S40" s="941"/>
      <c r="T40" s="941"/>
      <c r="U40" s="941"/>
      <c r="V40" s="941"/>
      <c r="W40" s="941"/>
      <c r="X40" s="941"/>
      <c r="Y40" s="941"/>
      <c r="Z40" s="941"/>
      <c r="AA40" s="941"/>
      <c r="AB40" s="941"/>
      <c r="AC40" s="942"/>
      <c r="AD40" s="959" t="str">
        <f>'8a-Weapons'!AQ34</f>
        <v/>
      </c>
      <c r="AE40" s="960"/>
      <c r="AF40" s="960"/>
      <c r="AG40" s="960"/>
      <c r="AH40" s="960"/>
      <c r="AI40" s="960"/>
      <c r="AJ40" s="960"/>
      <c r="AK40" s="960"/>
      <c r="AL40" s="960"/>
      <c r="AM40" s="960"/>
      <c r="AN40" s="961"/>
      <c r="AO40" s="965" t="str">
        <f>'8a-Weapons'!AR34</f>
        <v/>
      </c>
      <c r="AP40" s="966"/>
      <c r="AQ40" s="966"/>
      <c r="AR40" s="966"/>
      <c r="AS40" s="966"/>
      <c r="AT40" s="966"/>
      <c r="AU40" s="966"/>
      <c r="AV40" s="966"/>
      <c r="AW40" s="966"/>
      <c r="AX40" s="967"/>
      <c r="AY40" s="965" t="str">
        <f>'8a-Weapons'!AU119</f>
        <v/>
      </c>
      <c r="AZ40" s="966"/>
      <c r="BA40" s="966"/>
      <c r="BB40" s="966"/>
      <c r="BC40" s="966"/>
      <c r="BD40" s="966"/>
      <c r="BE40" s="966"/>
      <c r="BF40" s="966"/>
      <c r="BG40" s="966"/>
      <c r="BH40" s="966"/>
      <c r="BI40" s="966"/>
      <c r="BJ40" s="966"/>
      <c r="BK40" s="966"/>
      <c r="BL40" s="966"/>
      <c r="BM40" s="966"/>
      <c r="BN40" s="966"/>
      <c r="BO40" s="966"/>
      <c r="BP40" s="966"/>
      <c r="BQ40" s="966"/>
      <c r="BR40" s="967"/>
      <c r="BS40" s="917">
        <v>7</v>
      </c>
      <c r="BT40" s="918"/>
      <c r="BU40" s="931" t="s">
        <v>553</v>
      </c>
      <c r="BV40" s="932"/>
      <c r="BW40" s="932"/>
      <c r="BX40" s="932"/>
      <c r="BY40" s="932"/>
      <c r="BZ40" s="932"/>
      <c r="CA40" s="932"/>
      <c r="CB40" s="932"/>
      <c r="CC40" s="933"/>
      <c r="CD40" s="934" t="s">
        <v>654</v>
      </c>
      <c r="CE40" s="910"/>
      <c r="CF40" s="910"/>
      <c r="CG40" s="910"/>
      <c r="CH40" s="910"/>
      <c r="CI40" s="910"/>
      <c r="CJ40" s="911"/>
      <c r="CK40" s="909" t="s">
        <v>655</v>
      </c>
      <c r="CL40" s="910"/>
      <c r="CM40" s="910"/>
      <c r="CN40" s="910"/>
      <c r="CO40" s="910"/>
      <c r="CP40" s="910"/>
      <c r="CQ40" s="910"/>
      <c r="CR40" s="911"/>
      <c r="CS40" s="909" t="s">
        <v>656</v>
      </c>
      <c r="CT40" s="910"/>
      <c r="CU40" s="910"/>
      <c r="CV40" s="910"/>
      <c r="CW40" s="910"/>
      <c r="CX40" s="910"/>
      <c r="CY40" s="911"/>
      <c r="CZ40" s="909" t="s">
        <v>657</v>
      </c>
      <c r="DA40" s="910"/>
      <c r="DB40" s="910"/>
      <c r="DC40" s="910"/>
      <c r="DD40" s="910"/>
      <c r="DE40" s="910"/>
      <c r="DF40" s="911"/>
      <c r="DG40" s="909" t="s">
        <v>658</v>
      </c>
      <c r="DH40" s="910"/>
      <c r="DI40" s="910"/>
      <c r="DJ40" s="910"/>
      <c r="DK40" s="910"/>
      <c r="DL40" s="910"/>
      <c r="DM40" s="911"/>
      <c r="DN40" s="909" t="s">
        <v>659</v>
      </c>
      <c r="DO40" s="910"/>
      <c r="DP40" s="910"/>
      <c r="DQ40" s="910"/>
      <c r="DR40" s="910"/>
      <c r="DS40" s="910"/>
      <c r="DT40" s="926"/>
      <c r="DU40" s="51"/>
      <c r="DV40" s="51"/>
    </row>
    <row r="41" spans="1:126" x14ac:dyDescent="0.3">
      <c r="A41" s="943" t="str">
        <f>'8a-Weapons'!AS120</f>
        <v/>
      </c>
      <c r="B41" s="944"/>
      <c r="C41" s="944"/>
      <c r="D41" s="944"/>
      <c r="E41" s="944"/>
      <c r="F41" s="944"/>
      <c r="G41" s="944"/>
      <c r="H41" s="944"/>
      <c r="I41" s="944"/>
      <c r="J41" s="944"/>
      <c r="K41" s="944"/>
      <c r="L41" s="944"/>
      <c r="M41" s="944"/>
      <c r="N41" s="944"/>
      <c r="O41" s="944"/>
      <c r="P41" s="944"/>
      <c r="Q41" s="944"/>
      <c r="R41" s="944"/>
      <c r="S41" s="944"/>
      <c r="T41" s="944"/>
      <c r="U41" s="944"/>
      <c r="V41" s="944"/>
      <c r="W41" s="944"/>
      <c r="X41" s="944"/>
      <c r="Y41" s="944"/>
      <c r="Z41" s="944"/>
      <c r="AA41" s="944"/>
      <c r="AB41" s="944"/>
      <c r="AC41" s="945"/>
      <c r="AD41" s="956" t="str">
        <f>'8a-Weapons'!AQ35</f>
        <v/>
      </c>
      <c r="AE41" s="957"/>
      <c r="AF41" s="957"/>
      <c r="AG41" s="957"/>
      <c r="AH41" s="957"/>
      <c r="AI41" s="957"/>
      <c r="AJ41" s="957"/>
      <c r="AK41" s="957"/>
      <c r="AL41" s="957"/>
      <c r="AM41" s="957"/>
      <c r="AN41" s="958"/>
      <c r="AO41" s="968" t="str">
        <f>'8a-Weapons'!AR35</f>
        <v/>
      </c>
      <c r="AP41" s="969"/>
      <c r="AQ41" s="969"/>
      <c r="AR41" s="969"/>
      <c r="AS41" s="969"/>
      <c r="AT41" s="969"/>
      <c r="AU41" s="969"/>
      <c r="AV41" s="969"/>
      <c r="AW41" s="969"/>
      <c r="AX41" s="970"/>
      <c r="AY41" s="968" t="str">
        <f>'8a-Weapons'!AU120</f>
        <v/>
      </c>
      <c r="AZ41" s="969"/>
      <c r="BA41" s="969"/>
      <c r="BB41" s="969"/>
      <c r="BC41" s="969"/>
      <c r="BD41" s="969"/>
      <c r="BE41" s="969"/>
      <c r="BF41" s="969"/>
      <c r="BG41" s="969"/>
      <c r="BH41" s="969"/>
      <c r="BI41" s="969"/>
      <c r="BJ41" s="969"/>
      <c r="BK41" s="969"/>
      <c r="BL41" s="969"/>
      <c r="BM41" s="969"/>
      <c r="BN41" s="969"/>
      <c r="BO41" s="969"/>
      <c r="BP41" s="969"/>
      <c r="BQ41" s="969"/>
      <c r="BR41" s="970"/>
      <c r="BS41" s="919">
        <v>8</v>
      </c>
      <c r="BT41" s="920"/>
      <c r="BU41" s="1073" t="str">
        <f>"M-Drive"&amp;IF('2-Drives'!C16="No",""," (CS-1)")</f>
        <v>M-Drive</v>
      </c>
      <c r="BV41" s="1073"/>
      <c r="BW41" s="1073"/>
      <c r="BX41" s="1073"/>
      <c r="BY41" s="1073"/>
      <c r="BZ41" s="1073"/>
      <c r="CA41" s="1073"/>
      <c r="CB41" s="1073"/>
      <c r="CC41" s="1074"/>
      <c r="CD41" s="935" t="s">
        <v>660</v>
      </c>
      <c r="CE41" s="913"/>
      <c r="CF41" s="913"/>
      <c r="CG41" s="913"/>
      <c r="CH41" s="913"/>
      <c r="CI41" s="913"/>
      <c r="CJ41" s="914"/>
      <c r="CK41" s="912" t="s">
        <v>661</v>
      </c>
      <c r="CL41" s="913"/>
      <c r="CM41" s="913"/>
      <c r="CN41" s="913"/>
      <c r="CO41" s="913"/>
      <c r="CP41" s="913"/>
      <c r="CQ41" s="913"/>
      <c r="CR41" s="914"/>
      <c r="CS41" s="912" t="s">
        <v>662</v>
      </c>
      <c r="CT41" s="913"/>
      <c r="CU41" s="913"/>
      <c r="CV41" s="913"/>
      <c r="CW41" s="913"/>
      <c r="CX41" s="913"/>
      <c r="CY41" s="914"/>
      <c r="CZ41" s="912" t="s">
        <v>663</v>
      </c>
      <c r="DA41" s="913"/>
      <c r="DB41" s="913"/>
      <c r="DC41" s="913"/>
      <c r="DD41" s="913"/>
      <c r="DE41" s="913"/>
      <c r="DF41" s="914"/>
      <c r="DG41" s="912" t="s">
        <v>664</v>
      </c>
      <c r="DH41" s="913"/>
      <c r="DI41" s="913"/>
      <c r="DJ41" s="913"/>
      <c r="DK41" s="913"/>
      <c r="DL41" s="913"/>
      <c r="DM41" s="914"/>
      <c r="DN41" s="912" t="s">
        <v>644</v>
      </c>
      <c r="DO41" s="913"/>
      <c r="DP41" s="913"/>
      <c r="DQ41" s="913"/>
      <c r="DR41" s="913"/>
      <c r="DS41" s="913"/>
      <c r="DT41" s="927"/>
      <c r="DU41" s="51"/>
      <c r="DV41" s="51"/>
    </row>
    <row r="42" spans="1:126" x14ac:dyDescent="0.3">
      <c r="A42" s="940" t="str">
        <f>'8a-Weapons'!AS121</f>
        <v/>
      </c>
      <c r="B42" s="941"/>
      <c r="C42" s="941"/>
      <c r="D42" s="941"/>
      <c r="E42" s="941"/>
      <c r="F42" s="941"/>
      <c r="G42" s="941"/>
      <c r="H42" s="941"/>
      <c r="I42" s="941"/>
      <c r="J42" s="941"/>
      <c r="K42" s="941"/>
      <c r="L42" s="941"/>
      <c r="M42" s="941"/>
      <c r="N42" s="941"/>
      <c r="O42" s="941"/>
      <c r="P42" s="941"/>
      <c r="Q42" s="941"/>
      <c r="R42" s="941"/>
      <c r="S42" s="941"/>
      <c r="T42" s="941"/>
      <c r="U42" s="941"/>
      <c r="V42" s="941"/>
      <c r="W42" s="941"/>
      <c r="X42" s="941"/>
      <c r="Y42" s="941"/>
      <c r="Z42" s="941"/>
      <c r="AA42" s="941"/>
      <c r="AB42" s="941"/>
      <c r="AC42" s="942"/>
      <c r="AD42" s="959" t="str">
        <f>'8a-Weapons'!AQ36</f>
        <v/>
      </c>
      <c r="AE42" s="960"/>
      <c r="AF42" s="960"/>
      <c r="AG42" s="960"/>
      <c r="AH42" s="960"/>
      <c r="AI42" s="960"/>
      <c r="AJ42" s="960"/>
      <c r="AK42" s="960"/>
      <c r="AL42" s="960"/>
      <c r="AM42" s="960"/>
      <c r="AN42" s="961"/>
      <c r="AO42" s="965" t="str">
        <f>'8a-Weapons'!AR36</f>
        <v/>
      </c>
      <c r="AP42" s="966"/>
      <c r="AQ42" s="966"/>
      <c r="AR42" s="966"/>
      <c r="AS42" s="966"/>
      <c r="AT42" s="966"/>
      <c r="AU42" s="966"/>
      <c r="AV42" s="966"/>
      <c r="AW42" s="966"/>
      <c r="AX42" s="967"/>
      <c r="AY42" s="965" t="str">
        <f>'8a-Weapons'!AU121</f>
        <v/>
      </c>
      <c r="AZ42" s="966"/>
      <c r="BA42" s="966"/>
      <c r="BB42" s="966"/>
      <c r="BC42" s="966"/>
      <c r="BD42" s="966"/>
      <c r="BE42" s="966"/>
      <c r="BF42" s="966"/>
      <c r="BG42" s="966"/>
      <c r="BH42" s="966"/>
      <c r="BI42" s="966"/>
      <c r="BJ42" s="966"/>
      <c r="BK42" s="966"/>
      <c r="BL42" s="966"/>
      <c r="BM42" s="966"/>
      <c r="BN42" s="966"/>
      <c r="BO42" s="966"/>
      <c r="BP42" s="966"/>
      <c r="BQ42" s="966"/>
      <c r="BR42" s="967"/>
      <c r="BS42" s="917">
        <v>9</v>
      </c>
      <c r="BT42" s="918"/>
      <c r="BU42" s="944" t="str">
        <f>"Cargo"&amp;IF('12-Cargo'!D52="Yes"," (CS-1*)","")</f>
        <v>Cargo</v>
      </c>
      <c r="BV42" s="944"/>
      <c r="BW42" s="944"/>
      <c r="BX42" s="944"/>
      <c r="BY42" s="944"/>
      <c r="BZ42" s="944"/>
      <c r="CA42" s="944"/>
      <c r="CB42" s="944"/>
      <c r="CC42" s="945"/>
      <c r="CD42" s="934" t="s">
        <v>665</v>
      </c>
      <c r="CE42" s="910"/>
      <c r="CF42" s="910"/>
      <c r="CG42" s="910"/>
      <c r="CH42" s="910"/>
      <c r="CI42" s="910"/>
      <c r="CJ42" s="911"/>
      <c r="CK42" s="909" t="str">
        <f>"- 1D*10%"</f>
        <v>- 1D*10%</v>
      </c>
      <c r="CL42" s="910"/>
      <c r="CM42" s="910"/>
      <c r="CN42" s="910"/>
      <c r="CO42" s="910"/>
      <c r="CP42" s="910"/>
      <c r="CQ42" s="910"/>
      <c r="CR42" s="911"/>
      <c r="CS42" s="909" t="str">
        <f>"-2D*10%"</f>
        <v>-2D*10%</v>
      </c>
      <c r="CT42" s="910"/>
      <c r="CU42" s="910"/>
      <c r="CV42" s="910"/>
      <c r="CW42" s="910"/>
      <c r="CX42" s="910"/>
      <c r="CY42" s="911"/>
      <c r="CZ42" s="909" t="str">
        <f>"- All Cargo"</f>
        <v>- All Cargo</v>
      </c>
      <c r="DA42" s="910"/>
      <c r="DB42" s="910"/>
      <c r="DC42" s="910"/>
      <c r="DD42" s="910"/>
      <c r="DE42" s="910"/>
      <c r="DF42" s="911"/>
      <c r="DG42" s="909" t="s">
        <v>644</v>
      </c>
      <c r="DH42" s="910"/>
      <c r="DI42" s="910"/>
      <c r="DJ42" s="910"/>
      <c r="DK42" s="910"/>
      <c r="DL42" s="910"/>
      <c r="DM42" s="911"/>
      <c r="DN42" s="909" t="s">
        <v>644</v>
      </c>
      <c r="DO42" s="910"/>
      <c r="DP42" s="910"/>
      <c r="DQ42" s="910"/>
      <c r="DR42" s="910"/>
      <c r="DS42" s="910"/>
      <c r="DT42" s="926"/>
      <c r="DU42" s="51"/>
      <c r="DV42" s="51"/>
    </row>
    <row r="43" spans="1:126" x14ac:dyDescent="0.3">
      <c r="A43" s="943" t="str">
        <f>'8a-Weapons'!AS122</f>
        <v/>
      </c>
      <c r="B43" s="944"/>
      <c r="C43" s="944"/>
      <c r="D43" s="944"/>
      <c r="E43" s="944"/>
      <c r="F43" s="944"/>
      <c r="G43" s="944"/>
      <c r="H43" s="944"/>
      <c r="I43" s="944"/>
      <c r="J43" s="944"/>
      <c r="K43" s="944"/>
      <c r="L43" s="944"/>
      <c r="M43" s="944"/>
      <c r="N43" s="944"/>
      <c r="O43" s="944"/>
      <c r="P43" s="944"/>
      <c r="Q43" s="944"/>
      <c r="R43" s="944"/>
      <c r="S43" s="944"/>
      <c r="T43" s="944"/>
      <c r="U43" s="944"/>
      <c r="V43" s="944"/>
      <c r="W43" s="944"/>
      <c r="X43" s="944"/>
      <c r="Y43" s="944"/>
      <c r="Z43" s="944"/>
      <c r="AA43" s="944"/>
      <c r="AB43" s="944"/>
      <c r="AC43" s="945"/>
      <c r="AD43" s="956" t="str">
        <f>'8a-Weapons'!AQ37</f>
        <v/>
      </c>
      <c r="AE43" s="957"/>
      <c r="AF43" s="957"/>
      <c r="AG43" s="957"/>
      <c r="AH43" s="957"/>
      <c r="AI43" s="957"/>
      <c r="AJ43" s="957"/>
      <c r="AK43" s="957"/>
      <c r="AL43" s="957"/>
      <c r="AM43" s="957"/>
      <c r="AN43" s="958"/>
      <c r="AO43" s="968" t="str">
        <f>'8a-Weapons'!AR37</f>
        <v/>
      </c>
      <c r="AP43" s="969"/>
      <c r="AQ43" s="969"/>
      <c r="AR43" s="969"/>
      <c r="AS43" s="969"/>
      <c r="AT43" s="969"/>
      <c r="AU43" s="969"/>
      <c r="AV43" s="969"/>
      <c r="AW43" s="969"/>
      <c r="AX43" s="970"/>
      <c r="AY43" s="968" t="str">
        <f>'8a-Weapons'!AU122</f>
        <v/>
      </c>
      <c r="AZ43" s="969"/>
      <c r="BA43" s="969"/>
      <c r="BB43" s="969"/>
      <c r="BC43" s="969"/>
      <c r="BD43" s="969"/>
      <c r="BE43" s="969"/>
      <c r="BF43" s="969"/>
      <c r="BG43" s="969"/>
      <c r="BH43" s="969"/>
      <c r="BI43" s="969"/>
      <c r="BJ43" s="969"/>
      <c r="BK43" s="969"/>
      <c r="BL43" s="969"/>
      <c r="BM43" s="969"/>
      <c r="BN43" s="969"/>
      <c r="BO43" s="969"/>
      <c r="BP43" s="969"/>
      <c r="BQ43" s="969"/>
      <c r="BR43" s="970"/>
      <c r="BS43" s="1085">
        <v>10</v>
      </c>
      <c r="BT43" s="1086"/>
      <c r="BU43" s="941" t="str">
        <f>"J-Drive"&amp;IF('2-Drives'!C31="No",""," (CS-1)")</f>
        <v>J-Drive</v>
      </c>
      <c r="BV43" s="941"/>
      <c r="BW43" s="941"/>
      <c r="BX43" s="941"/>
      <c r="BY43" s="941"/>
      <c r="BZ43" s="941"/>
      <c r="CA43" s="941"/>
      <c r="CB43" s="941"/>
      <c r="CC43" s="942"/>
      <c r="CD43" s="1116" t="s">
        <v>666</v>
      </c>
      <c r="CE43" s="1076"/>
      <c r="CF43" s="1076"/>
      <c r="CG43" s="1076"/>
      <c r="CH43" s="1076"/>
      <c r="CI43" s="1076"/>
      <c r="CJ43" s="1087"/>
      <c r="CK43" s="1088" t="s">
        <v>643</v>
      </c>
      <c r="CL43" s="1089"/>
      <c r="CM43" s="1089"/>
      <c r="CN43" s="1089"/>
      <c r="CO43" s="1089"/>
      <c r="CP43" s="1089"/>
      <c r="CQ43" s="1089"/>
      <c r="CR43" s="1090"/>
      <c r="CS43" s="1075" t="s">
        <v>650</v>
      </c>
      <c r="CT43" s="1076"/>
      <c r="CU43" s="1076"/>
      <c r="CV43" s="1076"/>
      <c r="CW43" s="1076"/>
      <c r="CX43" s="1076"/>
      <c r="CY43" s="1087"/>
      <c r="CZ43" s="1075" t="s">
        <v>644</v>
      </c>
      <c r="DA43" s="1076"/>
      <c r="DB43" s="1076"/>
      <c r="DC43" s="1076"/>
      <c r="DD43" s="1076"/>
      <c r="DE43" s="1076"/>
      <c r="DF43" s="1087"/>
      <c r="DG43" s="1075" t="s">
        <v>644</v>
      </c>
      <c r="DH43" s="1076"/>
      <c r="DI43" s="1076"/>
      <c r="DJ43" s="1076"/>
      <c r="DK43" s="1076"/>
      <c r="DL43" s="1076"/>
      <c r="DM43" s="1087"/>
      <c r="DN43" s="1075" t="s">
        <v>644</v>
      </c>
      <c r="DO43" s="1076"/>
      <c r="DP43" s="1076"/>
      <c r="DQ43" s="1076"/>
      <c r="DR43" s="1076"/>
      <c r="DS43" s="1076"/>
      <c r="DT43" s="1077"/>
      <c r="DU43" s="51"/>
      <c r="DV43" s="51"/>
    </row>
    <row r="44" spans="1:126" ht="7.35" customHeight="1" x14ac:dyDescent="0.3">
      <c r="A44" s="1067" t="str">
        <f>'8a-Weapons'!AS123</f>
        <v/>
      </c>
      <c r="B44" s="1068"/>
      <c r="C44" s="1068"/>
      <c r="D44" s="1068"/>
      <c r="E44" s="1068"/>
      <c r="F44" s="1068"/>
      <c r="G44" s="1068"/>
      <c r="H44" s="1068"/>
      <c r="I44" s="1068"/>
      <c r="J44" s="1068"/>
      <c r="K44" s="1068"/>
      <c r="L44" s="1068"/>
      <c r="M44" s="1068"/>
      <c r="N44" s="1068"/>
      <c r="O44" s="1068"/>
      <c r="P44" s="1068"/>
      <c r="Q44" s="1068"/>
      <c r="R44" s="1068"/>
      <c r="S44" s="1068"/>
      <c r="T44" s="1068"/>
      <c r="U44" s="1068"/>
      <c r="V44" s="1068"/>
      <c r="W44" s="1068"/>
      <c r="X44" s="1068"/>
      <c r="Y44" s="1068"/>
      <c r="Z44" s="1068"/>
      <c r="AA44" s="1068"/>
      <c r="AB44" s="1068"/>
      <c r="AC44" s="1069"/>
      <c r="AD44" s="1055" t="str">
        <f>'8a-Weapons'!AQ38</f>
        <v/>
      </c>
      <c r="AE44" s="1056"/>
      <c r="AF44" s="1056"/>
      <c r="AG44" s="1056"/>
      <c r="AH44" s="1056"/>
      <c r="AI44" s="1056"/>
      <c r="AJ44" s="1056"/>
      <c r="AK44" s="1056"/>
      <c r="AL44" s="1056"/>
      <c r="AM44" s="1056"/>
      <c r="AN44" s="1057"/>
      <c r="AO44" s="984" t="str">
        <f>'8a-Weapons'!AR38</f>
        <v/>
      </c>
      <c r="AP44" s="985"/>
      <c r="AQ44" s="985"/>
      <c r="AR44" s="985"/>
      <c r="AS44" s="985"/>
      <c r="AT44" s="985"/>
      <c r="AU44" s="985"/>
      <c r="AV44" s="985"/>
      <c r="AW44" s="985"/>
      <c r="AX44" s="986"/>
      <c r="AY44" s="984" t="str">
        <f>'8a-Weapons'!AU123</f>
        <v/>
      </c>
      <c r="AZ44" s="985"/>
      <c r="BA44" s="985"/>
      <c r="BB44" s="985"/>
      <c r="BC44" s="985"/>
      <c r="BD44" s="985"/>
      <c r="BE44" s="985"/>
      <c r="BF44" s="985"/>
      <c r="BG44" s="985"/>
      <c r="BH44" s="985"/>
      <c r="BI44" s="985"/>
      <c r="BJ44" s="985"/>
      <c r="BK44" s="985"/>
      <c r="BL44" s="985"/>
      <c r="BM44" s="985"/>
      <c r="BN44" s="985"/>
      <c r="BO44" s="985"/>
      <c r="BP44" s="985"/>
      <c r="BQ44" s="985"/>
      <c r="BR44" s="986"/>
      <c r="BS44" s="1109">
        <v>11</v>
      </c>
      <c r="BT44" s="1110"/>
      <c r="BU44" s="1038" t="str">
        <f>"Crew"&amp;IF('11-Staterooms'!C58="No",""," (CS-1)")</f>
        <v>Crew</v>
      </c>
      <c r="BV44" s="1038"/>
      <c r="BW44" s="1038"/>
      <c r="BX44" s="1038"/>
      <c r="BY44" s="1038"/>
      <c r="BZ44" s="1038"/>
      <c r="CA44" s="1038"/>
      <c r="CB44" s="1038"/>
      <c r="CC44" s="1039"/>
      <c r="CD44" s="1117" t="s">
        <v>1326</v>
      </c>
      <c r="CE44" s="1118"/>
      <c r="CF44" s="1118"/>
      <c r="CG44" s="1118"/>
      <c r="CH44" s="1118"/>
      <c r="CI44" s="1118"/>
      <c r="CJ44" s="1119"/>
      <c r="CK44" s="1031" t="s">
        <v>667</v>
      </c>
      <c r="CL44" s="1032"/>
      <c r="CM44" s="1032"/>
      <c r="CN44" s="1032"/>
      <c r="CO44" s="1032"/>
      <c r="CP44" s="1032"/>
      <c r="CQ44" s="1032"/>
      <c r="CR44" s="1033"/>
      <c r="CS44" s="1140" t="s">
        <v>1324</v>
      </c>
      <c r="CT44" s="1118"/>
      <c r="CU44" s="1118"/>
      <c r="CV44" s="1118"/>
      <c r="CW44" s="1118"/>
      <c r="CX44" s="1118"/>
      <c r="CY44" s="1119"/>
      <c r="CZ44" s="1031" t="s">
        <v>668</v>
      </c>
      <c r="DA44" s="1032"/>
      <c r="DB44" s="1032"/>
      <c r="DC44" s="1032"/>
      <c r="DD44" s="1032"/>
      <c r="DE44" s="1032"/>
      <c r="DF44" s="1033"/>
      <c r="DG44" s="1140" t="s">
        <v>1325</v>
      </c>
      <c r="DH44" s="1118"/>
      <c r="DI44" s="1118"/>
      <c r="DJ44" s="1118"/>
      <c r="DK44" s="1118"/>
      <c r="DL44" s="1118"/>
      <c r="DM44" s="1119"/>
      <c r="DN44" s="1031" t="s">
        <v>669</v>
      </c>
      <c r="DO44" s="1032"/>
      <c r="DP44" s="1032"/>
      <c r="DQ44" s="1032"/>
      <c r="DR44" s="1032"/>
      <c r="DS44" s="1032"/>
      <c r="DT44" s="1061"/>
      <c r="DU44" s="51"/>
      <c r="DV44" s="51"/>
    </row>
    <row r="45" spans="1:126" ht="7.35" customHeight="1" x14ac:dyDescent="0.3">
      <c r="A45" s="1070"/>
      <c r="B45" s="1071"/>
      <c r="C45" s="1071"/>
      <c r="D45" s="1071"/>
      <c r="E45" s="1071"/>
      <c r="F45" s="1071"/>
      <c r="G45" s="1071"/>
      <c r="H45" s="1071"/>
      <c r="I45" s="1071"/>
      <c r="J45" s="1071"/>
      <c r="K45" s="1071"/>
      <c r="L45" s="1071"/>
      <c r="M45" s="1071"/>
      <c r="N45" s="1071"/>
      <c r="O45" s="1071"/>
      <c r="P45" s="1071"/>
      <c r="Q45" s="1071"/>
      <c r="R45" s="1071"/>
      <c r="S45" s="1071"/>
      <c r="T45" s="1071"/>
      <c r="U45" s="1071"/>
      <c r="V45" s="1071"/>
      <c r="W45" s="1071"/>
      <c r="X45" s="1071"/>
      <c r="Y45" s="1071"/>
      <c r="Z45" s="1071"/>
      <c r="AA45" s="1071"/>
      <c r="AB45" s="1071"/>
      <c r="AC45" s="1072"/>
      <c r="AD45" s="1058"/>
      <c r="AE45" s="1059"/>
      <c r="AF45" s="1059"/>
      <c r="AG45" s="1059"/>
      <c r="AH45" s="1059"/>
      <c r="AI45" s="1059"/>
      <c r="AJ45" s="1059"/>
      <c r="AK45" s="1059"/>
      <c r="AL45" s="1059"/>
      <c r="AM45" s="1059"/>
      <c r="AN45" s="1060"/>
      <c r="AO45" s="987"/>
      <c r="AP45" s="988"/>
      <c r="AQ45" s="988"/>
      <c r="AR45" s="988"/>
      <c r="AS45" s="988"/>
      <c r="AT45" s="988"/>
      <c r="AU45" s="988"/>
      <c r="AV45" s="988"/>
      <c r="AW45" s="988"/>
      <c r="AX45" s="989"/>
      <c r="AY45" s="987"/>
      <c r="AZ45" s="988"/>
      <c r="BA45" s="988"/>
      <c r="BB45" s="988"/>
      <c r="BC45" s="988"/>
      <c r="BD45" s="988"/>
      <c r="BE45" s="988"/>
      <c r="BF45" s="988"/>
      <c r="BG45" s="988"/>
      <c r="BH45" s="988"/>
      <c r="BI45" s="988"/>
      <c r="BJ45" s="988"/>
      <c r="BK45" s="988"/>
      <c r="BL45" s="988"/>
      <c r="BM45" s="988"/>
      <c r="BN45" s="988"/>
      <c r="BO45" s="988"/>
      <c r="BP45" s="988"/>
      <c r="BQ45" s="988"/>
      <c r="BR45" s="989"/>
      <c r="BS45" s="1111"/>
      <c r="BT45" s="1112"/>
      <c r="BU45" s="1041"/>
      <c r="BV45" s="1041"/>
      <c r="BW45" s="1041"/>
      <c r="BX45" s="1041"/>
      <c r="BY45" s="1041"/>
      <c r="BZ45" s="1041"/>
      <c r="CA45" s="1041"/>
      <c r="CB45" s="1041"/>
      <c r="CC45" s="1042"/>
      <c r="CD45" s="1108" t="s">
        <v>654</v>
      </c>
      <c r="CE45" s="1065"/>
      <c r="CF45" s="1065"/>
      <c r="CG45" s="1065"/>
      <c r="CH45" s="1065"/>
      <c r="CI45" s="1065"/>
      <c r="CJ45" s="1066"/>
      <c r="CK45" s="1034"/>
      <c r="CL45" s="1035"/>
      <c r="CM45" s="1035"/>
      <c r="CN45" s="1035"/>
      <c r="CO45" s="1035"/>
      <c r="CP45" s="1035"/>
      <c r="CQ45" s="1035"/>
      <c r="CR45" s="1036"/>
      <c r="CS45" s="1064" t="s">
        <v>655</v>
      </c>
      <c r="CT45" s="1065"/>
      <c r="CU45" s="1065"/>
      <c r="CV45" s="1065"/>
      <c r="CW45" s="1065"/>
      <c r="CX45" s="1065"/>
      <c r="CY45" s="1066"/>
      <c r="CZ45" s="1034"/>
      <c r="DA45" s="1035"/>
      <c r="DB45" s="1035"/>
      <c r="DC45" s="1035"/>
      <c r="DD45" s="1035"/>
      <c r="DE45" s="1035"/>
      <c r="DF45" s="1036"/>
      <c r="DG45" s="1064" t="s">
        <v>656</v>
      </c>
      <c r="DH45" s="1065"/>
      <c r="DI45" s="1065"/>
      <c r="DJ45" s="1065"/>
      <c r="DK45" s="1065"/>
      <c r="DL45" s="1065"/>
      <c r="DM45" s="1066"/>
      <c r="DN45" s="1034"/>
      <c r="DO45" s="1035"/>
      <c r="DP45" s="1035"/>
      <c r="DQ45" s="1035"/>
      <c r="DR45" s="1035"/>
      <c r="DS45" s="1035"/>
      <c r="DT45" s="1062"/>
      <c r="DU45" s="51"/>
      <c r="DV45" s="51"/>
    </row>
    <row r="46" spans="1:126" ht="7.35" customHeight="1" x14ac:dyDescent="0.3">
      <c r="A46" s="1037" t="str">
        <f>'8a-Weapons'!AS124</f>
        <v/>
      </c>
      <c r="B46" s="1038"/>
      <c r="C46" s="1038"/>
      <c r="D46" s="1038"/>
      <c r="E46" s="1038"/>
      <c r="F46" s="1038"/>
      <c r="G46" s="1038"/>
      <c r="H46" s="1038"/>
      <c r="I46" s="1038"/>
      <c r="J46" s="1038"/>
      <c r="K46" s="1038"/>
      <c r="L46" s="1038"/>
      <c r="M46" s="1038"/>
      <c r="N46" s="1038"/>
      <c r="O46" s="1038"/>
      <c r="P46" s="1038"/>
      <c r="Q46" s="1038"/>
      <c r="R46" s="1038"/>
      <c r="S46" s="1038"/>
      <c r="T46" s="1038"/>
      <c r="U46" s="1038"/>
      <c r="V46" s="1038"/>
      <c r="W46" s="1038"/>
      <c r="X46" s="1038"/>
      <c r="Y46" s="1038"/>
      <c r="Z46" s="1038"/>
      <c r="AA46" s="1038"/>
      <c r="AB46" s="1038"/>
      <c r="AC46" s="1039"/>
      <c r="AD46" s="1043" t="str">
        <f>'8a-Weapons'!AQ39</f>
        <v/>
      </c>
      <c r="AE46" s="1044"/>
      <c r="AF46" s="1044"/>
      <c r="AG46" s="1044"/>
      <c r="AH46" s="1044"/>
      <c r="AI46" s="1044"/>
      <c r="AJ46" s="1044"/>
      <c r="AK46" s="1044"/>
      <c r="AL46" s="1044"/>
      <c r="AM46" s="1044"/>
      <c r="AN46" s="1045"/>
      <c r="AO46" s="1049" t="str">
        <f>'8a-Weapons'!AR39</f>
        <v/>
      </c>
      <c r="AP46" s="1050"/>
      <c r="AQ46" s="1050"/>
      <c r="AR46" s="1050"/>
      <c r="AS46" s="1050"/>
      <c r="AT46" s="1050"/>
      <c r="AU46" s="1050"/>
      <c r="AV46" s="1050"/>
      <c r="AW46" s="1050"/>
      <c r="AX46" s="1051"/>
      <c r="AY46" s="1049" t="str">
        <f>'8a-Weapons'!AU124</f>
        <v/>
      </c>
      <c r="AZ46" s="1050"/>
      <c r="BA46" s="1050"/>
      <c r="BB46" s="1050"/>
      <c r="BC46" s="1050"/>
      <c r="BD46" s="1050"/>
      <c r="BE46" s="1050"/>
      <c r="BF46" s="1050"/>
      <c r="BG46" s="1050"/>
      <c r="BH46" s="1050"/>
      <c r="BI46" s="1050"/>
      <c r="BJ46" s="1050"/>
      <c r="BK46" s="1050"/>
      <c r="BL46" s="1050"/>
      <c r="BM46" s="1050"/>
      <c r="BN46" s="1050"/>
      <c r="BO46" s="1050"/>
      <c r="BP46" s="1050"/>
      <c r="BQ46" s="1050"/>
      <c r="BR46" s="1051"/>
      <c r="BS46" s="1141">
        <v>12</v>
      </c>
      <c r="BT46" s="1142"/>
      <c r="BU46" s="1068" t="str">
        <f>"Bridge"&amp;IF('5-Bridge'!C22="Yes"," (CS-1)","")</f>
        <v>Bridge</v>
      </c>
      <c r="BV46" s="1068"/>
      <c r="BW46" s="1068"/>
      <c r="BX46" s="1068"/>
      <c r="BY46" s="1068"/>
      <c r="BZ46" s="1068"/>
      <c r="CA46" s="1068"/>
      <c r="CB46" s="1068"/>
      <c r="CC46" s="1068"/>
      <c r="CD46" s="1120" t="s">
        <v>1327</v>
      </c>
      <c r="CE46" s="1078"/>
      <c r="CF46" s="1078"/>
      <c r="CG46" s="1078"/>
      <c r="CH46" s="1078"/>
      <c r="CI46" s="1078"/>
      <c r="CJ46" s="1078"/>
      <c r="CK46" s="1078" t="s">
        <v>1329</v>
      </c>
      <c r="CL46" s="1078"/>
      <c r="CM46" s="1078"/>
      <c r="CN46" s="1078"/>
      <c r="CO46" s="1078"/>
      <c r="CP46" s="1078"/>
      <c r="CQ46" s="1078"/>
      <c r="CR46" s="1078"/>
      <c r="CS46" s="1078" t="s">
        <v>1330</v>
      </c>
      <c r="CT46" s="1078"/>
      <c r="CU46" s="1078"/>
      <c r="CV46" s="1078"/>
      <c r="CW46" s="1078"/>
      <c r="CX46" s="1078"/>
      <c r="CY46" s="1078"/>
      <c r="CZ46" s="1078" t="s">
        <v>1332</v>
      </c>
      <c r="DA46" s="1078"/>
      <c r="DB46" s="1078"/>
      <c r="DC46" s="1078"/>
      <c r="DD46" s="1078"/>
      <c r="DE46" s="1078"/>
      <c r="DF46" s="1078"/>
      <c r="DG46" s="1078" t="s">
        <v>83</v>
      </c>
      <c r="DH46" s="1078"/>
      <c r="DI46" s="1078"/>
      <c r="DJ46" s="1078"/>
      <c r="DK46" s="1078"/>
      <c r="DL46" s="1078"/>
      <c r="DM46" s="1078"/>
      <c r="DN46" s="1078" t="s">
        <v>1332</v>
      </c>
      <c r="DO46" s="1078"/>
      <c r="DP46" s="1078"/>
      <c r="DQ46" s="1078"/>
      <c r="DR46" s="1078"/>
      <c r="DS46" s="1078"/>
      <c r="DT46" s="1079"/>
      <c r="DU46" s="51"/>
      <c r="DV46" s="51"/>
    </row>
    <row r="47" spans="1:126" ht="7.35" customHeight="1" thickBot="1" x14ac:dyDescent="0.35">
      <c r="A47" s="1040"/>
      <c r="B47" s="1041"/>
      <c r="C47" s="1041"/>
      <c r="D47" s="1041"/>
      <c r="E47" s="1041"/>
      <c r="F47" s="1041"/>
      <c r="G47" s="1041"/>
      <c r="H47" s="1041"/>
      <c r="I47" s="1041"/>
      <c r="J47" s="1041"/>
      <c r="K47" s="1041"/>
      <c r="L47" s="1041"/>
      <c r="M47" s="1041"/>
      <c r="N47" s="1041"/>
      <c r="O47" s="1041"/>
      <c r="P47" s="1041"/>
      <c r="Q47" s="1041"/>
      <c r="R47" s="1041"/>
      <c r="S47" s="1041"/>
      <c r="T47" s="1041"/>
      <c r="U47" s="1041"/>
      <c r="V47" s="1041"/>
      <c r="W47" s="1041"/>
      <c r="X47" s="1041"/>
      <c r="Y47" s="1041"/>
      <c r="Z47" s="1041"/>
      <c r="AA47" s="1041"/>
      <c r="AB47" s="1041"/>
      <c r="AC47" s="1042"/>
      <c r="AD47" s="1046"/>
      <c r="AE47" s="1047"/>
      <c r="AF47" s="1047"/>
      <c r="AG47" s="1047"/>
      <c r="AH47" s="1047"/>
      <c r="AI47" s="1047"/>
      <c r="AJ47" s="1047"/>
      <c r="AK47" s="1047"/>
      <c r="AL47" s="1047"/>
      <c r="AM47" s="1047"/>
      <c r="AN47" s="1048"/>
      <c r="AO47" s="1052"/>
      <c r="AP47" s="1053"/>
      <c r="AQ47" s="1053"/>
      <c r="AR47" s="1053"/>
      <c r="AS47" s="1053"/>
      <c r="AT47" s="1053"/>
      <c r="AU47" s="1053"/>
      <c r="AV47" s="1053"/>
      <c r="AW47" s="1053"/>
      <c r="AX47" s="1054"/>
      <c r="AY47" s="1052"/>
      <c r="AZ47" s="1053"/>
      <c r="BA47" s="1053"/>
      <c r="BB47" s="1053"/>
      <c r="BC47" s="1053"/>
      <c r="BD47" s="1053"/>
      <c r="BE47" s="1053"/>
      <c r="BF47" s="1053"/>
      <c r="BG47" s="1053"/>
      <c r="BH47" s="1053"/>
      <c r="BI47" s="1053"/>
      <c r="BJ47" s="1053"/>
      <c r="BK47" s="1053"/>
      <c r="BL47" s="1053"/>
      <c r="BM47" s="1053"/>
      <c r="BN47" s="1053"/>
      <c r="BO47" s="1053"/>
      <c r="BP47" s="1053"/>
      <c r="BQ47" s="1053"/>
      <c r="BR47" s="1054"/>
      <c r="BS47" s="1143"/>
      <c r="BT47" s="1144"/>
      <c r="BU47" s="1133"/>
      <c r="BV47" s="1133"/>
      <c r="BW47" s="1133"/>
      <c r="BX47" s="1133"/>
      <c r="BY47" s="1133"/>
      <c r="BZ47" s="1133"/>
      <c r="CA47" s="1133"/>
      <c r="CB47" s="1133"/>
      <c r="CC47" s="1133"/>
      <c r="CD47" s="982" t="s">
        <v>643</v>
      </c>
      <c r="CE47" s="983"/>
      <c r="CF47" s="983"/>
      <c r="CG47" s="983"/>
      <c r="CH47" s="983"/>
      <c r="CI47" s="983"/>
      <c r="CJ47" s="983"/>
      <c r="CK47" s="983" t="s">
        <v>1328</v>
      </c>
      <c r="CL47" s="983"/>
      <c r="CM47" s="983"/>
      <c r="CN47" s="983"/>
      <c r="CO47" s="983"/>
      <c r="CP47" s="983"/>
      <c r="CQ47" s="983"/>
      <c r="CR47" s="983"/>
      <c r="CS47" s="998">
        <v>-0.5</v>
      </c>
      <c r="CT47" s="983"/>
      <c r="CU47" s="983"/>
      <c r="CV47" s="983"/>
      <c r="CW47" s="983"/>
      <c r="CX47" s="983"/>
      <c r="CY47" s="983"/>
      <c r="CZ47" s="983" t="s">
        <v>1331</v>
      </c>
      <c r="DA47" s="983"/>
      <c r="DB47" s="983"/>
      <c r="DC47" s="983"/>
      <c r="DD47" s="983"/>
      <c r="DE47" s="983"/>
      <c r="DF47" s="983"/>
      <c r="DG47" s="983" t="s">
        <v>650</v>
      </c>
      <c r="DH47" s="983"/>
      <c r="DI47" s="983"/>
      <c r="DJ47" s="983"/>
      <c r="DK47" s="983"/>
      <c r="DL47" s="983"/>
      <c r="DM47" s="983"/>
      <c r="DN47" s="983" t="s">
        <v>1333</v>
      </c>
      <c r="DO47" s="983"/>
      <c r="DP47" s="983"/>
      <c r="DQ47" s="983"/>
      <c r="DR47" s="983"/>
      <c r="DS47" s="983"/>
      <c r="DT47" s="1063"/>
      <c r="DU47" s="51"/>
      <c r="DV47" s="51"/>
    </row>
    <row r="48" spans="1:126" ht="15" thickBot="1" x14ac:dyDescent="0.35">
      <c r="A48" s="940" t="str">
        <f>'8a-Weapons'!AS125</f>
        <v/>
      </c>
      <c r="B48" s="941"/>
      <c r="C48" s="941"/>
      <c r="D48" s="941"/>
      <c r="E48" s="941"/>
      <c r="F48" s="941"/>
      <c r="G48" s="941"/>
      <c r="H48" s="941"/>
      <c r="I48" s="941"/>
      <c r="J48" s="941"/>
      <c r="K48" s="941"/>
      <c r="L48" s="941"/>
      <c r="M48" s="941"/>
      <c r="N48" s="941"/>
      <c r="O48" s="941"/>
      <c r="P48" s="941"/>
      <c r="Q48" s="941"/>
      <c r="R48" s="941"/>
      <c r="S48" s="941"/>
      <c r="T48" s="941"/>
      <c r="U48" s="941"/>
      <c r="V48" s="941"/>
      <c r="W48" s="941"/>
      <c r="X48" s="941"/>
      <c r="Y48" s="941"/>
      <c r="Z48" s="941"/>
      <c r="AA48" s="941"/>
      <c r="AB48" s="941"/>
      <c r="AC48" s="942"/>
      <c r="AD48" s="959" t="str">
        <f>'8a-Weapons'!AQ40</f>
        <v/>
      </c>
      <c r="AE48" s="960"/>
      <c r="AF48" s="960"/>
      <c r="AG48" s="960"/>
      <c r="AH48" s="960"/>
      <c r="AI48" s="960"/>
      <c r="AJ48" s="960"/>
      <c r="AK48" s="960"/>
      <c r="AL48" s="960"/>
      <c r="AM48" s="960"/>
      <c r="AN48" s="961"/>
      <c r="AO48" s="965" t="str">
        <f>'8a-Weapons'!AR40</f>
        <v/>
      </c>
      <c r="AP48" s="966"/>
      <c r="AQ48" s="966"/>
      <c r="AR48" s="966"/>
      <c r="AS48" s="966"/>
      <c r="AT48" s="966"/>
      <c r="AU48" s="966"/>
      <c r="AV48" s="966"/>
      <c r="AW48" s="966"/>
      <c r="AX48" s="967"/>
      <c r="AY48" s="965" t="str">
        <f>'8a-Weapons'!AU125</f>
        <v/>
      </c>
      <c r="AZ48" s="966"/>
      <c r="BA48" s="966"/>
      <c r="BB48" s="966"/>
      <c r="BC48" s="966"/>
      <c r="BD48" s="966"/>
      <c r="BE48" s="966"/>
      <c r="BF48" s="966"/>
      <c r="BG48" s="966"/>
      <c r="BH48" s="966"/>
      <c r="BI48" s="966"/>
      <c r="BJ48" s="966"/>
      <c r="BK48" s="966"/>
      <c r="BL48" s="966"/>
      <c r="BM48" s="966"/>
      <c r="BN48" s="966"/>
      <c r="BO48" s="966"/>
      <c r="BP48" s="966"/>
      <c r="BQ48" s="966"/>
      <c r="BR48" s="967"/>
      <c r="BS48" s="1124" t="s">
        <v>712</v>
      </c>
      <c r="BT48" s="1124"/>
      <c r="BU48" s="1124"/>
      <c r="BV48" s="1124"/>
      <c r="BW48" s="1124"/>
      <c r="BX48" s="1124"/>
      <c r="BY48" s="1124"/>
      <c r="BZ48" s="1124"/>
      <c r="CA48" s="1124"/>
      <c r="CB48" s="1124"/>
      <c r="CC48" s="1124"/>
      <c r="CD48" s="1124"/>
      <c r="CE48" s="1124"/>
      <c r="CF48" s="1124"/>
      <c r="CG48" s="1124"/>
      <c r="CH48" s="1124"/>
      <c r="CI48" s="1124"/>
      <c r="CJ48" s="1124"/>
      <c r="CK48" s="1124"/>
      <c r="CL48" s="1124"/>
      <c r="CM48" s="1124"/>
      <c r="CN48" s="1124"/>
      <c r="CO48" s="1124"/>
      <c r="CP48" s="1124"/>
      <c r="CQ48" s="1124"/>
      <c r="CR48" s="1124"/>
      <c r="CS48" s="1124"/>
      <c r="CT48" s="1124"/>
      <c r="CU48" s="1124"/>
      <c r="CV48" s="1124"/>
      <c r="CW48" s="1124"/>
      <c r="CX48" s="1124"/>
      <c r="CY48" s="1124"/>
      <c r="CZ48" s="1124"/>
      <c r="DA48" s="1124"/>
      <c r="DB48" s="1124"/>
      <c r="DC48" s="1124"/>
      <c r="DD48" s="1124"/>
      <c r="DE48" s="1124"/>
      <c r="DF48" s="1124"/>
      <c r="DG48" s="1124"/>
      <c r="DH48" s="1124"/>
      <c r="DI48" s="1124"/>
      <c r="DJ48" s="1124"/>
      <c r="DK48" s="1124"/>
      <c r="DL48" s="1124"/>
      <c r="DM48" s="1124"/>
      <c r="DN48" s="1124"/>
      <c r="DO48" s="1124"/>
      <c r="DP48" s="1124"/>
      <c r="DQ48" s="1124"/>
      <c r="DR48" s="1124"/>
      <c r="DS48" s="1124"/>
      <c r="DT48" s="1124"/>
      <c r="DU48" s="51"/>
      <c r="DV48" s="51"/>
    </row>
    <row r="49" spans="1:126" ht="15" customHeight="1" thickBot="1" x14ac:dyDescent="0.35">
      <c r="A49" s="943" t="str">
        <f>'8a-Weapons'!AS126</f>
        <v/>
      </c>
      <c r="B49" s="944"/>
      <c r="C49" s="944"/>
      <c r="D49" s="944"/>
      <c r="E49" s="944"/>
      <c r="F49" s="944"/>
      <c r="G49" s="944"/>
      <c r="H49" s="944"/>
      <c r="I49" s="944"/>
      <c r="J49" s="944"/>
      <c r="K49" s="944"/>
      <c r="L49" s="944"/>
      <c r="M49" s="944"/>
      <c r="N49" s="944"/>
      <c r="O49" s="944"/>
      <c r="P49" s="944"/>
      <c r="Q49" s="944"/>
      <c r="R49" s="944"/>
      <c r="S49" s="944"/>
      <c r="T49" s="944"/>
      <c r="U49" s="944"/>
      <c r="V49" s="944"/>
      <c r="W49" s="944"/>
      <c r="X49" s="944"/>
      <c r="Y49" s="944"/>
      <c r="Z49" s="944"/>
      <c r="AA49" s="944"/>
      <c r="AB49" s="944"/>
      <c r="AC49" s="945"/>
      <c r="AD49" s="956" t="str">
        <f>'8a-Weapons'!AQ41</f>
        <v/>
      </c>
      <c r="AE49" s="957"/>
      <c r="AF49" s="957"/>
      <c r="AG49" s="957"/>
      <c r="AH49" s="957"/>
      <c r="AI49" s="957"/>
      <c r="AJ49" s="957"/>
      <c r="AK49" s="957"/>
      <c r="AL49" s="957"/>
      <c r="AM49" s="957"/>
      <c r="AN49" s="958"/>
      <c r="AO49" s="968" t="str">
        <f>'8a-Weapons'!AR41</f>
        <v/>
      </c>
      <c r="AP49" s="969"/>
      <c r="AQ49" s="969"/>
      <c r="AR49" s="969"/>
      <c r="AS49" s="969"/>
      <c r="AT49" s="969"/>
      <c r="AU49" s="969"/>
      <c r="AV49" s="969"/>
      <c r="AW49" s="969"/>
      <c r="AX49" s="970"/>
      <c r="AY49" s="968" t="str">
        <f>'8a-Weapons'!AU126</f>
        <v/>
      </c>
      <c r="AZ49" s="969"/>
      <c r="BA49" s="969"/>
      <c r="BB49" s="969"/>
      <c r="BC49" s="969"/>
      <c r="BD49" s="969"/>
      <c r="BE49" s="969"/>
      <c r="BF49" s="969"/>
      <c r="BG49" s="969"/>
      <c r="BH49" s="969"/>
      <c r="BI49" s="969"/>
      <c r="BJ49" s="969"/>
      <c r="BK49" s="969"/>
      <c r="BL49" s="969"/>
      <c r="BM49" s="969"/>
      <c r="BN49" s="969"/>
      <c r="BO49" s="969"/>
      <c r="BP49" s="969"/>
      <c r="BQ49" s="969"/>
      <c r="BR49" s="970"/>
      <c r="BS49" s="1127" t="s">
        <v>713</v>
      </c>
      <c r="BT49" s="1128"/>
      <c r="BU49" s="1128"/>
      <c r="BV49" s="1128"/>
      <c r="BW49" s="1128"/>
      <c r="BX49" s="1128"/>
      <c r="BY49" s="1128"/>
      <c r="BZ49" s="1128"/>
      <c r="CA49" s="1128"/>
      <c r="CB49" s="1128"/>
      <c r="CC49" s="1128"/>
      <c r="CD49" s="1128"/>
      <c r="CE49" s="1128"/>
      <c r="CF49" s="1128"/>
      <c r="CG49" s="1128"/>
      <c r="CH49" s="1128"/>
      <c r="CI49" s="1128"/>
      <c r="CJ49" s="1128"/>
      <c r="CK49" s="1128"/>
      <c r="CL49" s="1128"/>
      <c r="CM49" s="1128"/>
      <c r="CN49" s="1128"/>
      <c r="CO49" s="1128"/>
      <c r="CP49" s="1128"/>
      <c r="CQ49" s="1128"/>
      <c r="CR49" s="1128"/>
      <c r="CS49" s="1128"/>
      <c r="CT49" s="1128"/>
      <c r="CU49" s="1128"/>
      <c r="CV49" s="1128"/>
      <c r="CW49" s="1128"/>
      <c r="CX49" s="1128"/>
      <c r="CY49" s="1128"/>
      <c r="CZ49" s="51"/>
      <c r="DA49" s="1103" t="s">
        <v>560</v>
      </c>
      <c r="DB49" s="1103"/>
      <c r="DC49" s="1103"/>
      <c r="DD49" s="1103"/>
      <c r="DE49" s="1103"/>
      <c r="DF49" s="1103"/>
      <c r="DG49" s="1103"/>
      <c r="DH49" s="1103"/>
      <c r="DI49" s="1103"/>
      <c r="DJ49" s="1103"/>
      <c r="DK49" s="1103" t="str">
        <f>"Sensors (x"&amp;'7-Sensors'!C13&amp;")"</f>
        <v>Sensors (x1)</v>
      </c>
      <c r="DL49" s="1103"/>
      <c r="DM49" s="1103"/>
      <c r="DN49" s="1103"/>
      <c r="DO49" s="1103"/>
      <c r="DP49" s="1103"/>
      <c r="DQ49" s="1103"/>
      <c r="DR49" s="1103"/>
      <c r="DS49" s="1103"/>
      <c r="DT49" s="1103"/>
      <c r="DU49" s="51"/>
      <c r="DV49" s="51"/>
    </row>
    <row r="50" spans="1:126" ht="15" customHeight="1" thickBot="1" x14ac:dyDescent="0.35">
      <c r="A50" s="940" t="str">
        <f>'8a-Weapons'!AS127</f>
        <v/>
      </c>
      <c r="B50" s="941"/>
      <c r="C50" s="941"/>
      <c r="D50" s="941"/>
      <c r="E50" s="941"/>
      <c r="F50" s="941"/>
      <c r="G50" s="941"/>
      <c r="H50" s="941"/>
      <c r="I50" s="941"/>
      <c r="J50" s="941"/>
      <c r="K50" s="941"/>
      <c r="L50" s="941"/>
      <c r="M50" s="941"/>
      <c r="N50" s="941"/>
      <c r="O50" s="941"/>
      <c r="P50" s="941"/>
      <c r="Q50" s="941"/>
      <c r="R50" s="941"/>
      <c r="S50" s="941"/>
      <c r="T50" s="941"/>
      <c r="U50" s="941"/>
      <c r="V50" s="941"/>
      <c r="W50" s="941"/>
      <c r="X50" s="941"/>
      <c r="Y50" s="941"/>
      <c r="Z50" s="941"/>
      <c r="AA50" s="941"/>
      <c r="AB50" s="941"/>
      <c r="AC50" s="942"/>
      <c r="AD50" s="959" t="str">
        <f>'8a-Weapons'!AQ42</f>
        <v/>
      </c>
      <c r="AE50" s="960"/>
      <c r="AF50" s="960"/>
      <c r="AG50" s="960"/>
      <c r="AH50" s="960"/>
      <c r="AI50" s="960"/>
      <c r="AJ50" s="960"/>
      <c r="AK50" s="960"/>
      <c r="AL50" s="960"/>
      <c r="AM50" s="960"/>
      <c r="AN50" s="961"/>
      <c r="AO50" s="965" t="str">
        <f>'8a-Weapons'!AR42</f>
        <v/>
      </c>
      <c r="AP50" s="966"/>
      <c r="AQ50" s="966"/>
      <c r="AR50" s="966"/>
      <c r="AS50" s="966"/>
      <c r="AT50" s="966"/>
      <c r="AU50" s="966"/>
      <c r="AV50" s="966"/>
      <c r="AW50" s="966"/>
      <c r="AX50" s="967"/>
      <c r="AY50" s="965" t="str">
        <f>'8a-Weapons'!AU127</f>
        <v/>
      </c>
      <c r="AZ50" s="966"/>
      <c r="BA50" s="966"/>
      <c r="BB50" s="966"/>
      <c r="BC50" s="966"/>
      <c r="BD50" s="966"/>
      <c r="BE50" s="966"/>
      <c r="BF50" s="966"/>
      <c r="BG50" s="966"/>
      <c r="BH50" s="966"/>
      <c r="BI50" s="966"/>
      <c r="BJ50" s="966"/>
      <c r="BK50" s="966"/>
      <c r="BL50" s="966"/>
      <c r="BM50" s="966"/>
      <c r="BN50" s="966"/>
      <c r="BO50" s="966"/>
      <c r="BP50" s="966"/>
      <c r="BQ50" s="966"/>
      <c r="BR50" s="967"/>
      <c r="BS50" s="1121" t="s">
        <v>395</v>
      </c>
      <c r="BT50" s="1121"/>
      <c r="BU50" s="1121"/>
      <c r="BV50" s="1121"/>
      <c r="BW50" s="1121"/>
      <c r="BX50" s="1121"/>
      <c r="BY50" s="1121"/>
      <c r="BZ50" s="1121"/>
      <c r="CA50" s="1121"/>
      <c r="CB50" s="1121"/>
      <c r="CC50" s="1121"/>
      <c r="CD50" s="1121"/>
      <c r="CE50" s="1121"/>
      <c r="CF50" s="1122"/>
      <c r="CG50" s="1104" t="s">
        <v>670</v>
      </c>
      <c r="CH50" s="1104"/>
      <c r="CI50" s="1104"/>
      <c r="CJ50" s="1104"/>
      <c r="CK50" s="1104" t="s">
        <v>116</v>
      </c>
      <c r="CL50" s="1104"/>
      <c r="CM50" s="1104"/>
      <c r="CN50" s="1104"/>
      <c r="CO50" s="1104"/>
      <c r="CP50" s="1104"/>
      <c r="CQ50" s="1104"/>
      <c r="CR50" s="1104"/>
      <c r="CS50" s="1104"/>
      <c r="CT50" s="1104"/>
      <c r="CU50" s="1104"/>
      <c r="CV50" s="1104"/>
      <c r="CW50" s="1104"/>
      <c r="CX50" s="1104"/>
      <c r="CY50" s="1105"/>
      <c r="CZ50" s="51"/>
      <c r="DA50" s="1125" t="s">
        <v>671</v>
      </c>
      <c r="DB50" s="1126"/>
      <c r="DC50" s="1126"/>
      <c r="DD50" s="1126"/>
      <c r="DE50" s="1126"/>
      <c r="DF50" s="1126"/>
      <c r="DG50" s="1099" t="str">
        <f>'6-Comp'!Y5</f>
        <v>N/A</v>
      </c>
      <c r="DH50" s="1099"/>
      <c r="DI50" s="1099"/>
      <c r="DJ50" s="1100"/>
      <c r="DK50" s="1125" t="s">
        <v>680</v>
      </c>
      <c r="DL50" s="1126"/>
      <c r="DM50" s="1126"/>
      <c r="DN50" s="1126"/>
      <c r="DO50" s="1126"/>
      <c r="DP50" s="1126"/>
      <c r="DQ50" s="1099">
        <f>'7-Sensors'!T24+'1-Hull'!V96</f>
        <v>-4</v>
      </c>
      <c r="DR50" s="1099"/>
      <c r="DS50" s="1099"/>
      <c r="DT50" s="1100"/>
      <c r="DU50" s="51"/>
      <c r="DV50" s="51"/>
    </row>
    <row r="51" spans="1:126" ht="15" customHeight="1" x14ac:dyDescent="0.3">
      <c r="A51" s="943" t="str">
        <f>'8a-Weapons'!AS128</f>
        <v/>
      </c>
      <c r="B51" s="944"/>
      <c r="C51" s="944"/>
      <c r="D51" s="944"/>
      <c r="E51" s="944"/>
      <c r="F51" s="944"/>
      <c r="G51" s="944"/>
      <c r="H51" s="944"/>
      <c r="I51" s="944"/>
      <c r="J51" s="944"/>
      <c r="K51" s="944"/>
      <c r="L51" s="944"/>
      <c r="M51" s="944"/>
      <c r="N51" s="944"/>
      <c r="O51" s="944"/>
      <c r="P51" s="944"/>
      <c r="Q51" s="944"/>
      <c r="R51" s="944"/>
      <c r="S51" s="944"/>
      <c r="T51" s="944"/>
      <c r="U51" s="944"/>
      <c r="V51" s="944"/>
      <c r="W51" s="944"/>
      <c r="X51" s="944"/>
      <c r="Y51" s="944"/>
      <c r="Z51" s="944"/>
      <c r="AA51" s="944"/>
      <c r="AB51" s="944"/>
      <c r="AC51" s="945"/>
      <c r="AD51" s="956" t="str">
        <f>'8a-Weapons'!AQ43</f>
        <v/>
      </c>
      <c r="AE51" s="957"/>
      <c r="AF51" s="957"/>
      <c r="AG51" s="957"/>
      <c r="AH51" s="957"/>
      <c r="AI51" s="957"/>
      <c r="AJ51" s="957"/>
      <c r="AK51" s="957"/>
      <c r="AL51" s="957"/>
      <c r="AM51" s="957"/>
      <c r="AN51" s="958"/>
      <c r="AO51" s="968" t="str">
        <f>'8a-Weapons'!AR43</f>
        <v/>
      </c>
      <c r="AP51" s="969"/>
      <c r="AQ51" s="969"/>
      <c r="AR51" s="969"/>
      <c r="AS51" s="969"/>
      <c r="AT51" s="969"/>
      <c r="AU51" s="969"/>
      <c r="AV51" s="969"/>
      <c r="AW51" s="969"/>
      <c r="AX51" s="970"/>
      <c r="AY51" s="968" t="str">
        <f>'8a-Weapons'!AU128</f>
        <v/>
      </c>
      <c r="AZ51" s="969"/>
      <c r="BA51" s="969"/>
      <c r="BB51" s="969"/>
      <c r="BC51" s="969"/>
      <c r="BD51" s="969"/>
      <c r="BE51" s="969"/>
      <c r="BF51" s="969"/>
      <c r="BG51" s="969"/>
      <c r="BH51" s="969"/>
      <c r="BI51" s="969"/>
      <c r="BJ51" s="969"/>
      <c r="BK51" s="969"/>
      <c r="BL51" s="969"/>
      <c r="BM51" s="969"/>
      <c r="BN51" s="969"/>
      <c r="BO51" s="969"/>
      <c r="BP51" s="969"/>
      <c r="BQ51" s="969"/>
      <c r="BR51" s="970"/>
      <c r="BS51" s="1123" t="str">
        <f>'8b-Screens'!B9</f>
        <v/>
      </c>
      <c r="BT51" s="1106"/>
      <c r="BU51" s="1106"/>
      <c r="BV51" s="1106"/>
      <c r="BW51" s="1106"/>
      <c r="BX51" s="1106"/>
      <c r="BY51" s="1106"/>
      <c r="BZ51" s="1106"/>
      <c r="CA51" s="1106"/>
      <c r="CB51" s="1106"/>
      <c r="CC51" s="1106"/>
      <c r="CD51" s="1106"/>
      <c r="CE51" s="1106"/>
      <c r="CF51" s="1106"/>
      <c r="CG51" s="1106">
        <f>'8b-Screens'!E9</f>
        <v>0</v>
      </c>
      <c r="CH51" s="1106"/>
      <c r="CI51" s="1106"/>
      <c r="CJ51" s="1106"/>
      <c r="CK51" s="1106" t="str">
        <f>'8b-Screens'!T64</f>
        <v xml:space="preserve">  </v>
      </c>
      <c r="CL51" s="1106"/>
      <c r="CM51" s="1106"/>
      <c r="CN51" s="1106"/>
      <c r="CO51" s="1106"/>
      <c r="CP51" s="1106"/>
      <c r="CQ51" s="1106"/>
      <c r="CR51" s="1106"/>
      <c r="CS51" s="1106"/>
      <c r="CT51" s="1106"/>
      <c r="CU51" s="1106"/>
      <c r="CV51" s="1106"/>
      <c r="CW51" s="1106"/>
      <c r="CX51" s="1106"/>
      <c r="CY51" s="1107"/>
      <c r="CZ51" s="51"/>
      <c r="DA51" s="971" t="s">
        <v>676</v>
      </c>
      <c r="DB51" s="972"/>
      <c r="DC51" s="972"/>
      <c r="DD51" s="972"/>
      <c r="DE51" s="972"/>
      <c r="DF51" s="972"/>
      <c r="DG51" s="1092" t="str">
        <f>'6-Comp'!Y6</f>
        <v>N/A</v>
      </c>
      <c r="DH51" s="1092"/>
      <c r="DI51" s="1092"/>
      <c r="DJ51" s="1096"/>
      <c r="DK51" s="971" t="s">
        <v>681</v>
      </c>
      <c r="DL51" s="972"/>
      <c r="DM51" s="972"/>
      <c r="DN51" s="972"/>
      <c r="DO51" s="972"/>
      <c r="DP51" s="972"/>
      <c r="DQ51" s="1092" t="str">
        <f>'7-Sensors'!T25</f>
        <v>0</v>
      </c>
      <c r="DR51" s="1092"/>
      <c r="DS51" s="1092"/>
      <c r="DT51" s="1096"/>
      <c r="DU51" s="51"/>
      <c r="DV51" s="51"/>
    </row>
    <row r="52" spans="1:126" ht="15" customHeight="1" x14ac:dyDescent="0.3">
      <c r="A52" s="940" t="str">
        <f>'8a-Weapons'!AS129</f>
        <v/>
      </c>
      <c r="B52" s="941"/>
      <c r="C52" s="941"/>
      <c r="D52" s="941"/>
      <c r="E52" s="941"/>
      <c r="F52" s="941"/>
      <c r="G52" s="941"/>
      <c r="H52" s="941"/>
      <c r="I52" s="941"/>
      <c r="J52" s="941"/>
      <c r="K52" s="941"/>
      <c r="L52" s="941"/>
      <c r="M52" s="941"/>
      <c r="N52" s="941"/>
      <c r="O52" s="941"/>
      <c r="P52" s="941"/>
      <c r="Q52" s="941"/>
      <c r="R52" s="941"/>
      <c r="S52" s="941"/>
      <c r="T52" s="941"/>
      <c r="U52" s="941"/>
      <c r="V52" s="941"/>
      <c r="W52" s="941"/>
      <c r="X52" s="941"/>
      <c r="Y52" s="941"/>
      <c r="Z52" s="941"/>
      <c r="AA52" s="941"/>
      <c r="AB52" s="941"/>
      <c r="AC52" s="942"/>
      <c r="AD52" s="959" t="str">
        <f>'8a-Weapons'!AQ44</f>
        <v/>
      </c>
      <c r="AE52" s="960"/>
      <c r="AF52" s="960"/>
      <c r="AG52" s="960"/>
      <c r="AH52" s="960"/>
      <c r="AI52" s="960"/>
      <c r="AJ52" s="960"/>
      <c r="AK52" s="960"/>
      <c r="AL52" s="960"/>
      <c r="AM52" s="960"/>
      <c r="AN52" s="961"/>
      <c r="AO52" s="965" t="str">
        <f>'8a-Weapons'!AR44</f>
        <v/>
      </c>
      <c r="AP52" s="966"/>
      <c r="AQ52" s="966"/>
      <c r="AR52" s="966"/>
      <c r="AS52" s="966"/>
      <c r="AT52" s="966"/>
      <c r="AU52" s="966"/>
      <c r="AV52" s="966"/>
      <c r="AW52" s="966"/>
      <c r="AX52" s="967"/>
      <c r="AY52" s="965" t="str">
        <f>'8a-Weapons'!AU129</f>
        <v/>
      </c>
      <c r="AZ52" s="966"/>
      <c r="BA52" s="966"/>
      <c r="BB52" s="966"/>
      <c r="BC52" s="966"/>
      <c r="BD52" s="966"/>
      <c r="BE52" s="966"/>
      <c r="BF52" s="966"/>
      <c r="BG52" s="966"/>
      <c r="BH52" s="966"/>
      <c r="BI52" s="966"/>
      <c r="BJ52" s="966"/>
      <c r="BK52" s="966"/>
      <c r="BL52" s="966"/>
      <c r="BM52" s="966"/>
      <c r="BN52" s="966"/>
      <c r="BO52" s="966"/>
      <c r="BP52" s="966"/>
      <c r="BQ52" s="966"/>
      <c r="BR52" s="967"/>
      <c r="BS52" s="1091" t="str">
        <f>'8b-Screens'!B14</f>
        <v/>
      </c>
      <c r="BT52" s="1092"/>
      <c r="BU52" s="1092"/>
      <c r="BV52" s="1092"/>
      <c r="BW52" s="1092"/>
      <c r="BX52" s="1092"/>
      <c r="BY52" s="1092"/>
      <c r="BZ52" s="1092"/>
      <c r="CA52" s="1092"/>
      <c r="CB52" s="1092"/>
      <c r="CC52" s="1092"/>
      <c r="CD52" s="1092"/>
      <c r="CE52" s="1092"/>
      <c r="CF52" s="1092"/>
      <c r="CG52" s="1092">
        <f>'8b-Screens'!E14</f>
        <v>0</v>
      </c>
      <c r="CH52" s="1092"/>
      <c r="CI52" s="1092"/>
      <c r="CJ52" s="1092"/>
      <c r="CK52" s="1092" t="str">
        <f>'8b-Screens'!V64</f>
        <v xml:space="preserve">  </v>
      </c>
      <c r="CL52" s="1092"/>
      <c r="CM52" s="1092"/>
      <c r="CN52" s="1092"/>
      <c r="CO52" s="1092"/>
      <c r="CP52" s="1092"/>
      <c r="CQ52" s="1092"/>
      <c r="CR52" s="1092"/>
      <c r="CS52" s="1092"/>
      <c r="CT52" s="1092"/>
      <c r="CU52" s="1092"/>
      <c r="CV52" s="1092"/>
      <c r="CW52" s="1092"/>
      <c r="CX52" s="1092"/>
      <c r="CY52" s="1096"/>
      <c r="DA52" s="971" t="s">
        <v>679</v>
      </c>
      <c r="DB52" s="972"/>
      <c r="DC52" s="972"/>
      <c r="DD52" s="972"/>
      <c r="DE52" s="972"/>
      <c r="DF52" s="972"/>
      <c r="DG52" s="1092" t="str">
        <f>'6-Comp'!Y7</f>
        <v>N/A</v>
      </c>
      <c r="DH52" s="1092"/>
      <c r="DI52" s="1092"/>
      <c r="DJ52" s="1096"/>
      <c r="DK52" s="971" t="s">
        <v>682</v>
      </c>
      <c r="DL52" s="972"/>
      <c r="DM52" s="972"/>
      <c r="DN52" s="972"/>
      <c r="DO52" s="972"/>
      <c r="DP52" s="972"/>
      <c r="DQ52" s="1092" t="str">
        <f>'7-Sensors'!T26</f>
        <v>0</v>
      </c>
      <c r="DR52" s="1092"/>
      <c r="DS52" s="1092"/>
      <c r="DT52" s="1096"/>
    </row>
    <row r="53" spans="1:126" ht="15" customHeight="1" thickBot="1" x14ac:dyDescent="0.35">
      <c r="A53" s="943" t="str">
        <f>'8a-Weapons'!AS130</f>
        <v/>
      </c>
      <c r="B53" s="944"/>
      <c r="C53" s="944"/>
      <c r="D53" s="944"/>
      <c r="E53" s="944"/>
      <c r="F53" s="944"/>
      <c r="G53" s="944"/>
      <c r="H53" s="944"/>
      <c r="I53" s="944"/>
      <c r="J53" s="944"/>
      <c r="K53" s="944"/>
      <c r="L53" s="944"/>
      <c r="M53" s="944"/>
      <c r="N53" s="944"/>
      <c r="O53" s="944"/>
      <c r="P53" s="944"/>
      <c r="Q53" s="944"/>
      <c r="R53" s="944"/>
      <c r="S53" s="944"/>
      <c r="T53" s="944"/>
      <c r="U53" s="944"/>
      <c r="V53" s="944"/>
      <c r="W53" s="944"/>
      <c r="X53" s="944"/>
      <c r="Y53" s="944"/>
      <c r="Z53" s="944"/>
      <c r="AA53" s="944"/>
      <c r="AB53" s="944"/>
      <c r="AC53" s="945"/>
      <c r="AD53" s="956" t="str">
        <f>'8a-Weapons'!AQ45</f>
        <v/>
      </c>
      <c r="AE53" s="957"/>
      <c r="AF53" s="957"/>
      <c r="AG53" s="957"/>
      <c r="AH53" s="957"/>
      <c r="AI53" s="957"/>
      <c r="AJ53" s="957"/>
      <c r="AK53" s="957"/>
      <c r="AL53" s="957"/>
      <c r="AM53" s="957"/>
      <c r="AN53" s="958"/>
      <c r="AO53" s="968" t="str">
        <f>'8a-Weapons'!AR45</f>
        <v/>
      </c>
      <c r="AP53" s="969"/>
      <c r="AQ53" s="969"/>
      <c r="AR53" s="969"/>
      <c r="AS53" s="969"/>
      <c r="AT53" s="969"/>
      <c r="AU53" s="969"/>
      <c r="AV53" s="969"/>
      <c r="AW53" s="969"/>
      <c r="AX53" s="970"/>
      <c r="AY53" s="968" t="str">
        <f>'8a-Weapons'!AU130</f>
        <v/>
      </c>
      <c r="AZ53" s="969"/>
      <c r="BA53" s="969"/>
      <c r="BB53" s="969"/>
      <c r="BC53" s="969"/>
      <c r="BD53" s="969"/>
      <c r="BE53" s="969"/>
      <c r="BF53" s="969"/>
      <c r="BG53" s="969"/>
      <c r="BH53" s="969"/>
      <c r="BI53" s="969"/>
      <c r="BJ53" s="969"/>
      <c r="BK53" s="969"/>
      <c r="BL53" s="969"/>
      <c r="BM53" s="969"/>
      <c r="BN53" s="969"/>
      <c r="BO53" s="969"/>
      <c r="BP53" s="969"/>
      <c r="BQ53" s="969"/>
      <c r="BR53" s="970"/>
      <c r="BS53" s="1091" t="str">
        <f>'8b-Screens'!B19</f>
        <v/>
      </c>
      <c r="BT53" s="1092"/>
      <c r="BU53" s="1092"/>
      <c r="BV53" s="1092"/>
      <c r="BW53" s="1092"/>
      <c r="BX53" s="1092"/>
      <c r="BY53" s="1092"/>
      <c r="BZ53" s="1092"/>
      <c r="CA53" s="1092"/>
      <c r="CB53" s="1092"/>
      <c r="CC53" s="1092"/>
      <c r="CD53" s="1092"/>
      <c r="CE53" s="1092"/>
      <c r="CF53" s="1092"/>
      <c r="CG53" s="1092">
        <f>'8b-Screens'!E19</f>
        <v>0</v>
      </c>
      <c r="CH53" s="1092"/>
      <c r="CI53" s="1092"/>
      <c r="CJ53" s="1092"/>
      <c r="CK53" s="1092" t="str">
        <f>'8b-Screens'!X64</f>
        <v xml:space="preserve">  </v>
      </c>
      <c r="CL53" s="1092"/>
      <c r="CM53" s="1092"/>
      <c r="CN53" s="1092"/>
      <c r="CO53" s="1092"/>
      <c r="CP53" s="1092"/>
      <c r="CQ53" s="1092"/>
      <c r="CR53" s="1092"/>
      <c r="CS53" s="1092"/>
      <c r="CT53" s="1092"/>
      <c r="CU53" s="1092"/>
      <c r="CV53" s="1092"/>
      <c r="CW53" s="1092"/>
      <c r="CX53" s="1092"/>
      <c r="CY53" s="1096"/>
      <c r="DA53" s="971" t="s">
        <v>246</v>
      </c>
      <c r="DB53" s="972"/>
      <c r="DC53" s="972"/>
      <c r="DD53" s="972"/>
      <c r="DE53" s="972"/>
      <c r="DF53" s="972"/>
      <c r="DG53" s="1092" t="str">
        <f>'6-Comp'!Y8</f>
        <v>N/A</v>
      </c>
      <c r="DH53" s="1092"/>
      <c r="DI53" s="1092"/>
      <c r="DJ53" s="1096"/>
      <c r="DK53" s="1101" t="s">
        <v>683</v>
      </c>
      <c r="DL53" s="1102"/>
      <c r="DM53" s="1102"/>
      <c r="DN53" s="1102"/>
      <c r="DO53" s="1102"/>
      <c r="DP53" s="1102"/>
      <c r="DQ53" s="1097" t="str">
        <f>'7-Sensors'!T27</f>
        <v>N/A</v>
      </c>
      <c r="DR53" s="1097"/>
      <c r="DS53" s="1097"/>
      <c r="DT53" s="1098"/>
    </row>
    <row r="54" spans="1:126" ht="15" customHeight="1" x14ac:dyDescent="0.3">
      <c r="A54" s="940" t="str">
        <f>'8a-Weapons'!AS131</f>
        <v/>
      </c>
      <c r="B54" s="941"/>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2"/>
      <c r="AD54" s="959" t="str">
        <f>'8a-Weapons'!AQ46</f>
        <v/>
      </c>
      <c r="AE54" s="960"/>
      <c r="AF54" s="960"/>
      <c r="AG54" s="960"/>
      <c r="AH54" s="960"/>
      <c r="AI54" s="960"/>
      <c r="AJ54" s="960"/>
      <c r="AK54" s="960"/>
      <c r="AL54" s="960"/>
      <c r="AM54" s="960"/>
      <c r="AN54" s="961"/>
      <c r="AO54" s="965" t="str">
        <f>'8a-Weapons'!AR46</f>
        <v/>
      </c>
      <c r="AP54" s="966"/>
      <c r="AQ54" s="966"/>
      <c r="AR54" s="966"/>
      <c r="AS54" s="966"/>
      <c r="AT54" s="966"/>
      <c r="AU54" s="966"/>
      <c r="AV54" s="966"/>
      <c r="AW54" s="966"/>
      <c r="AX54" s="967"/>
      <c r="AY54" s="965" t="str">
        <f>'8a-Weapons'!AU131</f>
        <v/>
      </c>
      <c r="AZ54" s="966"/>
      <c r="BA54" s="966"/>
      <c r="BB54" s="966"/>
      <c r="BC54" s="966"/>
      <c r="BD54" s="966"/>
      <c r="BE54" s="966"/>
      <c r="BF54" s="966"/>
      <c r="BG54" s="966"/>
      <c r="BH54" s="966"/>
      <c r="BI54" s="966"/>
      <c r="BJ54" s="966"/>
      <c r="BK54" s="966"/>
      <c r="BL54" s="966"/>
      <c r="BM54" s="966"/>
      <c r="BN54" s="966"/>
      <c r="BO54" s="966"/>
      <c r="BP54" s="966"/>
      <c r="BQ54" s="966"/>
      <c r="BR54" s="967"/>
      <c r="BS54" s="1091" t="str">
        <f>'8b-Screens'!B24</f>
        <v/>
      </c>
      <c r="BT54" s="1092"/>
      <c r="BU54" s="1092"/>
      <c r="BV54" s="1092"/>
      <c r="BW54" s="1092"/>
      <c r="BX54" s="1092"/>
      <c r="BY54" s="1092"/>
      <c r="BZ54" s="1092"/>
      <c r="CA54" s="1092"/>
      <c r="CB54" s="1092"/>
      <c r="CC54" s="1092"/>
      <c r="CD54" s="1092"/>
      <c r="CE54" s="1092"/>
      <c r="CF54" s="1092"/>
      <c r="CG54" s="1092">
        <f>'8b-Screens'!E24</f>
        <v>0</v>
      </c>
      <c r="CH54" s="1092"/>
      <c r="CI54" s="1092"/>
      <c r="CJ54" s="1092"/>
      <c r="CK54" s="1092" t="str">
        <f>'8b-Screens'!Z64</f>
        <v xml:space="preserve">  </v>
      </c>
      <c r="CL54" s="1092"/>
      <c r="CM54" s="1092"/>
      <c r="CN54" s="1092"/>
      <c r="CO54" s="1092"/>
      <c r="CP54" s="1092"/>
      <c r="CQ54" s="1092"/>
      <c r="CR54" s="1092"/>
      <c r="CS54" s="1092"/>
      <c r="CT54" s="1092"/>
      <c r="CU54" s="1092"/>
      <c r="CV54" s="1092"/>
      <c r="CW54" s="1092"/>
      <c r="CX54" s="1092"/>
      <c r="CY54" s="1096"/>
      <c r="DA54" s="971" t="s">
        <v>674</v>
      </c>
      <c r="DB54" s="972"/>
      <c r="DC54" s="972"/>
      <c r="DD54" s="972"/>
      <c r="DE54" s="972"/>
      <c r="DF54" s="972"/>
      <c r="DG54" s="1092" t="str">
        <f>'6-Comp'!Y9</f>
        <v>N/A</v>
      </c>
      <c r="DH54" s="1092"/>
      <c r="DI54" s="1092"/>
      <c r="DJ54" s="1096"/>
      <c r="DL54" s="1135" t="s">
        <v>726</v>
      </c>
      <c r="DM54" s="1136"/>
      <c r="DN54" s="1136"/>
      <c r="DO54" s="1136"/>
      <c r="DP54" s="1136"/>
      <c r="DQ54" s="1136"/>
      <c r="DR54" s="1136"/>
      <c r="DS54" s="1136"/>
      <c r="DT54" s="1137"/>
    </row>
    <row r="55" spans="1:126" ht="15" thickBot="1" x14ac:dyDescent="0.35">
      <c r="A55" s="943" t="str">
        <f>'8a-Weapons'!AS132</f>
        <v/>
      </c>
      <c r="B55" s="944"/>
      <c r="C55" s="944"/>
      <c r="D55" s="944"/>
      <c r="E55" s="944"/>
      <c r="F55" s="944"/>
      <c r="G55" s="944"/>
      <c r="H55" s="944"/>
      <c r="I55" s="944"/>
      <c r="J55" s="944"/>
      <c r="K55" s="944"/>
      <c r="L55" s="944"/>
      <c r="M55" s="944"/>
      <c r="N55" s="944"/>
      <c r="O55" s="944"/>
      <c r="P55" s="944"/>
      <c r="Q55" s="944"/>
      <c r="R55" s="944"/>
      <c r="S55" s="944"/>
      <c r="T55" s="944"/>
      <c r="U55" s="944"/>
      <c r="V55" s="944"/>
      <c r="W55" s="944"/>
      <c r="X55" s="944"/>
      <c r="Y55" s="944"/>
      <c r="Z55" s="944"/>
      <c r="AA55" s="944"/>
      <c r="AB55" s="944"/>
      <c r="AC55" s="945"/>
      <c r="AD55" s="956" t="str">
        <f>'8a-Weapons'!AQ47</f>
        <v/>
      </c>
      <c r="AE55" s="957"/>
      <c r="AF55" s="957"/>
      <c r="AG55" s="957"/>
      <c r="AH55" s="957"/>
      <c r="AI55" s="957"/>
      <c r="AJ55" s="957"/>
      <c r="AK55" s="957"/>
      <c r="AL55" s="957"/>
      <c r="AM55" s="957"/>
      <c r="AN55" s="958"/>
      <c r="AO55" s="962" t="str">
        <f>'8a-Weapons'!AR47</f>
        <v/>
      </c>
      <c r="AP55" s="963"/>
      <c r="AQ55" s="963"/>
      <c r="AR55" s="963"/>
      <c r="AS55" s="963"/>
      <c r="AT55" s="963"/>
      <c r="AU55" s="963"/>
      <c r="AV55" s="963"/>
      <c r="AW55" s="963"/>
      <c r="AX55" s="964"/>
      <c r="AY55" s="962" t="str">
        <f>'8a-Weapons'!AU132</f>
        <v/>
      </c>
      <c r="AZ55" s="963"/>
      <c r="BA55" s="963"/>
      <c r="BB55" s="963"/>
      <c r="BC55" s="963"/>
      <c r="BD55" s="963"/>
      <c r="BE55" s="963"/>
      <c r="BF55" s="963"/>
      <c r="BG55" s="963"/>
      <c r="BH55" s="963"/>
      <c r="BI55" s="963"/>
      <c r="BJ55" s="963"/>
      <c r="BK55" s="963"/>
      <c r="BL55" s="963"/>
      <c r="BM55" s="963"/>
      <c r="BN55" s="963"/>
      <c r="BO55" s="963"/>
      <c r="BP55" s="963"/>
      <c r="BQ55" s="963"/>
      <c r="BR55" s="964"/>
      <c r="BS55" s="1091" t="str">
        <f>IF('8b-Screens'!D34=0,"","Grav Shielding")</f>
        <v/>
      </c>
      <c r="BT55" s="1092"/>
      <c r="BU55" s="1092"/>
      <c r="BV55" s="1092"/>
      <c r="BW55" s="1092"/>
      <c r="BX55" s="1092"/>
      <c r="BY55" s="1092"/>
      <c r="BZ55" s="1092"/>
      <c r="CA55" s="1092"/>
      <c r="CB55" s="1092"/>
      <c r="CC55" s="1092"/>
      <c r="CD55" s="1092"/>
      <c r="CE55" s="1092"/>
      <c r="CF55" s="1092"/>
      <c r="CG55" s="1114" t="str">
        <f>INDEX('8b-Screens'!T68:V74,MATCH('8b-Screens'!D34,'8b-Screens'!T68:T74,0),3)</f>
        <v/>
      </c>
      <c r="CH55" s="1114"/>
      <c r="CI55" s="1114"/>
      <c r="CJ55" s="1114"/>
      <c r="CK55" s="1114" t="str">
        <f>'8b-Screens'!Y56</f>
        <v xml:space="preserve">  </v>
      </c>
      <c r="CL55" s="1114"/>
      <c r="CM55" s="1114"/>
      <c r="CN55" s="1114"/>
      <c r="CO55" s="1114"/>
      <c r="CP55" s="1114"/>
      <c r="CQ55" s="1114"/>
      <c r="CR55" s="1114"/>
      <c r="CS55" s="1114"/>
      <c r="CT55" s="1114"/>
      <c r="CU55" s="1114"/>
      <c r="CV55" s="1114"/>
      <c r="CW55" s="1114"/>
      <c r="CX55" s="1114"/>
      <c r="CY55" s="1138"/>
      <c r="DA55" s="971" t="s">
        <v>675</v>
      </c>
      <c r="DB55" s="972"/>
      <c r="DC55" s="972"/>
      <c r="DD55" s="972"/>
      <c r="DE55" s="972"/>
      <c r="DF55" s="972"/>
      <c r="DG55" s="1092" t="str">
        <f>'6-Comp'!Y10</f>
        <v>N/A</v>
      </c>
      <c r="DH55" s="1092"/>
      <c r="DI55" s="1092"/>
      <c r="DJ55" s="1096"/>
      <c r="DL55" s="1093" t="s">
        <v>725</v>
      </c>
      <c r="DM55" s="1094"/>
      <c r="DN55" s="1094"/>
      <c r="DO55" s="1094"/>
      <c r="DP55" s="1094"/>
      <c r="DQ55" s="1094"/>
      <c r="DR55" s="1094"/>
      <c r="DS55" s="1094"/>
      <c r="DT55" s="1095"/>
    </row>
    <row r="56" spans="1:126" ht="15.6" thickTop="1" thickBot="1" x14ac:dyDescent="0.35">
      <c r="A56" s="954" t="str">
        <f>'8a-Weapons'!AS136</f>
        <v/>
      </c>
      <c r="B56" s="954"/>
      <c r="C56" s="954"/>
      <c r="D56" s="954"/>
      <c r="E56" s="954"/>
      <c r="F56" s="954"/>
      <c r="G56" s="954"/>
      <c r="H56" s="954"/>
      <c r="I56" s="954"/>
      <c r="J56" s="954"/>
      <c r="K56" s="954"/>
      <c r="L56" s="954"/>
      <c r="M56" s="954"/>
      <c r="N56" s="954"/>
      <c r="O56" s="954"/>
      <c r="P56" s="954"/>
      <c r="Q56" s="954"/>
      <c r="R56" s="954"/>
      <c r="S56" s="954"/>
      <c r="T56" s="954"/>
      <c r="U56" s="954"/>
      <c r="V56" s="954"/>
      <c r="W56" s="954"/>
      <c r="X56" s="954"/>
      <c r="Y56" s="954"/>
      <c r="Z56" s="954"/>
      <c r="AA56" s="954"/>
      <c r="AB56" s="954"/>
      <c r="AC56" s="954"/>
      <c r="AD56" s="955" t="str">
        <f>'8a-Weapons'!AW136</f>
        <v/>
      </c>
      <c r="AE56" s="955"/>
      <c r="AF56" s="955"/>
      <c r="AG56" s="955"/>
      <c r="AH56" s="955"/>
      <c r="AI56" s="955"/>
      <c r="AJ56" s="955"/>
      <c r="AK56" s="955"/>
      <c r="AL56" s="955"/>
      <c r="AM56" s="955"/>
      <c r="AN56" s="955"/>
      <c r="AO56" s="955" t="str">
        <f>IF('8a-Weapons'!B36='8a-Weapons'!Z122,'8a-Weapons'!AE122,IF('8a-Weapons'!AX136="0DD (xK)","",'8a-Weapons'!AX136))</f>
        <v/>
      </c>
      <c r="AP56" s="955"/>
      <c r="AQ56" s="955"/>
      <c r="AR56" s="955"/>
      <c r="AS56" s="955"/>
      <c r="AT56" s="955"/>
      <c r="AU56" s="955"/>
      <c r="AV56" s="955"/>
      <c r="AW56" s="955"/>
      <c r="AX56" s="955"/>
      <c r="AY56" s="955" t="str">
        <f>'8a-Weapons'!AU136</f>
        <v/>
      </c>
      <c r="AZ56" s="955"/>
      <c r="BA56" s="955"/>
      <c r="BB56" s="955"/>
      <c r="BC56" s="955"/>
      <c r="BD56" s="955"/>
      <c r="BE56" s="955"/>
      <c r="BF56" s="955"/>
      <c r="BG56" s="955"/>
      <c r="BH56" s="955"/>
      <c r="BI56" s="955"/>
      <c r="BJ56" s="955"/>
      <c r="BK56" s="955"/>
      <c r="BL56" s="955"/>
      <c r="BM56" s="955"/>
      <c r="BN56" s="955"/>
      <c r="BO56" s="955"/>
      <c r="BP56" s="955"/>
      <c r="BQ56" s="955"/>
      <c r="BR56" s="955"/>
      <c r="BS56" s="1113" t="str">
        <f>IF('8b-Screens'!C39='8b-Screens'!S6,"",'8b-Screens'!B39)</f>
        <v/>
      </c>
      <c r="BT56" s="1097"/>
      <c r="BU56" s="1097"/>
      <c r="BV56" s="1097"/>
      <c r="BW56" s="1097"/>
      <c r="BX56" s="1097"/>
      <c r="BY56" s="1097"/>
      <c r="BZ56" s="1097"/>
      <c r="CA56" s="1097"/>
      <c r="CB56" s="1097"/>
      <c r="CC56" s="1097"/>
      <c r="CD56" s="1097"/>
      <c r="CE56" s="1097"/>
      <c r="CF56" s="1097"/>
      <c r="CG56" s="1115">
        <f>'8b-Screens'!E39</f>
        <v>0</v>
      </c>
      <c r="CH56" s="1115"/>
      <c r="CI56" s="1115"/>
      <c r="CJ56" s="1115"/>
      <c r="CK56" s="1115" t="str">
        <f>IF(CG49&gt;0,"Dmg Cap:"&amp;'8b-Screens'!D42,"")</f>
        <v/>
      </c>
      <c r="CL56" s="1115"/>
      <c r="CM56" s="1115"/>
      <c r="CN56" s="1115"/>
      <c r="CO56" s="1115"/>
      <c r="CP56" s="1115"/>
      <c r="CQ56" s="1115"/>
      <c r="CR56" s="1115"/>
      <c r="CS56" s="1115"/>
      <c r="CT56" s="1115"/>
      <c r="CU56" s="1115"/>
      <c r="CV56" s="1115"/>
      <c r="CW56" s="1115"/>
      <c r="CX56" s="1115"/>
      <c r="CY56" s="1139"/>
      <c r="DA56" s="1101" t="s">
        <v>678</v>
      </c>
      <c r="DB56" s="1102"/>
      <c r="DC56" s="1102"/>
      <c r="DD56" s="1102"/>
      <c r="DE56" s="1102"/>
      <c r="DF56" s="1102"/>
      <c r="DG56" s="1097" t="str">
        <f>'6-Comp'!Y11</f>
        <v>X</v>
      </c>
      <c r="DH56" s="1097"/>
      <c r="DI56" s="1097"/>
      <c r="DJ56" s="1098"/>
      <c r="DL56" s="1132">
        <f>SUM('12-Cargo'!D40:'12-Cargo'!D50)</f>
        <v>0</v>
      </c>
      <c r="DM56" s="1133"/>
      <c r="DN56" s="1133"/>
      <c r="DO56" s="1133"/>
      <c r="DP56" s="1133"/>
      <c r="DQ56" s="1133"/>
      <c r="DR56" s="1133"/>
      <c r="DS56" s="1133"/>
      <c r="DT56" s="1134"/>
    </row>
  </sheetData>
  <sheetProtection algorithmName="SHA-512" hashValue="5pN0UpB1+rMTeCfoHWniUAAjPgG5H1y2ZcxSKsh5GnwrdPECiza17kYtJ4FwfFR9qm05uMtrSMCufdBA/+/w2A==" saltValue="+QZTIdrKxG5N11ADuSqtAA==" spinCount="100000" sheet="1" selectLockedCells="1"/>
  <mergeCells count="292">
    <mergeCell ref="A41:AC41"/>
    <mergeCell ref="A44:AC45"/>
    <mergeCell ref="A46:AC47"/>
    <mergeCell ref="AD46:AN47"/>
    <mergeCell ref="AO46:AX47"/>
    <mergeCell ref="AY46:BR47"/>
    <mergeCell ref="BS46:BT47"/>
    <mergeCell ref="BU46:CC47"/>
    <mergeCell ref="A32:AC33"/>
    <mergeCell ref="AD32:AN33"/>
    <mergeCell ref="AO32:AX33"/>
    <mergeCell ref="AY32:BR33"/>
    <mergeCell ref="AO36:AX37"/>
    <mergeCell ref="CK33:CR33"/>
    <mergeCell ref="CS33:CY33"/>
    <mergeCell ref="CZ33:DF33"/>
    <mergeCell ref="DG33:DM33"/>
    <mergeCell ref="DL56:DT56"/>
    <mergeCell ref="DL54:DT54"/>
    <mergeCell ref="DG53:DJ53"/>
    <mergeCell ref="DA56:DF56"/>
    <mergeCell ref="CK55:CY55"/>
    <mergeCell ref="CK56:CY56"/>
    <mergeCell ref="DA50:DF50"/>
    <mergeCell ref="CS42:CY42"/>
    <mergeCell ref="CS43:CY43"/>
    <mergeCell ref="CS44:CY44"/>
    <mergeCell ref="CS46:CY46"/>
    <mergeCell ref="DG44:DM44"/>
    <mergeCell ref="DG46:DM46"/>
    <mergeCell ref="DG50:DJ50"/>
    <mergeCell ref="DA51:DF51"/>
    <mergeCell ref="DG51:DJ51"/>
    <mergeCell ref="CK54:CY54"/>
    <mergeCell ref="DK49:DT49"/>
    <mergeCell ref="DG54:DJ54"/>
    <mergeCell ref="DA54:DF54"/>
    <mergeCell ref="BS56:CF56"/>
    <mergeCell ref="CG50:CJ50"/>
    <mergeCell ref="CG51:CJ51"/>
    <mergeCell ref="CG52:CJ52"/>
    <mergeCell ref="CG53:CJ53"/>
    <mergeCell ref="CG54:CJ54"/>
    <mergeCell ref="CG55:CJ55"/>
    <mergeCell ref="CG56:CJ56"/>
    <mergeCell ref="CD41:CJ41"/>
    <mergeCell ref="CD42:CJ42"/>
    <mergeCell ref="CD43:CJ43"/>
    <mergeCell ref="CD44:CJ44"/>
    <mergeCell ref="CD46:CJ46"/>
    <mergeCell ref="BS50:CF50"/>
    <mergeCell ref="BS51:CF51"/>
    <mergeCell ref="BS52:CF52"/>
    <mergeCell ref="BS48:DT48"/>
    <mergeCell ref="DG55:DJ55"/>
    <mergeCell ref="DA55:DF55"/>
    <mergeCell ref="CS45:CY45"/>
    <mergeCell ref="DK50:DP50"/>
    <mergeCell ref="BS49:CY49"/>
    <mergeCell ref="BU43:CC43"/>
    <mergeCell ref="DG56:DJ56"/>
    <mergeCell ref="AD49:AN49"/>
    <mergeCell ref="AD50:AN50"/>
    <mergeCell ref="DA49:DJ49"/>
    <mergeCell ref="AO53:AX53"/>
    <mergeCell ref="AO52:AX52"/>
    <mergeCell ref="AO51:AX51"/>
    <mergeCell ref="AO50:AX50"/>
    <mergeCell ref="AO49:AX49"/>
    <mergeCell ref="CD40:CJ40"/>
    <mergeCell ref="BS53:CF53"/>
    <mergeCell ref="CK42:CR42"/>
    <mergeCell ref="CK50:CY50"/>
    <mergeCell ref="CK51:CY51"/>
    <mergeCell ref="CK52:CY52"/>
    <mergeCell ref="CK53:CY53"/>
    <mergeCell ref="CD45:CJ45"/>
    <mergeCell ref="AY44:BR45"/>
    <mergeCell ref="BS44:BT45"/>
    <mergeCell ref="BU44:CC45"/>
    <mergeCell ref="CK44:CR45"/>
    <mergeCell ref="CZ40:DF40"/>
    <mergeCell ref="CZ41:DF41"/>
    <mergeCell ref="DG52:DJ52"/>
    <mergeCell ref="DA52:DF52"/>
    <mergeCell ref="BS54:CF54"/>
    <mergeCell ref="BS55:CF55"/>
    <mergeCell ref="DL55:DT55"/>
    <mergeCell ref="DQ51:DT51"/>
    <mergeCell ref="DQ52:DT52"/>
    <mergeCell ref="DQ53:DT53"/>
    <mergeCell ref="DK52:DP52"/>
    <mergeCell ref="DQ50:DT50"/>
    <mergeCell ref="DK53:DP53"/>
    <mergeCell ref="DK51:DP51"/>
    <mergeCell ref="DG42:DM42"/>
    <mergeCell ref="CS40:CY40"/>
    <mergeCell ref="CS41:CY41"/>
    <mergeCell ref="BS43:BT43"/>
    <mergeCell ref="CZ46:DF46"/>
    <mergeCell ref="DG43:DM43"/>
    <mergeCell ref="CK43:CR43"/>
    <mergeCell ref="CK46:CR46"/>
    <mergeCell ref="CZ43:DF43"/>
    <mergeCell ref="DG40:DM40"/>
    <mergeCell ref="DG41:DM41"/>
    <mergeCell ref="CK40:CR40"/>
    <mergeCell ref="CK41:CR41"/>
    <mergeCell ref="DN41:DT41"/>
    <mergeCell ref="DN42:DT42"/>
    <mergeCell ref="CZ42:DF42"/>
    <mergeCell ref="DN44:DT45"/>
    <mergeCell ref="CZ47:DF47"/>
    <mergeCell ref="DG47:DM47"/>
    <mergeCell ref="DN47:DT47"/>
    <mergeCell ref="DG45:DM45"/>
    <mergeCell ref="A36:AC37"/>
    <mergeCell ref="AD36:AN37"/>
    <mergeCell ref="BU40:CC40"/>
    <mergeCell ref="BU41:CC41"/>
    <mergeCell ref="BU42:CC42"/>
    <mergeCell ref="BS40:BT40"/>
    <mergeCell ref="AY42:BR42"/>
    <mergeCell ref="DN43:DT43"/>
    <mergeCell ref="DN46:DT46"/>
    <mergeCell ref="DG38:DM38"/>
    <mergeCell ref="DG36:DM36"/>
    <mergeCell ref="DN36:DT36"/>
    <mergeCell ref="CZ37:DF37"/>
    <mergeCell ref="DG37:DM37"/>
    <mergeCell ref="DN37:DT37"/>
    <mergeCell ref="CZ38:DF39"/>
    <mergeCell ref="DG39:DM39"/>
    <mergeCell ref="DN39:DT39"/>
    <mergeCell ref="CZ44:DF45"/>
    <mergeCell ref="DN40:DT40"/>
    <mergeCell ref="A38:AC39"/>
    <mergeCell ref="AD38:AN39"/>
    <mergeCell ref="AO38:AX39"/>
    <mergeCell ref="AY38:BR39"/>
    <mergeCell ref="A48:AC48"/>
    <mergeCell ref="A43:AC43"/>
    <mergeCell ref="AD41:AN41"/>
    <mergeCell ref="AD42:AN42"/>
    <mergeCell ref="AD43:AN43"/>
    <mergeCell ref="AD48:AN48"/>
    <mergeCell ref="A40:AC40"/>
    <mergeCell ref="AD40:AN40"/>
    <mergeCell ref="AO40:AX40"/>
    <mergeCell ref="AO43:AX43"/>
    <mergeCell ref="AO42:AX42"/>
    <mergeCell ref="A42:AC42"/>
    <mergeCell ref="AO41:AX41"/>
    <mergeCell ref="AD44:AN45"/>
    <mergeCell ref="AO44:AX45"/>
    <mergeCell ref="AO48:AX48"/>
    <mergeCell ref="AY31:BR31"/>
    <mergeCell ref="BS41:BT41"/>
    <mergeCell ref="CD37:CJ37"/>
    <mergeCell ref="CK37:CR37"/>
    <mergeCell ref="AY30:BR30"/>
    <mergeCell ref="A30:AC30"/>
    <mergeCell ref="AO34:AX34"/>
    <mergeCell ref="AO35:AX35"/>
    <mergeCell ref="A31:AC31"/>
    <mergeCell ref="AO30:AX30"/>
    <mergeCell ref="AO31:AX31"/>
    <mergeCell ref="AD31:AN31"/>
    <mergeCell ref="AD30:AN30"/>
    <mergeCell ref="AY35:BR35"/>
    <mergeCell ref="AY34:BR34"/>
    <mergeCell ref="AD35:AN35"/>
    <mergeCell ref="AD34:AN34"/>
    <mergeCell ref="A34:AC34"/>
    <mergeCell ref="A35:AC35"/>
    <mergeCell ref="BS32:BT33"/>
    <mergeCell ref="BU32:CC33"/>
    <mergeCell ref="CD32:CJ33"/>
    <mergeCell ref="AY41:BR41"/>
    <mergeCell ref="CD36:CJ36"/>
    <mergeCell ref="AY50:BR50"/>
    <mergeCell ref="AY49:BR49"/>
    <mergeCell ref="AY48:BR48"/>
    <mergeCell ref="DA53:DF53"/>
    <mergeCell ref="CS36:CY36"/>
    <mergeCell ref="CK36:CR36"/>
    <mergeCell ref="BS42:BT42"/>
    <mergeCell ref="CZ36:DF36"/>
    <mergeCell ref="CS37:CY37"/>
    <mergeCell ref="CD47:CJ47"/>
    <mergeCell ref="CK47:CR47"/>
    <mergeCell ref="AY43:BR43"/>
    <mergeCell ref="AY36:BR37"/>
    <mergeCell ref="BS36:BT37"/>
    <mergeCell ref="BU36:CC37"/>
    <mergeCell ref="AY40:BR40"/>
    <mergeCell ref="CS47:CY47"/>
    <mergeCell ref="BS38:BT39"/>
    <mergeCell ref="BU38:CC39"/>
    <mergeCell ref="CD38:CJ39"/>
    <mergeCell ref="CK38:CR39"/>
    <mergeCell ref="CS38:CY39"/>
    <mergeCell ref="A56:AC56"/>
    <mergeCell ref="AD56:AN56"/>
    <mergeCell ref="AO56:AX56"/>
    <mergeCell ref="AY56:BR56"/>
    <mergeCell ref="AD51:AN51"/>
    <mergeCell ref="AD52:AN52"/>
    <mergeCell ref="AD53:AN53"/>
    <mergeCell ref="AD54:AN54"/>
    <mergeCell ref="AD55:AN55"/>
    <mergeCell ref="A55:AC55"/>
    <mergeCell ref="A54:AC54"/>
    <mergeCell ref="A53:AC53"/>
    <mergeCell ref="A52:AC52"/>
    <mergeCell ref="A51:AC51"/>
    <mergeCell ref="AO55:AX55"/>
    <mergeCell ref="AO54:AX54"/>
    <mergeCell ref="AY55:BR55"/>
    <mergeCell ref="AY54:BR54"/>
    <mergeCell ref="AY53:BR53"/>
    <mergeCell ref="AY52:BR52"/>
    <mergeCell ref="AY51:BR51"/>
    <mergeCell ref="A50:AC50"/>
    <mergeCell ref="A49:AC49"/>
    <mergeCell ref="CK34:CR34"/>
    <mergeCell ref="CK35:CR35"/>
    <mergeCell ref="CS32:CY32"/>
    <mergeCell ref="DN38:DT38"/>
    <mergeCell ref="DN31:DT31"/>
    <mergeCell ref="A1:AD1"/>
    <mergeCell ref="AG1:BZ1"/>
    <mergeCell ref="CC1:DU1"/>
    <mergeCell ref="A3:T3"/>
    <mergeCell ref="X3:AX3"/>
    <mergeCell ref="AZ3:BW3"/>
    <mergeCell ref="BY3:DA3"/>
    <mergeCell ref="A2:T2"/>
    <mergeCell ref="CL2:DJ2"/>
    <mergeCell ref="AP2:BE2"/>
    <mergeCell ref="V2:AN2"/>
    <mergeCell ref="DC3:DH3"/>
    <mergeCell ref="DI3:DT3"/>
    <mergeCell ref="BZ2:CH2"/>
    <mergeCell ref="CK32:CR32"/>
    <mergeCell ref="CZ34:DF34"/>
    <mergeCell ref="CZ35:DF35"/>
    <mergeCell ref="BS30:CC30"/>
    <mergeCell ref="CD31:CJ31"/>
    <mergeCell ref="DG32:DM32"/>
    <mergeCell ref="DG34:DM34"/>
    <mergeCell ref="DG35:DM35"/>
    <mergeCell ref="BS31:BT31"/>
    <mergeCell ref="BS34:BT34"/>
    <mergeCell ref="BS35:BT35"/>
    <mergeCell ref="BU35:CC35"/>
    <mergeCell ref="CD30:DT30"/>
    <mergeCell ref="DN34:DT34"/>
    <mergeCell ref="DN35:DT35"/>
    <mergeCell ref="DG31:DM31"/>
    <mergeCell ref="CZ32:DF32"/>
    <mergeCell ref="CZ31:DF31"/>
    <mergeCell ref="CS31:CY31"/>
    <mergeCell ref="CK31:CR31"/>
    <mergeCell ref="BU31:CC31"/>
    <mergeCell ref="BU34:CC34"/>
    <mergeCell ref="CD34:CJ34"/>
    <mergeCell ref="CD35:CJ35"/>
    <mergeCell ref="CS34:CY34"/>
    <mergeCell ref="CS35:CY35"/>
    <mergeCell ref="DN32:DT33"/>
    <mergeCell ref="BS29:DF29"/>
    <mergeCell ref="DR22:DS23"/>
    <mergeCell ref="DR24:DS25"/>
    <mergeCell ref="DT6:DU7"/>
    <mergeCell ref="DT8:DU9"/>
    <mergeCell ref="DT10:DU11"/>
    <mergeCell ref="DT12:DU13"/>
    <mergeCell ref="DT14:DU15"/>
    <mergeCell ref="DT16:DU17"/>
    <mergeCell ref="DT18:DU19"/>
    <mergeCell ref="DT20:DU21"/>
    <mergeCell ref="DT22:DU23"/>
    <mergeCell ref="DT24:DU25"/>
    <mergeCell ref="DR6:DS7"/>
    <mergeCell ref="DR8:DS9"/>
    <mergeCell ref="DR10:DS11"/>
    <mergeCell ref="DR12:DS13"/>
    <mergeCell ref="DR14:DS15"/>
    <mergeCell ref="DR16:DS17"/>
    <mergeCell ref="DR18:DS19"/>
    <mergeCell ref="DR20:DS21"/>
  </mergeCells>
  <pageMargins left="0.5" right="0.5" top="0.5" bottom="0.5" header="0.3" footer="0.3"/>
  <pageSetup orientation="landscape" r:id="rId1"/>
  <extLst>
    <ext xmlns:x14="http://schemas.microsoft.com/office/spreadsheetml/2009/9/main" uri="{78C0D931-6437-407d-A8EE-F0AAD7539E65}">
      <x14:conditionalFormattings>
        <x14:conditionalFormatting xmlns:xm="http://schemas.microsoft.com/office/excel/2006/main">
          <x14:cfRule type="cellIs" priority="2657" operator="equal" id="{2990ADC8-3FFC-4027-BDEE-96635F59FB48}">
            <xm:f>'1-Hull'!$AA$68</xm:f>
            <x14:dxf>
              <fill>
                <patternFill patternType="lightUp"/>
              </fill>
            </x14:dxf>
          </x14:cfRule>
          <x14:cfRule type="cellIs" priority="2658" operator="equal" id="{F2FB2DCB-C3D3-4865-9702-04CA4D09D766}">
            <xm:f>'1-Hull'!$Z$68</xm:f>
            <x14:dxf>
              <fill>
                <patternFill patternType="lightUp"/>
              </fill>
            </x14:dxf>
          </x14:cfRule>
          <x14:cfRule type="cellIs" priority="2659" operator="equal" id="{65FB2519-F8E8-46B1-9BE9-06D1E70D05F7}">
            <xm:f>'1-Hull'!$Y$68</xm:f>
            <x14:dxf>
              <fill>
                <patternFill patternType="lightUp"/>
              </fill>
            </x14:dxf>
          </x14:cfRule>
          <x14:cfRule type="cellIs" priority="2660" operator="equal" id="{9E07C7CA-A4DA-4572-B54B-0BC99CFB03EC}">
            <xm:f>'1-Hull'!$X$68</xm:f>
            <x14:dxf>
              <fill>
                <patternFill patternType="lightUp"/>
              </fill>
            </x14:dxf>
          </x14:cfRule>
          <x14:cfRule type="cellIs" priority="2661" operator="equal" id="{0E24A3B6-A2C4-4265-92E6-185327F81846}">
            <xm:f>'1-Hull'!$W$68</xm:f>
            <x14:dxf>
              <fill>
                <patternFill patternType="lightUp"/>
              </fill>
            </x14:dxf>
          </x14:cfRule>
          <x14:cfRule type="cellIs" priority="2662" operator="equal" id="{8A70CAEE-6272-4E77-85A5-978B080608FE}">
            <xm:f>'1-Hull'!$V$68</xm:f>
            <x14:dxf>
              <fill>
                <patternFill patternType="lightUp"/>
              </fill>
            </x14:dxf>
          </x14:cfRule>
          <x14:cfRule type="cellIs" priority="2663" operator="equal" id="{34DC8DDF-9203-4773-9019-54681488DBCC}">
            <xm:f>'1-Hull'!$U$68</xm:f>
            <x14:dxf>
              <fill>
                <patternFill patternType="lightUp"/>
              </fill>
            </x14:dxf>
          </x14:cfRule>
          <x14:cfRule type="cellIs" priority="2664" operator="equal" id="{7581758E-A91C-4621-8E1E-369153023414}">
            <xm:f>'1-Hull'!$T$68</xm:f>
            <x14:dxf>
              <fill>
                <patternFill patternType="lightUp"/>
              </fill>
            </x14:dxf>
          </x14:cfRule>
          <x14:cfRule type="cellIs" priority="2665" operator="equal" id="{798A12A7-CB60-4AA7-8F7B-160DD877683C}">
            <xm:f>'1-Hull'!$S$68</xm:f>
            <x14:dxf>
              <fill>
                <patternFill patternType="lightUp"/>
              </fill>
            </x14:dxf>
          </x14:cfRule>
          <x14:cfRule type="cellIs" priority="2666" operator="greaterThan" id="{161FBEF1-AFDD-448F-99D4-77AE0D0BEB45}">
            <xm:f>'1-Hull'!$S$66</xm:f>
            <x14:dxf>
              <font>
                <color theme="0" tint="-0.24994659260841701"/>
              </font>
              <fill>
                <patternFill>
                  <bgColor theme="0" tint="-0.24994659260841701"/>
                </patternFill>
              </fill>
            </x14:dxf>
          </x14:cfRule>
          <xm:sqref>A4:DP28</xm:sqref>
        </x14:conditionalFormatting>
        <x14:conditionalFormatting xmlns:xm="http://schemas.microsoft.com/office/excel/2006/main">
          <x14:cfRule type="expression" priority="1" id="{04080096-B8F3-4E7B-814F-83FFB884DBD1}">
            <xm:f>'1-Hull'!$D$7&lt;31000</xm:f>
            <x14:dxf>
              <fill>
                <patternFill>
                  <bgColor theme="0" tint="-0.499984740745262"/>
                </patternFill>
              </fill>
            </x14:dxf>
          </x14:cfRule>
          <xm:sqref>DR6:DS25</xm:sqref>
        </x14:conditionalFormatting>
        <x14:conditionalFormatting xmlns:xm="http://schemas.microsoft.com/office/excel/2006/main">
          <x14:cfRule type="expression" priority="2" id="{E2D67B7A-B2DB-4E6A-BE69-7D0D3D06F623}">
            <xm:f>'1-Hull'!$D$7&lt;3100</xm:f>
            <x14:dxf>
              <fill>
                <patternFill>
                  <bgColor theme="0" tint="-0.499984740745262"/>
                </patternFill>
              </fill>
            </x14:dxf>
          </x14:cfRule>
          <xm:sqref>DT6:DU25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2B8F4-9E9F-4F62-B419-753E6EBA08E5}">
  <dimension ref="A1:DV160"/>
  <sheetViews>
    <sheetView view="pageLayout" topLeftCell="A110" zoomScale="98" zoomScaleNormal="110" zoomScalePageLayoutView="98" workbookViewId="0">
      <selection activeCell="BB130" sqref="BB130:DV130"/>
    </sheetView>
  </sheetViews>
  <sheetFormatPr defaultColWidth="9.109375" defaultRowHeight="14.4" x14ac:dyDescent="0.3"/>
  <cols>
    <col min="1" max="126" width="1" customWidth="1"/>
  </cols>
  <sheetData>
    <row r="1" spans="1:125" ht="18" x14ac:dyDescent="0.3">
      <c r="A1" s="947" t="str">
        <f>IF('Ship Info'!$B$4=0,"",'Ship Info'!$B$4)</f>
        <v/>
      </c>
      <c r="B1" s="947"/>
      <c r="C1" s="947"/>
      <c r="D1" s="947"/>
      <c r="E1" s="947"/>
      <c r="F1" s="947"/>
      <c r="G1" s="947"/>
      <c r="H1" s="947"/>
      <c r="I1" s="947"/>
      <c r="J1" s="947"/>
      <c r="K1" s="947"/>
      <c r="L1" s="947"/>
      <c r="M1" s="947"/>
      <c r="N1" s="947"/>
      <c r="O1" s="947"/>
      <c r="P1" s="947"/>
      <c r="Q1" s="947"/>
      <c r="R1" s="947"/>
      <c r="S1" s="947"/>
      <c r="T1" s="947"/>
      <c r="U1" s="947"/>
      <c r="V1" s="947"/>
      <c r="W1" s="947"/>
      <c r="X1" s="947"/>
      <c r="Y1" s="947"/>
      <c r="Z1" s="947"/>
      <c r="AA1" s="947"/>
      <c r="AB1" s="947"/>
      <c r="AC1" s="947"/>
      <c r="AD1" s="947"/>
      <c r="AE1" s="19"/>
      <c r="AF1" s="19"/>
      <c r="AG1" s="948" t="str">
        <f>IF('Ship Info'!$B$2=0,"",'Ship Info'!$B$2)</f>
        <v/>
      </c>
      <c r="AH1" s="948"/>
      <c r="AI1" s="948"/>
      <c r="AJ1" s="948"/>
      <c r="AK1" s="948"/>
      <c r="AL1" s="948"/>
      <c r="AM1" s="948"/>
      <c r="AN1" s="948"/>
      <c r="AO1" s="948"/>
      <c r="AP1" s="948"/>
      <c r="AQ1" s="948"/>
      <c r="AR1" s="948"/>
      <c r="AS1" s="948"/>
      <c r="AT1" s="948"/>
      <c r="AU1" s="948"/>
      <c r="AV1" s="948"/>
      <c r="AW1" s="948"/>
      <c r="AX1" s="948"/>
      <c r="AY1" s="948"/>
      <c r="AZ1" s="948"/>
      <c r="BA1" s="948"/>
      <c r="BB1" s="948"/>
      <c r="BC1" s="948"/>
      <c r="BD1" s="948"/>
      <c r="BE1" s="948"/>
      <c r="BF1" s="948"/>
      <c r="BG1" s="948"/>
      <c r="BH1" s="948"/>
      <c r="BI1" s="948"/>
      <c r="BJ1" s="948"/>
      <c r="BK1" s="948"/>
      <c r="BL1" s="948"/>
      <c r="BM1" s="948"/>
      <c r="BN1" s="948"/>
      <c r="BO1" s="948"/>
      <c r="BP1" s="948"/>
      <c r="BQ1" s="948"/>
      <c r="BR1" s="948"/>
      <c r="BS1" s="948"/>
      <c r="BT1" s="948"/>
      <c r="BU1" s="948"/>
      <c r="BV1" s="948"/>
      <c r="BW1" s="948"/>
      <c r="BX1" s="948"/>
      <c r="BY1" s="948"/>
      <c r="BZ1" s="948"/>
      <c r="CA1" s="19"/>
      <c r="CB1" s="19"/>
      <c r="CC1" s="948" t="str">
        <f>IF('Ship Info'!$B$1=0,"",'Ship Info'!$B$1)</f>
        <v/>
      </c>
      <c r="CD1" s="948"/>
      <c r="CE1" s="948"/>
      <c r="CF1" s="948"/>
      <c r="CG1" s="948"/>
      <c r="CH1" s="948"/>
      <c r="CI1" s="948"/>
      <c r="CJ1" s="948"/>
      <c r="CK1" s="948"/>
      <c r="CL1" s="948"/>
      <c r="CM1" s="948"/>
      <c r="CN1" s="948"/>
      <c r="CO1" s="948"/>
      <c r="CP1" s="948"/>
      <c r="CQ1" s="948"/>
      <c r="CR1" s="948"/>
      <c r="CS1" s="948"/>
      <c r="CT1" s="948"/>
      <c r="CU1" s="948"/>
      <c r="CV1" s="948"/>
      <c r="CW1" s="948"/>
      <c r="CX1" s="948"/>
      <c r="CY1" s="948"/>
      <c r="CZ1" s="948"/>
      <c r="DA1" s="948"/>
      <c r="DB1" s="948"/>
      <c r="DC1" s="948"/>
      <c r="DD1" s="948"/>
      <c r="DE1" s="948"/>
      <c r="DF1" s="948"/>
      <c r="DG1" s="948"/>
      <c r="DH1" s="948"/>
      <c r="DI1" s="948"/>
      <c r="DJ1" s="948"/>
      <c r="DK1" s="948"/>
      <c r="DL1" s="948"/>
      <c r="DM1" s="948"/>
      <c r="DN1" s="948"/>
      <c r="DO1" s="948"/>
      <c r="DP1" s="948"/>
      <c r="DQ1" s="948"/>
      <c r="DR1" s="948"/>
      <c r="DS1" s="948"/>
      <c r="DT1" s="948"/>
      <c r="DU1" s="948"/>
    </row>
    <row r="2" spans="1:125" x14ac:dyDescent="0.3">
      <c r="A2" s="951" t="str">
        <f>"Armor: "&amp;'1-Hull'!$D$10&amp;""&amp;IF('1-Hull'!$AC$28=TRUE,"/"&amp;'1-Hull'!$D$10+3&amp;" vs. Lasers","")</f>
        <v>Armor: 0</v>
      </c>
      <c r="B2" s="951"/>
      <c r="C2" s="951"/>
      <c r="D2" s="951"/>
      <c r="E2" s="951"/>
      <c r="F2" s="951"/>
      <c r="G2" s="951"/>
      <c r="H2" s="951"/>
      <c r="I2" s="951"/>
      <c r="J2" s="951"/>
      <c r="K2" s="951"/>
      <c r="L2" s="951"/>
      <c r="M2" s="951"/>
      <c r="N2" s="951"/>
      <c r="O2" s="951"/>
      <c r="P2" s="951"/>
      <c r="Q2" s="951"/>
      <c r="R2" s="951"/>
      <c r="S2" s="951"/>
      <c r="T2" s="951"/>
      <c r="U2" s="19"/>
      <c r="V2" s="952" t="str">
        <f>IF('1-Hull'!$AC$47=TRUE,"Rad Shields: Rads - 1000","")</f>
        <v/>
      </c>
      <c r="W2" s="952"/>
      <c r="X2" s="952"/>
      <c r="Y2" s="952"/>
      <c r="Z2" s="952"/>
      <c r="AA2" s="952"/>
      <c r="AB2" s="952"/>
      <c r="AC2" s="952"/>
      <c r="AD2" s="952"/>
      <c r="AE2" s="952"/>
      <c r="AF2" s="952"/>
      <c r="AG2" s="952"/>
      <c r="AH2" s="952"/>
      <c r="AI2" s="952"/>
      <c r="AJ2" s="952"/>
      <c r="AK2" s="952"/>
      <c r="AL2" s="952"/>
      <c r="AM2" s="952"/>
      <c r="AN2" s="952"/>
      <c r="AO2" s="19"/>
      <c r="AP2" s="951" t="str">
        <f>IF('1-Hull'!$AC$34=TRUE,"Stealth: Sensors-2",IF('1-Hull'!$AC$35=TRUE,"Stealth: Sensors-2",IF('1-Hull'!$AC$36=TRUE,"Stealth: Sensors-4",IF('1-Hull'!$AC$37=TRUE,"Stealth: Sensors-6",""))))</f>
        <v/>
      </c>
      <c r="AQ2" s="951"/>
      <c r="AR2" s="951"/>
      <c r="AS2" s="951"/>
      <c r="AT2" s="951"/>
      <c r="AU2" s="951"/>
      <c r="AV2" s="951"/>
      <c r="AW2" s="951"/>
      <c r="AX2" s="951"/>
      <c r="AY2" s="951"/>
      <c r="AZ2" s="951"/>
      <c r="BA2" s="951"/>
      <c r="BB2" s="951"/>
      <c r="BC2" s="951"/>
      <c r="BD2" s="951"/>
      <c r="BE2" s="951"/>
      <c r="BF2" s="19"/>
      <c r="BG2" s="19" t="str">
        <f>'5-Bridge'!$S$25</f>
        <v>Bridge: No Modifiers</v>
      </c>
      <c r="BH2" s="19"/>
      <c r="BI2" s="19"/>
      <c r="BJ2" s="19"/>
      <c r="BK2" s="19"/>
      <c r="BL2" s="19"/>
      <c r="BM2" s="19"/>
      <c r="BN2" s="19"/>
      <c r="BO2" s="19"/>
      <c r="BP2" s="19"/>
      <c r="BQ2" s="19"/>
      <c r="BR2" s="19"/>
      <c r="BS2" s="19"/>
      <c r="BT2" s="19"/>
      <c r="BU2" s="19"/>
      <c r="BV2" s="19"/>
      <c r="BW2" s="19"/>
      <c r="BX2" s="19"/>
      <c r="BY2" s="19"/>
      <c r="BZ2" s="952" t="str">
        <f>"TL: "&amp;Tech_Level</f>
        <v>TL: 12</v>
      </c>
      <c r="CA2" s="952"/>
      <c r="CB2" s="952"/>
      <c r="CC2" s="952"/>
      <c r="CD2" s="952"/>
      <c r="CE2" s="952"/>
      <c r="CF2" s="952"/>
      <c r="CG2" s="952"/>
      <c r="CH2" s="952"/>
      <c r="CI2" s="19"/>
      <c r="CJ2" s="19"/>
      <c r="CK2" s="19"/>
      <c r="CL2" s="951" t="str">
        <f>"Thrust: "&amp;'2-Drives'!$D$14&amp;IF('2-Drives'!$B$14='2-Drives'!$S$4,", "&amp;'4-Fuel'!$D$8&amp;" Thrust Points","")</f>
        <v>Thrust: 0</v>
      </c>
      <c r="CM2" s="951"/>
      <c r="CN2" s="951"/>
      <c r="CO2" s="951"/>
      <c r="CP2" s="951"/>
      <c r="CQ2" s="951"/>
      <c r="CR2" s="951"/>
      <c r="CS2" s="951"/>
      <c r="CT2" s="951"/>
      <c r="CU2" s="951"/>
      <c r="CV2" s="951"/>
      <c r="CW2" s="951"/>
      <c r="CX2" s="951"/>
      <c r="CY2" s="951"/>
      <c r="CZ2" s="951"/>
      <c r="DA2" s="951"/>
      <c r="DB2" s="951"/>
      <c r="DC2" s="951"/>
      <c r="DD2" s="951"/>
      <c r="DE2" s="951"/>
      <c r="DF2" s="951"/>
      <c r="DG2" s="951"/>
      <c r="DH2" s="951"/>
      <c r="DI2" s="951"/>
      <c r="DJ2" s="951"/>
      <c r="DK2" s="19"/>
      <c r="DL2" s="19" t="str">
        <f>"Jump?"&amp;IF('2-Drives'!$D$29&gt;0," Y"," N")</f>
        <v>Jump? N</v>
      </c>
      <c r="DM2" s="19"/>
      <c r="DN2" s="19"/>
      <c r="DO2" s="19"/>
      <c r="DP2" s="19"/>
      <c r="DQ2" s="19"/>
      <c r="DR2" s="19"/>
      <c r="DS2" s="19"/>
      <c r="DT2" s="19"/>
      <c r="DU2" s="19"/>
    </row>
    <row r="3" spans="1:125" ht="15" thickBot="1" x14ac:dyDescent="0.35">
      <c r="A3" s="949" t="str">
        <f>"Hull Points: "&amp;'1-Hull'!$D$7</f>
        <v>Hull Points: 40</v>
      </c>
      <c r="B3" s="949"/>
      <c r="C3" s="949"/>
      <c r="D3" s="949"/>
      <c r="E3" s="949"/>
      <c r="F3" s="949"/>
      <c r="G3" s="949"/>
      <c r="H3" s="949"/>
      <c r="I3" s="949"/>
      <c r="J3" s="949"/>
      <c r="K3" s="949"/>
      <c r="L3" s="949"/>
      <c r="M3" s="949"/>
      <c r="N3" s="949"/>
      <c r="O3" s="949"/>
      <c r="P3" s="949"/>
      <c r="Q3" s="949"/>
      <c r="R3" s="949"/>
      <c r="S3" s="949"/>
      <c r="T3" s="949"/>
      <c r="U3" s="19"/>
      <c r="V3" s="19"/>
      <c r="W3" s="19"/>
      <c r="X3" s="950" t="str">
        <f>"Hull Size: "&amp;'1-Hull'!$B$4&amp;" tons"</f>
        <v>Hull Size: 100 tons</v>
      </c>
      <c r="Y3" s="950"/>
      <c r="Z3" s="950"/>
      <c r="AA3" s="950"/>
      <c r="AB3" s="950"/>
      <c r="AC3" s="950"/>
      <c r="AD3" s="950"/>
      <c r="AE3" s="950"/>
      <c r="AF3" s="950"/>
      <c r="AG3" s="950"/>
      <c r="AH3" s="950"/>
      <c r="AI3" s="950"/>
      <c r="AJ3" s="950"/>
      <c r="AK3" s="950"/>
      <c r="AL3" s="950"/>
      <c r="AM3" s="950"/>
      <c r="AN3" s="950"/>
      <c r="AO3" s="950"/>
      <c r="AP3" s="950"/>
      <c r="AQ3" s="950"/>
      <c r="AR3" s="950"/>
      <c r="AS3" s="950"/>
      <c r="AT3" s="950"/>
      <c r="AU3" s="950"/>
      <c r="AV3" s="950"/>
      <c r="AW3" s="950"/>
      <c r="AX3" s="950"/>
      <c r="AY3" s="19"/>
      <c r="AZ3" s="950" t="str">
        <f>"Configuration: "&amp;'1-Hull'!$B$6</f>
        <v>Configuration: Standard</v>
      </c>
      <c r="BA3" s="950"/>
      <c r="BB3" s="950"/>
      <c r="BC3" s="950"/>
      <c r="BD3" s="950"/>
      <c r="BE3" s="950"/>
      <c r="BF3" s="950"/>
      <c r="BG3" s="950"/>
      <c r="BH3" s="950"/>
      <c r="BI3" s="950"/>
      <c r="BJ3" s="950"/>
      <c r="BK3" s="950"/>
      <c r="BL3" s="950"/>
      <c r="BM3" s="950"/>
      <c r="BN3" s="950"/>
      <c r="BO3" s="950"/>
      <c r="BP3" s="950"/>
      <c r="BQ3" s="950"/>
      <c r="BR3" s="950"/>
      <c r="BS3" s="950"/>
      <c r="BT3" s="950"/>
      <c r="BU3" s="950"/>
      <c r="BV3" s="950"/>
      <c r="BW3" s="950"/>
      <c r="BX3" s="19"/>
      <c r="BY3" s="950" t="str">
        <f>"Streamlining: "&amp;'1-Hull'!$B$8&amp;'1-Hull'!$T$70</f>
        <v>Streamlining: Partial</v>
      </c>
      <c r="BZ3" s="950"/>
      <c r="CA3" s="950"/>
      <c r="CB3" s="950"/>
      <c r="CC3" s="950"/>
      <c r="CD3" s="950"/>
      <c r="CE3" s="950"/>
      <c r="CF3" s="950"/>
      <c r="CG3" s="950"/>
      <c r="CH3" s="950"/>
      <c r="CI3" s="950"/>
      <c r="CJ3" s="950"/>
      <c r="CK3" s="950"/>
      <c r="CL3" s="950"/>
      <c r="CM3" s="950"/>
      <c r="CN3" s="950"/>
      <c r="CO3" s="950"/>
      <c r="CP3" s="950"/>
      <c r="CQ3" s="950"/>
      <c r="CR3" s="950"/>
      <c r="CS3" s="950"/>
      <c r="CT3" s="950"/>
      <c r="CU3" s="950"/>
      <c r="CV3" s="950"/>
      <c r="CW3" s="950"/>
      <c r="CX3" s="950"/>
      <c r="CY3" s="950"/>
      <c r="CZ3" s="950"/>
      <c r="DA3" s="950"/>
      <c r="DB3" s="19"/>
      <c r="DC3" s="953" t="s">
        <v>638</v>
      </c>
      <c r="DD3" s="953"/>
      <c r="DE3" s="953"/>
      <c r="DF3" s="953"/>
      <c r="DG3" s="953"/>
      <c r="DH3" s="953"/>
      <c r="DI3" s="952" t="str">
        <f>'10-Crew'!$E$5&amp;""&amp;IF('10-Crew'!$E$7=0,"","/"&amp;'10-Crew'!$E$7)</f>
        <v>5</v>
      </c>
      <c r="DJ3" s="952"/>
      <c r="DK3" s="952"/>
      <c r="DL3" s="952"/>
      <c r="DM3" s="952"/>
      <c r="DN3" s="952"/>
      <c r="DO3" s="952"/>
      <c r="DP3" s="952"/>
      <c r="DQ3" s="952"/>
      <c r="DR3" s="952"/>
      <c r="DS3" s="952"/>
      <c r="DT3" s="952"/>
      <c r="DU3" s="19"/>
    </row>
    <row r="4" spans="1:125" ht="5.85" customHeight="1" thickBot="1" x14ac:dyDescent="0.35">
      <c r="A4" s="31">
        <v>1</v>
      </c>
      <c r="B4" s="32">
        <f>A4+1</f>
        <v>2</v>
      </c>
      <c r="C4" s="32">
        <f t="shared" ref="C4:BN19" si="0">B4+1</f>
        <v>3</v>
      </c>
      <c r="D4" s="32">
        <f t="shared" si="0"/>
        <v>4</v>
      </c>
      <c r="E4" s="32">
        <f t="shared" si="0"/>
        <v>5</v>
      </c>
      <c r="F4" s="32">
        <f t="shared" si="0"/>
        <v>6</v>
      </c>
      <c r="G4" s="32">
        <f t="shared" si="0"/>
        <v>7</v>
      </c>
      <c r="H4" s="32">
        <f t="shared" si="0"/>
        <v>8</v>
      </c>
      <c r="I4" s="32">
        <f t="shared" si="0"/>
        <v>9</v>
      </c>
      <c r="J4" s="33">
        <f t="shared" si="0"/>
        <v>10</v>
      </c>
      <c r="K4" s="31">
        <f t="shared" si="0"/>
        <v>11</v>
      </c>
      <c r="L4" s="32">
        <f t="shared" si="0"/>
        <v>12</v>
      </c>
      <c r="M4" s="32">
        <f t="shared" si="0"/>
        <v>13</v>
      </c>
      <c r="N4" s="32">
        <f t="shared" si="0"/>
        <v>14</v>
      </c>
      <c r="O4" s="32">
        <f t="shared" si="0"/>
        <v>15</v>
      </c>
      <c r="P4" s="32">
        <f t="shared" si="0"/>
        <v>16</v>
      </c>
      <c r="Q4" s="32">
        <f t="shared" si="0"/>
        <v>17</v>
      </c>
      <c r="R4" s="32">
        <f t="shared" si="0"/>
        <v>18</v>
      </c>
      <c r="S4" s="32">
        <f t="shared" si="0"/>
        <v>19</v>
      </c>
      <c r="T4" s="33">
        <f t="shared" si="0"/>
        <v>20</v>
      </c>
      <c r="U4" s="31">
        <f t="shared" si="0"/>
        <v>21</v>
      </c>
      <c r="V4" s="32">
        <f t="shared" si="0"/>
        <v>22</v>
      </c>
      <c r="W4" s="32">
        <f t="shared" si="0"/>
        <v>23</v>
      </c>
      <c r="X4" s="32">
        <f t="shared" si="0"/>
        <v>24</v>
      </c>
      <c r="Y4" s="32">
        <f t="shared" si="0"/>
        <v>25</v>
      </c>
      <c r="Z4" s="32">
        <f t="shared" si="0"/>
        <v>26</v>
      </c>
      <c r="AA4" s="32">
        <f t="shared" si="0"/>
        <v>27</v>
      </c>
      <c r="AB4" s="32">
        <f t="shared" si="0"/>
        <v>28</v>
      </c>
      <c r="AC4" s="32">
        <f t="shared" si="0"/>
        <v>29</v>
      </c>
      <c r="AD4" s="33">
        <f t="shared" si="0"/>
        <v>30</v>
      </c>
      <c r="AE4" s="31">
        <f t="shared" si="0"/>
        <v>31</v>
      </c>
      <c r="AF4" s="32">
        <f t="shared" si="0"/>
        <v>32</v>
      </c>
      <c r="AG4" s="32">
        <f t="shared" si="0"/>
        <v>33</v>
      </c>
      <c r="AH4" s="32">
        <f t="shared" si="0"/>
        <v>34</v>
      </c>
      <c r="AI4" s="32">
        <f t="shared" si="0"/>
        <v>35</v>
      </c>
      <c r="AJ4" s="32">
        <f t="shared" si="0"/>
        <v>36</v>
      </c>
      <c r="AK4" s="32">
        <f t="shared" si="0"/>
        <v>37</v>
      </c>
      <c r="AL4" s="32">
        <f t="shared" si="0"/>
        <v>38</v>
      </c>
      <c r="AM4" s="32">
        <f t="shared" si="0"/>
        <v>39</v>
      </c>
      <c r="AN4" s="33">
        <f t="shared" si="0"/>
        <v>40</v>
      </c>
      <c r="AO4" s="31">
        <f t="shared" si="0"/>
        <v>41</v>
      </c>
      <c r="AP4" s="32">
        <f t="shared" si="0"/>
        <v>42</v>
      </c>
      <c r="AQ4" s="32">
        <f t="shared" si="0"/>
        <v>43</v>
      </c>
      <c r="AR4" s="32">
        <f t="shared" si="0"/>
        <v>44</v>
      </c>
      <c r="AS4" s="32">
        <f t="shared" si="0"/>
        <v>45</v>
      </c>
      <c r="AT4" s="32">
        <f t="shared" si="0"/>
        <v>46</v>
      </c>
      <c r="AU4" s="32">
        <f t="shared" si="0"/>
        <v>47</v>
      </c>
      <c r="AV4" s="32">
        <f t="shared" si="0"/>
        <v>48</v>
      </c>
      <c r="AW4" s="32">
        <f t="shared" si="0"/>
        <v>49</v>
      </c>
      <c r="AX4" s="33">
        <f t="shared" si="0"/>
        <v>50</v>
      </c>
      <c r="AY4" s="31">
        <f t="shared" si="0"/>
        <v>51</v>
      </c>
      <c r="AZ4" s="32">
        <f t="shared" si="0"/>
        <v>52</v>
      </c>
      <c r="BA4" s="32">
        <f t="shared" si="0"/>
        <v>53</v>
      </c>
      <c r="BB4" s="32">
        <f t="shared" si="0"/>
        <v>54</v>
      </c>
      <c r="BC4" s="32">
        <f t="shared" si="0"/>
        <v>55</v>
      </c>
      <c r="BD4" s="32">
        <f t="shared" si="0"/>
        <v>56</v>
      </c>
      <c r="BE4" s="32">
        <f t="shared" si="0"/>
        <v>57</v>
      </c>
      <c r="BF4" s="32">
        <f t="shared" si="0"/>
        <v>58</v>
      </c>
      <c r="BG4" s="32">
        <f t="shared" si="0"/>
        <v>59</v>
      </c>
      <c r="BH4" s="33">
        <f t="shared" si="0"/>
        <v>60</v>
      </c>
      <c r="BI4" s="31">
        <f t="shared" si="0"/>
        <v>61</v>
      </c>
      <c r="BJ4" s="32">
        <f t="shared" si="0"/>
        <v>62</v>
      </c>
      <c r="BK4" s="32">
        <f t="shared" si="0"/>
        <v>63</v>
      </c>
      <c r="BL4" s="32">
        <f t="shared" si="0"/>
        <v>64</v>
      </c>
      <c r="BM4" s="32">
        <f t="shared" si="0"/>
        <v>65</v>
      </c>
      <c r="BN4" s="32">
        <f t="shared" si="0"/>
        <v>66</v>
      </c>
      <c r="BO4" s="32">
        <f t="shared" ref="BO4:DP8" si="1">BN4+1</f>
        <v>67</v>
      </c>
      <c r="BP4" s="32">
        <f t="shared" si="1"/>
        <v>68</v>
      </c>
      <c r="BQ4" s="32">
        <f t="shared" si="1"/>
        <v>69</v>
      </c>
      <c r="BR4" s="34">
        <f t="shared" si="1"/>
        <v>70</v>
      </c>
      <c r="BS4" s="31">
        <f t="shared" si="1"/>
        <v>71</v>
      </c>
      <c r="BT4" s="32">
        <f t="shared" si="1"/>
        <v>72</v>
      </c>
      <c r="BU4" s="32">
        <f t="shared" si="1"/>
        <v>73</v>
      </c>
      <c r="BV4" s="32">
        <f t="shared" si="1"/>
        <v>74</v>
      </c>
      <c r="BW4" s="32">
        <f t="shared" si="1"/>
        <v>75</v>
      </c>
      <c r="BX4" s="32">
        <f t="shared" si="1"/>
        <v>76</v>
      </c>
      <c r="BY4" s="32">
        <f t="shared" si="1"/>
        <v>77</v>
      </c>
      <c r="BZ4" s="32">
        <f t="shared" si="1"/>
        <v>78</v>
      </c>
      <c r="CA4" s="32">
        <f t="shared" si="1"/>
        <v>79</v>
      </c>
      <c r="CB4" s="33">
        <f t="shared" si="1"/>
        <v>80</v>
      </c>
      <c r="CC4" s="35">
        <f t="shared" si="1"/>
        <v>81</v>
      </c>
      <c r="CD4" s="32">
        <f t="shared" si="1"/>
        <v>82</v>
      </c>
      <c r="CE4" s="32">
        <f t="shared" si="1"/>
        <v>83</v>
      </c>
      <c r="CF4" s="32">
        <f t="shared" si="1"/>
        <v>84</v>
      </c>
      <c r="CG4" s="32">
        <f t="shared" si="1"/>
        <v>85</v>
      </c>
      <c r="CH4" s="32">
        <f t="shared" si="1"/>
        <v>86</v>
      </c>
      <c r="CI4" s="32">
        <f t="shared" si="1"/>
        <v>87</v>
      </c>
      <c r="CJ4" s="32">
        <f t="shared" si="1"/>
        <v>88</v>
      </c>
      <c r="CK4" s="32">
        <f t="shared" si="1"/>
        <v>89</v>
      </c>
      <c r="CL4" s="34">
        <f t="shared" si="1"/>
        <v>90</v>
      </c>
      <c r="CM4" s="31">
        <f t="shared" si="1"/>
        <v>91</v>
      </c>
      <c r="CN4" s="32">
        <f t="shared" si="1"/>
        <v>92</v>
      </c>
      <c r="CO4" s="32">
        <f t="shared" si="1"/>
        <v>93</v>
      </c>
      <c r="CP4" s="32">
        <f t="shared" si="1"/>
        <v>94</v>
      </c>
      <c r="CQ4" s="32">
        <f t="shared" si="1"/>
        <v>95</v>
      </c>
      <c r="CR4" s="32">
        <f t="shared" si="1"/>
        <v>96</v>
      </c>
      <c r="CS4" s="32">
        <f t="shared" si="1"/>
        <v>97</v>
      </c>
      <c r="CT4" s="32">
        <f t="shared" si="1"/>
        <v>98</v>
      </c>
      <c r="CU4" s="32">
        <f t="shared" si="1"/>
        <v>99</v>
      </c>
      <c r="CV4" s="33">
        <f t="shared" si="1"/>
        <v>100</v>
      </c>
      <c r="CW4" s="35">
        <f t="shared" si="1"/>
        <v>101</v>
      </c>
      <c r="CX4" s="32">
        <f t="shared" si="1"/>
        <v>102</v>
      </c>
      <c r="CY4" s="32">
        <f t="shared" si="1"/>
        <v>103</v>
      </c>
      <c r="CZ4" s="32">
        <f t="shared" si="1"/>
        <v>104</v>
      </c>
      <c r="DA4" s="32">
        <f t="shared" si="1"/>
        <v>105</v>
      </c>
      <c r="DB4" s="32">
        <f t="shared" si="1"/>
        <v>106</v>
      </c>
      <c r="DC4" s="32">
        <f t="shared" si="1"/>
        <v>107</v>
      </c>
      <c r="DD4" s="32">
        <f t="shared" si="1"/>
        <v>108</v>
      </c>
      <c r="DE4" s="32">
        <f t="shared" si="1"/>
        <v>109</v>
      </c>
      <c r="DF4" s="34">
        <f t="shared" si="1"/>
        <v>110</v>
      </c>
      <c r="DG4" s="31">
        <f t="shared" si="1"/>
        <v>111</v>
      </c>
      <c r="DH4" s="32">
        <f t="shared" si="1"/>
        <v>112</v>
      </c>
      <c r="DI4" s="32">
        <f t="shared" si="1"/>
        <v>113</v>
      </c>
      <c r="DJ4" s="32">
        <f t="shared" si="1"/>
        <v>114</v>
      </c>
      <c r="DK4" s="32">
        <f t="shared" si="1"/>
        <v>115</v>
      </c>
      <c r="DL4" s="32">
        <f t="shared" si="1"/>
        <v>116</v>
      </c>
      <c r="DM4" s="32">
        <f t="shared" si="1"/>
        <v>117</v>
      </c>
      <c r="DN4" s="32">
        <f t="shared" si="1"/>
        <v>118</v>
      </c>
      <c r="DO4" s="32">
        <f t="shared" si="1"/>
        <v>119</v>
      </c>
      <c r="DP4" s="33">
        <f t="shared" si="1"/>
        <v>120</v>
      </c>
      <c r="DQ4" s="30"/>
      <c r="DU4" s="30"/>
    </row>
    <row r="5" spans="1:125" ht="5.85" customHeight="1" x14ac:dyDescent="0.3">
      <c r="A5" s="36">
        <v>121</v>
      </c>
      <c r="B5" s="37">
        <f>A5+1</f>
        <v>122</v>
      </c>
      <c r="C5" s="37">
        <f t="shared" si="0"/>
        <v>123</v>
      </c>
      <c r="D5" s="37">
        <f t="shared" si="0"/>
        <v>124</v>
      </c>
      <c r="E5" s="37">
        <f t="shared" si="0"/>
        <v>125</v>
      </c>
      <c r="F5" s="37">
        <f t="shared" si="0"/>
        <v>126</v>
      </c>
      <c r="G5" s="37">
        <f t="shared" si="0"/>
        <v>127</v>
      </c>
      <c r="H5" s="37">
        <f t="shared" si="0"/>
        <v>128</v>
      </c>
      <c r="I5" s="37">
        <f t="shared" si="0"/>
        <v>129</v>
      </c>
      <c r="J5" s="38">
        <f t="shared" si="0"/>
        <v>130</v>
      </c>
      <c r="K5" s="36">
        <f t="shared" si="0"/>
        <v>131</v>
      </c>
      <c r="L5" s="37">
        <f t="shared" si="0"/>
        <v>132</v>
      </c>
      <c r="M5" s="37">
        <f t="shared" si="0"/>
        <v>133</v>
      </c>
      <c r="N5" s="37">
        <f t="shared" si="0"/>
        <v>134</v>
      </c>
      <c r="O5" s="37">
        <f t="shared" si="0"/>
        <v>135</v>
      </c>
      <c r="P5" s="37">
        <f t="shared" si="0"/>
        <v>136</v>
      </c>
      <c r="Q5" s="37">
        <f t="shared" si="0"/>
        <v>137</v>
      </c>
      <c r="R5" s="37">
        <f t="shared" si="0"/>
        <v>138</v>
      </c>
      <c r="S5" s="37">
        <f t="shared" si="0"/>
        <v>139</v>
      </c>
      <c r="T5" s="38">
        <f t="shared" si="0"/>
        <v>140</v>
      </c>
      <c r="U5" s="36">
        <f t="shared" si="0"/>
        <v>141</v>
      </c>
      <c r="V5" s="37">
        <f t="shared" si="0"/>
        <v>142</v>
      </c>
      <c r="W5" s="37">
        <f t="shared" si="0"/>
        <v>143</v>
      </c>
      <c r="X5" s="37">
        <f t="shared" si="0"/>
        <v>144</v>
      </c>
      <c r="Y5" s="37">
        <f t="shared" si="0"/>
        <v>145</v>
      </c>
      <c r="Z5" s="37">
        <f t="shared" si="0"/>
        <v>146</v>
      </c>
      <c r="AA5" s="37">
        <f t="shared" si="0"/>
        <v>147</v>
      </c>
      <c r="AB5" s="37">
        <f t="shared" si="0"/>
        <v>148</v>
      </c>
      <c r="AC5" s="37">
        <f t="shared" si="0"/>
        <v>149</v>
      </c>
      <c r="AD5" s="38">
        <f t="shared" si="0"/>
        <v>150</v>
      </c>
      <c r="AE5" s="36">
        <f t="shared" si="0"/>
        <v>151</v>
      </c>
      <c r="AF5" s="37">
        <f t="shared" si="0"/>
        <v>152</v>
      </c>
      <c r="AG5" s="37">
        <f t="shared" si="0"/>
        <v>153</v>
      </c>
      <c r="AH5" s="37">
        <f t="shared" si="0"/>
        <v>154</v>
      </c>
      <c r="AI5" s="37">
        <f t="shared" si="0"/>
        <v>155</v>
      </c>
      <c r="AJ5" s="37">
        <f t="shared" si="0"/>
        <v>156</v>
      </c>
      <c r="AK5" s="37">
        <f t="shared" si="0"/>
        <v>157</v>
      </c>
      <c r="AL5" s="37">
        <f t="shared" si="0"/>
        <v>158</v>
      </c>
      <c r="AM5" s="37">
        <f t="shared" si="0"/>
        <v>159</v>
      </c>
      <c r="AN5" s="38">
        <f t="shared" si="0"/>
        <v>160</v>
      </c>
      <c r="AO5" s="36">
        <f t="shared" si="0"/>
        <v>161</v>
      </c>
      <c r="AP5" s="37">
        <f t="shared" si="0"/>
        <v>162</v>
      </c>
      <c r="AQ5" s="37">
        <f t="shared" si="0"/>
        <v>163</v>
      </c>
      <c r="AR5" s="37">
        <f t="shared" si="0"/>
        <v>164</v>
      </c>
      <c r="AS5" s="37">
        <f t="shared" si="0"/>
        <v>165</v>
      </c>
      <c r="AT5" s="37">
        <f t="shared" si="0"/>
        <v>166</v>
      </c>
      <c r="AU5" s="37">
        <f t="shared" si="0"/>
        <v>167</v>
      </c>
      <c r="AV5" s="37">
        <f t="shared" si="0"/>
        <v>168</v>
      </c>
      <c r="AW5" s="37">
        <f t="shared" si="0"/>
        <v>169</v>
      </c>
      <c r="AX5" s="38">
        <f t="shared" si="0"/>
        <v>170</v>
      </c>
      <c r="AY5" s="36">
        <f t="shared" si="0"/>
        <v>171</v>
      </c>
      <c r="AZ5" s="37">
        <f t="shared" si="0"/>
        <v>172</v>
      </c>
      <c r="BA5" s="37">
        <f t="shared" si="0"/>
        <v>173</v>
      </c>
      <c r="BB5" s="37">
        <f t="shared" si="0"/>
        <v>174</v>
      </c>
      <c r="BC5" s="37">
        <f t="shared" si="0"/>
        <v>175</v>
      </c>
      <c r="BD5" s="37">
        <f t="shared" si="0"/>
        <v>176</v>
      </c>
      <c r="BE5" s="37">
        <f t="shared" si="0"/>
        <v>177</v>
      </c>
      <c r="BF5" s="37">
        <f t="shared" si="0"/>
        <v>178</v>
      </c>
      <c r="BG5" s="37">
        <f t="shared" si="0"/>
        <v>179</v>
      </c>
      <c r="BH5" s="38">
        <f t="shared" si="0"/>
        <v>180</v>
      </c>
      <c r="BI5" s="36">
        <f t="shared" si="0"/>
        <v>181</v>
      </c>
      <c r="BJ5" s="37">
        <f t="shared" si="0"/>
        <v>182</v>
      </c>
      <c r="BK5" s="37">
        <f t="shared" si="0"/>
        <v>183</v>
      </c>
      <c r="BL5" s="37">
        <f t="shared" si="0"/>
        <v>184</v>
      </c>
      <c r="BM5" s="37">
        <f t="shared" si="0"/>
        <v>185</v>
      </c>
      <c r="BN5" s="37">
        <f t="shared" si="0"/>
        <v>186</v>
      </c>
      <c r="BO5" s="37">
        <f t="shared" si="1"/>
        <v>187</v>
      </c>
      <c r="BP5" s="37">
        <f t="shared" si="1"/>
        <v>188</v>
      </c>
      <c r="BQ5" s="37">
        <f t="shared" si="1"/>
        <v>189</v>
      </c>
      <c r="BR5" s="39">
        <f t="shared" si="1"/>
        <v>190</v>
      </c>
      <c r="BS5" s="36">
        <f t="shared" si="1"/>
        <v>191</v>
      </c>
      <c r="BT5" s="37">
        <f t="shared" si="1"/>
        <v>192</v>
      </c>
      <c r="BU5" s="37">
        <f t="shared" si="1"/>
        <v>193</v>
      </c>
      <c r="BV5" s="37">
        <f t="shared" si="1"/>
        <v>194</v>
      </c>
      <c r="BW5" s="37">
        <f t="shared" si="1"/>
        <v>195</v>
      </c>
      <c r="BX5" s="37">
        <f t="shared" si="1"/>
        <v>196</v>
      </c>
      <c r="BY5" s="37">
        <f t="shared" si="1"/>
        <v>197</v>
      </c>
      <c r="BZ5" s="37">
        <f t="shared" si="1"/>
        <v>198</v>
      </c>
      <c r="CA5" s="37">
        <f t="shared" si="1"/>
        <v>199</v>
      </c>
      <c r="CB5" s="38">
        <f t="shared" si="1"/>
        <v>200</v>
      </c>
      <c r="CC5" s="40">
        <f t="shared" si="1"/>
        <v>201</v>
      </c>
      <c r="CD5" s="37">
        <f t="shared" si="1"/>
        <v>202</v>
      </c>
      <c r="CE5" s="37">
        <f t="shared" si="1"/>
        <v>203</v>
      </c>
      <c r="CF5" s="37">
        <f t="shared" si="1"/>
        <v>204</v>
      </c>
      <c r="CG5" s="37">
        <f t="shared" si="1"/>
        <v>205</v>
      </c>
      <c r="CH5" s="37">
        <f t="shared" si="1"/>
        <v>206</v>
      </c>
      <c r="CI5" s="37">
        <f t="shared" si="1"/>
        <v>207</v>
      </c>
      <c r="CJ5" s="37">
        <f t="shared" si="1"/>
        <v>208</v>
      </c>
      <c r="CK5" s="37">
        <f t="shared" si="1"/>
        <v>209</v>
      </c>
      <c r="CL5" s="39">
        <f t="shared" si="1"/>
        <v>210</v>
      </c>
      <c r="CM5" s="36">
        <f t="shared" si="1"/>
        <v>211</v>
      </c>
      <c r="CN5" s="37">
        <f t="shared" si="1"/>
        <v>212</v>
      </c>
      <c r="CO5" s="37">
        <f t="shared" si="1"/>
        <v>213</v>
      </c>
      <c r="CP5" s="37">
        <f t="shared" si="1"/>
        <v>214</v>
      </c>
      <c r="CQ5" s="37">
        <f t="shared" si="1"/>
        <v>215</v>
      </c>
      <c r="CR5" s="37">
        <f t="shared" si="1"/>
        <v>216</v>
      </c>
      <c r="CS5" s="37">
        <f t="shared" si="1"/>
        <v>217</v>
      </c>
      <c r="CT5" s="37">
        <f t="shared" si="1"/>
        <v>218</v>
      </c>
      <c r="CU5" s="37">
        <f t="shared" si="1"/>
        <v>219</v>
      </c>
      <c r="CV5" s="38">
        <f t="shared" si="1"/>
        <v>220</v>
      </c>
      <c r="CW5" s="40">
        <f t="shared" si="1"/>
        <v>221</v>
      </c>
      <c r="CX5" s="37">
        <f t="shared" si="1"/>
        <v>222</v>
      </c>
      <c r="CY5" s="37">
        <f t="shared" si="1"/>
        <v>223</v>
      </c>
      <c r="CZ5" s="37">
        <f t="shared" si="1"/>
        <v>224</v>
      </c>
      <c r="DA5" s="37">
        <f t="shared" si="1"/>
        <v>225</v>
      </c>
      <c r="DB5" s="37">
        <f t="shared" si="1"/>
        <v>226</v>
      </c>
      <c r="DC5" s="37">
        <f t="shared" si="1"/>
        <v>227</v>
      </c>
      <c r="DD5" s="37">
        <f t="shared" si="1"/>
        <v>228</v>
      </c>
      <c r="DE5" s="37">
        <f t="shared" si="1"/>
        <v>229</v>
      </c>
      <c r="DF5" s="39">
        <f t="shared" si="1"/>
        <v>230</v>
      </c>
      <c r="DG5" s="36">
        <f t="shared" si="1"/>
        <v>231</v>
      </c>
      <c r="DH5" s="37">
        <f t="shared" si="1"/>
        <v>232</v>
      </c>
      <c r="DI5" s="37">
        <f t="shared" si="1"/>
        <v>233</v>
      </c>
      <c r="DJ5" s="37">
        <f t="shared" si="1"/>
        <v>234</v>
      </c>
      <c r="DK5" s="37">
        <f t="shared" si="1"/>
        <v>235</v>
      </c>
      <c r="DL5" s="37">
        <f t="shared" si="1"/>
        <v>236</v>
      </c>
      <c r="DM5" s="37">
        <f t="shared" si="1"/>
        <v>237</v>
      </c>
      <c r="DN5" s="37">
        <f t="shared" si="1"/>
        <v>238</v>
      </c>
      <c r="DO5" s="37">
        <f t="shared" si="1"/>
        <v>239</v>
      </c>
      <c r="DP5" s="38">
        <f t="shared" si="1"/>
        <v>240</v>
      </c>
      <c r="DQ5" s="30"/>
      <c r="DR5" s="1220">
        <v>0</v>
      </c>
      <c r="DS5" s="1221"/>
      <c r="DT5" s="1221"/>
      <c r="DU5" s="1222"/>
    </row>
    <row r="6" spans="1:125" ht="5.85" customHeight="1" x14ac:dyDescent="0.3">
      <c r="A6" s="36">
        <v>241</v>
      </c>
      <c r="B6" s="37">
        <f>A6+1</f>
        <v>242</v>
      </c>
      <c r="C6" s="37">
        <f t="shared" si="0"/>
        <v>243</v>
      </c>
      <c r="D6" s="37">
        <f t="shared" si="0"/>
        <v>244</v>
      </c>
      <c r="E6" s="37">
        <f t="shared" si="0"/>
        <v>245</v>
      </c>
      <c r="F6" s="37">
        <f t="shared" si="0"/>
        <v>246</v>
      </c>
      <c r="G6" s="37">
        <f t="shared" si="0"/>
        <v>247</v>
      </c>
      <c r="H6" s="37">
        <f t="shared" si="0"/>
        <v>248</v>
      </c>
      <c r="I6" s="37">
        <f t="shared" si="0"/>
        <v>249</v>
      </c>
      <c r="J6" s="38">
        <f t="shared" si="0"/>
        <v>250</v>
      </c>
      <c r="K6" s="36">
        <f t="shared" si="0"/>
        <v>251</v>
      </c>
      <c r="L6" s="37">
        <f t="shared" si="0"/>
        <v>252</v>
      </c>
      <c r="M6" s="37">
        <f t="shared" si="0"/>
        <v>253</v>
      </c>
      <c r="N6" s="37">
        <f t="shared" si="0"/>
        <v>254</v>
      </c>
      <c r="O6" s="37">
        <f t="shared" si="0"/>
        <v>255</v>
      </c>
      <c r="P6" s="37">
        <f t="shared" si="0"/>
        <v>256</v>
      </c>
      <c r="Q6" s="37">
        <f t="shared" si="0"/>
        <v>257</v>
      </c>
      <c r="R6" s="37">
        <f t="shared" si="0"/>
        <v>258</v>
      </c>
      <c r="S6" s="37">
        <f t="shared" si="0"/>
        <v>259</v>
      </c>
      <c r="T6" s="38">
        <f t="shared" si="0"/>
        <v>260</v>
      </c>
      <c r="U6" s="36">
        <f t="shared" si="0"/>
        <v>261</v>
      </c>
      <c r="V6" s="37">
        <f t="shared" si="0"/>
        <v>262</v>
      </c>
      <c r="W6" s="37">
        <f t="shared" si="0"/>
        <v>263</v>
      </c>
      <c r="X6" s="37">
        <f t="shared" si="0"/>
        <v>264</v>
      </c>
      <c r="Y6" s="37">
        <f t="shared" si="0"/>
        <v>265</v>
      </c>
      <c r="Z6" s="37">
        <f t="shared" si="0"/>
        <v>266</v>
      </c>
      <c r="AA6" s="37">
        <f t="shared" si="0"/>
        <v>267</v>
      </c>
      <c r="AB6" s="37">
        <f t="shared" si="0"/>
        <v>268</v>
      </c>
      <c r="AC6" s="37">
        <f t="shared" si="0"/>
        <v>269</v>
      </c>
      <c r="AD6" s="38">
        <f t="shared" si="0"/>
        <v>270</v>
      </c>
      <c r="AE6" s="36">
        <f t="shared" si="0"/>
        <v>271</v>
      </c>
      <c r="AF6" s="37">
        <f t="shared" si="0"/>
        <v>272</v>
      </c>
      <c r="AG6" s="37">
        <f t="shared" si="0"/>
        <v>273</v>
      </c>
      <c r="AH6" s="37">
        <f t="shared" si="0"/>
        <v>274</v>
      </c>
      <c r="AI6" s="37">
        <f t="shared" si="0"/>
        <v>275</v>
      </c>
      <c r="AJ6" s="37">
        <f t="shared" si="0"/>
        <v>276</v>
      </c>
      <c r="AK6" s="37">
        <f t="shared" si="0"/>
        <v>277</v>
      </c>
      <c r="AL6" s="37">
        <f t="shared" si="0"/>
        <v>278</v>
      </c>
      <c r="AM6" s="37">
        <f t="shared" si="0"/>
        <v>279</v>
      </c>
      <c r="AN6" s="38">
        <f t="shared" si="0"/>
        <v>280</v>
      </c>
      <c r="AO6" s="36">
        <f t="shared" si="0"/>
        <v>281</v>
      </c>
      <c r="AP6" s="37">
        <f t="shared" si="0"/>
        <v>282</v>
      </c>
      <c r="AQ6" s="37">
        <f t="shared" si="0"/>
        <v>283</v>
      </c>
      <c r="AR6" s="37">
        <f t="shared" si="0"/>
        <v>284</v>
      </c>
      <c r="AS6" s="37">
        <f t="shared" si="0"/>
        <v>285</v>
      </c>
      <c r="AT6" s="37">
        <f t="shared" si="0"/>
        <v>286</v>
      </c>
      <c r="AU6" s="37">
        <f t="shared" si="0"/>
        <v>287</v>
      </c>
      <c r="AV6" s="37">
        <f t="shared" si="0"/>
        <v>288</v>
      </c>
      <c r="AW6" s="37">
        <f t="shared" si="0"/>
        <v>289</v>
      </c>
      <c r="AX6" s="38">
        <f t="shared" si="0"/>
        <v>290</v>
      </c>
      <c r="AY6" s="36">
        <f t="shared" si="0"/>
        <v>291</v>
      </c>
      <c r="AZ6" s="37">
        <f t="shared" si="0"/>
        <v>292</v>
      </c>
      <c r="BA6" s="37">
        <f t="shared" si="0"/>
        <v>293</v>
      </c>
      <c r="BB6" s="37">
        <f t="shared" si="0"/>
        <v>294</v>
      </c>
      <c r="BC6" s="37">
        <f t="shared" si="0"/>
        <v>295</v>
      </c>
      <c r="BD6" s="37">
        <f t="shared" si="0"/>
        <v>296</v>
      </c>
      <c r="BE6" s="37">
        <f t="shared" si="0"/>
        <v>297</v>
      </c>
      <c r="BF6" s="37">
        <f t="shared" si="0"/>
        <v>298</v>
      </c>
      <c r="BG6" s="37">
        <f t="shared" si="0"/>
        <v>299</v>
      </c>
      <c r="BH6" s="38">
        <f t="shared" si="0"/>
        <v>300</v>
      </c>
      <c r="BI6" s="36">
        <f t="shared" si="0"/>
        <v>301</v>
      </c>
      <c r="BJ6" s="37">
        <f t="shared" si="0"/>
        <v>302</v>
      </c>
      <c r="BK6" s="37">
        <f t="shared" si="0"/>
        <v>303</v>
      </c>
      <c r="BL6" s="37">
        <f t="shared" si="0"/>
        <v>304</v>
      </c>
      <c r="BM6" s="37">
        <f t="shared" si="0"/>
        <v>305</v>
      </c>
      <c r="BN6" s="37">
        <f t="shared" si="0"/>
        <v>306</v>
      </c>
      <c r="BO6" s="37">
        <f t="shared" si="1"/>
        <v>307</v>
      </c>
      <c r="BP6" s="37">
        <f t="shared" si="1"/>
        <v>308</v>
      </c>
      <c r="BQ6" s="37">
        <f t="shared" si="1"/>
        <v>309</v>
      </c>
      <c r="BR6" s="39">
        <f t="shared" si="1"/>
        <v>310</v>
      </c>
      <c r="BS6" s="36">
        <f t="shared" si="1"/>
        <v>311</v>
      </c>
      <c r="BT6" s="37">
        <f t="shared" si="1"/>
        <v>312</v>
      </c>
      <c r="BU6" s="37">
        <f t="shared" si="1"/>
        <v>313</v>
      </c>
      <c r="BV6" s="37">
        <f t="shared" si="1"/>
        <v>314</v>
      </c>
      <c r="BW6" s="37">
        <f t="shared" si="1"/>
        <v>315</v>
      </c>
      <c r="BX6" s="37">
        <f t="shared" si="1"/>
        <v>316</v>
      </c>
      <c r="BY6" s="37">
        <f t="shared" si="1"/>
        <v>317</v>
      </c>
      <c r="BZ6" s="37">
        <f t="shared" si="1"/>
        <v>318</v>
      </c>
      <c r="CA6" s="37">
        <f t="shared" si="1"/>
        <v>319</v>
      </c>
      <c r="CB6" s="38">
        <f t="shared" si="1"/>
        <v>320</v>
      </c>
      <c r="CC6" s="40">
        <f t="shared" si="1"/>
        <v>321</v>
      </c>
      <c r="CD6" s="37">
        <f t="shared" si="1"/>
        <v>322</v>
      </c>
      <c r="CE6" s="37">
        <f t="shared" si="1"/>
        <v>323</v>
      </c>
      <c r="CF6" s="37">
        <f t="shared" si="1"/>
        <v>324</v>
      </c>
      <c r="CG6" s="37">
        <f t="shared" si="1"/>
        <v>325</v>
      </c>
      <c r="CH6" s="37">
        <f t="shared" si="1"/>
        <v>326</v>
      </c>
      <c r="CI6" s="37">
        <f t="shared" si="1"/>
        <v>327</v>
      </c>
      <c r="CJ6" s="37">
        <f t="shared" si="1"/>
        <v>328</v>
      </c>
      <c r="CK6" s="37">
        <f t="shared" si="1"/>
        <v>329</v>
      </c>
      <c r="CL6" s="39">
        <f t="shared" si="1"/>
        <v>330</v>
      </c>
      <c r="CM6" s="36">
        <f t="shared" si="1"/>
        <v>331</v>
      </c>
      <c r="CN6" s="37">
        <f t="shared" si="1"/>
        <v>332</v>
      </c>
      <c r="CO6" s="37">
        <f t="shared" si="1"/>
        <v>333</v>
      </c>
      <c r="CP6" s="37">
        <f t="shared" si="1"/>
        <v>334</v>
      </c>
      <c r="CQ6" s="37">
        <f t="shared" si="1"/>
        <v>335</v>
      </c>
      <c r="CR6" s="37">
        <f t="shared" si="1"/>
        <v>336</v>
      </c>
      <c r="CS6" s="37">
        <f t="shared" si="1"/>
        <v>337</v>
      </c>
      <c r="CT6" s="37">
        <f t="shared" si="1"/>
        <v>338</v>
      </c>
      <c r="CU6" s="37">
        <f t="shared" si="1"/>
        <v>339</v>
      </c>
      <c r="CV6" s="38">
        <f t="shared" si="1"/>
        <v>340</v>
      </c>
      <c r="CW6" s="40">
        <f t="shared" si="1"/>
        <v>341</v>
      </c>
      <c r="CX6" s="37">
        <f t="shared" si="1"/>
        <v>342</v>
      </c>
      <c r="CY6" s="37">
        <f t="shared" si="1"/>
        <v>343</v>
      </c>
      <c r="CZ6" s="37">
        <f t="shared" si="1"/>
        <v>344</v>
      </c>
      <c r="DA6" s="37">
        <f t="shared" si="1"/>
        <v>345</v>
      </c>
      <c r="DB6" s="37">
        <f t="shared" si="1"/>
        <v>346</v>
      </c>
      <c r="DC6" s="37">
        <f t="shared" si="1"/>
        <v>347</v>
      </c>
      <c r="DD6" s="37">
        <f t="shared" si="1"/>
        <v>348</v>
      </c>
      <c r="DE6" s="37">
        <f t="shared" si="1"/>
        <v>349</v>
      </c>
      <c r="DF6" s="39">
        <f t="shared" si="1"/>
        <v>350</v>
      </c>
      <c r="DG6" s="36">
        <f t="shared" si="1"/>
        <v>351</v>
      </c>
      <c r="DH6" s="37">
        <f t="shared" si="1"/>
        <v>352</v>
      </c>
      <c r="DI6" s="37">
        <f t="shared" si="1"/>
        <v>353</v>
      </c>
      <c r="DJ6" s="37">
        <f t="shared" si="1"/>
        <v>354</v>
      </c>
      <c r="DK6" s="37">
        <f t="shared" si="1"/>
        <v>355</v>
      </c>
      <c r="DL6" s="37">
        <f t="shared" si="1"/>
        <v>356</v>
      </c>
      <c r="DM6" s="37">
        <f t="shared" si="1"/>
        <v>357</v>
      </c>
      <c r="DN6" s="37">
        <f t="shared" si="1"/>
        <v>358</v>
      </c>
      <c r="DO6" s="37">
        <f t="shared" si="1"/>
        <v>359</v>
      </c>
      <c r="DP6" s="38">
        <f t="shared" si="1"/>
        <v>360</v>
      </c>
      <c r="DQ6" s="30"/>
      <c r="DR6" s="1214"/>
      <c r="DS6" s="1215"/>
      <c r="DT6" s="1215"/>
      <c r="DU6" s="1216"/>
    </row>
    <row r="7" spans="1:125" ht="5.85" customHeight="1" x14ac:dyDescent="0.3">
      <c r="A7" s="36">
        <v>361</v>
      </c>
      <c r="B7" s="37">
        <f t="shared" ref="B7:BM10" si="2">A7+1</f>
        <v>362</v>
      </c>
      <c r="C7" s="37">
        <f t="shared" si="2"/>
        <v>363</v>
      </c>
      <c r="D7" s="37">
        <f t="shared" si="2"/>
        <v>364</v>
      </c>
      <c r="E7" s="37">
        <f t="shared" si="2"/>
        <v>365</v>
      </c>
      <c r="F7" s="37">
        <f t="shared" si="2"/>
        <v>366</v>
      </c>
      <c r="G7" s="37">
        <f t="shared" si="2"/>
        <v>367</v>
      </c>
      <c r="H7" s="37">
        <f t="shared" si="2"/>
        <v>368</v>
      </c>
      <c r="I7" s="37">
        <f t="shared" si="2"/>
        <v>369</v>
      </c>
      <c r="J7" s="38">
        <f t="shared" si="2"/>
        <v>370</v>
      </c>
      <c r="K7" s="36">
        <f t="shared" si="2"/>
        <v>371</v>
      </c>
      <c r="L7" s="37">
        <f t="shared" si="2"/>
        <v>372</v>
      </c>
      <c r="M7" s="37">
        <f t="shared" si="2"/>
        <v>373</v>
      </c>
      <c r="N7" s="37">
        <f t="shared" si="2"/>
        <v>374</v>
      </c>
      <c r="O7" s="37">
        <f t="shared" si="2"/>
        <v>375</v>
      </c>
      <c r="P7" s="37">
        <f t="shared" si="2"/>
        <v>376</v>
      </c>
      <c r="Q7" s="37">
        <f t="shared" si="2"/>
        <v>377</v>
      </c>
      <c r="R7" s="37">
        <f t="shared" si="2"/>
        <v>378</v>
      </c>
      <c r="S7" s="37">
        <f t="shared" si="2"/>
        <v>379</v>
      </c>
      <c r="T7" s="38">
        <f t="shared" si="2"/>
        <v>380</v>
      </c>
      <c r="U7" s="36">
        <f t="shared" si="2"/>
        <v>381</v>
      </c>
      <c r="V7" s="37">
        <f t="shared" si="2"/>
        <v>382</v>
      </c>
      <c r="W7" s="37">
        <f t="shared" si="2"/>
        <v>383</v>
      </c>
      <c r="X7" s="37">
        <f t="shared" si="2"/>
        <v>384</v>
      </c>
      <c r="Y7" s="37">
        <f t="shared" si="2"/>
        <v>385</v>
      </c>
      <c r="Z7" s="37">
        <f t="shared" si="2"/>
        <v>386</v>
      </c>
      <c r="AA7" s="37">
        <f t="shared" si="2"/>
        <v>387</v>
      </c>
      <c r="AB7" s="37">
        <f t="shared" si="2"/>
        <v>388</v>
      </c>
      <c r="AC7" s="37">
        <f t="shared" si="2"/>
        <v>389</v>
      </c>
      <c r="AD7" s="38">
        <f t="shared" si="2"/>
        <v>390</v>
      </c>
      <c r="AE7" s="36">
        <f t="shared" si="2"/>
        <v>391</v>
      </c>
      <c r="AF7" s="37">
        <f t="shared" si="2"/>
        <v>392</v>
      </c>
      <c r="AG7" s="37">
        <f t="shared" si="2"/>
        <v>393</v>
      </c>
      <c r="AH7" s="37">
        <f t="shared" si="2"/>
        <v>394</v>
      </c>
      <c r="AI7" s="37">
        <f t="shared" si="2"/>
        <v>395</v>
      </c>
      <c r="AJ7" s="37">
        <f t="shared" si="2"/>
        <v>396</v>
      </c>
      <c r="AK7" s="37">
        <f t="shared" si="2"/>
        <v>397</v>
      </c>
      <c r="AL7" s="37">
        <f t="shared" si="2"/>
        <v>398</v>
      </c>
      <c r="AM7" s="37">
        <f t="shared" si="2"/>
        <v>399</v>
      </c>
      <c r="AN7" s="38">
        <f t="shared" si="2"/>
        <v>400</v>
      </c>
      <c r="AO7" s="36">
        <f t="shared" si="2"/>
        <v>401</v>
      </c>
      <c r="AP7" s="37">
        <f t="shared" si="2"/>
        <v>402</v>
      </c>
      <c r="AQ7" s="37">
        <f t="shared" si="2"/>
        <v>403</v>
      </c>
      <c r="AR7" s="37">
        <f t="shared" si="2"/>
        <v>404</v>
      </c>
      <c r="AS7" s="37">
        <f t="shared" si="2"/>
        <v>405</v>
      </c>
      <c r="AT7" s="37">
        <f t="shared" si="2"/>
        <v>406</v>
      </c>
      <c r="AU7" s="37">
        <f t="shared" si="2"/>
        <v>407</v>
      </c>
      <c r="AV7" s="37">
        <f t="shared" si="2"/>
        <v>408</v>
      </c>
      <c r="AW7" s="37">
        <f t="shared" si="2"/>
        <v>409</v>
      </c>
      <c r="AX7" s="38">
        <f t="shared" si="2"/>
        <v>410</v>
      </c>
      <c r="AY7" s="36">
        <f t="shared" si="2"/>
        <v>411</v>
      </c>
      <c r="AZ7" s="37">
        <f t="shared" si="2"/>
        <v>412</v>
      </c>
      <c r="BA7" s="37">
        <f t="shared" si="2"/>
        <v>413</v>
      </c>
      <c r="BB7" s="37">
        <f t="shared" si="2"/>
        <v>414</v>
      </c>
      <c r="BC7" s="37">
        <f t="shared" si="2"/>
        <v>415</v>
      </c>
      <c r="BD7" s="37">
        <f t="shared" si="2"/>
        <v>416</v>
      </c>
      <c r="BE7" s="37">
        <f t="shared" si="2"/>
        <v>417</v>
      </c>
      <c r="BF7" s="37">
        <f t="shared" si="2"/>
        <v>418</v>
      </c>
      <c r="BG7" s="37">
        <f t="shared" si="2"/>
        <v>419</v>
      </c>
      <c r="BH7" s="38">
        <f t="shared" si="2"/>
        <v>420</v>
      </c>
      <c r="BI7" s="36">
        <f t="shared" si="2"/>
        <v>421</v>
      </c>
      <c r="BJ7" s="37">
        <f t="shared" si="2"/>
        <v>422</v>
      </c>
      <c r="BK7" s="37">
        <f t="shared" si="2"/>
        <v>423</v>
      </c>
      <c r="BL7" s="37">
        <f t="shared" si="2"/>
        <v>424</v>
      </c>
      <c r="BM7" s="37">
        <f t="shared" si="2"/>
        <v>425</v>
      </c>
      <c r="BN7" s="37">
        <f t="shared" si="0"/>
        <v>426</v>
      </c>
      <c r="BO7" s="37">
        <f t="shared" si="1"/>
        <v>427</v>
      </c>
      <c r="BP7" s="37">
        <f t="shared" si="1"/>
        <v>428</v>
      </c>
      <c r="BQ7" s="37">
        <f t="shared" si="1"/>
        <v>429</v>
      </c>
      <c r="BR7" s="39">
        <f t="shared" si="1"/>
        <v>430</v>
      </c>
      <c r="BS7" s="36">
        <f t="shared" si="1"/>
        <v>431</v>
      </c>
      <c r="BT7" s="37">
        <f t="shared" si="1"/>
        <v>432</v>
      </c>
      <c r="BU7" s="37">
        <f t="shared" si="1"/>
        <v>433</v>
      </c>
      <c r="BV7" s="37">
        <f t="shared" si="1"/>
        <v>434</v>
      </c>
      <c r="BW7" s="37">
        <f t="shared" si="1"/>
        <v>435</v>
      </c>
      <c r="BX7" s="37">
        <f t="shared" si="1"/>
        <v>436</v>
      </c>
      <c r="BY7" s="37">
        <f t="shared" si="1"/>
        <v>437</v>
      </c>
      <c r="BZ7" s="37">
        <f t="shared" si="1"/>
        <v>438</v>
      </c>
      <c r="CA7" s="37">
        <f t="shared" si="1"/>
        <v>439</v>
      </c>
      <c r="CB7" s="38">
        <f t="shared" si="1"/>
        <v>440</v>
      </c>
      <c r="CC7" s="40">
        <f t="shared" si="1"/>
        <v>441</v>
      </c>
      <c r="CD7" s="37">
        <f t="shared" si="1"/>
        <v>442</v>
      </c>
      <c r="CE7" s="37">
        <f t="shared" si="1"/>
        <v>443</v>
      </c>
      <c r="CF7" s="37">
        <f t="shared" si="1"/>
        <v>444</v>
      </c>
      <c r="CG7" s="37">
        <f t="shared" si="1"/>
        <v>445</v>
      </c>
      <c r="CH7" s="37">
        <f t="shared" si="1"/>
        <v>446</v>
      </c>
      <c r="CI7" s="37">
        <f t="shared" si="1"/>
        <v>447</v>
      </c>
      <c r="CJ7" s="37">
        <f t="shared" si="1"/>
        <v>448</v>
      </c>
      <c r="CK7" s="37">
        <f t="shared" si="1"/>
        <v>449</v>
      </c>
      <c r="CL7" s="39">
        <f t="shared" si="1"/>
        <v>450</v>
      </c>
      <c r="CM7" s="36">
        <f t="shared" si="1"/>
        <v>451</v>
      </c>
      <c r="CN7" s="37">
        <f t="shared" si="1"/>
        <v>452</v>
      </c>
      <c r="CO7" s="37">
        <f t="shared" si="1"/>
        <v>453</v>
      </c>
      <c r="CP7" s="37">
        <f t="shared" si="1"/>
        <v>454</v>
      </c>
      <c r="CQ7" s="37">
        <f t="shared" si="1"/>
        <v>455</v>
      </c>
      <c r="CR7" s="37">
        <f t="shared" si="1"/>
        <v>456</v>
      </c>
      <c r="CS7" s="37">
        <f t="shared" si="1"/>
        <v>457</v>
      </c>
      <c r="CT7" s="37">
        <f t="shared" si="1"/>
        <v>458</v>
      </c>
      <c r="CU7" s="37">
        <f t="shared" si="1"/>
        <v>459</v>
      </c>
      <c r="CV7" s="38">
        <f t="shared" si="1"/>
        <v>460</v>
      </c>
      <c r="CW7" s="40">
        <f t="shared" si="1"/>
        <v>461</v>
      </c>
      <c r="CX7" s="37">
        <f t="shared" si="1"/>
        <v>462</v>
      </c>
      <c r="CY7" s="37">
        <f t="shared" si="1"/>
        <v>463</v>
      </c>
      <c r="CZ7" s="37">
        <f t="shared" si="1"/>
        <v>464</v>
      </c>
      <c r="DA7" s="37">
        <f t="shared" si="1"/>
        <v>465</v>
      </c>
      <c r="DB7" s="37">
        <f t="shared" si="1"/>
        <v>466</v>
      </c>
      <c r="DC7" s="37">
        <f t="shared" si="1"/>
        <v>467</v>
      </c>
      <c r="DD7" s="37">
        <f t="shared" si="1"/>
        <v>468</v>
      </c>
      <c r="DE7" s="37">
        <f t="shared" si="1"/>
        <v>469</v>
      </c>
      <c r="DF7" s="39">
        <f t="shared" si="1"/>
        <v>470</v>
      </c>
      <c r="DG7" s="36">
        <f t="shared" si="1"/>
        <v>471</v>
      </c>
      <c r="DH7" s="37">
        <f t="shared" si="1"/>
        <v>472</v>
      </c>
      <c r="DI7" s="37">
        <f t="shared" si="1"/>
        <v>473</v>
      </c>
      <c r="DJ7" s="37">
        <f t="shared" si="1"/>
        <v>474</v>
      </c>
      <c r="DK7" s="37">
        <f t="shared" si="1"/>
        <v>475</v>
      </c>
      <c r="DL7" s="37">
        <f t="shared" si="1"/>
        <v>476</v>
      </c>
      <c r="DM7" s="37">
        <f t="shared" si="1"/>
        <v>477</v>
      </c>
      <c r="DN7" s="37">
        <f t="shared" si="1"/>
        <v>478</v>
      </c>
      <c r="DO7" s="37">
        <f t="shared" si="1"/>
        <v>479</v>
      </c>
      <c r="DP7" s="38">
        <f t="shared" si="1"/>
        <v>480</v>
      </c>
      <c r="DQ7" s="30"/>
      <c r="DR7" s="1214"/>
      <c r="DS7" s="1215"/>
      <c r="DT7" s="1215"/>
      <c r="DU7" s="1216"/>
    </row>
    <row r="8" spans="1:125" ht="5.85" customHeight="1" x14ac:dyDescent="0.3">
      <c r="A8" s="36">
        <v>481</v>
      </c>
      <c r="B8" s="37">
        <f t="shared" si="2"/>
        <v>482</v>
      </c>
      <c r="C8" s="37">
        <f t="shared" si="2"/>
        <v>483</v>
      </c>
      <c r="D8" s="37">
        <f t="shared" si="2"/>
        <v>484</v>
      </c>
      <c r="E8" s="37">
        <f t="shared" si="2"/>
        <v>485</v>
      </c>
      <c r="F8" s="37">
        <f t="shared" si="2"/>
        <v>486</v>
      </c>
      <c r="G8" s="37">
        <f t="shared" si="2"/>
        <v>487</v>
      </c>
      <c r="H8" s="37">
        <f t="shared" si="2"/>
        <v>488</v>
      </c>
      <c r="I8" s="37">
        <f t="shared" si="2"/>
        <v>489</v>
      </c>
      <c r="J8" s="38">
        <f t="shared" si="2"/>
        <v>490</v>
      </c>
      <c r="K8" s="36">
        <f t="shared" si="2"/>
        <v>491</v>
      </c>
      <c r="L8" s="37">
        <f t="shared" si="2"/>
        <v>492</v>
      </c>
      <c r="M8" s="37">
        <f t="shared" si="2"/>
        <v>493</v>
      </c>
      <c r="N8" s="37">
        <f t="shared" si="2"/>
        <v>494</v>
      </c>
      <c r="O8" s="37">
        <f t="shared" si="2"/>
        <v>495</v>
      </c>
      <c r="P8" s="37">
        <f t="shared" si="2"/>
        <v>496</v>
      </c>
      <c r="Q8" s="37">
        <f t="shared" si="2"/>
        <v>497</v>
      </c>
      <c r="R8" s="37">
        <f t="shared" si="2"/>
        <v>498</v>
      </c>
      <c r="S8" s="37">
        <f t="shared" si="2"/>
        <v>499</v>
      </c>
      <c r="T8" s="38">
        <f t="shared" si="2"/>
        <v>500</v>
      </c>
      <c r="U8" s="36">
        <f t="shared" si="2"/>
        <v>501</v>
      </c>
      <c r="V8" s="37">
        <f t="shared" si="2"/>
        <v>502</v>
      </c>
      <c r="W8" s="37">
        <f t="shared" si="2"/>
        <v>503</v>
      </c>
      <c r="X8" s="37">
        <f t="shared" si="2"/>
        <v>504</v>
      </c>
      <c r="Y8" s="37">
        <f t="shared" si="2"/>
        <v>505</v>
      </c>
      <c r="Z8" s="37">
        <f t="shared" si="2"/>
        <v>506</v>
      </c>
      <c r="AA8" s="37">
        <f t="shared" si="2"/>
        <v>507</v>
      </c>
      <c r="AB8" s="37">
        <f t="shared" si="2"/>
        <v>508</v>
      </c>
      <c r="AC8" s="37">
        <f t="shared" si="2"/>
        <v>509</v>
      </c>
      <c r="AD8" s="38">
        <f t="shared" si="2"/>
        <v>510</v>
      </c>
      <c r="AE8" s="36">
        <f t="shared" si="2"/>
        <v>511</v>
      </c>
      <c r="AF8" s="37">
        <f t="shared" si="2"/>
        <v>512</v>
      </c>
      <c r="AG8" s="37">
        <f t="shared" si="2"/>
        <v>513</v>
      </c>
      <c r="AH8" s="37">
        <f t="shared" si="2"/>
        <v>514</v>
      </c>
      <c r="AI8" s="37">
        <f t="shared" si="2"/>
        <v>515</v>
      </c>
      <c r="AJ8" s="37">
        <f t="shared" si="2"/>
        <v>516</v>
      </c>
      <c r="AK8" s="37">
        <f t="shared" si="2"/>
        <v>517</v>
      </c>
      <c r="AL8" s="37">
        <f t="shared" si="2"/>
        <v>518</v>
      </c>
      <c r="AM8" s="37">
        <f t="shared" si="2"/>
        <v>519</v>
      </c>
      <c r="AN8" s="38">
        <f t="shared" si="2"/>
        <v>520</v>
      </c>
      <c r="AO8" s="36">
        <f t="shared" si="2"/>
        <v>521</v>
      </c>
      <c r="AP8" s="37">
        <f t="shared" si="2"/>
        <v>522</v>
      </c>
      <c r="AQ8" s="37">
        <f t="shared" si="2"/>
        <v>523</v>
      </c>
      <c r="AR8" s="37">
        <f t="shared" si="2"/>
        <v>524</v>
      </c>
      <c r="AS8" s="37">
        <f t="shared" si="2"/>
        <v>525</v>
      </c>
      <c r="AT8" s="37">
        <f t="shared" si="2"/>
        <v>526</v>
      </c>
      <c r="AU8" s="37">
        <f t="shared" si="2"/>
        <v>527</v>
      </c>
      <c r="AV8" s="37">
        <f t="shared" si="2"/>
        <v>528</v>
      </c>
      <c r="AW8" s="37">
        <f t="shared" si="2"/>
        <v>529</v>
      </c>
      <c r="AX8" s="38">
        <f t="shared" si="2"/>
        <v>530</v>
      </c>
      <c r="AY8" s="36">
        <f t="shared" si="2"/>
        <v>531</v>
      </c>
      <c r="AZ8" s="37">
        <f t="shared" si="2"/>
        <v>532</v>
      </c>
      <c r="BA8" s="37">
        <f t="shared" si="2"/>
        <v>533</v>
      </c>
      <c r="BB8" s="37">
        <f t="shared" si="2"/>
        <v>534</v>
      </c>
      <c r="BC8" s="37">
        <f t="shared" si="2"/>
        <v>535</v>
      </c>
      <c r="BD8" s="37">
        <f t="shared" si="2"/>
        <v>536</v>
      </c>
      <c r="BE8" s="37">
        <f t="shared" si="2"/>
        <v>537</v>
      </c>
      <c r="BF8" s="37">
        <f t="shared" si="2"/>
        <v>538</v>
      </c>
      <c r="BG8" s="37">
        <f t="shared" si="2"/>
        <v>539</v>
      </c>
      <c r="BH8" s="38">
        <f t="shared" si="2"/>
        <v>540</v>
      </c>
      <c r="BI8" s="36">
        <f t="shared" si="2"/>
        <v>541</v>
      </c>
      <c r="BJ8" s="37">
        <f t="shared" si="2"/>
        <v>542</v>
      </c>
      <c r="BK8" s="37">
        <f t="shared" si="2"/>
        <v>543</v>
      </c>
      <c r="BL8" s="37">
        <f t="shared" si="2"/>
        <v>544</v>
      </c>
      <c r="BM8" s="37">
        <f t="shared" si="2"/>
        <v>545</v>
      </c>
      <c r="BN8" s="37">
        <f t="shared" si="0"/>
        <v>546</v>
      </c>
      <c r="BO8" s="37">
        <f t="shared" si="1"/>
        <v>547</v>
      </c>
      <c r="BP8" s="37">
        <f t="shared" si="1"/>
        <v>548</v>
      </c>
      <c r="BQ8" s="37">
        <f t="shared" si="1"/>
        <v>549</v>
      </c>
      <c r="BR8" s="39">
        <f t="shared" si="1"/>
        <v>550</v>
      </c>
      <c r="BS8" s="36">
        <f t="shared" si="1"/>
        <v>551</v>
      </c>
      <c r="BT8" s="37">
        <f t="shared" si="1"/>
        <v>552</v>
      </c>
      <c r="BU8" s="37">
        <f t="shared" si="1"/>
        <v>553</v>
      </c>
      <c r="BV8" s="37">
        <f t="shared" si="1"/>
        <v>554</v>
      </c>
      <c r="BW8" s="37">
        <f t="shared" si="1"/>
        <v>555</v>
      </c>
      <c r="BX8" s="37">
        <f t="shared" si="1"/>
        <v>556</v>
      </c>
      <c r="BY8" s="37">
        <f t="shared" si="1"/>
        <v>557</v>
      </c>
      <c r="BZ8" s="37">
        <f t="shared" si="1"/>
        <v>558</v>
      </c>
      <c r="CA8" s="37">
        <f t="shared" si="1"/>
        <v>559</v>
      </c>
      <c r="CB8" s="38">
        <f t="shared" si="1"/>
        <v>560</v>
      </c>
      <c r="CC8" s="40">
        <f t="shared" si="1"/>
        <v>561</v>
      </c>
      <c r="CD8" s="37">
        <f t="shared" si="1"/>
        <v>562</v>
      </c>
      <c r="CE8" s="37">
        <f t="shared" si="1"/>
        <v>563</v>
      </c>
      <c r="CF8" s="37">
        <f t="shared" si="1"/>
        <v>564</v>
      </c>
      <c r="CG8" s="37">
        <f t="shared" si="1"/>
        <v>565</v>
      </c>
      <c r="CH8" s="37">
        <f t="shared" si="1"/>
        <v>566</v>
      </c>
      <c r="CI8" s="37">
        <f t="shared" si="1"/>
        <v>567</v>
      </c>
      <c r="CJ8" s="37">
        <f t="shared" si="1"/>
        <v>568</v>
      </c>
      <c r="CK8" s="37">
        <f t="shared" si="1"/>
        <v>569</v>
      </c>
      <c r="CL8" s="39">
        <f t="shared" si="1"/>
        <v>570</v>
      </c>
      <c r="CM8" s="36">
        <f t="shared" si="1"/>
        <v>571</v>
      </c>
      <c r="CN8" s="37">
        <f t="shared" si="1"/>
        <v>572</v>
      </c>
      <c r="CO8" s="37">
        <f t="shared" si="1"/>
        <v>573</v>
      </c>
      <c r="CP8" s="37">
        <f t="shared" si="1"/>
        <v>574</v>
      </c>
      <c r="CQ8" s="37">
        <f t="shared" si="1"/>
        <v>575</v>
      </c>
      <c r="CR8" s="37">
        <f t="shared" si="1"/>
        <v>576</v>
      </c>
      <c r="CS8" s="37">
        <f t="shared" si="1"/>
        <v>577</v>
      </c>
      <c r="CT8" s="37">
        <f t="shared" si="1"/>
        <v>578</v>
      </c>
      <c r="CU8" s="37">
        <f t="shared" si="1"/>
        <v>579</v>
      </c>
      <c r="CV8" s="38">
        <f t="shared" si="1"/>
        <v>580</v>
      </c>
      <c r="CW8" s="40">
        <f t="shared" si="1"/>
        <v>581</v>
      </c>
      <c r="CX8" s="37">
        <f t="shared" si="1"/>
        <v>582</v>
      </c>
      <c r="CY8" s="37">
        <f t="shared" si="1"/>
        <v>583</v>
      </c>
      <c r="CZ8" s="37">
        <f t="shared" si="1"/>
        <v>584</v>
      </c>
      <c r="DA8" s="37">
        <f t="shared" si="1"/>
        <v>585</v>
      </c>
      <c r="DB8" s="37">
        <f t="shared" ref="DB8:DP8" si="3">DA8+1</f>
        <v>586</v>
      </c>
      <c r="DC8" s="37">
        <f t="shared" si="3"/>
        <v>587</v>
      </c>
      <c r="DD8" s="37">
        <f t="shared" si="3"/>
        <v>588</v>
      </c>
      <c r="DE8" s="37">
        <f t="shared" si="3"/>
        <v>589</v>
      </c>
      <c r="DF8" s="39">
        <f t="shared" si="3"/>
        <v>590</v>
      </c>
      <c r="DG8" s="36">
        <f t="shared" si="3"/>
        <v>591</v>
      </c>
      <c r="DH8" s="37">
        <f t="shared" si="3"/>
        <v>592</v>
      </c>
      <c r="DI8" s="37">
        <f t="shared" si="3"/>
        <v>593</v>
      </c>
      <c r="DJ8" s="37">
        <f t="shared" si="3"/>
        <v>594</v>
      </c>
      <c r="DK8" s="37">
        <f t="shared" si="3"/>
        <v>595</v>
      </c>
      <c r="DL8" s="37">
        <f t="shared" si="3"/>
        <v>596</v>
      </c>
      <c r="DM8" s="37">
        <f t="shared" si="3"/>
        <v>597</v>
      </c>
      <c r="DN8" s="37">
        <f t="shared" si="3"/>
        <v>598</v>
      </c>
      <c r="DO8" s="37">
        <f t="shared" si="3"/>
        <v>599</v>
      </c>
      <c r="DP8" s="38">
        <f t="shared" si="3"/>
        <v>600</v>
      </c>
      <c r="DQ8" s="30"/>
      <c r="DR8" s="1214">
        <v>1</v>
      </c>
      <c r="DS8" s="1215"/>
      <c r="DT8" s="1215"/>
      <c r="DU8" s="1216"/>
    </row>
    <row r="9" spans="1:125" ht="5.85" customHeight="1" x14ac:dyDescent="0.3">
      <c r="A9" s="36">
        <v>601</v>
      </c>
      <c r="B9" s="37">
        <f t="shared" si="2"/>
        <v>602</v>
      </c>
      <c r="C9" s="37">
        <f t="shared" si="2"/>
        <v>603</v>
      </c>
      <c r="D9" s="37">
        <f t="shared" si="2"/>
        <v>604</v>
      </c>
      <c r="E9" s="37">
        <f t="shared" si="2"/>
        <v>605</v>
      </c>
      <c r="F9" s="37">
        <f t="shared" si="2"/>
        <v>606</v>
      </c>
      <c r="G9" s="37">
        <f t="shared" si="2"/>
        <v>607</v>
      </c>
      <c r="H9" s="37">
        <f t="shared" si="2"/>
        <v>608</v>
      </c>
      <c r="I9" s="37">
        <f t="shared" si="2"/>
        <v>609</v>
      </c>
      <c r="J9" s="38">
        <f t="shared" si="2"/>
        <v>610</v>
      </c>
      <c r="K9" s="36">
        <f t="shared" si="2"/>
        <v>611</v>
      </c>
      <c r="L9" s="37">
        <f t="shared" si="2"/>
        <v>612</v>
      </c>
      <c r="M9" s="37">
        <f t="shared" si="2"/>
        <v>613</v>
      </c>
      <c r="N9" s="37">
        <f t="shared" si="2"/>
        <v>614</v>
      </c>
      <c r="O9" s="37">
        <f t="shared" si="2"/>
        <v>615</v>
      </c>
      <c r="P9" s="37">
        <f t="shared" si="2"/>
        <v>616</v>
      </c>
      <c r="Q9" s="37">
        <f t="shared" si="2"/>
        <v>617</v>
      </c>
      <c r="R9" s="37">
        <f t="shared" si="2"/>
        <v>618</v>
      </c>
      <c r="S9" s="37">
        <f t="shared" si="2"/>
        <v>619</v>
      </c>
      <c r="T9" s="38">
        <f t="shared" si="2"/>
        <v>620</v>
      </c>
      <c r="U9" s="36">
        <f t="shared" si="2"/>
        <v>621</v>
      </c>
      <c r="V9" s="37">
        <f t="shared" si="2"/>
        <v>622</v>
      </c>
      <c r="W9" s="37">
        <f t="shared" si="2"/>
        <v>623</v>
      </c>
      <c r="X9" s="37">
        <f t="shared" si="2"/>
        <v>624</v>
      </c>
      <c r="Y9" s="37">
        <f t="shared" si="2"/>
        <v>625</v>
      </c>
      <c r="Z9" s="37">
        <f t="shared" si="2"/>
        <v>626</v>
      </c>
      <c r="AA9" s="37">
        <f t="shared" si="2"/>
        <v>627</v>
      </c>
      <c r="AB9" s="37">
        <f t="shared" si="2"/>
        <v>628</v>
      </c>
      <c r="AC9" s="37">
        <f t="shared" si="2"/>
        <v>629</v>
      </c>
      <c r="AD9" s="38">
        <f t="shared" si="2"/>
        <v>630</v>
      </c>
      <c r="AE9" s="36">
        <f t="shared" si="2"/>
        <v>631</v>
      </c>
      <c r="AF9" s="37">
        <f t="shared" si="2"/>
        <v>632</v>
      </c>
      <c r="AG9" s="37">
        <f t="shared" si="2"/>
        <v>633</v>
      </c>
      <c r="AH9" s="37">
        <f t="shared" si="2"/>
        <v>634</v>
      </c>
      <c r="AI9" s="37">
        <f t="shared" si="2"/>
        <v>635</v>
      </c>
      <c r="AJ9" s="37">
        <f t="shared" si="2"/>
        <v>636</v>
      </c>
      <c r="AK9" s="37">
        <f t="shared" si="2"/>
        <v>637</v>
      </c>
      <c r="AL9" s="37">
        <f t="shared" si="2"/>
        <v>638</v>
      </c>
      <c r="AM9" s="37">
        <f t="shared" si="2"/>
        <v>639</v>
      </c>
      <c r="AN9" s="38">
        <f t="shared" si="2"/>
        <v>640</v>
      </c>
      <c r="AO9" s="36">
        <f t="shared" si="2"/>
        <v>641</v>
      </c>
      <c r="AP9" s="37">
        <f t="shared" si="2"/>
        <v>642</v>
      </c>
      <c r="AQ9" s="37">
        <f t="shared" si="2"/>
        <v>643</v>
      </c>
      <c r="AR9" s="37">
        <f t="shared" si="2"/>
        <v>644</v>
      </c>
      <c r="AS9" s="37">
        <f t="shared" si="2"/>
        <v>645</v>
      </c>
      <c r="AT9" s="37">
        <f t="shared" si="2"/>
        <v>646</v>
      </c>
      <c r="AU9" s="37">
        <f t="shared" si="2"/>
        <v>647</v>
      </c>
      <c r="AV9" s="37">
        <f t="shared" si="2"/>
        <v>648</v>
      </c>
      <c r="AW9" s="37">
        <f t="shared" si="2"/>
        <v>649</v>
      </c>
      <c r="AX9" s="38">
        <f t="shared" si="2"/>
        <v>650</v>
      </c>
      <c r="AY9" s="36">
        <f t="shared" si="2"/>
        <v>651</v>
      </c>
      <c r="AZ9" s="37">
        <f t="shared" si="2"/>
        <v>652</v>
      </c>
      <c r="BA9" s="37">
        <f t="shared" si="2"/>
        <v>653</v>
      </c>
      <c r="BB9" s="37">
        <f t="shared" si="2"/>
        <v>654</v>
      </c>
      <c r="BC9" s="37">
        <f t="shared" si="2"/>
        <v>655</v>
      </c>
      <c r="BD9" s="37">
        <f t="shared" si="2"/>
        <v>656</v>
      </c>
      <c r="BE9" s="37">
        <f t="shared" si="2"/>
        <v>657</v>
      </c>
      <c r="BF9" s="37">
        <f t="shared" si="2"/>
        <v>658</v>
      </c>
      <c r="BG9" s="37">
        <f t="shared" si="2"/>
        <v>659</v>
      </c>
      <c r="BH9" s="38">
        <f t="shared" si="2"/>
        <v>660</v>
      </c>
      <c r="BI9" s="36">
        <f t="shared" si="2"/>
        <v>661</v>
      </c>
      <c r="BJ9" s="37">
        <f t="shared" si="2"/>
        <v>662</v>
      </c>
      <c r="BK9" s="37">
        <f t="shared" si="2"/>
        <v>663</v>
      </c>
      <c r="BL9" s="37">
        <f t="shared" si="2"/>
        <v>664</v>
      </c>
      <c r="BM9" s="37">
        <f t="shared" si="2"/>
        <v>665</v>
      </c>
      <c r="BN9" s="37">
        <f t="shared" si="0"/>
        <v>666</v>
      </c>
      <c r="BO9" s="37">
        <f t="shared" ref="BO9:DP13" si="4">BN9+1</f>
        <v>667</v>
      </c>
      <c r="BP9" s="37">
        <f t="shared" si="4"/>
        <v>668</v>
      </c>
      <c r="BQ9" s="37">
        <f t="shared" si="4"/>
        <v>669</v>
      </c>
      <c r="BR9" s="39">
        <f t="shared" si="4"/>
        <v>670</v>
      </c>
      <c r="BS9" s="36">
        <f t="shared" si="4"/>
        <v>671</v>
      </c>
      <c r="BT9" s="37">
        <f t="shared" si="4"/>
        <v>672</v>
      </c>
      <c r="BU9" s="37">
        <f t="shared" si="4"/>
        <v>673</v>
      </c>
      <c r="BV9" s="37">
        <f t="shared" si="4"/>
        <v>674</v>
      </c>
      <c r="BW9" s="37">
        <f t="shared" si="4"/>
        <v>675</v>
      </c>
      <c r="BX9" s="37">
        <f t="shared" si="4"/>
        <v>676</v>
      </c>
      <c r="BY9" s="37">
        <f t="shared" si="4"/>
        <v>677</v>
      </c>
      <c r="BZ9" s="37">
        <f t="shared" si="4"/>
        <v>678</v>
      </c>
      <c r="CA9" s="37">
        <f t="shared" si="4"/>
        <v>679</v>
      </c>
      <c r="CB9" s="38">
        <f t="shared" si="4"/>
        <v>680</v>
      </c>
      <c r="CC9" s="40">
        <f t="shared" si="4"/>
        <v>681</v>
      </c>
      <c r="CD9" s="37">
        <f t="shared" si="4"/>
        <v>682</v>
      </c>
      <c r="CE9" s="37">
        <f t="shared" si="4"/>
        <v>683</v>
      </c>
      <c r="CF9" s="37">
        <f t="shared" si="4"/>
        <v>684</v>
      </c>
      <c r="CG9" s="37">
        <f t="shared" si="4"/>
        <v>685</v>
      </c>
      <c r="CH9" s="37">
        <f t="shared" si="4"/>
        <v>686</v>
      </c>
      <c r="CI9" s="37">
        <f t="shared" si="4"/>
        <v>687</v>
      </c>
      <c r="CJ9" s="37">
        <f t="shared" si="4"/>
        <v>688</v>
      </c>
      <c r="CK9" s="37">
        <f t="shared" si="4"/>
        <v>689</v>
      </c>
      <c r="CL9" s="39">
        <f t="shared" si="4"/>
        <v>690</v>
      </c>
      <c r="CM9" s="36">
        <f t="shared" si="4"/>
        <v>691</v>
      </c>
      <c r="CN9" s="37">
        <f t="shared" si="4"/>
        <v>692</v>
      </c>
      <c r="CO9" s="37">
        <f t="shared" si="4"/>
        <v>693</v>
      </c>
      <c r="CP9" s="37">
        <f t="shared" si="4"/>
        <v>694</v>
      </c>
      <c r="CQ9" s="37">
        <f t="shared" si="4"/>
        <v>695</v>
      </c>
      <c r="CR9" s="37">
        <f t="shared" si="4"/>
        <v>696</v>
      </c>
      <c r="CS9" s="37">
        <f t="shared" si="4"/>
        <v>697</v>
      </c>
      <c r="CT9" s="37">
        <f t="shared" si="4"/>
        <v>698</v>
      </c>
      <c r="CU9" s="37">
        <f t="shared" si="4"/>
        <v>699</v>
      </c>
      <c r="CV9" s="38">
        <f t="shared" si="4"/>
        <v>700</v>
      </c>
      <c r="CW9" s="40">
        <f t="shared" si="4"/>
        <v>701</v>
      </c>
      <c r="CX9" s="37">
        <f t="shared" si="4"/>
        <v>702</v>
      </c>
      <c r="CY9" s="37">
        <f t="shared" si="4"/>
        <v>703</v>
      </c>
      <c r="CZ9" s="37">
        <f t="shared" si="4"/>
        <v>704</v>
      </c>
      <c r="DA9" s="37">
        <f t="shared" si="4"/>
        <v>705</v>
      </c>
      <c r="DB9" s="37">
        <f t="shared" si="4"/>
        <v>706</v>
      </c>
      <c r="DC9" s="37">
        <f t="shared" si="4"/>
        <v>707</v>
      </c>
      <c r="DD9" s="37">
        <f t="shared" si="4"/>
        <v>708</v>
      </c>
      <c r="DE9" s="37">
        <f t="shared" si="4"/>
        <v>709</v>
      </c>
      <c r="DF9" s="39">
        <f t="shared" si="4"/>
        <v>710</v>
      </c>
      <c r="DG9" s="36">
        <f t="shared" si="4"/>
        <v>711</v>
      </c>
      <c r="DH9" s="37">
        <f t="shared" si="4"/>
        <v>712</v>
      </c>
      <c r="DI9" s="37">
        <f t="shared" si="4"/>
        <v>713</v>
      </c>
      <c r="DJ9" s="37">
        <f t="shared" si="4"/>
        <v>714</v>
      </c>
      <c r="DK9" s="37">
        <f t="shared" si="4"/>
        <v>715</v>
      </c>
      <c r="DL9" s="37">
        <f t="shared" si="4"/>
        <v>716</v>
      </c>
      <c r="DM9" s="37">
        <f t="shared" si="4"/>
        <v>717</v>
      </c>
      <c r="DN9" s="37">
        <f t="shared" si="4"/>
        <v>718</v>
      </c>
      <c r="DO9" s="37">
        <f t="shared" si="4"/>
        <v>719</v>
      </c>
      <c r="DP9" s="38">
        <f t="shared" si="4"/>
        <v>720</v>
      </c>
      <c r="DQ9" s="30"/>
      <c r="DR9" s="1214"/>
      <c r="DS9" s="1215"/>
      <c r="DT9" s="1215"/>
      <c r="DU9" s="1216"/>
    </row>
    <row r="10" spans="1:125" ht="5.85" customHeight="1" x14ac:dyDescent="0.3">
      <c r="A10" s="36">
        <v>721</v>
      </c>
      <c r="B10" s="37">
        <f t="shared" si="2"/>
        <v>722</v>
      </c>
      <c r="C10" s="37">
        <f t="shared" si="2"/>
        <v>723</v>
      </c>
      <c r="D10" s="37">
        <f t="shared" si="2"/>
        <v>724</v>
      </c>
      <c r="E10" s="37">
        <f t="shared" si="2"/>
        <v>725</v>
      </c>
      <c r="F10" s="37">
        <f t="shared" si="2"/>
        <v>726</v>
      </c>
      <c r="G10" s="37">
        <f t="shared" si="2"/>
        <v>727</v>
      </c>
      <c r="H10" s="37">
        <f t="shared" si="2"/>
        <v>728</v>
      </c>
      <c r="I10" s="37">
        <f t="shared" si="2"/>
        <v>729</v>
      </c>
      <c r="J10" s="38">
        <f t="shared" si="2"/>
        <v>730</v>
      </c>
      <c r="K10" s="36">
        <f t="shared" si="2"/>
        <v>731</v>
      </c>
      <c r="L10" s="37">
        <f t="shared" si="2"/>
        <v>732</v>
      </c>
      <c r="M10" s="37">
        <f t="shared" si="2"/>
        <v>733</v>
      </c>
      <c r="N10" s="37">
        <f t="shared" si="2"/>
        <v>734</v>
      </c>
      <c r="O10" s="37">
        <f t="shared" si="2"/>
        <v>735</v>
      </c>
      <c r="P10" s="37">
        <f t="shared" si="2"/>
        <v>736</v>
      </c>
      <c r="Q10" s="37">
        <f t="shared" si="2"/>
        <v>737</v>
      </c>
      <c r="R10" s="37">
        <f t="shared" si="2"/>
        <v>738</v>
      </c>
      <c r="S10" s="37">
        <f t="shared" si="2"/>
        <v>739</v>
      </c>
      <c r="T10" s="38">
        <f t="shared" si="2"/>
        <v>740</v>
      </c>
      <c r="U10" s="36">
        <f t="shared" si="2"/>
        <v>741</v>
      </c>
      <c r="V10" s="37">
        <f t="shared" si="2"/>
        <v>742</v>
      </c>
      <c r="W10" s="37">
        <f t="shared" si="2"/>
        <v>743</v>
      </c>
      <c r="X10" s="37">
        <f t="shared" si="2"/>
        <v>744</v>
      </c>
      <c r="Y10" s="37">
        <f t="shared" si="2"/>
        <v>745</v>
      </c>
      <c r="Z10" s="37">
        <f t="shared" si="2"/>
        <v>746</v>
      </c>
      <c r="AA10" s="37">
        <f t="shared" si="2"/>
        <v>747</v>
      </c>
      <c r="AB10" s="37">
        <f t="shared" si="2"/>
        <v>748</v>
      </c>
      <c r="AC10" s="37">
        <f t="shared" si="2"/>
        <v>749</v>
      </c>
      <c r="AD10" s="38">
        <f t="shared" si="2"/>
        <v>750</v>
      </c>
      <c r="AE10" s="36">
        <f t="shared" si="2"/>
        <v>751</v>
      </c>
      <c r="AF10" s="37">
        <f t="shared" si="2"/>
        <v>752</v>
      </c>
      <c r="AG10" s="37">
        <f t="shared" si="2"/>
        <v>753</v>
      </c>
      <c r="AH10" s="37">
        <f t="shared" si="2"/>
        <v>754</v>
      </c>
      <c r="AI10" s="37">
        <f t="shared" si="2"/>
        <v>755</v>
      </c>
      <c r="AJ10" s="37">
        <f t="shared" si="2"/>
        <v>756</v>
      </c>
      <c r="AK10" s="37">
        <f t="shared" si="2"/>
        <v>757</v>
      </c>
      <c r="AL10" s="37">
        <f t="shared" si="2"/>
        <v>758</v>
      </c>
      <c r="AM10" s="37">
        <f t="shared" si="2"/>
        <v>759</v>
      </c>
      <c r="AN10" s="38">
        <f t="shared" si="2"/>
        <v>760</v>
      </c>
      <c r="AO10" s="36">
        <f t="shared" si="2"/>
        <v>761</v>
      </c>
      <c r="AP10" s="37">
        <f t="shared" si="2"/>
        <v>762</v>
      </c>
      <c r="AQ10" s="37">
        <f t="shared" si="2"/>
        <v>763</v>
      </c>
      <c r="AR10" s="37">
        <f t="shared" si="2"/>
        <v>764</v>
      </c>
      <c r="AS10" s="37">
        <f t="shared" si="2"/>
        <v>765</v>
      </c>
      <c r="AT10" s="37">
        <f t="shared" si="2"/>
        <v>766</v>
      </c>
      <c r="AU10" s="37">
        <f t="shared" si="2"/>
        <v>767</v>
      </c>
      <c r="AV10" s="37">
        <f t="shared" si="2"/>
        <v>768</v>
      </c>
      <c r="AW10" s="37">
        <f t="shared" si="2"/>
        <v>769</v>
      </c>
      <c r="AX10" s="38">
        <f t="shared" si="2"/>
        <v>770</v>
      </c>
      <c r="AY10" s="36">
        <f t="shared" si="2"/>
        <v>771</v>
      </c>
      <c r="AZ10" s="37">
        <f t="shared" si="2"/>
        <v>772</v>
      </c>
      <c r="BA10" s="37">
        <f t="shared" si="2"/>
        <v>773</v>
      </c>
      <c r="BB10" s="37">
        <f t="shared" si="2"/>
        <v>774</v>
      </c>
      <c r="BC10" s="37">
        <f t="shared" si="2"/>
        <v>775</v>
      </c>
      <c r="BD10" s="37">
        <f t="shared" si="2"/>
        <v>776</v>
      </c>
      <c r="BE10" s="37">
        <f t="shared" si="2"/>
        <v>777</v>
      </c>
      <c r="BF10" s="37">
        <f t="shared" si="2"/>
        <v>778</v>
      </c>
      <c r="BG10" s="37">
        <f t="shared" si="2"/>
        <v>779</v>
      </c>
      <c r="BH10" s="38">
        <f t="shared" si="2"/>
        <v>780</v>
      </c>
      <c r="BI10" s="36">
        <f t="shared" si="2"/>
        <v>781</v>
      </c>
      <c r="BJ10" s="37">
        <f t="shared" si="2"/>
        <v>782</v>
      </c>
      <c r="BK10" s="37">
        <f t="shared" si="2"/>
        <v>783</v>
      </c>
      <c r="BL10" s="37">
        <f t="shared" si="2"/>
        <v>784</v>
      </c>
      <c r="BM10" s="37">
        <f t="shared" ref="BM10" si="5">BL10+1</f>
        <v>785</v>
      </c>
      <c r="BN10" s="37">
        <f t="shared" si="0"/>
        <v>786</v>
      </c>
      <c r="BO10" s="37">
        <f t="shared" si="4"/>
        <v>787</v>
      </c>
      <c r="BP10" s="37">
        <f t="shared" si="4"/>
        <v>788</v>
      </c>
      <c r="BQ10" s="37">
        <f t="shared" si="4"/>
        <v>789</v>
      </c>
      <c r="BR10" s="39">
        <f t="shared" si="4"/>
        <v>790</v>
      </c>
      <c r="BS10" s="36">
        <f t="shared" si="4"/>
        <v>791</v>
      </c>
      <c r="BT10" s="37">
        <f t="shared" si="4"/>
        <v>792</v>
      </c>
      <c r="BU10" s="37">
        <f t="shared" si="4"/>
        <v>793</v>
      </c>
      <c r="BV10" s="37">
        <f t="shared" si="4"/>
        <v>794</v>
      </c>
      <c r="BW10" s="37">
        <f t="shared" si="4"/>
        <v>795</v>
      </c>
      <c r="BX10" s="37">
        <f t="shared" si="4"/>
        <v>796</v>
      </c>
      <c r="BY10" s="37">
        <f t="shared" si="4"/>
        <v>797</v>
      </c>
      <c r="BZ10" s="37">
        <f t="shared" si="4"/>
        <v>798</v>
      </c>
      <c r="CA10" s="37">
        <f t="shared" si="4"/>
        <v>799</v>
      </c>
      <c r="CB10" s="38">
        <f t="shared" si="4"/>
        <v>800</v>
      </c>
      <c r="CC10" s="40">
        <f t="shared" si="4"/>
        <v>801</v>
      </c>
      <c r="CD10" s="37">
        <f t="shared" si="4"/>
        <v>802</v>
      </c>
      <c r="CE10" s="37">
        <f t="shared" si="4"/>
        <v>803</v>
      </c>
      <c r="CF10" s="37">
        <f t="shared" si="4"/>
        <v>804</v>
      </c>
      <c r="CG10" s="37">
        <f t="shared" si="4"/>
        <v>805</v>
      </c>
      <c r="CH10" s="37">
        <f t="shared" si="4"/>
        <v>806</v>
      </c>
      <c r="CI10" s="37">
        <f t="shared" si="4"/>
        <v>807</v>
      </c>
      <c r="CJ10" s="37">
        <f t="shared" si="4"/>
        <v>808</v>
      </c>
      <c r="CK10" s="37">
        <f t="shared" si="4"/>
        <v>809</v>
      </c>
      <c r="CL10" s="39">
        <f t="shared" si="4"/>
        <v>810</v>
      </c>
      <c r="CM10" s="36">
        <f t="shared" si="4"/>
        <v>811</v>
      </c>
      <c r="CN10" s="37">
        <f t="shared" si="4"/>
        <v>812</v>
      </c>
      <c r="CO10" s="37">
        <f t="shared" si="4"/>
        <v>813</v>
      </c>
      <c r="CP10" s="37">
        <f t="shared" si="4"/>
        <v>814</v>
      </c>
      <c r="CQ10" s="37">
        <f t="shared" si="4"/>
        <v>815</v>
      </c>
      <c r="CR10" s="37">
        <f t="shared" si="4"/>
        <v>816</v>
      </c>
      <c r="CS10" s="37">
        <f t="shared" si="4"/>
        <v>817</v>
      </c>
      <c r="CT10" s="37">
        <f t="shared" si="4"/>
        <v>818</v>
      </c>
      <c r="CU10" s="37">
        <f t="shared" si="4"/>
        <v>819</v>
      </c>
      <c r="CV10" s="38">
        <f t="shared" si="4"/>
        <v>820</v>
      </c>
      <c r="CW10" s="40">
        <f t="shared" si="4"/>
        <v>821</v>
      </c>
      <c r="CX10" s="37">
        <f t="shared" si="4"/>
        <v>822</v>
      </c>
      <c r="CY10" s="37">
        <f t="shared" si="4"/>
        <v>823</v>
      </c>
      <c r="CZ10" s="37">
        <f t="shared" si="4"/>
        <v>824</v>
      </c>
      <c r="DA10" s="37">
        <f t="shared" si="4"/>
        <v>825</v>
      </c>
      <c r="DB10" s="37">
        <f t="shared" si="4"/>
        <v>826</v>
      </c>
      <c r="DC10" s="37">
        <f t="shared" si="4"/>
        <v>827</v>
      </c>
      <c r="DD10" s="37">
        <f t="shared" si="4"/>
        <v>828</v>
      </c>
      <c r="DE10" s="37">
        <f t="shared" si="4"/>
        <v>829</v>
      </c>
      <c r="DF10" s="39">
        <f t="shared" si="4"/>
        <v>830</v>
      </c>
      <c r="DG10" s="36">
        <f t="shared" si="4"/>
        <v>831</v>
      </c>
      <c r="DH10" s="37">
        <f t="shared" si="4"/>
        <v>832</v>
      </c>
      <c r="DI10" s="37">
        <f t="shared" si="4"/>
        <v>833</v>
      </c>
      <c r="DJ10" s="37">
        <f t="shared" si="4"/>
        <v>834</v>
      </c>
      <c r="DK10" s="37">
        <f t="shared" si="4"/>
        <v>835</v>
      </c>
      <c r="DL10" s="37">
        <f t="shared" si="4"/>
        <v>836</v>
      </c>
      <c r="DM10" s="37">
        <f t="shared" si="4"/>
        <v>837</v>
      </c>
      <c r="DN10" s="37">
        <f t="shared" si="4"/>
        <v>838</v>
      </c>
      <c r="DO10" s="37">
        <f t="shared" si="4"/>
        <v>839</v>
      </c>
      <c r="DP10" s="38">
        <f t="shared" si="4"/>
        <v>840</v>
      </c>
      <c r="DQ10" s="30"/>
      <c r="DR10" s="1214"/>
      <c r="DS10" s="1215"/>
      <c r="DT10" s="1215"/>
      <c r="DU10" s="1216"/>
    </row>
    <row r="11" spans="1:125" ht="5.85" customHeight="1" x14ac:dyDescent="0.3">
      <c r="A11" s="36">
        <v>841</v>
      </c>
      <c r="B11" s="37">
        <f t="shared" ref="B11:BM14" si="6">A11+1</f>
        <v>842</v>
      </c>
      <c r="C11" s="37">
        <f t="shared" si="6"/>
        <v>843</v>
      </c>
      <c r="D11" s="37">
        <f t="shared" si="6"/>
        <v>844</v>
      </c>
      <c r="E11" s="37">
        <f t="shared" si="6"/>
        <v>845</v>
      </c>
      <c r="F11" s="37">
        <f t="shared" si="6"/>
        <v>846</v>
      </c>
      <c r="G11" s="37">
        <f t="shared" si="6"/>
        <v>847</v>
      </c>
      <c r="H11" s="37">
        <f t="shared" si="6"/>
        <v>848</v>
      </c>
      <c r="I11" s="37">
        <f t="shared" si="6"/>
        <v>849</v>
      </c>
      <c r="J11" s="38">
        <f t="shared" si="6"/>
        <v>850</v>
      </c>
      <c r="K11" s="36">
        <f t="shared" si="6"/>
        <v>851</v>
      </c>
      <c r="L11" s="37">
        <f t="shared" si="6"/>
        <v>852</v>
      </c>
      <c r="M11" s="37">
        <f t="shared" si="6"/>
        <v>853</v>
      </c>
      <c r="N11" s="37">
        <f t="shared" si="6"/>
        <v>854</v>
      </c>
      <c r="O11" s="37">
        <f t="shared" si="6"/>
        <v>855</v>
      </c>
      <c r="P11" s="37">
        <f t="shared" si="6"/>
        <v>856</v>
      </c>
      <c r="Q11" s="37">
        <f t="shared" si="6"/>
        <v>857</v>
      </c>
      <c r="R11" s="37">
        <f t="shared" si="6"/>
        <v>858</v>
      </c>
      <c r="S11" s="37">
        <f t="shared" si="6"/>
        <v>859</v>
      </c>
      <c r="T11" s="38">
        <f t="shared" si="6"/>
        <v>860</v>
      </c>
      <c r="U11" s="36">
        <f t="shared" si="6"/>
        <v>861</v>
      </c>
      <c r="V11" s="37">
        <f t="shared" si="6"/>
        <v>862</v>
      </c>
      <c r="W11" s="37">
        <f t="shared" si="6"/>
        <v>863</v>
      </c>
      <c r="X11" s="37">
        <f t="shared" si="6"/>
        <v>864</v>
      </c>
      <c r="Y11" s="37">
        <f t="shared" si="6"/>
        <v>865</v>
      </c>
      <c r="Z11" s="37">
        <f t="shared" si="6"/>
        <v>866</v>
      </c>
      <c r="AA11" s="37">
        <f t="shared" si="6"/>
        <v>867</v>
      </c>
      <c r="AB11" s="37">
        <f t="shared" si="6"/>
        <v>868</v>
      </c>
      <c r="AC11" s="37">
        <f t="shared" si="6"/>
        <v>869</v>
      </c>
      <c r="AD11" s="38">
        <f t="shared" si="6"/>
        <v>870</v>
      </c>
      <c r="AE11" s="36">
        <f t="shared" si="6"/>
        <v>871</v>
      </c>
      <c r="AF11" s="37">
        <f t="shared" si="6"/>
        <v>872</v>
      </c>
      <c r="AG11" s="37">
        <f t="shared" si="6"/>
        <v>873</v>
      </c>
      <c r="AH11" s="37">
        <f t="shared" si="6"/>
        <v>874</v>
      </c>
      <c r="AI11" s="37">
        <f t="shared" si="6"/>
        <v>875</v>
      </c>
      <c r="AJ11" s="37">
        <f t="shared" si="6"/>
        <v>876</v>
      </c>
      <c r="AK11" s="37">
        <f t="shared" si="6"/>
        <v>877</v>
      </c>
      <c r="AL11" s="37">
        <f t="shared" si="6"/>
        <v>878</v>
      </c>
      <c r="AM11" s="37">
        <f t="shared" si="6"/>
        <v>879</v>
      </c>
      <c r="AN11" s="38">
        <f t="shared" si="6"/>
        <v>880</v>
      </c>
      <c r="AO11" s="36">
        <f t="shared" si="6"/>
        <v>881</v>
      </c>
      <c r="AP11" s="37">
        <f t="shared" si="6"/>
        <v>882</v>
      </c>
      <c r="AQ11" s="37">
        <f t="shared" si="6"/>
        <v>883</v>
      </c>
      <c r="AR11" s="37">
        <f t="shared" si="6"/>
        <v>884</v>
      </c>
      <c r="AS11" s="37">
        <f t="shared" si="6"/>
        <v>885</v>
      </c>
      <c r="AT11" s="37">
        <f t="shared" si="6"/>
        <v>886</v>
      </c>
      <c r="AU11" s="37">
        <f t="shared" si="6"/>
        <v>887</v>
      </c>
      <c r="AV11" s="37">
        <f t="shared" si="6"/>
        <v>888</v>
      </c>
      <c r="AW11" s="37">
        <f t="shared" si="6"/>
        <v>889</v>
      </c>
      <c r="AX11" s="38">
        <f t="shared" si="6"/>
        <v>890</v>
      </c>
      <c r="AY11" s="36">
        <f t="shared" si="6"/>
        <v>891</v>
      </c>
      <c r="AZ11" s="37">
        <f t="shared" si="6"/>
        <v>892</v>
      </c>
      <c r="BA11" s="37">
        <f t="shared" si="6"/>
        <v>893</v>
      </c>
      <c r="BB11" s="37">
        <f t="shared" si="6"/>
        <v>894</v>
      </c>
      <c r="BC11" s="37">
        <f t="shared" si="6"/>
        <v>895</v>
      </c>
      <c r="BD11" s="37">
        <f t="shared" si="6"/>
        <v>896</v>
      </c>
      <c r="BE11" s="37">
        <f t="shared" si="6"/>
        <v>897</v>
      </c>
      <c r="BF11" s="37">
        <f t="shared" si="6"/>
        <v>898</v>
      </c>
      <c r="BG11" s="37">
        <f t="shared" si="6"/>
        <v>899</v>
      </c>
      <c r="BH11" s="38">
        <f t="shared" si="6"/>
        <v>900</v>
      </c>
      <c r="BI11" s="36">
        <f t="shared" si="6"/>
        <v>901</v>
      </c>
      <c r="BJ11" s="37">
        <f t="shared" si="6"/>
        <v>902</v>
      </c>
      <c r="BK11" s="37">
        <f t="shared" si="6"/>
        <v>903</v>
      </c>
      <c r="BL11" s="37">
        <f t="shared" si="6"/>
        <v>904</v>
      </c>
      <c r="BM11" s="37">
        <f t="shared" si="6"/>
        <v>905</v>
      </c>
      <c r="BN11" s="37">
        <f t="shared" si="0"/>
        <v>906</v>
      </c>
      <c r="BO11" s="37">
        <f t="shared" si="4"/>
        <v>907</v>
      </c>
      <c r="BP11" s="37">
        <f t="shared" si="4"/>
        <v>908</v>
      </c>
      <c r="BQ11" s="37">
        <f t="shared" si="4"/>
        <v>909</v>
      </c>
      <c r="BR11" s="39">
        <f t="shared" si="4"/>
        <v>910</v>
      </c>
      <c r="BS11" s="36">
        <f t="shared" si="4"/>
        <v>911</v>
      </c>
      <c r="BT11" s="37">
        <f t="shared" si="4"/>
        <v>912</v>
      </c>
      <c r="BU11" s="37">
        <f t="shared" si="4"/>
        <v>913</v>
      </c>
      <c r="BV11" s="37">
        <f t="shared" si="4"/>
        <v>914</v>
      </c>
      <c r="BW11" s="37">
        <f t="shared" si="4"/>
        <v>915</v>
      </c>
      <c r="BX11" s="37">
        <f t="shared" si="4"/>
        <v>916</v>
      </c>
      <c r="BY11" s="37">
        <f t="shared" si="4"/>
        <v>917</v>
      </c>
      <c r="BZ11" s="37">
        <f t="shared" si="4"/>
        <v>918</v>
      </c>
      <c r="CA11" s="37">
        <f t="shared" si="4"/>
        <v>919</v>
      </c>
      <c r="CB11" s="38">
        <f t="shared" si="4"/>
        <v>920</v>
      </c>
      <c r="CC11" s="40">
        <f t="shared" si="4"/>
        <v>921</v>
      </c>
      <c r="CD11" s="37">
        <f t="shared" si="4"/>
        <v>922</v>
      </c>
      <c r="CE11" s="37">
        <f t="shared" si="4"/>
        <v>923</v>
      </c>
      <c r="CF11" s="37">
        <f t="shared" si="4"/>
        <v>924</v>
      </c>
      <c r="CG11" s="37">
        <f t="shared" si="4"/>
        <v>925</v>
      </c>
      <c r="CH11" s="37">
        <f t="shared" si="4"/>
        <v>926</v>
      </c>
      <c r="CI11" s="37">
        <f t="shared" si="4"/>
        <v>927</v>
      </c>
      <c r="CJ11" s="37">
        <f t="shared" si="4"/>
        <v>928</v>
      </c>
      <c r="CK11" s="37">
        <f t="shared" si="4"/>
        <v>929</v>
      </c>
      <c r="CL11" s="39">
        <f t="shared" si="4"/>
        <v>930</v>
      </c>
      <c r="CM11" s="36">
        <f t="shared" si="4"/>
        <v>931</v>
      </c>
      <c r="CN11" s="37">
        <f t="shared" si="4"/>
        <v>932</v>
      </c>
      <c r="CO11" s="37">
        <f t="shared" si="4"/>
        <v>933</v>
      </c>
      <c r="CP11" s="37">
        <f t="shared" si="4"/>
        <v>934</v>
      </c>
      <c r="CQ11" s="37">
        <f t="shared" si="4"/>
        <v>935</v>
      </c>
      <c r="CR11" s="37">
        <f t="shared" si="4"/>
        <v>936</v>
      </c>
      <c r="CS11" s="37">
        <f t="shared" si="4"/>
        <v>937</v>
      </c>
      <c r="CT11" s="37">
        <f t="shared" si="4"/>
        <v>938</v>
      </c>
      <c r="CU11" s="37">
        <f t="shared" si="4"/>
        <v>939</v>
      </c>
      <c r="CV11" s="38">
        <f t="shared" si="4"/>
        <v>940</v>
      </c>
      <c r="CW11" s="40">
        <f t="shared" si="4"/>
        <v>941</v>
      </c>
      <c r="CX11" s="37">
        <f t="shared" si="4"/>
        <v>942</v>
      </c>
      <c r="CY11" s="37">
        <f t="shared" si="4"/>
        <v>943</v>
      </c>
      <c r="CZ11" s="37">
        <f t="shared" si="4"/>
        <v>944</v>
      </c>
      <c r="DA11" s="37">
        <f t="shared" si="4"/>
        <v>945</v>
      </c>
      <c r="DB11" s="37">
        <f t="shared" si="4"/>
        <v>946</v>
      </c>
      <c r="DC11" s="37">
        <f t="shared" si="4"/>
        <v>947</v>
      </c>
      <c r="DD11" s="37">
        <f t="shared" si="4"/>
        <v>948</v>
      </c>
      <c r="DE11" s="37">
        <f t="shared" si="4"/>
        <v>949</v>
      </c>
      <c r="DF11" s="39">
        <f t="shared" si="4"/>
        <v>950</v>
      </c>
      <c r="DG11" s="36">
        <f t="shared" si="4"/>
        <v>951</v>
      </c>
      <c r="DH11" s="37">
        <f t="shared" si="4"/>
        <v>952</v>
      </c>
      <c r="DI11" s="37">
        <f t="shared" si="4"/>
        <v>953</v>
      </c>
      <c r="DJ11" s="37">
        <f t="shared" si="4"/>
        <v>954</v>
      </c>
      <c r="DK11" s="37">
        <f t="shared" si="4"/>
        <v>955</v>
      </c>
      <c r="DL11" s="37">
        <f t="shared" si="4"/>
        <v>956</v>
      </c>
      <c r="DM11" s="37">
        <f t="shared" si="4"/>
        <v>957</v>
      </c>
      <c r="DN11" s="37">
        <f t="shared" si="4"/>
        <v>958</v>
      </c>
      <c r="DO11" s="37">
        <f t="shared" si="4"/>
        <v>959</v>
      </c>
      <c r="DP11" s="38">
        <f t="shared" si="4"/>
        <v>960</v>
      </c>
      <c r="DQ11" s="30"/>
      <c r="DR11" s="1214">
        <v>2</v>
      </c>
      <c r="DS11" s="1215"/>
      <c r="DT11" s="1215"/>
      <c r="DU11" s="1216"/>
    </row>
    <row r="12" spans="1:125" ht="5.85" customHeight="1" x14ac:dyDescent="0.3">
      <c r="A12" s="36">
        <v>961</v>
      </c>
      <c r="B12" s="37">
        <f t="shared" si="6"/>
        <v>962</v>
      </c>
      <c r="C12" s="37">
        <f t="shared" si="6"/>
        <v>963</v>
      </c>
      <c r="D12" s="37">
        <f t="shared" si="6"/>
        <v>964</v>
      </c>
      <c r="E12" s="37">
        <f t="shared" si="6"/>
        <v>965</v>
      </c>
      <c r="F12" s="37">
        <f t="shared" si="6"/>
        <v>966</v>
      </c>
      <c r="G12" s="37">
        <f t="shared" si="6"/>
        <v>967</v>
      </c>
      <c r="H12" s="37">
        <f t="shared" si="6"/>
        <v>968</v>
      </c>
      <c r="I12" s="37">
        <f t="shared" si="6"/>
        <v>969</v>
      </c>
      <c r="J12" s="38">
        <f t="shared" si="6"/>
        <v>970</v>
      </c>
      <c r="K12" s="36">
        <f t="shared" si="6"/>
        <v>971</v>
      </c>
      <c r="L12" s="37">
        <f t="shared" si="6"/>
        <v>972</v>
      </c>
      <c r="M12" s="37">
        <f t="shared" si="6"/>
        <v>973</v>
      </c>
      <c r="N12" s="37">
        <f t="shared" si="6"/>
        <v>974</v>
      </c>
      <c r="O12" s="37">
        <f t="shared" si="6"/>
        <v>975</v>
      </c>
      <c r="P12" s="37">
        <f t="shared" si="6"/>
        <v>976</v>
      </c>
      <c r="Q12" s="37">
        <f t="shared" si="6"/>
        <v>977</v>
      </c>
      <c r="R12" s="37">
        <f t="shared" si="6"/>
        <v>978</v>
      </c>
      <c r="S12" s="37">
        <f t="shared" si="6"/>
        <v>979</v>
      </c>
      <c r="T12" s="38">
        <f t="shared" si="6"/>
        <v>980</v>
      </c>
      <c r="U12" s="36">
        <f t="shared" si="6"/>
        <v>981</v>
      </c>
      <c r="V12" s="37">
        <f t="shared" si="6"/>
        <v>982</v>
      </c>
      <c r="W12" s="37">
        <f t="shared" si="6"/>
        <v>983</v>
      </c>
      <c r="X12" s="37">
        <f t="shared" si="6"/>
        <v>984</v>
      </c>
      <c r="Y12" s="37">
        <f t="shared" si="6"/>
        <v>985</v>
      </c>
      <c r="Z12" s="37">
        <f t="shared" si="6"/>
        <v>986</v>
      </c>
      <c r="AA12" s="37">
        <f t="shared" si="6"/>
        <v>987</v>
      </c>
      <c r="AB12" s="37">
        <f t="shared" si="6"/>
        <v>988</v>
      </c>
      <c r="AC12" s="37">
        <f t="shared" si="6"/>
        <v>989</v>
      </c>
      <c r="AD12" s="38">
        <f t="shared" si="6"/>
        <v>990</v>
      </c>
      <c r="AE12" s="36">
        <f t="shared" si="6"/>
        <v>991</v>
      </c>
      <c r="AF12" s="37">
        <f t="shared" si="6"/>
        <v>992</v>
      </c>
      <c r="AG12" s="37">
        <f t="shared" si="6"/>
        <v>993</v>
      </c>
      <c r="AH12" s="37">
        <f t="shared" si="6"/>
        <v>994</v>
      </c>
      <c r="AI12" s="37">
        <f t="shared" si="6"/>
        <v>995</v>
      </c>
      <c r="AJ12" s="37">
        <f t="shared" si="6"/>
        <v>996</v>
      </c>
      <c r="AK12" s="37">
        <f t="shared" si="6"/>
        <v>997</v>
      </c>
      <c r="AL12" s="37">
        <f t="shared" si="6"/>
        <v>998</v>
      </c>
      <c r="AM12" s="37">
        <f t="shared" si="6"/>
        <v>999</v>
      </c>
      <c r="AN12" s="38">
        <f t="shared" si="6"/>
        <v>1000</v>
      </c>
      <c r="AO12" s="36">
        <f t="shared" si="6"/>
        <v>1001</v>
      </c>
      <c r="AP12" s="37">
        <f t="shared" si="6"/>
        <v>1002</v>
      </c>
      <c r="AQ12" s="37">
        <f t="shared" si="6"/>
        <v>1003</v>
      </c>
      <c r="AR12" s="37">
        <f t="shared" si="6"/>
        <v>1004</v>
      </c>
      <c r="AS12" s="37">
        <f t="shared" si="6"/>
        <v>1005</v>
      </c>
      <c r="AT12" s="37">
        <f t="shared" si="6"/>
        <v>1006</v>
      </c>
      <c r="AU12" s="37">
        <f t="shared" si="6"/>
        <v>1007</v>
      </c>
      <c r="AV12" s="37">
        <f t="shared" si="6"/>
        <v>1008</v>
      </c>
      <c r="AW12" s="37">
        <f t="shared" si="6"/>
        <v>1009</v>
      </c>
      <c r="AX12" s="38">
        <f t="shared" si="6"/>
        <v>1010</v>
      </c>
      <c r="AY12" s="36">
        <f t="shared" si="6"/>
        <v>1011</v>
      </c>
      <c r="AZ12" s="37">
        <f t="shared" si="6"/>
        <v>1012</v>
      </c>
      <c r="BA12" s="37">
        <f t="shared" si="6"/>
        <v>1013</v>
      </c>
      <c r="BB12" s="37">
        <f t="shared" si="6"/>
        <v>1014</v>
      </c>
      <c r="BC12" s="37">
        <f t="shared" si="6"/>
        <v>1015</v>
      </c>
      <c r="BD12" s="37">
        <f t="shared" si="6"/>
        <v>1016</v>
      </c>
      <c r="BE12" s="37">
        <f t="shared" si="6"/>
        <v>1017</v>
      </c>
      <c r="BF12" s="37">
        <f t="shared" si="6"/>
        <v>1018</v>
      </c>
      <c r="BG12" s="37">
        <f t="shared" si="6"/>
        <v>1019</v>
      </c>
      <c r="BH12" s="38">
        <f t="shared" si="6"/>
        <v>1020</v>
      </c>
      <c r="BI12" s="36">
        <f t="shared" si="6"/>
        <v>1021</v>
      </c>
      <c r="BJ12" s="37">
        <f t="shared" si="6"/>
        <v>1022</v>
      </c>
      <c r="BK12" s="37">
        <f t="shared" si="6"/>
        <v>1023</v>
      </c>
      <c r="BL12" s="37">
        <f t="shared" si="6"/>
        <v>1024</v>
      </c>
      <c r="BM12" s="37">
        <f t="shared" si="6"/>
        <v>1025</v>
      </c>
      <c r="BN12" s="37">
        <f t="shared" si="0"/>
        <v>1026</v>
      </c>
      <c r="BO12" s="37">
        <f t="shared" si="4"/>
        <v>1027</v>
      </c>
      <c r="BP12" s="37">
        <f t="shared" si="4"/>
        <v>1028</v>
      </c>
      <c r="BQ12" s="37">
        <f t="shared" si="4"/>
        <v>1029</v>
      </c>
      <c r="BR12" s="39">
        <f t="shared" si="4"/>
        <v>1030</v>
      </c>
      <c r="BS12" s="36">
        <f t="shared" si="4"/>
        <v>1031</v>
      </c>
      <c r="BT12" s="37">
        <f t="shared" si="4"/>
        <v>1032</v>
      </c>
      <c r="BU12" s="37">
        <f t="shared" si="4"/>
        <v>1033</v>
      </c>
      <c r="BV12" s="37">
        <f t="shared" si="4"/>
        <v>1034</v>
      </c>
      <c r="BW12" s="37">
        <f t="shared" si="4"/>
        <v>1035</v>
      </c>
      <c r="BX12" s="37">
        <f t="shared" si="4"/>
        <v>1036</v>
      </c>
      <c r="BY12" s="37">
        <f t="shared" si="4"/>
        <v>1037</v>
      </c>
      <c r="BZ12" s="37">
        <f t="shared" si="4"/>
        <v>1038</v>
      </c>
      <c r="CA12" s="37">
        <f t="shared" si="4"/>
        <v>1039</v>
      </c>
      <c r="CB12" s="38">
        <f t="shared" si="4"/>
        <v>1040</v>
      </c>
      <c r="CC12" s="40">
        <f t="shared" si="4"/>
        <v>1041</v>
      </c>
      <c r="CD12" s="37">
        <f t="shared" si="4"/>
        <v>1042</v>
      </c>
      <c r="CE12" s="37">
        <f t="shared" si="4"/>
        <v>1043</v>
      </c>
      <c r="CF12" s="37">
        <f t="shared" si="4"/>
        <v>1044</v>
      </c>
      <c r="CG12" s="37">
        <f t="shared" si="4"/>
        <v>1045</v>
      </c>
      <c r="CH12" s="37">
        <f t="shared" si="4"/>
        <v>1046</v>
      </c>
      <c r="CI12" s="37">
        <f t="shared" si="4"/>
        <v>1047</v>
      </c>
      <c r="CJ12" s="37">
        <f t="shared" si="4"/>
        <v>1048</v>
      </c>
      <c r="CK12" s="37">
        <f t="shared" si="4"/>
        <v>1049</v>
      </c>
      <c r="CL12" s="39">
        <f t="shared" si="4"/>
        <v>1050</v>
      </c>
      <c r="CM12" s="36">
        <f t="shared" si="4"/>
        <v>1051</v>
      </c>
      <c r="CN12" s="37">
        <f t="shared" si="4"/>
        <v>1052</v>
      </c>
      <c r="CO12" s="37">
        <f t="shared" si="4"/>
        <v>1053</v>
      </c>
      <c r="CP12" s="37">
        <f t="shared" si="4"/>
        <v>1054</v>
      </c>
      <c r="CQ12" s="37">
        <f t="shared" si="4"/>
        <v>1055</v>
      </c>
      <c r="CR12" s="37">
        <f t="shared" si="4"/>
        <v>1056</v>
      </c>
      <c r="CS12" s="37">
        <f t="shared" si="4"/>
        <v>1057</v>
      </c>
      <c r="CT12" s="37">
        <f t="shared" si="4"/>
        <v>1058</v>
      </c>
      <c r="CU12" s="37">
        <f t="shared" si="4"/>
        <v>1059</v>
      </c>
      <c r="CV12" s="38">
        <f t="shared" si="4"/>
        <v>1060</v>
      </c>
      <c r="CW12" s="40">
        <f t="shared" si="4"/>
        <v>1061</v>
      </c>
      <c r="CX12" s="37">
        <f t="shared" si="4"/>
        <v>1062</v>
      </c>
      <c r="CY12" s="37">
        <f t="shared" si="4"/>
        <v>1063</v>
      </c>
      <c r="CZ12" s="37">
        <f t="shared" si="4"/>
        <v>1064</v>
      </c>
      <c r="DA12" s="37">
        <f t="shared" si="4"/>
        <v>1065</v>
      </c>
      <c r="DB12" s="37">
        <f t="shared" si="4"/>
        <v>1066</v>
      </c>
      <c r="DC12" s="37">
        <f t="shared" si="4"/>
        <v>1067</v>
      </c>
      <c r="DD12" s="37">
        <f t="shared" si="4"/>
        <v>1068</v>
      </c>
      <c r="DE12" s="37">
        <f t="shared" si="4"/>
        <v>1069</v>
      </c>
      <c r="DF12" s="39">
        <f t="shared" si="4"/>
        <v>1070</v>
      </c>
      <c r="DG12" s="36">
        <f t="shared" si="4"/>
        <v>1071</v>
      </c>
      <c r="DH12" s="37">
        <f t="shared" si="4"/>
        <v>1072</v>
      </c>
      <c r="DI12" s="37">
        <f t="shared" si="4"/>
        <v>1073</v>
      </c>
      <c r="DJ12" s="37">
        <f t="shared" si="4"/>
        <v>1074</v>
      </c>
      <c r="DK12" s="37">
        <f t="shared" si="4"/>
        <v>1075</v>
      </c>
      <c r="DL12" s="37">
        <f t="shared" si="4"/>
        <v>1076</v>
      </c>
      <c r="DM12" s="37">
        <f t="shared" si="4"/>
        <v>1077</v>
      </c>
      <c r="DN12" s="37">
        <f t="shared" si="4"/>
        <v>1078</v>
      </c>
      <c r="DO12" s="37">
        <f t="shared" si="4"/>
        <v>1079</v>
      </c>
      <c r="DP12" s="38">
        <f t="shared" si="4"/>
        <v>1080</v>
      </c>
      <c r="DQ12" s="30"/>
      <c r="DR12" s="1214"/>
      <c r="DS12" s="1215"/>
      <c r="DT12" s="1215"/>
      <c r="DU12" s="1216"/>
    </row>
    <row r="13" spans="1:125" ht="5.85" customHeight="1" x14ac:dyDescent="0.3">
      <c r="A13" s="36">
        <v>1081</v>
      </c>
      <c r="B13" s="37">
        <f t="shared" si="6"/>
        <v>1082</v>
      </c>
      <c r="C13" s="37">
        <f t="shared" si="6"/>
        <v>1083</v>
      </c>
      <c r="D13" s="37">
        <f t="shared" si="6"/>
        <v>1084</v>
      </c>
      <c r="E13" s="37">
        <f t="shared" si="6"/>
        <v>1085</v>
      </c>
      <c r="F13" s="37">
        <f t="shared" si="6"/>
        <v>1086</v>
      </c>
      <c r="G13" s="37">
        <f t="shared" si="6"/>
        <v>1087</v>
      </c>
      <c r="H13" s="37">
        <f t="shared" si="6"/>
        <v>1088</v>
      </c>
      <c r="I13" s="37">
        <f t="shared" si="6"/>
        <v>1089</v>
      </c>
      <c r="J13" s="38">
        <f t="shared" si="6"/>
        <v>1090</v>
      </c>
      <c r="K13" s="36">
        <f t="shared" si="6"/>
        <v>1091</v>
      </c>
      <c r="L13" s="37">
        <f t="shared" si="6"/>
        <v>1092</v>
      </c>
      <c r="M13" s="37">
        <f t="shared" si="6"/>
        <v>1093</v>
      </c>
      <c r="N13" s="37">
        <f t="shared" si="6"/>
        <v>1094</v>
      </c>
      <c r="O13" s="37">
        <f t="shared" si="6"/>
        <v>1095</v>
      </c>
      <c r="P13" s="37">
        <f t="shared" si="6"/>
        <v>1096</v>
      </c>
      <c r="Q13" s="37">
        <f t="shared" si="6"/>
        <v>1097</v>
      </c>
      <c r="R13" s="37">
        <f t="shared" si="6"/>
        <v>1098</v>
      </c>
      <c r="S13" s="37">
        <f t="shared" si="6"/>
        <v>1099</v>
      </c>
      <c r="T13" s="38">
        <f t="shared" si="6"/>
        <v>1100</v>
      </c>
      <c r="U13" s="36">
        <f t="shared" si="6"/>
        <v>1101</v>
      </c>
      <c r="V13" s="37">
        <f t="shared" si="6"/>
        <v>1102</v>
      </c>
      <c r="W13" s="37">
        <f t="shared" si="6"/>
        <v>1103</v>
      </c>
      <c r="X13" s="37">
        <f t="shared" si="6"/>
        <v>1104</v>
      </c>
      <c r="Y13" s="37">
        <f t="shared" si="6"/>
        <v>1105</v>
      </c>
      <c r="Z13" s="37">
        <f t="shared" si="6"/>
        <v>1106</v>
      </c>
      <c r="AA13" s="37">
        <f t="shared" si="6"/>
        <v>1107</v>
      </c>
      <c r="AB13" s="37">
        <f t="shared" si="6"/>
        <v>1108</v>
      </c>
      <c r="AC13" s="37">
        <f t="shared" si="6"/>
        <v>1109</v>
      </c>
      <c r="AD13" s="38">
        <f t="shared" si="6"/>
        <v>1110</v>
      </c>
      <c r="AE13" s="36">
        <f t="shared" si="6"/>
        <v>1111</v>
      </c>
      <c r="AF13" s="37">
        <f t="shared" si="6"/>
        <v>1112</v>
      </c>
      <c r="AG13" s="37">
        <f t="shared" si="6"/>
        <v>1113</v>
      </c>
      <c r="AH13" s="37">
        <f t="shared" si="6"/>
        <v>1114</v>
      </c>
      <c r="AI13" s="37">
        <f t="shared" si="6"/>
        <v>1115</v>
      </c>
      <c r="AJ13" s="37">
        <f t="shared" si="6"/>
        <v>1116</v>
      </c>
      <c r="AK13" s="37">
        <f t="shared" si="6"/>
        <v>1117</v>
      </c>
      <c r="AL13" s="37">
        <f t="shared" si="6"/>
        <v>1118</v>
      </c>
      <c r="AM13" s="37">
        <f t="shared" si="6"/>
        <v>1119</v>
      </c>
      <c r="AN13" s="38">
        <f t="shared" si="6"/>
        <v>1120</v>
      </c>
      <c r="AO13" s="36">
        <f t="shared" si="6"/>
        <v>1121</v>
      </c>
      <c r="AP13" s="37">
        <f t="shared" si="6"/>
        <v>1122</v>
      </c>
      <c r="AQ13" s="37">
        <f t="shared" si="6"/>
        <v>1123</v>
      </c>
      <c r="AR13" s="37">
        <f t="shared" si="6"/>
        <v>1124</v>
      </c>
      <c r="AS13" s="37">
        <f t="shared" si="6"/>
        <v>1125</v>
      </c>
      <c r="AT13" s="37">
        <f t="shared" si="6"/>
        <v>1126</v>
      </c>
      <c r="AU13" s="37">
        <f t="shared" si="6"/>
        <v>1127</v>
      </c>
      <c r="AV13" s="37">
        <f t="shared" si="6"/>
        <v>1128</v>
      </c>
      <c r="AW13" s="37">
        <f t="shared" si="6"/>
        <v>1129</v>
      </c>
      <c r="AX13" s="38">
        <f t="shared" si="6"/>
        <v>1130</v>
      </c>
      <c r="AY13" s="36">
        <f t="shared" si="6"/>
        <v>1131</v>
      </c>
      <c r="AZ13" s="37">
        <f t="shared" si="6"/>
        <v>1132</v>
      </c>
      <c r="BA13" s="37">
        <f t="shared" si="6"/>
        <v>1133</v>
      </c>
      <c r="BB13" s="37">
        <f t="shared" si="6"/>
        <v>1134</v>
      </c>
      <c r="BC13" s="37">
        <f t="shared" si="6"/>
        <v>1135</v>
      </c>
      <c r="BD13" s="37">
        <f t="shared" si="6"/>
        <v>1136</v>
      </c>
      <c r="BE13" s="37">
        <f t="shared" si="6"/>
        <v>1137</v>
      </c>
      <c r="BF13" s="37">
        <f t="shared" si="6"/>
        <v>1138</v>
      </c>
      <c r="BG13" s="37">
        <f t="shared" si="6"/>
        <v>1139</v>
      </c>
      <c r="BH13" s="38">
        <f t="shared" si="6"/>
        <v>1140</v>
      </c>
      <c r="BI13" s="36">
        <f t="shared" si="6"/>
        <v>1141</v>
      </c>
      <c r="BJ13" s="37">
        <f t="shared" si="6"/>
        <v>1142</v>
      </c>
      <c r="BK13" s="37">
        <f t="shared" si="6"/>
        <v>1143</v>
      </c>
      <c r="BL13" s="37">
        <f t="shared" si="6"/>
        <v>1144</v>
      </c>
      <c r="BM13" s="37">
        <f t="shared" si="6"/>
        <v>1145</v>
      </c>
      <c r="BN13" s="37">
        <f t="shared" si="0"/>
        <v>1146</v>
      </c>
      <c r="BO13" s="37">
        <f t="shared" si="4"/>
        <v>1147</v>
      </c>
      <c r="BP13" s="37">
        <f t="shared" si="4"/>
        <v>1148</v>
      </c>
      <c r="BQ13" s="37">
        <f t="shared" si="4"/>
        <v>1149</v>
      </c>
      <c r="BR13" s="39">
        <f t="shared" si="4"/>
        <v>1150</v>
      </c>
      <c r="BS13" s="36">
        <f t="shared" si="4"/>
        <v>1151</v>
      </c>
      <c r="BT13" s="37">
        <f t="shared" si="4"/>
        <v>1152</v>
      </c>
      <c r="BU13" s="37">
        <f t="shared" si="4"/>
        <v>1153</v>
      </c>
      <c r="BV13" s="37">
        <f t="shared" si="4"/>
        <v>1154</v>
      </c>
      <c r="BW13" s="37">
        <f t="shared" si="4"/>
        <v>1155</v>
      </c>
      <c r="BX13" s="37">
        <f t="shared" si="4"/>
        <v>1156</v>
      </c>
      <c r="BY13" s="37">
        <f t="shared" si="4"/>
        <v>1157</v>
      </c>
      <c r="BZ13" s="37">
        <f t="shared" si="4"/>
        <v>1158</v>
      </c>
      <c r="CA13" s="37">
        <f t="shared" si="4"/>
        <v>1159</v>
      </c>
      <c r="CB13" s="38">
        <f t="shared" si="4"/>
        <v>1160</v>
      </c>
      <c r="CC13" s="40">
        <f t="shared" si="4"/>
        <v>1161</v>
      </c>
      <c r="CD13" s="37">
        <f t="shared" si="4"/>
        <v>1162</v>
      </c>
      <c r="CE13" s="37">
        <f t="shared" si="4"/>
        <v>1163</v>
      </c>
      <c r="CF13" s="37">
        <f t="shared" si="4"/>
        <v>1164</v>
      </c>
      <c r="CG13" s="37">
        <f t="shared" si="4"/>
        <v>1165</v>
      </c>
      <c r="CH13" s="37">
        <f t="shared" si="4"/>
        <v>1166</v>
      </c>
      <c r="CI13" s="37">
        <f t="shared" si="4"/>
        <v>1167</v>
      </c>
      <c r="CJ13" s="37">
        <f t="shared" si="4"/>
        <v>1168</v>
      </c>
      <c r="CK13" s="37">
        <f t="shared" si="4"/>
        <v>1169</v>
      </c>
      <c r="CL13" s="39">
        <f t="shared" si="4"/>
        <v>1170</v>
      </c>
      <c r="CM13" s="36">
        <f t="shared" si="4"/>
        <v>1171</v>
      </c>
      <c r="CN13" s="37">
        <f t="shared" si="4"/>
        <v>1172</v>
      </c>
      <c r="CO13" s="37">
        <f t="shared" si="4"/>
        <v>1173</v>
      </c>
      <c r="CP13" s="37">
        <f t="shared" si="4"/>
        <v>1174</v>
      </c>
      <c r="CQ13" s="37">
        <f t="shared" si="4"/>
        <v>1175</v>
      </c>
      <c r="CR13" s="37">
        <f t="shared" si="4"/>
        <v>1176</v>
      </c>
      <c r="CS13" s="37">
        <f t="shared" si="4"/>
        <v>1177</v>
      </c>
      <c r="CT13" s="37">
        <f t="shared" si="4"/>
        <v>1178</v>
      </c>
      <c r="CU13" s="37">
        <f t="shared" si="4"/>
        <v>1179</v>
      </c>
      <c r="CV13" s="38">
        <f t="shared" si="4"/>
        <v>1180</v>
      </c>
      <c r="CW13" s="40">
        <f t="shared" si="4"/>
        <v>1181</v>
      </c>
      <c r="CX13" s="37">
        <f t="shared" si="4"/>
        <v>1182</v>
      </c>
      <c r="CY13" s="37">
        <f t="shared" si="4"/>
        <v>1183</v>
      </c>
      <c r="CZ13" s="37">
        <f t="shared" si="4"/>
        <v>1184</v>
      </c>
      <c r="DA13" s="37">
        <f t="shared" si="4"/>
        <v>1185</v>
      </c>
      <c r="DB13" s="37">
        <f t="shared" ref="DB13:DP28" si="7">DA13+1</f>
        <v>1186</v>
      </c>
      <c r="DC13" s="37">
        <f t="shared" si="7"/>
        <v>1187</v>
      </c>
      <c r="DD13" s="37">
        <f t="shared" si="7"/>
        <v>1188</v>
      </c>
      <c r="DE13" s="37">
        <f t="shared" si="7"/>
        <v>1189</v>
      </c>
      <c r="DF13" s="39">
        <f t="shared" si="7"/>
        <v>1190</v>
      </c>
      <c r="DG13" s="36">
        <f t="shared" si="7"/>
        <v>1191</v>
      </c>
      <c r="DH13" s="37">
        <f t="shared" si="7"/>
        <v>1192</v>
      </c>
      <c r="DI13" s="37">
        <f t="shared" si="7"/>
        <v>1193</v>
      </c>
      <c r="DJ13" s="37">
        <f t="shared" si="7"/>
        <v>1194</v>
      </c>
      <c r="DK13" s="37">
        <f t="shared" si="7"/>
        <v>1195</v>
      </c>
      <c r="DL13" s="37">
        <f t="shared" si="7"/>
        <v>1196</v>
      </c>
      <c r="DM13" s="37">
        <f t="shared" si="7"/>
        <v>1197</v>
      </c>
      <c r="DN13" s="37">
        <f t="shared" si="7"/>
        <v>1198</v>
      </c>
      <c r="DO13" s="37">
        <f t="shared" si="7"/>
        <v>1199</v>
      </c>
      <c r="DP13" s="38">
        <f t="shared" si="7"/>
        <v>1200</v>
      </c>
      <c r="DQ13" s="30"/>
      <c r="DR13" s="1214"/>
      <c r="DS13" s="1215"/>
      <c r="DT13" s="1215"/>
      <c r="DU13" s="1216"/>
    </row>
    <row r="14" spans="1:125" ht="5.85" customHeight="1" x14ac:dyDescent="0.3">
      <c r="A14" s="36">
        <v>1201</v>
      </c>
      <c r="B14" s="37">
        <f t="shared" si="6"/>
        <v>1202</v>
      </c>
      <c r="C14" s="37">
        <f t="shared" si="6"/>
        <v>1203</v>
      </c>
      <c r="D14" s="37">
        <f t="shared" si="6"/>
        <v>1204</v>
      </c>
      <c r="E14" s="37">
        <f t="shared" si="6"/>
        <v>1205</v>
      </c>
      <c r="F14" s="37">
        <f t="shared" si="6"/>
        <v>1206</v>
      </c>
      <c r="G14" s="37">
        <f t="shared" si="6"/>
        <v>1207</v>
      </c>
      <c r="H14" s="37">
        <f t="shared" si="6"/>
        <v>1208</v>
      </c>
      <c r="I14" s="37">
        <f t="shared" si="6"/>
        <v>1209</v>
      </c>
      <c r="J14" s="38">
        <f t="shared" si="6"/>
        <v>1210</v>
      </c>
      <c r="K14" s="36">
        <f t="shared" si="6"/>
        <v>1211</v>
      </c>
      <c r="L14" s="37">
        <f t="shared" si="6"/>
        <v>1212</v>
      </c>
      <c r="M14" s="37">
        <f t="shared" si="6"/>
        <v>1213</v>
      </c>
      <c r="N14" s="37">
        <f t="shared" si="6"/>
        <v>1214</v>
      </c>
      <c r="O14" s="37">
        <f t="shared" si="6"/>
        <v>1215</v>
      </c>
      <c r="P14" s="37">
        <f t="shared" si="6"/>
        <v>1216</v>
      </c>
      <c r="Q14" s="37">
        <f t="shared" si="6"/>
        <v>1217</v>
      </c>
      <c r="R14" s="37">
        <f t="shared" si="6"/>
        <v>1218</v>
      </c>
      <c r="S14" s="37">
        <f t="shared" si="6"/>
        <v>1219</v>
      </c>
      <c r="T14" s="38">
        <f t="shared" si="6"/>
        <v>1220</v>
      </c>
      <c r="U14" s="36">
        <f t="shared" si="6"/>
        <v>1221</v>
      </c>
      <c r="V14" s="37">
        <f t="shared" si="6"/>
        <v>1222</v>
      </c>
      <c r="W14" s="37">
        <f t="shared" si="6"/>
        <v>1223</v>
      </c>
      <c r="X14" s="37">
        <f t="shared" si="6"/>
        <v>1224</v>
      </c>
      <c r="Y14" s="37">
        <f t="shared" si="6"/>
        <v>1225</v>
      </c>
      <c r="Z14" s="37">
        <f t="shared" si="6"/>
        <v>1226</v>
      </c>
      <c r="AA14" s="37">
        <f t="shared" si="6"/>
        <v>1227</v>
      </c>
      <c r="AB14" s="37">
        <f t="shared" si="6"/>
        <v>1228</v>
      </c>
      <c r="AC14" s="37">
        <f t="shared" si="6"/>
        <v>1229</v>
      </c>
      <c r="AD14" s="38">
        <f t="shared" si="6"/>
        <v>1230</v>
      </c>
      <c r="AE14" s="36">
        <f t="shared" si="6"/>
        <v>1231</v>
      </c>
      <c r="AF14" s="37">
        <f t="shared" si="6"/>
        <v>1232</v>
      </c>
      <c r="AG14" s="37">
        <f t="shared" si="6"/>
        <v>1233</v>
      </c>
      <c r="AH14" s="37">
        <f t="shared" si="6"/>
        <v>1234</v>
      </c>
      <c r="AI14" s="37">
        <f t="shared" si="6"/>
        <v>1235</v>
      </c>
      <c r="AJ14" s="37">
        <f t="shared" si="6"/>
        <v>1236</v>
      </c>
      <c r="AK14" s="37">
        <f t="shared" si="6"/>
        <v>1237</v>
      </c>
      <c r="AL14" s="37">
        <f t="shared" si="6"/>
        <v>1238</v>
      </c>
      <c r="AM14" s="37">
        <f t="shared" si="6"/>
        <v>1239</v>
      </c>
      <c r="AN14" s="38">
        <f t="shared" si="6"/>
        <v>1240</v>
      </c>
      <c r="AO14" s="36">
        <f t="shared" si="6"/>
        <v>1241</v>
      </c>
      <c r="AP14" s="37">
        <f t="shared" si="6"/>
        <v>1242</v>
      </c>
      <c r="AQ14" s="37">
        <f t="shared" si="6"/>
        <v>1243</v>
      </c>
      <c r="AR14" s="37">
        <f t="shared" si="6"/>
        <v>1244</v>
      </c>
      <c r="AS14" s="37">
        <f t="shared" si="6"/>
        <v>1245</v>
      </c>
      <c r="AT14" s="37">
        <f t="shared" si="6"/>
        <v>1246</v>
      </c>
      <c r="AU14" s="37">
        <f t="shared" si="6"/>
        <v>1247</v>
      </c>
      <c r="AV14" s="37">
        <f t="shared" si="6"/>
        <v>1248</v>
      </c>
      <c r="AW14" s="37">
        <f t="shared" si="6"/>
        <v>1249</v>
      </c>
      <c r="AX14" s="38">
        <f t="shared" si="6"/>
        <v>1250</v>
      </c>
      <c r="AY14" s="36">
        <f t="shared" si="6"/>
        <v>1251</v>
      </c>
      <c r="AZ14" s="37">
        <f t="shared" si="6"/>
        <v>1252</v>
      </c>
      <c r="BA14" s="37">
        <f t="shared" si="6"/>
        <v>1253</v>
      </c>
      <c r="BB14" s="37">
        <f t="shared" si="6"/>
        <v>1254</v>
      </c>
      <c r="BC14" s="37">
        <f t="shared" si="6"/>
        <v>1255</v>
      </c>
      <c r="BD14" s="37">
        <f t="shared" si="6"/>
        <v>1256</v>
      </c>
      <c r="BE14" s="37">
        <f t="shared" si="6"/>
        <v>1257</v>
      </c>
      <c r="BF14" s="37">
        <f t="shared" si="6"/>
        <v>1258</v>
      </c>
      <c r="BG14" s="37">
        <f t="shared" si="6"/>
        <v>1259</v>
      </c>
      <c r="BH14" s="38">
        <f t="shared" si="6"/>
        <v>1260</v>
      </c>
      <c r="BI14" s="36">
        <f t="shared" si="6"/>
        <v>1261</v>
      </c>
      <c r="BJ14" s="37">
        <f t="shared" si="6"/>
        <v>1262</v>
      </c>
      <c r="BK14" s="37">
        <f t="shared" si="6"/>
        <v>1263</v>
      </c>
      <c r="BL14" s="37">
        <f t="shared" si="6"/>
        <v>1264</v>
      </c>
      <c r="BM14" s="37">
        <f t="shared" ref="B14:BM18" si="8">BL14+1</f>
        <v>1265</v>
      </c>
      <c r="BN14" s="37">
        <f t="shared" si="0"/>
        <v>1266</v>
      </c>
      <c r="BO14" s="37">
        <f t="shared" ref="BO14:CD28" si="9">BN14+1</f>
        <v>1267</v>
      </c>
      <c r="BP14" s="37">
        <f t="shared" si="9"/>
        <v>1268</v>
      </c>
      <c r="BQ14" s="37">
        <f t="shared" si="9"/>
        <v>1269</v>
      </c>
      <c r="BR14" s="39">
        <f t="shared" si="9"/>
        <v>1270</v>
      </c>
      <c r="BS14" s="36">
        <f t="shared" si="9"/>
        <v>1271</v>
      </c>
      <c r="BT14" s="37">
        <f t="shared" si="9"/>
        <v>1272</v>
      </c>
      <c r="BU14" s="37">
        <f t="shared" si="9"/>
        <v>1273</v>
      </c>
      <c r="BV14" s="37">
        <f t="shared" si="9"/>
        <v>1274</v>
      </c>
      <c r="BW14" s="37">
        <f t="shared" si="9"/>
        <v>1275</v>
      </c>
      <c r="BX14" s="37">
        <f t="shared" si="9"/>
        <v>1276</v>
      </c>
      <c r="BY14" s="37">
        <f t="shared" si="9"/>
        <v>1277</v>
      </c>
      <c r="BZ14" s="37">
        <f t="shared" si="9"/>
        <v>1278</v>
      </c>
      <c r="CA14" s="37">
        <f t="shared" si="9"/>
        <v>1279</v>
      </c>
      <c r="CB14" s="38">
        <f t="shared" si="9"/>
        <v>1280</v>
      </c>
      <c r="CC14" s="40">
        <f t="shared" si="9"/>
        <v>1281</v>
      </c>
      <c r="CD14" s="37">
        <f t="shared" si="9"/>
        <v>1282</v>
      </c>
      <c r="CE14" s="37">
        <f t="shared" ref="CE14:CT28" si="10">CD14+1</f>
        <v>1283</v>
      </c>
      <c r="CF14" s="37">
        <f t="shared" si="10"/>
        <v>1284</v>
      </c>
      <c r="CG14" s="37">
        <f t="shared" si="10"/>
        <v>1285</v>
      </c>
      <c r="CH14" s="37">
        <f t="shared" si="10"/>
        <v>1286</v>
      </c>
      <c r="CI14" s="37">
        <f t="shared" si="10"/>
        <v>1287</v>
      </c>
      <c r="CJ14" s="37">
        <f t="shared" si="10"/>
        <v>1288</v>
      </c>
      <c r="CK14" s="37">
        <f t="shared" si="10"/>
        <v>1289</v>
      </c>
      <c r="CL14" s="39">
        <f t="shared" si="10"/>
        <v>1290</v>
      </c>
      <c r="CM14" s="36">
        <f t="shared" si="10"/>
        <v>1291</v>
      </c>
      <c r="CN14" s="37">
        <f t="shared" si="10"/>
        <v>1292</v>
      </c>
      <c r="CO14" s="37">
        <f t="shared" si="10"/>
        <v>1293</v>
      </c>
      <c r="CP14" s="37">
        <f t="shared" si="10"/>
        <v>1294</v>
      </c>
      <c r="CQ14" s="37">
        <f t="shared" si="10"/>
        <v>1295</v>
      </c>
      <c r="CR14" s="37">
        <f t="shared" si="10"/>
        <v>1296</v>
      </c>
      <c r="CS14" s="37">
        <f t="shared" si="10"/>
        <v>1297</v>
      </c>
      <c r="CT14" s="37">
        <f t="shared" si="10"/>
        <v>1298</v>
      </c>
      <c r="CU14" s="37">
        <f t="shared" ref="CU14:DJ28" si="11">CT14+1</f>
        <v>1299</v>
      </c>
      <c r="CV14" s="38">
        <f t="shared" si="11"/>
        <v>1300</v>
      </c>
      <c r="CW14" s="40">
        <f t="shared" si="11"/>
        <v>1301</v>
      </c>
      <c r="CX14" s="37">
        <f t="shared" si="11"/>
        <v>1302</v>
      </c>
      <c r="CY14" s="37">
        <f t="shared" si="11"/>
        <v>1303</v>
      </c>
      <c r="CZ14" s="37">
        <f t="shared" si="11"/>
        <v>1304</v>
      </c>
      <c r="DA14" s="37">
        <f t="shared" si="11"/>
        <v>1305</v>
      </c>
      <c r="DB14" s="37">
        <f t="shared" si="11"/>
        <v>1306</v>
      </c>
      <c r="DC14" s="37">
        <f t="shared" si="11"/>
        <v>1307</v>
      </c>
      <c r="DD14" s="37">
        <f t="shared" si="11"/>
        <v>1308</v>
      </c>
      <c r="DE14" s="37">
        <f t="shared" si="11"/>
        <v>1309</v>
      </c>
      <c r="DF14" s="39">
        <f t="shared" si="11"/>
        <v>1310</v>
      </c>
      <c r="DG14" s="36">
        <f t="shared" si="11"/>
        <v>1311</v>
      </c>
      <c r="DH14" s="37">
        <f t="shared" si="11"/>
        <v>1312</v>
      </c>
      <c r="DI14" s="37">
        <f t="shared" si="11"/>
        <v>1313</v>
      </c>
      <c r="DJ14" s="37">
        <f t="shared" si="11"/>
        <v>1314</v>
      </c>
      <c r="DK14" s="37">
        <f t="shared" si="7"/>
        <v>1315</v>
      </c>
      <c r="DL14" s="37">
        <f t="shared" si="7"/>
        <v>1316</v>
      </c>
      <c r="DM14" s="37">
        <f t="shared" si="7"/>
        <v>1317</v>
      </c>
      <c r="DN14" s="37">
        <f t="shared" si="7"/>
        <v>1318</v>
      </c>
      <c r="DO14" s="37">
        <f t="shared" si="7"/>
        <v>1319</v>
      </c>
      <c r="DP14" s="38">
        <f t="shared" si="7"/>
        <v>1320</v>
      </c>
      <c r="DR14" s="1214">
        <v>3</v>
      </c>
      <c r="DS14" s="1215"/>
      <c r="DT14" s="1215"/>
      <c r="DU14" s="1216"/>
    </row>
    <row r="15" spans="1:125" ht="5.85" customHeight="1" x14ac:dyDescent="0.3">
      <c r="A15" s="36">
        <v>1321</v>
      </c>
      <c r="B15" s="37">
        <f t="shared" si="8"/>
        <v>1322</v>
      </c>
      <c r="C15" s="37">
        <f t="shared" si="8"/>
        <v>1323</v>
      </c>
      <c r="D15" s="37">
        <f t="shared" si="8"/>
        <v>1324</v>
      </c>
      <c r="E15" s="37">
        <f t="shared" si="8"/>
        <v>1325</v>
      </c>
      <c r="F15" s="37">
        <f t="shared" si="8"/>
        <v>1326</v>
      </c>
      <c r="G15" s="37">
        <f t="shared" si="8"/>
        <v>1327</v>
      </c>
      <c r="H15" s="37">
        <f t="shared" si="8"/>
        <v>1328</v>
      </c>
      <c r="I15" s="37">
        <f t="shared" si="8"/>
        <v>1329</v>
      </c>
      <c r="J15" s="38">
        <f t="shared" si="8"/>
        <v>1330</v>
      </c>
      <c r="K15" s="36">
        <f t="shared" si="8"/>
        <v>1331</v>
      </c>
      <c r="L15" s="37">
        <f t="shared" si="8"/>
        <v>1332</v>
      </c>
      <c r="M15" s="37">
        <f t="shared" si="8"/>
        <v>1333</v>
      </c>
      <c r="N15" s="37">
        <f t="shared" si="8"/>
        <v>1334</v>
      </c>
      <c r="O15" s="37">
        <f t="shared" si="8"/>
        <v>1335</v>
      </c>
      <c r="P15" s="37">
        <f t="shared" si="8"/>
        <v>1336</v>
      </c>
      <c r="Q15" s="37">
        <f t="shared" si="8"/>
        <v>1337</v>
      </c>
      <c r="R15" s="37">
        <f t="shared" si="8"/>
        <v>1338</v>
      </c>
      <c r="S15" s="37">
        <f t="shared" si="8"/>
        <v>1339</v>
      </c>
      <c r="T15" s="38">
        <f t="shared" si="8"/>
        <v>1340</v>
      </c>
      <c r="U15" s="36">
        <f t="shared" si="8"/>
        <v>1341</v>
      </c>
      <c r="V15" s="37">
        <f t="shared" si="8"/>
        <v>1342</v>
      </c>
      <c r="W15" s="37">
        <f t="shared" si="8"/>
        <v>1343</v>
      </c>
      <c r="X15" s="37">
        <f t="shared" si="8"/>
        <v>1344</v>
      </c>
      <c r="Y15" s="37">
        <f t="shared" si="8"/>
        <v>1345</v>
      </c>
      <c r="Z15" s="37">
        <f t="shared" si="8"/>
        <v>1346</v>
      </c>
      <c r="AA15" s="37">
        <f t="shared" si="8"/>
        <v>1347</v>
      </c>
      <c r="AB15" s="37">
        <f t="shared" si="8"/>
        <v>1348</v>
      </c>
      <c r="AC15" s="37">
        <f t="shared" si="8"/>
        <v>1349</v>
      </c>
      <c r="AD15" s="38">
        <f t="shared" si="8"/>
        <v>1350</v>
      </c>
      <c r="AE15" s="36">
        <f t="shared" si="8"/>
        <v>1351</v>
      </c>
      <c r="AF15" s="37">
        <f t="shared" si="8"/>
        <v>1352</v>
      </c>
      <c r="AG15" s="37">
        <f t="shared" si="8"/>
        <v>1353</v>
      </c>
      <c r="AH15" s="37">
        <f t="shared" si="8"/>
        <v>1354</v>
      </c>
      <c r="AI15" s="37">
        <f t="shared" si="8"/>
        <v>1355</v>
      </c>
      <c r="AJ15" s="37">
        <f t="shared" si="8"/>
        <v>1356</v>
      </c>
      <c r="AK15" s="37">
        <f t="shared" si="8"/>
        <v>1357</v>
      </c>
      <c r="AL15" s="37">
        <f t="shared" si="8"/>
        <v>1358</v>
      </c>
      <c r="AM15" s="37">
        <f t="shared" si="8"/>
        <v>1359</v>
      </c>
      <c r="AN15" s="38">
        <f t="shared" si="8"/>
        <v>1360</v>
      </c>
      <c r="AO15" s="36">
        <f t="shared" si="8"/>
        <v>1361</v>
      </c>
      <c r="AP15" s="37">
        <f t="shared" si="8"/>
        <v>1362</v>
      </c>
      <c r="AQ15" s="37">
        <f t="shared" si="8"/>
        <v>1363</v>
      </c>
      <c r="AR15" s="37">
        <f t="shared" si="8"/>
        <v>1364</v>
      </c>
      <c r="AS15" s="37">
        <f t="shared" si="8"/>
        <v>1365</v>
      </c>
      <c r="AT15" s="37">
        <f t="shared" si="8"/>
        <v>1366</v>
      </c>
      <c r="AU15" s="37">
        <f t="shared" si="8"/>
        <v>1367</v>
      </c>
      <c r="AV15" s="37">
        <f t="shared" si="8"/>
        <v>1368</v>
      </c>
      <c r="AW15" s="37">
        <f t="shared" si="8"/>
        <v>1369</v>
      </c>
      <c r="AX15" s="38">
        <f t="shared" si="8"/>
        <v>1370</v>
      </c>
      <c r="AY15" s="36">
        <f t="shared" si="8"/>
        <v>1371</v>
      </c>
      <c r="AZ15" s="37">
        <f t="shared" si="8"/>
        <v>1372</v>
      </c>
      <c r="BA15" s="37">
        <f t="shared" si="8"/>
        <v>1373</v>
      </c>
      <c r="BB15" s="37">
        <f t="shared" si="8"/>
        <v>1374</v>
      </c>
      <c r="BC15" s="37">
        <f t="shared" si="8"/>
        <v>1375</v>
      </c>
      <c r="BD15" s="37">
        <f t="shared" si="8"/>
        <v>1376</v>
      </c>
      <c r="BE15" s="37">
        <f t="shared" si="8"/>
        <v>1377</v>
      </c>
      <c r="BF15" s="37">
        <f t="shared" si="8"/>
        <v>1378</v>
      </c>
      <c r="BG15" s="37">
        <f t="shared" si="8"/>
        <v>1379</v>
      </c>
      <c r="BH15" s="38">
        <f t="shared" si="8"/>
        <v>1380</v>
      </c>
      <c r="BI15" s="36">
        <f t="shared" si="8"/>
        <v>1381</v>
      </c>
      <c r="BJ15" s="37">
        <f t="shared" si="8"/>
        <v>1382</v>
      </c>
      <c r="BK15" s="37">
        <f t="shared" si="8"/>
        <v>1383</v>
      </c>
      <c r="BL15" s="37">
        <f t="shared" si="8"/>
        <v>1384</v>
      </c>
      <c r="BM15" s="37">
        <f t="shared" si="8"/>
        <v>1385</v>
      </c>
      <c r="BN15" s="37">
        <f t="shared" si="0"/>
        <v>1386</v>
      </c>
      <c r="BO15" s="37">
        <f t="shared" si="9"/>
        <v>1387</v>
      </c>
      <c r="BP15" s="37">
        <f t="shared" si="9"/>
        <v>1388</v>
      </c>
      <c r="BQ15" s="37">
        <f t="shared" si="9"/>
        <v>1389</v>
      </c>
      <c r="BR15" s="39">
        <f t="shared" si="9"/>
        <v>1390</v>
      </c>
      <c r="BS15" s="36">
        <f t="shared" si="9"/>
        <v>1391</v>
      </c>
      <c r="BT15" s="37">
        <f t="shared" si="9"/>
        <v>1392</v>
      </c>
      <c r="BU15" s="37">
        <f t="shared" si="9"/>
        <v>1393</v>
      </c>
      <c r="BV15" s="37">
        <f t="shared" si="9"/>
        <v>1394</v>
      </c>
      <c r="BW15" s="37">
        <f t="shared" si="9"/>
        <v>1395</v>
      </c>
      <c r="BX15" s="37">
        <f t="shared" si="9"/>
        <v>1396</v>
      </c>
      <c r="BY15" s="37">
        <f t="shared" si="9"/>
        <v>1397</v>
      </c>
      <c r="BZ15" s="37">
        <f t="shared" si="9"/>
        <v>1398</v>
      </c>
      <c r="CA15" s="37">
        <f t="shared" si="9"/>
        <v>1399</v>
      </c>
      <c r="CB15" s="38">
        <f t="shared" si="9"/>
        <v>1400</v>
      </c>
      <c r="CC15" s="40">
        <f t="shared" si="9"/>
        <v>1401</v>
      </c>
      <c r="CD15" s="37">
        <f t="shared" si="9"/>
        <v>1402</v>
      </c>
      <c r="CE15" s="37">
        <f t="shared" si="10"/>
        <v>1403</v>
      </c>
      <c r="CF15" s="37">
        <f t="shared" si="10"/>
        <v>1404</v>
      </c>
      <c r="CG15" s="37">
        <f t="shared" si="10"/>
        <v>1405</v>
      </c>
      <c r="CH15" s="37">
        <f t="shared" si="10"/>
        <v>1406</v>
      </c>
      <c r="CI15" s="37">
        <f t="shared" si="10"/>
        <v>1407</v>
      </c>
      <c r="CJ15" s="37">
        <f t="shared" si="10"/>
        <v>1408</v>
      </c>
      <c r="CK15" s="37">
        <f t="shared" si="10"/>
        <v>1409</v>
      </c>
      <c r="CL15" s="39">
        <f t="shared" si="10"/>
        <v>1410</v>
      </c>
      <c r="CM15" s="36">
        <f t="shared" si="10"/>
        <v>1411</v>
      </c>
      <c r="CN15" s="37">
        <f t="shared" si="10"/>
        <v>1412</v>
      </c>
      <c r="CO15" s="37">
        <f t="shared" si="10"/>
        <v>1413</v>
      </c>
      <c r="CP15" s="37">
        <f t="shared" si="10"/>
        <v>1414</v>
      </c>
      <c r="CQ15" s="37">
        <f t="shared" si="10"/>
        <v>1415</v>
      </c>
      <c r="CR15" s="37">
        <f t="shared" si="10"/>
        <v>1416</v>
      </c>
      <c r="CS15" s="37">
        <f t="shared" si="10"/>
        <v>1417</v>
      </c>
      <c r="CT15" s="37">
        <f t="shared" si="10"/>
        <v>1418</v>
      </c>
      <c r="CU15" s="37">
        <f t="shared" si="11"/>
        <v>1419</v>
      </c>
      <c r="CV15" s="38">
        <f t="shared" si="11"/>
        <v>1420</v>
      </c>
      <c r="CW15" s="40">
        <f t="shared" si="11"/>
        <v>1421</v>
      </c>
      <c r="CX15" s="37">
        <f t="shared" si="11"/>
        <v>1422</v>
      </c>
      <c r="CY15" s="37">
        <f t="shared" si="11"/>
        <v>1423</v>
      </c>
      <c r="CZ15" s="37">
        <f t="shared" si="11"/>
        <v>1424</v>
      </c>
      <c r="DA15" s="37">
        <f t="shared" si="11"/>
        <v>1425</v>
      </c>
      <c r="DB15" s="37">
        <f t="shared" si="11"/>
        <v>1426</v>
      </c>
      <c r="DC15" s="37">
        <f t="shared" si="11"/>
        <v>1427</v>
      </c>
      <c r="DD15" s="37">
        <f t="shared" si="11"/>
        <v>1428</v>
      </c>
      <c r="DE15" s="37">
        <f t="shared" si="11"/>
        <v>1429</v>
      </c>
      <c r="DF15" s="39">
        <f t="shared" si="11"/>
        <v>1430</v>
      </c>
      <c r="DG15" s="36">
        <f t="shared" si="11"/>
        <v>1431</v>
      </c>
      <c r="DH15" s="37">
        <f t="shared" si="11"/>
        <v>1432</v>
      </c>
      <c r="DI15" s="37">
        <f t="shared" si="11"/>
        <v>1433</v>
      </c>
      <c r="DJ15" s="37">
        <f t="shared" si="11"/>
        <v>1434</v>
      </c>
      <c r="DK15" s="37">
        <f t="shared" si="7"/>
        <v>1435</v>
      </c>
      <c r="DL15" s="37">
        <f t="shared" si="7"/>
        <v>1436</v>
      </c>
      <c r="DM15" s="37">
        <f t="shared" si="7"/>
        <v>1437</v>
      </c>
      <c r="DN15" s="37">
        <f t="shared" si="7"/>
        <v>1438</v>
      </c>
      <c r="DO15" s="37">
        <f t="shared" si="7"/>
        <v>1439</v>
      </c>
      <c r="DP15" s="38">
        <f t="shared" si="7"/>
        <v>1440</v>
      </c>
      <c r="DR15" s="1214"/>
      <c r="DS15" s="1215"/>
      <c r="DT15" s="1215"/>
      <c r="DU15" s="1216"/>
    </row>
    <row r="16" spans="1:125" ht="5.85" customHeight="1" x14ac:dyDescent="0.3">
      <c r="A16" s="36">
        <v>1441</v>
      </c>
      <c r="B16" s="37">
        <f t="shared" si="8"/>
        <v>1442</v>
      </c>
      <c r="C16" s="37">
        <f t="shared" si="8"/>
        <v>1443</v>
      </c>
      <c r="D16" s="37">
        <f t="shared" si="8"/>
        <v>1444</v>
      </c>
      <c r="E16" s="37">
        <f t="shared" si="8"/>
        <v>1445</v>
      </c>
      <c r="F16" s="37">
        <f t="shared" si="8"/>
        <v>1446</v>
      </c>
      <c r="G16" s="37">
        <f t="shared" si="8"/>
        <v>1447</v>
      </c>
      <c r="H16" s="37">
        <f t="shared" si="8"/>
        <v>1448</v>
      </c>
      <c r="I16" s="37">
        <f t="shared" si="8"/>
        <v>1449</v>
      </c>
      <c r="J16" s="38">
        <f t="shared" si="8"/>
        <v>1450</v>
      </c>
      <c r="K16" s="36">
        <f t="shared" si="8"/>
        <v>1451</v>
      </c>
      <c r="L16" s="37">
        <f t="shared" si="8"/>
        <v>1452</v>
      </c>
      <c r="M16" s="37">
        <f t="shared" si="8"/>
        <v>1453</v>
      </c>
      <c r="N16" s="37">
        <f t="shared" si="8"/>
        <v>1454</v>
      </c>
      <c r="O16" s="37">
        <f t="shared" si="8"/>
        <v>1455</v>
      </c>
      <c r="P16" s="37">
        <f t="shared" si="8"/>
        <v>1456</v>
      </c>
      <c r="Q16" s="37">
        <f t="shared" si="8"/>
        <v>1457</v>
      </c>
      <c r="R16" s="37">
        <f t="shared" si="8"/>
        <v>1458</v>
      </c>
      <c r="S16" s="37">
        <f t="shared" si="8"/>
        <v>1459</v>
      </c>
      <c r="T16" s="38">
        <f t="shared" si="8"/>
        <v>1460</v>
      </c>
      <c r="U16" s="36">
        <f t="shared" si="8"/>
        <v>1461</v>
      </c>
      <c r="V16" s="37">
        <f t="shared" si="8"/>
        <v>1462</v>
      </c>
      <c r="W16" s="37">
        <f t="shared" si="8"/>
        <v>1463</v>
      </c>
      <c r="X16" s="37">
        <f t="shared" si="8"/>
        <v>1464</v>
      </c>
      <c r="Y16" s="37">
        <f t="shared" si="8"/>
        <v>1465</v>
      </c>
      <c r="Z16" s="37">
        <f t="shared" si="8"/>
        <v>1466</v>
      </c>
      <c r="AA16" s="37">
        <f t="shared" si="8"/>
        <v>1467</v>
      </c>
      <c r="AB16" s="37">
        <f t="shared" si="8"/>
        <v>1468</v>
      </c>
      <c r="AC16" s="37">
        <f t="shared" si="8"/>
        <v>1469</v>
      </c>
      <c r="AD16" s="38">
        <f t="shared" si="8"/>
        <v>1470</v>
      </c>
      <c r="AE16" s="36">
        <f t="shared" si="8"/>
        <v>1471</v>
      </c>
      <c r="AF16" s="37">
        <f t="shared" si="8"/>
        <v>1472</v>
      </c>
      <c r="AG16" s="37">
        <f t="shared" si="8"/>
        <v>1473</v>
      </c>
      <c r="AH16" s="37">
        <f t="shared" si="8"/>
        <v>1474</v>
      </c>
      <c r="AI16" s="37">
        <f t="shared" si="8"/>
        <v>1475</v>
      </c>
      <c r="AJ16" s="37">
        <f t="shared" si="8"/>
        <v>1476</v>
      </c>
      <c r="AK16" s="37">
        <f t="shared" si="8"/>
        <v>1477</v>
      </c>
      <c r="AL16" s="37">
        <f t="shared" si="8"/>
        <v>1478</v>
      </c>
      <c r="AM16" s="37">
        <f t="shared" si="8"/>
        <v>1479</v>
      </c>
      <c r="AN16" s="38">
        <f t="shared" si="8"/>
        <v>1480</v>
      </c>
      <c r="AO16" s="36">
        <f t="shared" si="8"/>
        <v>1481</v>
      </c>
      <c r="AP16" s="37">
        <f t="shared" si="8"/>
        <v>1482</v>
      </c>
      <c r="AQ16" s="37">
        <f t="shared" si="8"/>
        <v>1483</v>
      </c>
      <c r="AR16" s="37">
        <f t="shared" si="8"/>
        <v>1484</v>
      </c>
      <c r="AS16" s="37">
        <f t="shared" si="8"/>
        <v>1485</v>
      </c>
      <c r="AT16" s="37">
        <f t="shared" si="8"/>
        <v>1486</v>
      </c>
      <c r="AU16" s="37">
        <f t="shared" si="8"/>
        <v>1487</v>
      </c>
      <c r="AV16" s="37">
        <f t="shared" si="8"/>
        <v>1488</v>
      </c>
      <c r="AW16" s="37">
        <f t="shared" si="8"/>
        <v>1489</v>
      </c>
      <c r="AX16" s="38">
        <f t="shared" si="8"/>
        <v>1490</v>
      </c>
      <c r="AY16" s="36">
        <f t="shared" si="8"/>
        <v>1491</v>
      </c>
      <c r="AZ16" s="37">
        <f t="shared" si="8"/>
        <v>1492</v>
      </c>
      <c r="BA16" s="37">
        <f t="shared" si="8"/>
        <v>1493</v>
      </c>
      <c r="BB16" s="37">
        <f t="shared" si="8"/>
        <v>1494</v>
      </c>
      <c r="BC16" s="37">
        <f t="shared" si="8"/>
        <v>1495</v>
      </c>
      <c r="BD16" s="37">
        <f t="shared" si="8"/>
        <v>1496</v>
      </c>
      <c r="BE16" s="37">
        <f t="shared" si="8"/>
        <v>1497</v>
      </c>
      <c r="BF16" s="37">
        <f t="shared" si="8"/>
        <v>1498</v>
      </c>
      <c r="BG16" s="37">
        <f t="shared" si="8"/>
        <v>1499</v>
      </c>
      <c r="BH16" s="38">
        <f t="shared" si="8"/>
        <v>1500</v>
      </c>
      <c r="BI16" s="36">
        <f t="shared" si="8"/>
        <v>1501</v>
      </c>
      <c r="BJ16" s="37">
        <f t="shared" si="8"/>
        <v>1502</v>
      </c>
      <c r="BK16" s="37">
        <f t="shared" si="8"/>
        <v>1503</v>
      </c>
      <c r="BL16" s="37">
        <f t="shared" si="8"/>
        <v>1504</v>
      </c>
      <c r="BM16" s="37">
        <f t="shared" si="8"/>
        <v>1505</v>
      </c>
      <c r="BN16" s="37">
        <f t="shared" si="0"/>
        <v>1506</v>
      </c>
      <c r="BO16" s="37">
        <f t="shared" si="9"/>
        <v>1507</v>
      </c>
      <c r="BP16" s="37">
        <f t="shared" si="9"/>
        <v>1508</v>
      </c>
      <c r="BQ16" s="37">
        <f t="shared" si="9"/>
        <v>1509</v>
      </c>
      <c r="BR16" s="39">
        <f t="shared" si="9"/>
        <v>1510</v>
      </c>
      <c r="BS16" s="36">
        <f t="shared" si="9"/>
        <v>1511</v>
      </c>
      <c r="BT16" s="37">
        <f t="shared" si="9"/>
        <v>1512</v>
      </c>
      <c r="BU16" s="37">
        <f t="shared" si="9"/>
        <v>1513</v>
      </c>
      <c r="BV16" s="37">
        <f t="shared" si="9"/>
        <v>1514</v>
      </c>
      <c r="BW16" s="37">
        <f t="shared" si="9"/>
        <v>1515</v>
      </c>
      <c r="BX16" s="37">
        <f t="shared" si="9"/>
        <v>1516</v>
      </c>
      <c r="BY16" s="37">
        <f t="shared" si="9"/>
        <v>1517</v>
      </c>
      <c r="BZ16" s="37">
        <f t="shared" si="9"/>
        <v>1518</v>
      </c>
      <c r="CA16" s="37">
        <f t="shared" si="9"/>
        <v>1519</v>
      </c>
      <c r="CB16" s="38">
        <f t="shared" si="9"/>
        <v>1520</v>
      </c>
      <c r="CC16" s="40">
        <f t="shared" si="9"/>
        <v>1521</v>
      </c>
      <c r="CD16" s="37">
        <f t="shared" si="9"/>
        <v>1522</v>
      </c>
      <c r="CE16" s="37">
        <f t="shared" si="10"/>
        <v>1523</v>
      </c>
      <c r="CF16" s="37">
        <f t="shared" si="10"/>
        <v>1524</v>
      </c>
      <c r="CG16" s="37">
        <f t="shared" si="10"/>
        <v>1525</v>
      </c>
      <c r="CH16" s="37">
        <f t="shared" si="10"/>
        <v>1526</v>
      </c>
      <c r="CI16" s="37">
        <f t="shared" si="10"/>
        <v>1527</v>
      </c>
      <c r="CJ16" s="37">
        <f t="shared" si="10"/>
        <v>1528</v>
      </c>
      <c r="CK16" s="37">
        <f t="shared" si="10"/>
        <v>1529</v>
      </c>
      <c r="CL16" s="39">
        <f t="shared" si="10"/>
        <v>1530</v>
      </c>
      <c r="CM16" s="36">
        <f t="shared" si="10"/>
        <v>1531</v>
      </c>
      <c r="CN16" s="37">
        <f t="shared" si="10"/>
        <v>1532</v>
      </c>
      <c r="CO16" s="37">
        <f t="shared" si="10"/>
        <v>1533</v>
      </c>
      <c r="CP16" s="37">
        <f t="shared" si="10"/>
        <v>1534</v>
      </c>
      <c r="CQ16" s="37">
        <f t="shared" si="10"/>
        <v>1535</v>
      </c>
      <c r="CR16" s="37">
        <f t="shared" si="10"/>
        <v>1536</v>
      </c>
      <c r="CS16" s="37">
        <f t="shared" si="10"/>
        <v>1537</v>
      </c>
      <c r="CT16" s="37">
        <f t="shared" si="10"/>
        <v>1538</v>
      </c>
      <c r="CU16" s="37">
        <f t="shared" si="11"/>
        <v>1539</v>
      </c>
      <c r="CV16" s="38">
        <f t="shared" si="11"/>
        <v>1540</v>
      </c>
      <c r="CW16" s="40">
        <f t="shared" si="11"/>
        <v>1541</v>
      </c>
      <c r="CX16" s="37">
        <f t="shared" si="11"/>
        <v>1542</v>
      </c>
      <c r="CY16" s="37">
        <f t="shared" si="11"/>
        <v>1543</v>
      </c>
      <c r="CZ16" s="37">
        <f t="shared" si="11"/>
        <v>1544</v>
      </c>
      <c r="DA16" s="37">
        <f t="shared" si="11"/>
        <v>1545</v>
      </c>
      <c r="DB16" s="37">
        <f t="shared" si="11"/>
        <v>1546</v>
      </c>
      <c r="DC16" s="37">
        <f t="shared" si="11"/>
        <v>1547</v>
      </c>
      <c r="DD16" s="37">
        <f t="shared" si="11"/>
        <v>1548</v>
      </c>
      <c r="DE16" s="37">
        <f t="shared" si="11"/>
        <v>1549</v>
      </c>
      <c r="DF16" s="39">
        <f t="shared" si="11"/>
        <v>1550</v>
      </c>
      <c r="DG16" s="36">
        <f t="shared" si="11"/>
        <v>1551</v>
      </c>
      <c r="DH16" s="37">
        <f t="shared" si="11"/>
        <v>1552</v>
      </c>
      <c r="DI16" s="37">
        <f t="shared" si="11"/>
        <v>1553</v>
      </c>
      <c r="DJ16" s="37">
        <f t="shared" si="11"/>
        <v>1554</v>
      </c>
      <c r="DK16" s="37">
        <f t="shared" si="7"/>
        <v>1555</v>
      </c>
      <c r="DL16" s="37">
        <f t="shared" si="7"/>
        <v>1556</v>
      </c>
      <c r="DM16" s="37">
        <f t="shared" si="7"/>
        <v>1557</v>
      </c>
      <c r="DN16" s="37">
        <f t="shared" si="7"/>
        <v>1558</v>
      </c>
      <c r="DO16" s="37">
        <f t="shared" si="7"/>
        <v>1559</v>
      </c>
      <c r="DP16" s="38">
        <f t="shared" si="7"/>
        <v>1560</v>
      </c>
      <c r="DR16" s="1214"/>
      <c r="DS16" s="1215"/>
      <c r="DT16" s="1215"/>
      <c r="DU16" s="1216"/>
    </row>
    <row r="17" spans="1:125" ht="5.85" customHeight="1" x14ac:dyDescent="0.3">
      <c r="A17" s="36">
        <v>1561</v>
      </c>
      <c r="B17" s="37">
        <f t="shared" si="8"/>
        <v>1562</v>
      </c>
      <c r="C17" s="37">
        <f t="shared" si="8"/>
        <v>1563</v>
      </c>
      <c r="D17" s="37">
        <f t="shared" si="8"/>
        <v>1564</v>
      </c>
      <c r="E17" s="37">
        <f t="shared" si="8"/>
        <v>1565</v>
      </c>
      <c r="F17" s="37">
        <f t="shared" si="8"/>
        <v>1566</v>
      </c>
      <c r="G17" s="37">
        <f t="shared" si="8"/>
        <v>1567</v>
      </c>
      <c r="H17" s="37">
        <f t="shared" si="8"/>
        <v>1568</v>
      </c>
      <c r="I17" s="37">
        <f t="shared" si="8"/>
        <v>1569</v>
      </c>
      <c r="J17" s="38">
        <f t="shared" si="8"/>
        <v>1570</v>
      </c>
      <c r="K17" s="36">
        <f t="shared" si="8"/>
        <v>1571</v>
      </c>
      <c r="L17" s="37">
        <f t="shared" si="8"/>
        <v>1572</v>
      </c>
      <c r="M17" s="37">
        <f t="shared" si="8"/>
        <v>1573</v>
      </c>
      <c r="N17" s="37">
        <f t="shared" si="8"/>
        <v>1574</v>
      </c>
      <c r="O17" s="37">
        <f t="shared" si="8"/>
        <v>1575</v>
      </c>
      <c r="P17" s="37">
        <f t="shared" si="8"/>
        <v>1576</v>
      </c>
      <c r="Q17" s="37">
        <f t="shared" si="8"/>
        <v>1577</v>
      </c>
      <c r="R17" s="37">
        <f t="shared" si="8"/>
        <v>1578</v>
      </c>
      <c r="S17" s="37">
        <f t="shared" si="8"/>
        <v>1579</v>
      </c>
      <c r="T17" s="38">
        <f t="shared" si="8"/>
        <v>1580</v>
      </c>
      <c r="U17" s="36">
        <f t="shared" si="8"/>
        <v>1581</v>
      </c>
      <c r="V17" s="37">
        <f t="shared" si="8"/>
        <v>1582</v>
      </c>
      <c r="W17" s="37">
        <f t="shared" si="8"/>
        <v>1583</v>
      </c>
      <c r="X17" s="37">
        <f t="shared" si="8"/>
        <v>1584</v>
      </c>
      <c r="Y17" s="37">
        <f t="shared" si="8"/>
        <v>1585</v>
      </c>
      <c r="Z17" s="37">
        <f t="shared" si="8"/>
        <v>1586</v>
      </c>
      <c r="AA17" s="37">
        <f t="shared" si="8"/>
        <v>1587</v>
      </c>
      <c r="AB17" s="37">
        <f t="shared" si="8"/>
        <v>1588</v>
      </c>
      <c r="AC17" s="37">
        <f t="shared" si="8"/>
        <v>1589</v>
      </c>
      <c r="AD17" s="38">
        <f t="shared" si="8"/>
        <v>1590</v>
      </c>
      <c r="AE17" s="36">
        <f t="shared" si="8"/>
        <v>1591</v>
      </c>
      <c r="AF17" s="37">
        <f t="shared" si="8"/>
        <v>1592</v>
      </c>
      <c r="AG17" s="37">
        <f t="shared" si="8"/>
        <v>1593</v>
      </c>
      <c r="AH17" s="37">
        <f t="shared" si="8"/>
        <v>1594</v>
      </c>
      <c r="AI17" s="37">
        <f t="shared" si="8"/>
        <v>1595</v>
      </c>
      <c r="AJ17" s="37">
        <f t="shared" si="8"/>
        <v>1596</v>
      </c>
      <c r="AK17" s="37">
        <f t="shared" si="8"/>
        <v>1597</v>
      </c>
      <c r="AL17" s="37">
        <f t="shared" si="8"/>
        <v>1598</v>
      </c>
      <c r="AM17" s="37">
        <f t="shared" si="8"/>
        <v>1599</v>
      </c>
      <c r="AN17" s="38">
        <f t="shared" si="8"/>
        <v>1600</v>
      </c>
      <c r="AO17" s="36">
        <f t="shared" si="8"/>
        <v>1601</v>
      </c>
      <c r="AP17" s="37">
        <f t="shared" si="8"/>
        <v>1602</v>
      </c>
      <c r="AQ17" s="37">
        <f t="shared" si="8"/>
        <v>1603</v>
      </c>
      <c r="AR17" s="37">
        <f t="shared" si="8"/>
        <v>1604</v>
      </c>
      <c r="AS17" s="37">
        <f t="shared" si="8"/>
        <v>1605</v>
      </c>
      <c r="AT17" s="37">
        <f t="shared" si="8"/>
        <v>1606</v>
      </c>
      <c r="AU17" s="37">
        <f t="shared" si="8"/>
        <v>1607</v>
      </c>
      <c r="AV17" s="37">
        <f t="shared" si="8"/>
        <v>1608</v>
      </c>
      <c r="AW17" s="37">
        <f t="shared" si="8"/>
        <v>1609</v>
      </c>
      <c r="AX17" s="38">
        <f t="shared" si="8"/>
        <v>1610</v>
      </c>
      <c r="AY17" s="36">
        <f t="shared" si="8"/>
        <v>1611</v>
      </c>
      <c r="AZ17" s="37">
        <f t="shared" si="8"/>
        <v>1612</v>
      </c>
      <c r="BA17" s="37">
        <f t="shared" si="8"/>
        <v>1613</v>
      </c>
      <c r="BB17" s="37">
        <f t="shared" si="8"/>
        <v>1614</v>
      </c>
      <c r="BC17" s="37">
        <f t="shared" si="8"/>
        <v>1615</v>
      </c>
      <c r="BD17" s="37">
        <f t="shared" si="8"/>
        <v>1616</v>
      </c>
      <c r="BE17" s="37">
        <f t="shared" si="8"/>
        <v>1617</v>
      </c>
      <c r="BF17" s="37">
        <f t="shared" si="8"/>
        <v>1618</v>
      </c>
      <c r="BG17" s="37">
        <f t="shared" si="8"/>
        <v>1619</v>
      </c>
      <c r="BH17" s="38">
        <f t="shared" si="8"/>
        <v>1620</v>
      </c>
      <c r="BI17" s="36">
        <f t="shared" si="8"/>
        <v>1621</v>
      </c>
      <c r="BJ17" s="37">
        <f t="shared" si="8"/>
        <v>1622</v>
      </c>
      <c r="BK17" s="37">
        <f t="shared" si="8"/>
        <v>1623</v>
      </c>
      <c r="BL17" s="37">
        <f t="shared" si="8"/>
        <v>1624</v>
      </c>
      <c r="BM17" s="37">
        <f t="shared" si="8"/>
        <v>1625</v>
      </c>
      <c r="BN17" s="37">
        <f t="shared" si="0"/>
        <v>1626</v>
      </c>
      <c r="BO17" s="37">
        <f t="shared" si="9"/>
        <v>1627</v>
      </c>
      <c r="BP17" s="37">
        <f t="shared" si="9"/>
        <v>1628</v>
      </c>
      <c r="BQ17" s="37">
        <f t="shared" si="9"/>
        <v>1629</v>
      </c>
      <c r="BR17" s="39">
        <f t="shared" si="9"/>
        <v>1630</v>
      </c>
      <c r="BS17" s="36">
        <f t="shared" si="9"/>
        <v>1631</v>
      </c>
      <c r="BT17" s="37">
        <f t="shared" si="9"/>
        <v>1632</v>
      </c>
      <c r="BU17" s="37">
        <f t="shared" si="9"/>
        <v>1633</v>
      </c>
      <c r="BV17" s="37">
        <f t="shared" si="9"/>
        <v>1634</v>
      </c>
      <c r="BW17" s="37">
        <f t="shared" si="9"/>
        <v>1635</v>
      </c>
      <c r="BX17" s="37">
        <f t="shared" si="9"/>
        <v>1636</v>
      </c>
      <c r="BY17" s="37">
        <f t="shared" si="9"/>
        <v>1637</v>
      </c>
      <c r="BZ17" s="37">
        <f t="shared" si="9"/>
        <v>1638</v>
      </c>
      <c r="CA17" s="37">
        <f t="shared" si="9"/>
        <v>1639</v>
      </c>
      <c r="CB17" s="38">
        <f t="shared" si="9"/>
        <v>1640</v>
      </c>
      <c r="CC17" s="40">
        <f t="shared" si="9"/>
        <v>1641</v>
      </c>
      <c r="CD17" s="37">
        <f t="shared" si="9"/>
        <v>1642</v>
      </c>
      <c r="CE17" s="37">
        <f t="shared" si="10"/>
        <v>1643</v>
      </c>
      <c r="CF17" s="37">
        <f t="shared" si="10"/>
        <v>1644</v>
      </c>
      <c r="CG17" s="37">
        <f t="shared" si="10"/>
        <v>1645</v>
      </c>
      <c r="CH17" s="37">
        <f t="shared" si="10"/>
        <v>1646</v>
      </c>
      <c r="CI17" s="37">
        <f t="shared" si="10"/>
        <v>1647</v>
      </c>
      <c r="CJ17" s="37">
        <f t="shared" si="10"/>
        <v>1648</v>
      </c>
      <c r="CK17" s="37">
        <f t="shared" si="10"/>
        <v>1649</v>
      </c>
      <c r="CL17" s="39">
        <f t="shared" si="10"/>
        <v>1650</v>
      </c>
      <c r="CM17" s="36">
        <f t="shared" si="10"/>
        <v>1651</v>
      </c>
      <c r="CN17" s="37">
        <f t="shared" si="10"/>
        <v>1652</v>
      </c>
      <c r="CO17" s="37">
        <f t="shared" si="10"/>
        <v>1653</v>
      </c>
      <c r="CP17" s="37">
        <f t="shared" si="10"/>
        <v>1654</v>
      </c>
      <c r="CQ17" s="37">
        <f t="shared" si="10"/>
        <v>1655</v>
      </c>
      <c r="CR17" s="37">
        <f t="shared" si="10"/>
        <v>1656</v>
      </c>
      <c r="CS17" s="37">
        <f t="shared" si="10"/>
        <v>1657</v>
      </c>
      <c r="CT17" s="37">
        <f t="shared" si="10"/>
        <v>1658</v>
      </c>
      <c r="CU17" s="37">
        <f t="shared" si="11"/>
        <v>1659</v>
      </c>
      <c r="CV17" s="38">
        <f t="shared" si="11"/>
        <v>1660</v>
      </c>
      <c r="CW17" s="40">
        <f t="shared" si="11"/>
        <v>1661</v>
      </c>
      <c r="CX17" s="37">
        <f t="shared" si="11"/>
        <v>1662</v>
      </c>
      <c r="CY17" s="37">
        <f t="shared" si="11"/>
        <v>1663</v>
      </c>
      <c r="CZ17" s="37">
        <f t="shared" si="11"/>
        <v>1664</v>
      </c>
      <c r="DA17" s="37">
        <f t="shared" si="11"/>
        <v>1665</v>
      </c>
      <c r="DB17" s="37">
        <f t="shared" si="11"/>
        <v>1666</v>
      </c>
      <c r="DC17" s="37">
        <f t="shared" si="11"/>
        <v>1667</v>
      </c>
      <c r="DD17" s="37">
        <f t="shared" si="11"/>
        <v>1668</v>
      </c>
      <c r="DE17" s="37">
        <f t="shared" si="11"/>
        <v>1669</v>
      </c>
      <c r="DF17" s="39">
        <f t="shared" si="11"/>
        <v>1670</v>
      </c>
      <c r="DG17" s="36">
        <f t="shared" si="11"/>
        <v>1671</v>
      </c>
      <c r="DH17" s="37">
        <f t="shared" si="11"/>
        <v>1672</v>
      </c>
      <c r="DI17" s="37">
        <f t="shared" si="11"/>
        <v>1673</v>
      </c>
      <c r="DJ17" s="37">
        <f t="shared" si="11"/>
        <v>1674</v>
      </c>
      <c r="DK17" s="37">
        <f t="shared" si="7"/>
        <v>1675</v>
      </c>
      <c r="DL17" s="37">
        <f t="shared" si="7"/>
        <v>1676</v>
      </c>
      <c r="DM17" s="37">
        <f t="shared" si="7"/>
        <v>1677</v>
      </c>
      <c r="DN17" s="37">
        <f t="shared" si="7"/>
        <v>1678</v>
      </c>
      <c r="DO17" s="37">
        <f t="shared" si="7"/>
        <v>1679</v>
      </c>
      <c r="DP17" s="38">
        <f t="shared" si="7"/>
        <v>1680</v>
      </c>
      <c r="DR17" s="1214">
        <v>4</v>
      </c>
      <c r="DS17" s="1215"/>
      <c r="DT17" s="1215"/>
      <c r="DU17" s="1216"/>
    </row>
    <row r="18" spans="1:125" ht="5.85" customHeight="1" x14ac:dyDescent="0.3">
      <c r="A18" s="36">
        <v>1681</v>
      </c>
      <c r="B18" s="37">
        <f t="shared" si="8"/>
        <v>1682</v>
      </c>
      <c r="C18" s="37">
        <f t="shared" si="8"/>
        <v>1683</v>
      </c>
      <c r="D18" s="37">
        <f t="shared" si="8"/>
        <v>1684</v>
      </c>
      <c r="E18" s="37">
        <f t="shared" si="8"/>
        <v>1685</v>
      </c>
      <c r="F18" s="37">
        <f t="shared" si="8"/>
        <v>1686</v>
      </c>
      <c r="G18" s="37">
        <f t="shared" si="8"/>
        <v>1687</v>
      </c>
      <c r="H18" s="37">
        <f t="shared" si="8"/>
        <v>1688</v>
      </c>
      <c r="I18" s="37">
        <f t="shared" si="8"/>
        <v>1689</v>
      </c>
      <c r="J18" s="38">
        <f t="shared" si="8"/>
        <v>1690</v>
      </c>
      <c r="K18" s="36">
        <f t="shared" si="8"/>
        <v>1691</v>
      </c>
      <c r="L18" s="37">
        <f t="shared" si="8"/>
        <v>1692</v>
      </c>
      <c r="M18" s="37">
        <f t="shared" si="8"/>
        <v>1693</v>
      </c>
      <c r="N18" s="37">
        <f t="shared" si="8"/>
        <v>1694</v>
      </c>
      <c r="O18" s="37">
        <f t="shared" si="8"/>
        <v>1695</v>
      </c>
      <c r="P18" s="37">
        <f t="shared" si="8"/>
        <v>1696</v>
      </c>
      <c r="Q18" s="37">
        <f t="shared" si="8"/>
        <v>1697</v>
      </c>
      <c r="R18" s="37">
        <f t="shared" si="8"/>
        <v>1698</v>
      </c>
      <c r="S18" s="37">
        <f t="shared" si="8"/>
        <v>1699</v>
      </c>
      <c r="T18" s="38">
        <f t="shared" si="8"/>
        <v>1700</v>
      </c>
      <c r="U18" s="36">
        <f t="shared" si="8"/>
        <v>1701</v>
      </c>
      <c r="V18" s="37">
        <f t="shared" si="8"/>
        <v>1702</v>
      </c>
      <c r="W18" s="37">
        <f t="shared" si="8"/>
        <v>1703</v>
      </c>
      <c r="X18" s="37">
        <f t="shared" si="8"/>
        <v>1704</v>
      </c>
      <c r="Y18" s="37">
        <f t="shared" si="8"/>
        <v>1705</v>
      </c>
      <c r="Z18" s="37">
        <f t="shared" si="8"/>
        <v>1706</v>
      </c>
      <c r="AA18" s="37">
        <f t="shared" si="8"/>
        <v>1707</v>
      </c>
      <c r="AB18" s="37">
        <f t="shared" si="8"/>
        <v>1708</v>
      </c>
      <c r="AC18" s="37">
        <f t="shared" si="8"/>
        <v>1709</v>
      </c>
      <c r="AD18" s="38">
        <f t="shared" si="8"/>
        <v>1710</v>
      </c>
      <c r="AE18" s="36">
        <f t="shared" si="8"/>
        <v>1711</v>
      </c>
      <c r="AF18" s="37">
        <f t="shared" si="8"/>
        <v>1712</v>
      </c>
      <c r="AG18" s="37">
        <f t="shared" si="8"/>
        <v>1713</v>
      </c>
      <c r="AH18" s="37">
        <f t="shared" si="8"/>
        <v>1714</v>
      </c>
      <c r="AI18" s="37">
        <f t="shared" si="8"/>
        <v>1715</v>
      </c>
      <c r="AJ18" s="37">
        <f t="shared" si="8"/>
        <v>1716</v>
      </c>
      <c r="AK18" s="37">
        <f t="shared" si="8"/>
        <v>1717</v>
      </c>
      <c r="AL18" s="37">
        <f t="shared" si="8"/>
        <v>1718</v>
      </c>
      <c r="AM18" s="37">
        <f t="shared" si="8"/>
        <v>1719</v>
      </c>
      <c r="AN18" s="38">
        <f t="shared" si="8"/>
        <v>1720</v>
      </c>
      <c r="AO18" s="36">
        <f t="shared" si="8"/>
        <v>1721</v>
      </c>
      <c r="AP18" s="37">
        <f t="shared" si="8"/>
        <v>1722</v>
      </c>
      <c r="AQ18" s="37">
        <f t="shared" si="8"/>
        <v>1723</v>
      </c>
      <c r="AR18" s="37">
        <f t="shared" si="8"/>
        <v>1724</v>
      </c>
      <c r="AS18" s="37">
        <f t="shared" si="8"/>
        <v>1725</v>
      </c>
      <c r="AT18" s="37">
        <f t="shared" si="8"/>
        <v>1726</v>
      </c>
      <c r="AU18" s="37">
        <f t="shared" si="8"/>
        <v>1727</v>
      </c>
      <c r="AV18" s="37">
        <f t="shared" si="8"/>
        <v>1728</v>
      </c>
      <c r="AW18" s="37">
        <f t="shared" si="8"/>
        <v>1729</v>
      </c>
      <c r="AX18" s="38">
        <f t="shared" si="8"/>
        <v>1730</v>
      </c>
      <c r="AY18" s="36">
        <f t="shared" si="8"/>
        <v>1731</v>
      </c>
      <c r="AZ18" s="37">
        <f t="shared" si="8"/>
        <v>1732</v>
      </c>
      <c r="BA18" s="37">
        <f t="shared" si="8"/>
        <v>1733</v>
      </c>
      <c r="BB18" s="37">
        <f t="shared" si="8"/>
        <v>1734</v>
      </c>
      <c r="BC18" s="37">
        <f t="shared" si="8"/>
        <v>1735</v>
      </c>
      <c r="BD18" s="37">
        <f t="shared" si="8"/>
        <v>1736</v>
      </c>
      <c r="BE18" s="37">
        <f t="shared" si="8"/>
        <v>1737</v>
      </c>
      <c r="BF18" s="37">
        <f t="shared" si="8"/>
        <v>1738</v>
      </c>
      <c r="BG18" s="37">
        <f t="shared" si="8"/>
        <v>1739</v>
      </c>
      <c r="BH18" s="38">
        <f t="shared" si="8"/>
        <v>1740</v>
      </c>
      <c r="BI18" s="36">
        <f t="shared" si="8"/>
        <v>1741</v>
      </c>
      <c r="BJ18" s="37">
        <f t="shared" si="8"/>
        <v>1742</v>
      </c>
      <c r="BK18" s="37">
        <f t="shared" si="8"/>
        <v>1743</v>
      </c>
      <c r="BL18" s="37">
        <f t="shared" ref="AX18:BM28" si="12">BK18+1</f>
        <v>1744</v>
      </c>
      <c r="BM18" s="37">
        <f t="shared" si="12"/>
        <v>1745</v>
      </c>
      <c r="BN18" s="37">
        <f t="shared" si="0"/>
        <v>1746</v>
      </c>
      <c r="BO18" s="37">
        <f t="shared" si="9"/>
        <v>1747</v>
      </c>
      <c r="BP18" s="37">
        <f t="shared" si="9"/>
        <v>1748</v>
      </c>
      <c r="BQ18" s="37">
        <f t="shared" si="9"/>
        <v>1749</v>
      </c>
      <c r="BR18" s="39">
        <f t="shared" si="9"/>
        <v>1750</v>
      </c>
      <c r="BS18" s="36">
        <f t="shared" si="9"/>
        <v>1751</v>
      </c>
      <c r="BT18" s="37">
        <f t="shared" si="9"/>
        <v>1752</v>
      </c>
      <c r="BU18" s="37">
        <f t="shared" si="9"/>
        <v>1753</v>
      </c>
      <c r="BV18" s="37">
        <f t="shared" si="9"/>
        <v>1754</v>
      </c>
      <c r="BW18" s="37">
        <f t="shared" si="9"/>
        <v>1755</v>
      </c>
      <c r="BX18" s="37">
        <f t="shared" si="9"/>
        <v>1756</v>
      </c>
      <c r="BY18" s="37">
        <f t="shared" si="9"/>
        <v>1757</v>
      </c>
      <c r="BZ18" s="37">
        <f t="shared" si="9"/>
        <v>1758</v>
      </c>
      <c r="CA18" s="37">
        <f t="shared" si="9"/>
        <v>1759</v>
      </c>
      <c r="CB18" s="38">
        <f t="shared" si="9"/>
        <v>1760</v>
      </c>
      <c r="CC18" s="40">
        <f t="shared" si="9"/>
        <v>1761</v>
      </c>
      <c r="CD18" s="37">
        <f t="shared" si="9"/>
        <v>1762</v>
      </c>
      <c r="CE18" s="37">
        <f t="shared" si="10"/>
        <v>1763</v>
      </c>
      <c r="CF18" s="37">
        <f t="shared" si="10"/>
        <v>1764</v>
      </c>
      <c r="CG18" s="37">
        <f t="shared" si="10"/>
        <v>1765</v>
      </c>
      <c r="CH18" s="37">
        <f t="shared" si="10"/>
        <v>1766</v>
      </c>
      <c r="CI18" s="37">
        <f t="shared" si="10"/>
        <v>1767</v>
      </c>
      <c r="CJ18" s="37">
        <f t="shared" si="10"/>
        <v>1768</v>
      </c>
      <c r="CK18" s="37">
        <f t="shared" si="10"/>
        <v>1769</v>
      </c>
      <c r="CL18" s="39">
        <f t="shared" si="10"/>
        <v>1770</v>
      </c>
      <c r="CM18" s="36">
        <f t="shared" si="10"/>
        <v>1771</v>
      </c>
      <c r="CN18" s="37">
        <f t="shared" si="10"/>
        <v>1772</v>
      </c>
      <c r="CO18" s="37">
        <f t="shared" si="10"/>
        <v>1773</v>
      </c>
      <c r="CP18" s="37">
        <f t="shared" si="10"/>
        <v>1774</v>
      </c>
      <c r="CQ18" s="37">
        <f t="shared" si="10"/>
        <v>1775</v>
      </c>
      <c r="CR18" s="37">
        <f t="shared" si="10"/>
        <v>1776</v>
      </c>
      <c r="CS18" s="37">
        <f t="shared" si="10"/>
        <v>1777</v>
      </c>
      <c r="CT18" s="37">
        <f t="shared" si="10"/>
        <v>1778</v>
      </c>
      <c r="CU18" s="37">
        <f t="shared" si="11"/>
        <v>1779</v>
      </c>
      <c r="CV18" s="38">
        <f t="shared" si="11"/>
        <v>1780</v>
      </c>
      <c r="CW18" s="40">
        <f t="shared" si="11"/>
        <v>1781</v>
      </c>
      <c r="CX18" s="37">
        <f t="shared" si="11"/>
        <v>1782</v>
      </c>
      <c r="CY18" s="37">
        <f t="shared" si="11"/>
        <v>1783</v>
      </c>
      <c r="CZ18" s="37">
        <f t="shared" si="11"/>
        <v>1784</v>
      </c>
      <c r="DA18" s="37">
        <f t="shared" si="11"/>
        <v>1785</v>
      </c>
      <c r="DB18" s="37">
        <f t="shared" si="11"/>
        <v>1786</v>
      </c>
      <c r="DC18" s="37">
        <f t="shared" si="11"/>
        <v>1787</v>
      </c>
      <c r="DD18" s="37">
        <f t="shared" si="11"/>
        <v>1788</v>
      </c>
      <c r="DE18" s="37">
        <f t="shared" si="11"/>
        <v>1789</v>
      </c>
      <c r="DF18" s="39">
        <f t="shared" si="11"/>
        <v>1790</v>
      </c>
      <c r="DG18" s="36">
        <f t="shared" si="11"/>
        <v>1791</v>
      </c>
      <c r="DH18" s="37">
        <f t="shared" si="11"/>
        <v>1792</v>
      </c>
      <c r="DI18" s="37">
        <f t="shared" si="11"/>
        <v>1793</v>
      </c>
      <c r="DJ18" s="37">
        <f t="shared" si="11"/>
        <v>1794</v>
      </c>
      <c r="DK18" s="37">
        <f t="shared" si="7"/>
        <v>1795</v>
      </c>
      <c r="DL18" s="37">
        <f t="shared" si="7"/>
        <v>1796</v>
      </c>
      <c r="DM18" s="37">
        <f t="shared" si="7"/>
        <v>1797</v>
      </c>
      <c r="DN18" s="37">
        <f t="shared" si="7"/>
        <v>1798</v>
      </c>
      <c r="DO18" s="37">
        <f t="shared" si="7"/>
        <v>1799</v>
      </c>
      <c r="DP18" s="38">
        <f t="shared" si="7"/>
        <v>1800</v>
      </c>
      <c r="DR18" s="1214"/>
      <c r="DS18" s="1215"/>
      <c r="DT18" s="1215"/>
      <c r="DU18" s="1216"/>
    </row>
    <row r="19" spans="1:125" ht="5.85" customHeight="1" x14ac:dyDescent="0.3">
      <c r="A19" s="36">
        <v>1801</v>
      </c>
      <c r="B19" s="37">
        <f t="shared" ref="B19:Q28" si="13">A19+1</f>
        <v>1802</v>
      </c>
      <c r="C19" s="37">
        <f t="shared" si="13"/>
        <v>1803</v>
      </c>
      <c r="D19" s="37">
        <f t="shared" si="13"/>
        <v>1804</v>
      </c>
      <c r="E19" s="37">
        <f t="shared" si="13"/>
        <v>1805</v>
      </c>
      <c r="F19" s="37">
        <f t="shared" si="13"/>
        <v>1806</v>
      </c>
      <c r="G19" s="37">
        <f t="shared" si="13"/>
        <v>1807</v>
      </c>
      <c r="H19" s="37">
        <f t="shared" si="13"/>
        <v>1808</v>
      </c>
      <c r="I19" s="37">
        <f t="shared" si="13"/>
        <v>1809</v>
      </c>
      <c r="J19" s="38">
        <f t="shared" si="13"/>
        <v>1810</v>
      </c>
      <c r="K19" s="36">
        <f t="shared" si="13"/>
        <v>1811</v>
      </c>
      <c r="L19" s="37">
        <f t="shared" si="13"/>
        <v>1812</v>
      </c>
      <c r="M19" s="37">
        <f t="shared" si="13"/>
        <v>1813</v>
      </c>
      <c r="N19" s="37">
        <f t="shared" si="13"/>
        <v>1814</v>
      </c>
      <c r="O19" s="37">
        <f t="shared" si="13"/>
        <v>1815</v>
      </c>
      <c r="P19" s="37">
        <f t="shared" si="13"/>
        <v>1816</v>
      </c>
      <c r="Q19" s="37">
        <f t="shared" si="13"/>
        <v>1817</v>
      </c>
      <c r="R19" s="37">
        <f t="shared" ref="R19:AG28" si="14">Q19+1</f>
        <v>1818</v>
      </c>
      <c r="S19" s="37">
        <f t="shared" si="14"/>
        <v>1819</v>
      </c>
      <c r="T19" s="38">
        <f t="shared" si="14"/>
        <v>1820</v>
      </c>
      <c r="U19" s="36">
        <f t="shared" si="14"/>
        <v>1821</v>
      </c>
      <c r="V19" s="37">
        <f t="shared" si="14"/>
        <v>1822</v>
      </c>
      <c r="W19" s="37">
        <f t="shared" si="14"/>
        <v>1823</v>
      </c>
      <c r="X19" s="37">
        <f t="shared" si="14"/>
        <v>1824</v>
      </c>
      <c r="Y19" s="37">
        <f t="shared" si="14"/>
        <v>1825</v>
      </c>
      <c r="Z19" s="37">
        <f t="shared" si="14"/>
        <v>1826</v>
      </c>
      <c r="AA19" s="37">
        <f t="shared" si="14"/>
        <v>1827</v>
      </c>
      <c r="AB19" s="37">
        <f t="shared" si="14"/>
        <v>1828</v>
      </c>
      <c r="AC19" s="37">
        <f t="shared" si="14"/>
        <v>1829</v>
      </c>
      <c r="AD19" s="38">
        <f t="shared" si="14"/>
        <v>1830</v>
      </c>
      <c r="AE19" s="36">
        <f t="shared" si="14"/>
        <v>1831</v>
      </c>
      <c r="AF19" s="37">
        <f t="shared" si="14"/>
        <v>1832</v>
      </c>
      <c r="AG19" s="37">
        <f t="shared" si="14"/>
        <v>1833</v>
      </c>
      <c r="AH19" s="37">
        <f t="shared" ref="AH19:AW28" si="15">AG19+1</f>
        <v>1834</v>
      </c>
      <c r="AI19" s="37">
        <f t="shared" si="15"/>
        <v>1835</v>
      </c>
      <c r="AJ19" s="37">
        <f t="shared" si="15"/>
        <v>1836</v>
      </c>
      <c r="AK19" s="37">
        <f t="shared" si="15"/>
        <v>1837</v>
      </c>
      <c r="AL19" s="37">
        <f t="shared" si="15"/>
        <v>1838</v>
      </c>
      <c r="AM19" s="37">
        <f t="shared" si="15"/>
        <v>1839</v>
      </c>
      <c r="AN19" s="38">
        <f t="shared" si="15"/>
        <v>1840</v>
      </c>
      <c r="AO19" s="36">
        <f t="shared" si="15"/>
        <v>1841</v>
      </c>
      <c r="AP19" s="37">
        <f t="shared" si="15"/>
        <v>1842</v>
      </c>
      <c r="AQ19" s="37">
        <f t="shared" si="15"/>
        <v>1843</v>
      </c>
      <c r="AR19" s="37">
        <f t="shared" si="15"/>
        <v>1844</v>
      </c>
      <c r="AS19" s="37">
        <f t="shared" si="15"/>
        <v>1845</v>
      </c>
      <c r="AT19" s="37">
        <f t="shared" si="15"/>
        <v>1846</v>
      </c>
      <c r="AU19" s="37">
        <f t="shared" si="15"/>
        <v>1847</v>
      </c>
      <c r="AV19" s="37">
        <f t="shared" si="15"/>
        <v>1848</v>
      </c>
      <c r="AW19" s="37">
        <f t="shared" si="15"/>
        <v>1849</v>
      </c>
      <c r="AX19" s="38">
        <f t="shared" si="12"/>
        <v>1850</v>
      </c>
      <c r="AY19" s="36">
        <f t="shared" si="12"/>
        <v>1851</v>
      </c>
      <c r="AZ19" s="37">
        <f t="shared" si="12"/>
        <v>1852</v>
      </c>
      <c r="BA19" s="37">
        <f t="shared" si="12"/>
        <v>1853</v>
      </c>
      <c r="BB19" s="37">
        <f t="shared" si="12"/>
        <v>1854</v>
      </c>
      <c r="BC19" s="37">
        <f t="shared" si="12"/>
        <v>1855</v>
      </c>
      <c r="BD19" s="37">
        <f t="shared" si="12"/>
        <v>1856</v>
      </c>
      <c r="BE19" s="37">
        <f t="shared" si="12"/>
        <v>1857</v>
      </c>
      <c r="BF19" s="37">
        <f t="shared" si="12"/>
        <v>1858</v>
      </c>
      <c r="BG19" s="37">
        <f t="shared" si="12"/>
        <v>1859</v>
      </c>
      <c r="BH19" s="38">
        <f t="shared" si="12"/>
        <v>1860</v>
      </c>
      <c r="BI19" s="36">
        <f t="shared" si="12"/>
        <v>1861</v>
      </c>
      <c r="BJ19" s="37">
        <f t="shared" si="12"/>
        <v>1862</v>
      </c>
      <c r="BK19" s="37">
        <f t="shared" si="12"/>
        <v>1863</v>
      </c>
      <c r="BL19" s="37">
        <f t="shared" si="12"/>
        <v>1864</v>
      </c>
      <c r="BM19" s="37">
        <f t="shared" si="12"/>
        <v>1865</v>
      </c>
      <c r="BN19" s="37">
        <f t="shared" si="0"/>
        <v>1866</v>
      </c>
      <c r="BO19" s="37">
        <f t="shared" si="9"/>
        <v>1867</v>
      </c>
      <c r="BP19" s="37">
        <f t="shared" si="9"/>
        <v>1868</v>
      </c>
      <c r="BQ19" s="37">
        <f t="shared" si="9"/>
        <v>1869</v>
      </c>
      <c r="BR19" s="39">
        <f t="shared" si="9"/>
        <v>1870</v>
      </c>
      <c r="BS19" s="36">
        <f t="shared" si="9"/>
        <v>1871</v>
      </c>
      <c r="BT19" s="37">
        <f t="shared" si="9"/>
        <v>1872</v>
      </c>
      <c r="BU19" s="37">
        <f t="shared" si="9"/>
        <v>1873</v>
      </c>
      <c r="BV19" s="37">
        <f t="shared" si="9"/>
        <v>1874</v>
      </c>
      <c r="BW19" s="37">
        <f t="shared" si="9"/>
        <v>1875</v>
      </c>
      <c r="BX19" s="37">
        <f t="shared" si="9"/>
        <v>1876</v>
      </c>
      <c r="BY19" s="37">
        <f t="shared" si="9"/>
        <v>1877</v>
      </c>
      <c r="BZ19" s="37">
        <f t="shared" si="9"/>
        <v>1878</v>
      </c>
      <c r="CA19" s="37">
        <f t="shared" si="9"/>
        <v>1879</v>
      </c>
      <c r="CB19" s="38">
        <f t="shared" si="9"/>
        <v>1880</v>
      </c>
      <c r="CC19" s="40">
        <f t="shared" si="9"/>
        <v>1881</v>
      </c>
      <c r="CD19" s="37">
        <f t="shared" si="9"/>
        <v>1882</v>
      </c>
      <c r="CE19" s="37">
        <f t="shared" si="10"/>
        <v>1883</v>
      </c>
      <c r="CF19" s="37">
        <f t="shared" si="10"/>
        <v>1884</v>
      </c>
      <c r="CG19" s="37">
        <f t="shared" si="10"/>
        <v>1885</v>
      </c>
      <c r="CH19" s="37">
        <f t="shared" si="10"/>
        <v>1886</v>
      </c>
      <c r="CI19" s="37">
        <f t="shared" si="10"/>
        <v>1887</v>
      </c>
      <c r="CJ19" s="37">
        <f t="shared" si="10"/>
        <v>1888</v>
      </c>
      <c r="CK19" s="37">
        <f t="shared" si="10"/>
        <v>1889</v>
      </c>
      <c r="CL19" s="39">
        <f t="shared" si="10"/>
        <v>1890</v>
      </c>
      <c r="CM19" s="36">
        <f t="shared" si="10"/>
        <v>1891</v>
      </c>
      <c r="CN19" s="37">
        <f t="shared" si="10"/>
        <v>1892</v>
      </c>
      <c r="CO19" s="37">
        <f t="shared" si="10"/>
        <v>1893</v>
      </c>
      <c r="CP19" s="37">
        <f t="shared" si="10"/>
        <v>1894</v>
      </c>
      <c r="CQ19" s="37">
        <f t="shared" si="10"/>
        <v>1895</v>
      </c>
      <c r="CR19" s="37">
        <f t="shared" si="10"/>
        <v>1896</v>
      </c>
      <c r="CS19" s="37">
        <f t="shared" si="10"/>
        <v>1897</v>
      </c>
      <c r="CT19" s="37">
        <f t="shared" si="10"/>
        <v>1898</v>
      </c>
      <c r="CU19" s="37">
        <f t="shared" si="11"/>
        <v>1899</v>
      </c>
      <c r="CV19" s="38">
        <f t="shared" si="11"/>
        <v>1900</v>
      </c>
      <c r="CW19" s="40">
        <f t="shared" si="11"/>
        <v>1901</v>
      </c>
      <c r="CX19" s="37">
        <f t="shared" si="11"/>
        <v>1902</v>
      </c>
      <c r="CY19" s="37">
        <f t="shared" si="11"/>
        <v>1903</v>
      </c>
      <c r="CZ19" s="37">
        <f t="shared" si="11"/>
        <v>1904</v>
      </c>
      <c r="DA19" s="37">
        <f t="shared" si="11"/>
        <v>1905</v>
      </c>
      <c r="DB19" s="37">
        <f t="shared" si="11"/>
        <v>1906</v>
      </c>
      <c r="DC19" s="37">
        <f t="shared" si="11"/>
        <v>1907</v>
      </c>
      <c r="DD19" s="37">
        <f t="shared" si="11"/>
        <v>1908</v>
      </c>
      <c r="DE19" s="37">
        <f t="shared" si="11"/>
        <v>1909</v>
      </c>
      <c r="DF19" s="39">
        <f t="shared" si="11"/>
        <v>1910</v>
      </c>
      <c r="DG19" s="36">
        <f t="shared" si="11"/>
        <v>1911</v>
      </c>
      <c r="DH19" s="37">
        <f t="shared" si="11"/>
        <v>1912</v>
      </c>
      <c r="DI19" s="37">
        <f t="shared" si="11"/>
        <v>1913</v>
      </c>
      <c r="DJ19" s="37">
        <f t="shared" si="11"/>
        <v>1914</v>
      </c>
      <c r="DK19" s="37">
        <f t="shared" si="7"/>
        <v>1915</v>
      </c>
      <c r="DL19" s="37">
        <f t="shared" si="7"/>
        <v>1916</v>
      </c>
      <c r="DM19" s="37">
        <f t="shared" si="7"/>
        <v>1917</v>
      </c>
      <c r="DN19" s="37">
        <f t="shared" si="7"/>
        <v>1918</v>
      </c>
      <c r="DO19" s="37">
        <f t="shared" si="7"/>
        <v>1919</v>
      </c>
      <c r="DP19" s="38">
        <f t="shared" si="7"/>
        <v>1920</v>
      </c>
      <c r="DR19" s="1214"/>
      <c r="DS19" s="1215"/>
      <c r="DT19" s="1215"/>
      <c r="DU19" s="1216"/>
    </row>
    <row r="20" spans="1:125" ht="5.85" customHeight="1" x14ac:dyDescent="0.3">
      <c r="A20" s="36">
        <v>1921</v>
      </c>
      <c r="B20" s="37">
        <f t="shared" si="13"/>
        <v>1922</v>
      </c>
      <c r="C20" s="37">
        <f t="shared" si="13"/>
        <v>1923</v>
      </c>
      <c r="D20" s="37">
        <f t="shared" si="13"/>
        <v>1924</v>
      </c>
      <c r="E20" s="37">
        <f t="shared" si="13"/>
        <v>1925</v>
      </c>
      <c r="F20" s="37">
        <f t="shared" si="13"/>
        <v>1926</v>
      </c>
      <c r="G20" s="37">
        <f t="shared" si="13"/>
        <v>1927</v>
      </c>
      <c r="H20" s="37">
        <f t="shared" si="13"/>
        <v>1928</v>
      </c>
      <c r="I20" s="37">
        <f t="shared" si="13"/>
        <v>1929</v>
      </c>
      <c r="J20" s="38">
        <f t="shared" si="13"/>
        <v>1930</v>
      </c>
      <c r="K20" s="36">
        <f t="shared" si="13"/>
        <v>1931</v>
      </c>
      <c r="L20" s="37">
        <f t="shared" si="13"/>
        <v>1932</v>
      </c>
      <c r="M20" s="37">
        <f t="shared" si="13"/>
        <v>1933</v>
      </c>
      <c r="N20" s="37">
        <f t="shared" si="13"/>
        <v>1934</v>
      </c>
      <c r="O20" s="37">
        <f t="shared" si="13"/>
        <v>1935</v>
      </c>
      <c r="P20" s="37">
        <f t="shared" si="13"/>
        <v>1936</v>
      </c>
      <c r="Q20" s="37">
        <f t="shared" si="13"/>
        <v>1937</v>
      </c>
      <c r="R20" s="37">
        <f t="shared" si="14"/>
        <v>1938</v>
      </c>
      <c r="S20" s="37">
        <f t="shared" si="14"/>
        <v>1939</v>
      </c>
      <c r="T20" s="38">
        <f t="shared" si="14"/>
        <v>1940</v>
      </c>
      <c r="U20" s="36">
        <f t="shared" si="14"/>
        <v>1941</v>
      </c>
      <c r="V20" s="37">
        <f t="shared" si="14"/>
        <v>1942</v>
      </c>
      <c r="W20" s="37">
        <f t="shared" si="14"/>
        <v>1943</v>
      </c>
      <c r="X20" s="37">
        <f t="shared" si="14"/>
        <v>1944</v>
      </c>
      <c r="Y20" s="37">
        <f t="shared" si="14"/>
        <v>1945</v>
      </c>
      <c r="Z20" s="37">
        <f t="shared" si="14"/>
        <v>1946</v>
      </c>
      <c r="AA20" s="37">
        <f t="shared" si="14"/>
        <v>1947</v>
      </c>
      <c r="AB20" s="37">
        <f t="shared" si="14"/>
        <v>1948</v>
      </c>
      <c r="AC20" s="37">
        <f t="shared" si="14"/>
        <v>1949</v>
      </c>
      <c r="AD20" s="38">
        <f t="shared" si="14"/>
        <v>1950</v>
      </c>
      <c r="AE20" s="36">
        <f t="shared" si="14"/>
        <v>1951</v>
      </c>
      <c r="AF20" s="37">
        <f t="shared" si="14"/>
        <v>1952</v>
      </c>
      <c r="AG20" s="37">
        <f t="shared" si="14"/>
        <v>1953</v>
      </c>
      <c r="AH20" s="37">
        <f t="shared" si="15"/>
        <v>1954</v>
      </c>
      <c r="AI20" s="37">
        <f t="shared" si="15"/>
        <v>1955</v>
      </c>
      <c r="AJ20" s="37">
        <f t="shared" si="15"/>
        <v>1956</v>
      </c>
      <c r="AK20" s="37">
        <f t="shared" si="15"/>
        <v>1957</v>
      </c>
      <c r="AL20" s="37">
        <f t="shared" si="15"/>
        <v>1958</v>
      </c>
      <c r="AM20" s="37">
        <f t="shared" si="15"/>
        <v>1959</v>
      </c>
      <c r="AN20" s="38">
        <f t="shared" si="15"/>
        <v>1960</v>
      </c>
      <c r="AO20" s="36">
        <f t="shared" si="15"/>
        <v>1961</v>
      </c>
      <c r="AP20" s="37">
        <f t="shared" si="15"/>
        <v>1962</v>
      </c>
      <c r="AQ20" s="37">
        <f t="shared" si="15"/>
        <v>1963</v>
      </c>
      <c r="AR20" s="37">
        <f t="shared" si="15"/>
        <v>1964</v>
      </c>
      <c r="AS20" s="37">
        <f t="shared" si="15"/>
        <v>1965</v>
      </c>
      <c r="AT20" s="37">
        <f t="shared" si="15"/>
        <v>1966</v>
      </c>
      <c r="AU20" s="37">
        <f t="shared" si="15"/>
        <v>1967</v>
      </c>
      <c r="AV20" s="37">
        <f t="shared" si="15"/>
        <v>1968</v>
      </c>
      <c r="AW20" s="37">
        <f t="shared" si="15"/>
        <v>1969</v>
      </c>
      <c r="AX20" s="38">
        <f t="shared" si="12"/>
        <v>1970</v>
      </c>
      <c r="AY20" s="36">
        <f t="shared" si="12"/>
        <v>1971</v>
      </c>
      <c r="AZ20" s="37">
        <f t="shared" si="12"/>
        <v>1972</v>
      </c>
      <c r="BA20" s="37">
        <f t="shared" si="12"/>
        <v>1973</v>
      </c>
      <c r="BB20" s="37">
        <f t="shared" si="12"/>
        <v>1974</v>
      </c>
      <c r="BC20" s="37">
        <f>BB20+1</f>
        <v>1975</v>
      </c>
      <c r="BD20" s="37">
        <f t="shared" si="12"/>
        <v>1976</v>
      </c>
      <c r="BE20" s="37">
        <f t="shared" si="12"/>
        <v>1977</v>
      </c>
      <c r="BF20" s="37">
        <f t="shared" si="12"/>
        <v>1978</v>
      </c>
      <c r="BG20" s="37">
        <f t="shared" si="12"/>
        <v>1979</v>
      </c>
      <c r="BH20" s="38">
        <f t="shared" si="12"/>
        <v>1980</v>
      </c>
      <c r="BI20" s="36">
        <f t="shared" si="12"/>
        <v>1981</v>
      </c>
      <c r="BJ20" s="37">
        <f t="shared" si="12"/>
        <v>1982</v>
      </c>
      <c r="BK20" s="37">
        <f t="shared" si="12"/>
        <v>1983</v>
      </c>
      <c r="BL20" s="37">
        <f t="shared" si="12"/>
        <v>1984</v>
      </c>
      <c r="BM20" s="37">
        <f t="shared" si="12"/>
        <v>1985</v>
      </c>
      <c r="BN20" s="37">
        <f t="shared" ref="BN20:BN28" si="16">BM20+1</f>
        <v>1986</v>
      </c>
      <c r="BO20" s="37">
        <f t="shared" si="9"/>
        <v>1987</v>
      </c>
      <c r="BP20" s="37">
        <f t="shared" si="9"/>
        <v>1988</v>
      </c>
      <c r="BQ20" s="37">
        <f t="shared" si="9"/>
        <v>1989</v>
      </c>
      <c r="BR20" s="39">
        <f t="shared" si="9"/>
        <v>1990</v>
      </c>
      <c r="BS20" s="36">
        <f t="shared" si="9"/>
        <v>1991</v>
      </c>
      <c r="BT20" s="37">
        <f t="shared" si="9"/>
        <v>1992</v>
      </c>
      <c r="BU20" s="37">
        <f t="shared" si="9"/>
        <v>1993</v>
      </c>
      <c r="BV20" s="37">
        <f t="shared" si="9"/>
        <v>1994</v>
      </c>
      <c r="BW20" s="37">
        <f t="shared" si="9"/>
        <v>1995</v>
      </c>
      <c r="BX20" s="37">
        <f t="shared" si="9"/>
        <v>1996</v>
      </c>
      <c r="BY20" s="37">
        <f t="shared" si="9"/>
        <v>1997</v>
      </c>
      <c r="BZ20" s="37">
        <f t="shared" si="9"/>
        <v>1998</v>
      </c>
      <c r="CA20" s="37">
        <f t="shared" si="9"/>
        <v>1999</v>
      </c>
      <c r="CB20" s="38">
        <f t="shared" si="9"/>
        <v>2000</v>
      </c>
      <c r="CC20" s="40">
        <f t="shared" si="9"/>
        <v>2001</v>
      </c>
      <c r="CD20" s="37">
        <f t="shared" si="9"/>
        <v>2002</v>
      </c>
      <c r="CE20" s="37">
        <f t="shared" si="10"/>
        <v>2003</v>
      </c>
      <c r="CF20" s="37">
        <f t="shared" si="10"/>
        <v>2004</v>
      </c>
      <c r="CG20" s="37">
        <f t="shared" si="10"/>
        <v>2005</v>
      </c>
      <c r="CH20" s="37">
        <f t="shared" si="10"/>
        <v>2006</v>
      </c>
      <c r="CI20" s="37">
        <f t="shared" si="10"/>
        <v>2007</v>
      </c>
      <c r="CJ20" s="37">
        <f t="shared" si="10"/>
        <v>2008</v>
      </c>
      <c r="CK20" s="37">
        <f t="shared" si="10"/>
        <v>2009</v>
      </c>
      <c r="CL20" s="39">
        <f t="shared" si="10"/>
        <v>2010</v>
      </c>
      <c r="CM20" s="36">
        <f t="shared" si="10"/>
        <v>2011</v>
      </c>
      <c r="CN20" s="37">
        <f t="shared" si="10"/>
        <v>2012</v>
      </c>
      <c r="CO20" s="37">
        <f t="shared" si="10"/>
        <v>2013</v>
      </c>
      <c r="CP20" s="37">
        <f t="shared" si="10"/>
        <v>2014</v>
      </c>
      <c r="CQ20" s="37">
        <f t="shared" si="10"/>
        <v>2015</v>
      </c>
      <c r="CR20" s="37">
        <f t="shared" si="10"/>
        <v>2016</v>
      </c>
      <c r="CS20" s="37">
        <f t="shared" si="10"/>
        <v>2017</v>
      </c>
      <c r="CT20" s="37">
        <f t="shared" si="10"/>
        <v>2018</v>
      </c>
      <c r="CU20" s="37">
        <f t="shared" si="11"/>
        <v>2019</v>
      </c>
      <c r="CV20" s="38">
        <f t="shared" si="11"/>
        <v>2020</v>
      </c>
      <c r="CW20" s="40">
        <f t="shared" si="11"/>
        <v>2021</v>
      </c>
      <c r="CX20" s="37">
        <f t="shared" si="11"/>
        <v>2022</v>
      </c>
      <c r="CY20" s="37">
        <f t="shared" si="11"/>
        <v>2023</v>
      </c>
      <c r="CZ20" s="37">
        <f t="shared" si="11"/>
        <v>2024</v>
      </c>
      <c r="DA20" s="37">
        <f t="shared" si="11"/>
        <v>2025</v>
      </c>
      <c r="DB20" s="37">
        <f t="shared" si="11"/>
        <v>2026</v>
      </c>
      <c r="DC20" s="37">
        <f t="shared" si="11"/>
        <v>2027</v>
      </c>
      <c r="DD20" s="37">
        <f t="shared" si="11"/>
        <v>2028</v>
      </c>
      <c r="DE20" s="37">
        <f t="shared" si="11"/>
        <v>2029</v>
      </c>
      <c r="DF20" s="39">
        <f t="shared" si="11"/>
        <v>2030</v>
      </c>
      <c r="DG20" s="36">
        <f t="shared" si="11"/>
        <v>2031</v>
      </c>
      <c r="DH20" s="37">
        <f t="shared" si="11"/>
        <v>2032</v>
      </c>
      <c r="DI20" s="37">
        <f t="shared" si="11"/>
        <v>2033</v>
      </c>
      <c r="DJ20" s="37">
        <f t="shared" si="11"/>
        <v>2034</v>
      </c>
      <c r="DK20" s="37">
        <f t="shared" si="7"/>
        <v>2035</v>
      </c>
      <c r="DL20" s="37">
        <f t="shared" si="7"/>
        <v>2036</v>
      </c>
      <c r="DM20" s="37">
        <f t="shared" si="7"/>
        <v>2037</v>
      </c>
      <c r="DN20" s="37">
        <f t="shared" si="7"/>
        <v>2038</v>
      </c>
      <c r="DO20" s="37">
        <f t="shared" si="7"/>
        <v>2039</v>
      </c>
      <c r="DP20" s="38">
        <f t="shared" si="7"/>
        <v>2040</v>
      </c>
      <c r="DR20" s="1214">
        <v>5</v>
      </c>
      <c r="DS20" s="1215"/>
      <c r="DT20" s="1215"/>
      <c r="DU20" s="1216"/>
    </row>
    <row r="21" spans="1:125" ht="5.85" customHeight="1" x14ac:dyDescent="0.3">
      <c r="A21" s="36">
        <v>2041</v>
      </c>
      <c r="B21" s="37">
        <f t="shared" si="13"/>
        <v>2042</v>
      </c>
      <c r="C21" s="37">
        <f t="shared" si="13"/>
        <v>2043</v>
      </c>
      <c r="D21" s="37">
        <f t="shared" si="13"/>
        <v>2044</v>
      </c>
      <c r="E21" s="37">
        <f t="shared" si="13"/>
        <v>2045</v>
      </c>
      <c r="F21" s="37">
        <f t="shared" si="13"/>
        <v>2046</v>
      </c>
      <c r="G21" s="37">
        <f t="shared" si="13"/>
        <v>2047</v>
      </c>
      <c r="H21" s="37">
        <f t="shared" si="13"/>
        <v>2048</v>
      </c>
      <c r="I21" s="37">
        <f t="shared" si="13"/>
        <v>2049</v>
      </c>
      <c r="J21" s="38">
        <f t="shared" si="13"/>
        <v>2050</v>
      </c>
      <c r="K21" s="36">
        <f t="shared" si="13"/>
        <v>2051</v>
      </c>
      <c r="L21" s="37">
        <f t="shared" si="13"/>
        <v>2052</v>
      </c>
      <c r="M21" s="37">
        <f t="shared" si="13"/>
        <v>2053</v>
      </c>
      <c r="N21" s="37">
        <f t="shared" si="13"/>
        <v>2054</v>
      </c>
      <c r="O21" s="37">
        <f t="shared" si="13"/>
        <v>2055</v>
      </c>
      <c r="P21" s="37">
        <f t="shared" si="13"/>
        <v>2056</v>
      </c>
      <c r="Q21" s="37">
        <f t="shared" si="13"/>
        <v>2057</v>
      </c>
      <c r="R21" s="37">
        <f t="shared" si="14"/>
        <v>2058</v>
      </c>
      <c r="S21" s="37">
        <f t="shared" si="14"/>
        <v>2059</v>
      </c>
      <c r="T21" s="38">
        <f t="shared" si="14"/>
        <v>2060</v>
      </c>
      <c r="U21" s="36">
        <f t="shared" si="14"/>
        <v>2061</v>
      </c>
      <c r="V21" s="37">
        <f t="shared" si="14"/>
        <v>2062</v>
      </c>
      <c r="W21" s="37">
        <f t="shared" si="14"/>
        <v>2063</v>
      </c>
      <c r="X21" s="37">
        <f t="shared" si="14"/>
        <v>2064</v>
      </c>
      <c r="Y21" s="37">
        <f t="shared" si="14"/>
        <v>2065</v>
      </c>
      <c r="Z21" s="37">
        <f t="shared" si="14"/>
        <v>2066</v>
      </c>
      <c r="AA21" s="37">
        <f t="shared" si="14"/>
        <v>2067</v>
      </c>
      <c r="AB21" s="37">
        <f t="shared" si="14"/>
        <v>2068</v>
      </c>
      <c r="AC21" s="37">
        <f t="shared" si="14"/>
        <v>2069</v>
      </c>
      <c r="AD21" s="38">
        <f t="shared" si="14"/>
        <v>2070</v>
      </c>
      <c r="AE21" s="36">
        <f t="shared" si="14"/>
        <v>2071</v>
      </c>
      <c r="AF21" s="37">
        <f t="shared" si="14"/>
        <v>2072</v>
      </c>
      <c r="AG21" s="37">
        <f t="shared" si="14"/>
        <v>2073</v>
      </c>
      <c r="AH21" s="37">
        <f t="shared" si="15"/>
        <v>2074</v>
      </c>
      <c r="AI21" s="37">
        <f t="shared" si="15"/>
        <v>2075</v>
      </c>
      <c r="AJ21" s="37">
        <f t="shared" si="15"/>
        <v>2076</v>
      </c>
      <c r="AK21" s="37">
        <f t="shared" si="15"/>
        <v>2077</v>
      </c>
      <c r="AL21" s="37">
        <f t="shared" si="15"/>
        <v>2078</v>
      </c>
      <c r="AM21" s="37">
        <f t="shared" si="15"/>
        <v>2079</v>
      </c>
      <c r="AN21" s="38">
        <f t="shared" si="15"/>
        <v>2080</v>
      </c>
      <c r="AO21" s="36">
        <f t="shared" si="15"/>
        <v>2081</v>
      </c>
      <c r="AP21" s="37">
        <f t="shared" si="15"/>
        <v>2082</v>
      </c>
      <c r="AQ21" s="37">
        <f t="shared" si="15"/>
        <v>2083</v>
      </c>
      <c r="AR21" s="37">
        <f t="shared" si="15"/>
        <v>2084</v>
      </c>
      <c r="AS21" s="37">
        <f t="shared" si="15"/>
        <v>2085</v>
      </c>
      <c r="AT21" s="37">
        <f t="shared" si="15"/>
        <v>2086</v>
      </c>
      <c r="AU21" s="37">
        <f t="shared" si="15"/>
        <v>2087</v>
      </c>
      <c r="AV21" s="37">
        <f t="shared" si="15"/>
        <v>2088</v>
      </c>
      <c r="AW21" s="37">
        <f t="shared" si="15"/>
        <v>2089</v>
      </c>
      <c r="AX21" s="38">
        <f t="shared" si="12"/>
        <v>2090</v>
      </c>
      <c r="AY21" s="36">
        <f t="shared" si="12"/>
        <v>2091</v>
      </c>
      <c r="AZ21" s="37">
        <f t="shared" si="12"/>
        <v>2092</v>
      </c>
      <c r="BA21" s="37">
        <f t="shared" si="12"/>
        <v>2093</v>
      </c>
      <c r="BB21" s="37">
        <f t="shared" si="12"/>
        <v>2094</v>
      </c>
      <c r="BC21" s="37">
        <f t="shared" si="12"/>
        <v>2095</v>
      </c>
      <c r="BD21" s="37">
        <f t="shared" si="12"/>
        <v>2096</v>
      </c>
      <c r="BE21" s="37">
        <f t="shared" si="12"/>
        <v>2097</v>
      </c>
      <c r="BF21" s="37">
        <f t="shared" si="12"/>
        <v>2098</v>
      </c>
      <c r="BG21" s="37">
        <f t="shared" si="12"/>
        <v>2099</v>
      </c>
      <c r="BH21" s="38">
        <f t="shared" si="12"/>
        <v>2100</v>
      </c>
      <c r="BI21" s="36">
        <f t="shared" si="12"/>
        <v>2101</v>
      </c>
      <c r="BJ21" s="37">
        <f t="shared" si="12"/>
        <v>2102</v>
      </c>
      <c r="BK21" s="37">
        <f t="shared" si="12"/>
        <v>2103</v>
      </c>
      <c r="BL21" s="37">
        <f t="shared" si="12"/>
        <v>2104</v>
      </c>
      <c r="BM21" s="37">
        <f t="shared" si="12"/>
        <v>2105</v>
      </c>
      <c r="BN21" s="37">
        <f t="shared" si="16"/>
        <v>2106</v>
      </c>
      <c r="BO21" s="37">
        <f t="shared" si="9"/>
        <v>2107</v>
      </c>
      <c r="BP21" s="37">
        <f t="shared" si="9"/>
        <v>2108</v>
      </c>
      <c r="BQ21" s="37">
        <f t="shared" si="9"/>
        <v>2109</v>
      </c>
      <c r="BR21" s="39">
        <f t="shared" si="9"/>
        <v>2110</v>
      </c>
      <c r="BS21" s="36">
        <f t="shared" si="9"/>
        <v>2111</v>
      </c>
      <c r="BT21" s="37">
        <f t="shared" si="9"/>
        <v>2112</v>
      </c>
      <c r="BU21" s="37">
        <f t="shared" si="9"/>
        <v>2113</v>
      </c>
      <c r="BV21" s="37">
        <f t="shared" si="9"/>
        <v>2114</v>
      </c>
      <c r="BW21" s="37">
        <f t="shared" si="9"/>
        <v>2115</v>
      </c>
      <c r="BX21" s="37">
        <f t="shared" si="9"/>
        <v>2116</v>
      </c>
      <c r="BY21" s="37">
        <f t="shared" si="9"/>
        <v>2117</v>
      </c>
      <c r="BZ21" s="37">
        <f t="shared" si="9"/>
        <v>2118</v>
      </c>
      <c r="CA21" s="37">
        <f t="shared" si="9"/>
        <v>2119</v>
      </c>
      <c r="CB21" s="38">
        <f t="shared" si="9"/>
        <v>2120</v>
      </c>
      <c r="CC21" s="40">
        <f t="shared" si="9"/>
        <v>2121</v>
      </c>
      <c r="CD21" s="37">
        <f t="shared" si="9"/>
        <v>2122</v>
      </c>
      <c r="CE21" s="37">
        <f t="shared" si="10"/>
        <v>2123</v>
      </c>
      <c r="CF21" s="37">
        <f t="shared" si="10"/>
        <v>2124</v>
      </c>
      <c r="CG21" s="37">
        <f t="shared" si="10"/>
        <v>2125</v>
      </c>
      <c r="CH21" s="37">
        <f t="shared" si="10"/>
        <v>2126</v>
      </c>
      <c r="CI21" s="37">
        <f t="shared" si="10"/>
        <v>2127</v>
      </c>
      <c r="CJ21" s="37">
        <f t="shared" si="10"/>
        <v>2128</v>
      </c>
      <c r="CK21" s="37">
        <f t="shared" si="10"/>
        <v>2129</v>
      </c>
      <c r="CL21" s="39">
        <f t="shared" si="10"/>
        <v>2130</v>
      </c>
      <c r="CM21" s="36">
        <f t="shared" si="10"/>
        <v>2131</v>
      </c>
      <c r="CN21" s="37">
        <f t="shared" si="10"/>
        <v>2132</v>
      </c>
      <c r="CO21" s="37">
        <f t="shared" si="10"/>
        <v>2133</v>
      </c>
      <c r="CP21" s="37">
        <f t="shared" si="10"/>
        <v>2134</v>
      </c>
      <c r="CQ21" s="37">
        <f t="shared" si="10"/>
        <v>2135</v>
      </c>
      <c r="CR21" s="37">
        <f t="shared" si="10"/>
        <v>2136</v>
      </c>
      <c r="CS21" s="37">
        <f t="shared" si="10"/>
        <v>2137</v>
      </c>
      <c r="CT21" s="37">
        <f t="shared" si="10"/>
        <v>2138</v>
      </c>
      <c r="CU21" s="37">
        <f t="shared" si="11"/>
        <v>2139</v>
      </c>
      <c r="CV21" s="38">
        <f t="shared" si="11"/>
        <v>2140</v>
      </c>
      <c r="CW21" s="40">
        <f t="shared" si="11"/>
        <v>2141</v>
      </c>
      <c r="CX21" s="37">
        <f t="shared" si="11"/>
        <v>2142</v>
      </c>
      <c r="CY21" s="37">
        <f t="shared" si="11"/>
        <v>2143</v>
      </c>
      <c r="CZ21" s="37">
        <f t="shared" si="11"/>
        <v>2144</v>
      </c>
      <c r="DA21" s="37">
        <f t="shared" si="11"/>
        <v>2145</v>
      </c>
      <c r="DB21" s="37">
        <f t="shared" si="11"/>
        <v>2146</v>
      </c>
      <c r="DC21" s="37">
        <f t="shared" si="11"/>
        <v>2147</v>
      </c>
      <c r="DD21" s="37">
        <f t="shared" si="11"/>
        <v>2148</v>
      </c>
      <c r="DE21" s="37">
        <f t="shared" si="11"/>
        <v>2149</v>
      </c>
      <c r="DF21" s="39">
        <f t="shared" si="11"/>
        <v>2150</v>
      </c>
      <c r="DG21" s="36">
        <f t="shared" si="11"/>
        <v>2151</v>
      </c>
      <c r="DH21" s="37">
        <f t="shared" si="11"/>
        <v>2152</v>
      </c>
      <c r="DI21" s="37">
        <f t="shared" si="11"/>
        <v>2153</v>
      </c>
      <c r="DJ21" s="37">
        <f t="shared" si="11"/>
        <v>2154</v>
      </c>
      <c r="DK21" s="37">
        <f t="shared" si="7"/>
        <v>2155</v>
      </c>
      <c r="DL21" s="37">
        <f t="shared" si="7"/>
        <v>2156</v>
      </c>
      <c r="DM21" s="37">
        <f t="shared" si="7"/>
        <v>2157</v>
      </c>
      <c r="DN21" s="37">
        <f t="shared" si="7"/>
        <v>2158</v>
      </c>
      <c r="DO21" s="37">
        <f t="shared" si="7"/>
        <v>2159</v>
      </c>
      <c r="DP21" s="38">
        <f t="shared" si="7"/>
        <v>2160</v>
      </c>
      <c r="DR21" s="1214"/>
      <c r="DS21" s="1215"/>
      <c r="DT21" s="1215"/>
      <c r="DU21" s="1216"/>
    </row>
    <row r="22" spans="1:125" ht="5.85" customHeight="1" x14ac:dyDescent="0.3">
      <c r="A22" s="36">
        <v>2161</v>
      </c>
      <c r="B22" s="37">
        <f t="shared" si="13"/>
        <v>2162</v>
      </c>
      <c r="C22" s="37">
        <f t="shared" si="13"/>
        <v>2163</v>
      </c>
      <c r="D22" s="37">
        <f t="shared" si="13"/>
        <v>2164</v>
      </c>
      <c r="E22" s="37">
        <f t="shared" si="13"/>
        <v>2165</v>
      </c>
      <c r="F22" s="37">
        <f t="shared" si="13"/>
        <v>2166</v>
      </c>
      <c r="G22" s="37">
        <f t="shared" si="13"/>
        <v>2167</v>
      </c>
      <c r="H22" s="37">
        <f t="shared" si="13"/>
        <v>2168</v>
      </c>
      <c r="I22" s="37">
        <f t="shared" si="13"/>
        <v>2169</v>
      </c>
      <c r="J22" s="38">
        <f t="shared" si="13"/>
        <v>2170</v>
      </c>
      <c r="K22" s="36">
        <f t="shared" si="13"/>
        <v>2171</v>
      </c>
      <c r="L22" s="37">
        <f t="shared" si="13"/>
        <v>2172</v>
      </c>
      <c r="M22" s="37">
        <f t="shared" si="13"/>
        <v>2173</v>
      </c>
      <c r="N22" s="37">
        <f t="shared" si="13"/>
        <v>2174</v>
      </c>
      <c r="O22" s="37">
        <f t="shared" si="13"/>
        <v>2175</v>
      </c>
      <c r="P22" s="37">
        <f t="shared" si="13"/>
        <v>2176</v>
      </c>
      <c r="Q22" s="37">
        <f t="shared" si="13"/>
        <v>2177</v>
      </c>
      <c r="R22" s="37">
        <f t="shared" si="14"/>
        <v>2178</v>
      </c>
      <c r="S22" s="37">
        <f t="shared" si="14"/>
        <v>2179</v>
      </c>
      <c r="T22" s="38">
        <f t="shared" si="14"/>
        <v>2180</v>
      </c>
      <c r="U22" s="36">
        <f t="shared" si="14"/>
        <v>2181</v>
      </c>
      <c r="V22" s="37">
        <f t="shared" si="14"/>
        <v>2182</v>
      </c>
      <c r="W22" s="37">
        <f t="shared" si="14"/>
        <v>2183</v>
      </c>
      <c r="X22" s="37">
        <f t="shared" si="14"/>
        <v>2184</v>
      </c>
      <c r="Y22" s="37">
        <f t="shared" si="14"/>
        <v>2185</v>
      </c>
      <c r="Z22" s="37">
        <f t="shared" si="14"/>
        <v>2186</v>
      </c>
      <c r="AA22" s="37">
        <f t="shared" si="14"/>
        <v>2187</v>
      </c>
      <c r="AB22" s="37">
        <f t="shared" si="14"/>
        <v>2188</v>
      </c>
      <c r="AC22" s="37">
        <f t="shared" si="14"/>
        <v>2189</v>
      </c>
      <c r="AD22" s="38">
        <f t="shared" si="14"/>
        <v>2190</v>
      </c>
      <c r="AE22" s="36">
        <f t="shared" si="14"/>
        <v>2191</v>
      </c>
      <c r="AF22" s="37">
        <f t="shared" si="14"/>
        <v>2192</v>
      </c>
      <c r="AG22" s="37">
        <f t="shared" si="14"/>
        <v>2193</v>
      </c>
      <c r="AH22" s="37">
        <f t="shared" si="15"/>
        <v>2194</v>
      </c>
      <c r="AI22" s="37">
        <f t="shared" si="15"/>
        <v>2195</v>
      </c>
      <c r="AJ22" s="37">
        <f t="shared" si="15"/>
        <v>2196</v>
      </c>
      <c r="AK22" s="37">
        <f t="shared" si="15"/>
        <v>2197</v>
      </c>
      <c r="AL22" s="37">
        <f t="shared" si="15"/>
        <v>2198</v>
      </c>
      <c r="AM22" s="37">
        <f t="shared" si="15"/>
        <v>2199</v>
      </c>
      <c r="AN22" s="38">
        <f t="shared" si="15"/>
        <v>2200</v>
      </c>
      <c r="AO22" s="36">
        <f t="shared" si="15"/>
        <v>2201</v>
      </c>
      <c r="AP22" s="37">
        <f t="shared" si="15"/>
        <v>2202</v>
      </c>
      <c r="AQ22" s="37">
        <f t="shared" si="15"/>
        <v>2203</v>
      </c>
      <c r="AR22" s="37">
        <f t="shared" si="15"/>
        <v>2204</v>
      </c>
      <c r="AS22" s="37">
        <f t="shared" si="15"/>
        <v>2205</v>
      </c>
      <c r="AT22" s="37">
        <f t="shared" si="15"/>
        <v>2206</v>
      </c>
      <c r="AU22" s="37">
        <f t="shared" si="15"/>
        <v>2207</v>
      </c>
      <c r="AV22" s="37">
        <f t="shared" si="15"/>
        <v>2208</v>
      </c>
      <c r="AW22" s="37">
        <f t="shared" si="15"/>
        <v>2209</v>
      </c>
      <c r="AX22" s="38">
        <f t="shared" si="12"/>
        <v>2210</v>
      </c>
      <c r="AY22" s="36">
        <f t="shared" si="12"/>
        <v>2211</v>
      </c>
      <c r="AZ22" s="37">
        <f t="shared" si="12"/>
        <v>2212</v>
      </c>
      <c r="BA22" s="37">
        <f t="shared" si="12"/>
        <v>2213</v>
      </c>
      <c r="BB22" s="37">
        <f t="shared" si="12"/>
        <v>2214</v>
      </c>
      <c r="BC22" s="37">
        <f t="shared" si="12"/>
        <v>2215</v>
      </c>
      <c r="BD22" s="37">
        <f t="shared" si="12"/>
        <v>2216</v>
      </c>
      <c r="BE22" s="37">
        <f t="shared" si="12"/>
        <v>2217</v>
      </c>
      <c r="BF22" s="37">
        <f t="shared" si="12"/>
        <v>2218</v>
      </c>
      <c r="BG22" s="37">
        <f t="shared" si="12"/>
        <v>2219</v>
      </c>
      <c r="BH22" s="38">
        <f t="shared" si="12"/>
        <v>2220</v>
      </c>
      <c r="BI22" s="36">
        <f t="shared" si="12"/>
        <v>2221</v>
      </c>
      <c r="BJ22" s="37">
        <f t="shared" si="12"/>
        <v>2222</v>
      </c>
      <c r="BK22" s="37">
        <f t="shared" si="12"/>
        <v>2223</v>
      </c>
      <c r="BL22" s="37">
        <f t="shared" si="12"/>
        <v>2224</v>
      </c>
      <c r="BM22" s="37">
        <f t="shared" si="12"/>
        <v>2225</v>
      </c>
      <c r="BN22" s="37">
        <f t="shared" si="16"/>
        <v>2226</v>
      </c>
      <c r="BO22" s="37">
        <f t="shared" si="9"/>
        <v>2227</v>
      </c>
      <c r="BP22" s="37">
        <f t="shared" si="9"/>
        <v>2228</v>
      </c>
      <c r="BQ22" s="37">
        <f t="shared" si="9"/>
        <v>2229</v>
      </c>
      <c r="BR22" s="39">
        <f t="shared" si="9"/>
        <v>2230</v>
      </c>
      <c r="BS22" s="36">
        <f t="shared" si="9"/>
        <v>2231</v>
      </c>
      <c r="BT22" s="37">
        <f t="shared" si="9"/>
        <v>2232</v>
      </c>
      <c r="BU22" s="37">
        <f t="shared" si="9"/>
        <v>2233</v>
      </c>
      <c r="BV22" s="37">
        <f t="shared" si="9"/>
        <v>2234</v>
      </c>
      <c r="BW22" s="37">
        <f t="shared" si="9"/>
        <v>2235</v>
      </c>
      <c r="BX22" s="37">
        <f t="shared" si="9"/>
        <v>2236</v>
      </c>
      <c r="BY22" s="37">
        <f t="shared" si="9"/>
        <v>2237</v>
      </c>
      <c r="BZ22" s="37">
        <f t="shared" si="9"/>
        <v>2238</v>
      </c>
      <c r="CA22" s="37">
        <f t="shared" si="9"/>
        <v>2239</v>
      </c>
      <c r="CB22" s="38">
        <f t="shared" si="9"/>
        <v>2240</v>
      </c>
      <c r="CC22" s="40">
        <f t="shared" si="9"/>
        <v>2241</v>
      </c>
      <c r="CD22" s="37">
        <f t="shared" si="9"/>
        <v>2242</v>
      </c>
      <c r="CE22" s="37">
        <f t="shared" si="10"/>
        <v>2243</v>
      </c>
      <c r="CF22" s="37">
        <f t="shared" si="10"/>
        <v>2244</v>
      </c>
      <c r="CG22" s="37">
        <f t="shared" si="10"/>
        <v>2245</v>
      </c>
      <c r="CH22" s="37">
        <f t="shared" si="10"/>
        <v>2246</v>
      </c>
      <c r="CI22" s="37">
        <f t="shared" si="10"/>
        <v>2247</v>
      </c>
      <c r="CJ22" s="37">
        <f t="shared" si="10"/>
        <v>2248</v>
      </c>
      <c r="CK22" s="37">
        <f t="shared" si="10"/>
        <v>2249</v>
      </c>
      <c r="CL22" s="39">
        <f t="shared" si="10"/>
        <v>2250</v>
      </c>
      <c r="CM22" s="36">
        <f t="shared" si="10"/>
        <v>2251</v>
      </c>
      <c r="CN22" s="37">
        <f t="shared" si="10"/>
        <v>2252</v>
      </c>
      <c r="CO22" s="37">
        <f t="shared" si="10"/>
        <v>2253</v>
      </c>
      <c r="CP22" s="37">
        <f t="shared" si="10"/>
        <v>2254</v>
      </c>
      <c r="CQ22" s="37">
        <f t="shared" si="10"/>
        <v>2255</v>
      </c>
      <c r="CR22" s="37">
        <f t="shared" si="10"/>
        <v>2256</v>
      </c>
      <c r="CS22" s="37">
        <f t="shared" si="10"/>
        <v>2257</v>
      </c>
      <c r="CT22" s="37">
        <f t="shared" si="10"/>
        <v>2258</v>
      </c>
      <c r="CU22" s="37">
        <f t="shared" si="11"/>
        <v>2259</v>
      </c>
      <c r="CV22" s="38">
        <f t="shared" si="11"/>
        <v>2260</v>
      </c>
      <c r="CW22" s="40">
        <f t="shared" si="11"/>
        <v>2261</v>
      </c>
      <c r="CX22" s="37">
        <f t="shared" si="11"/>
        <v>2262</v>
      </c>
      <c r="CY22" s="37">
        <f t="shared" si="11"/>
        <v>2263</v>
      </c>
      <c r="CZ22" s="37">
        <f t="shared" si="11"/>
        <v>2264</v>
      </c>
      <c r="DA22" s="37">
        <f t="shared" si="11"/>
        <v>2265</v>
      </c>
      <c r="DB22" s="37">
        <f t="shared" si="11"/>
        <v>2266</v>
      </c>
      <c r="DC22" s="37">
        <f t="shared" si="11"/>
        <v>2267</v>
      </c>
      <c r="DD22" s="37">
        <f t="shared" si="11"/>
        <v>2268</v>
      </c>
      <c r="DE22" s="37">
        <f t="shared" si="11"/>
        <v>2269</v>
      </c>
      <c r="DF22" s="39">
        <f t="shared" si="11"/>
        <v>2270</v>
      </c>
      <c r="DG22" s="36">
        <f t="shared" si="11"/>
        <v>2271</v>
      </c>
      <c r="DH22" s="37">
        <f t="shared" si="11"/>
        <v>2272</v>
      </c>
      <c r="DI22" s="37">
        <f t="shared" si="11"/>
        <v>2273</v>
      </c>
      <c r="DJ22" s="37">
        <f t="shared" si="11"/>
        <v>2274</v>
      </c>
      <c r="DK22" s="37">
        <f t="shared" si="7"/>
        <v>2275</v>
      </c>
      <c r="DL22" s="37">
        <f t="shared" si="7"/>
        <v>2276</v>
      </c>
      <c r="DM22" s="37">
        <f t="shared" si="7"/>
        <v>2277</v>
      </c>
      <c r="DN22" s="37">
        <f t="shared" si="7"/>
        <v>2278</v>
      </c>
      <c r="DO22" s="37">
        <f t="shared" si="7"/>
        <v>2279</v>
      </c>
      <c r="DP22" s="38">
        <f t="shared" si="7"/>
        <v>2280</v>
      </c>
      <c r="DQ22" s="64"/>
      <c r="DR22" s="1214"/>
      <c r="DS22" s="1215"/>
      <c r="DT22" s="1215"/>
      <c r="DU22" s="1216"/>
    </row>
    <row r="23" spans="1:125" ht="5.85" customHeight="1" x14ac:dyDescent="0.3">
      <c r="A23" s="36">
        <v>2281</v>
      </c>
      <c r="B23" s="37">
        <f t="shared" si="13"/>
        <v>2282</v>
      </c>
      <c r="C23" s="37">
        <f t="shared" si="13"/>
        <v>2283</v>
      </c>
      <c r="D23" s="37">
        <f t="shared" si="13"/>
        <v>2284</v>
      </c>
      <c r="E23" s="37">
        <f t="shared" si="13"/>
        <v>2285</v>
      </c>
      <c r="F23" s="37">
        <f t="shared" si="13"/>
        <v>2286</v>
      </c>
      <c r="G23" s="37">
        <f t="shared" si="13"/>
        <v>2287</v>
      </c>
      <c r="H23" s="37">
        <f t="shared" si="13"/>
        <v>2288</v>
      </c>
      <c r="I23" s="37">
        <f t="shared" si="13"/>
        <v>2289</v>
      </c>
      <c r="J23" s="38">
        <f t="shared" si="13"/>
        <v>2290</v>
      </c>
      <c r="K23" s="36">
        <f t="shared" si="13"/>
        <v>2291</v>
      </c>
      <c r="L23" s="37">
        <f t="shared" si="13"/>
        <v>2292</v>
      </c>
      <c r="M23" s="37">
        <f t="shared" si="13"/>
        <v>2293</v>
      </c>
      <c r="N23" s="37">
        <f t="shared" si="13"/>
        <v>2294</v>
      </c>
      <c r="O23" s="37">
        <f t="shared" si="13"/>
        <v>2295</v>
      </c>
      <c r="P23" s="37">
        <f t="shared" si="13"/>
        <v>2296</v>
      </c>
      <c r="Q23" s="37">
        <f t="shared" si="13"/>
        <v>2297</v>
      </c>
      <c r="R23" s="37">
        <f t="shared" si="14"/>
        <v>2298</v>
      </c>
      <c r="S23" s="37">
        <f t="shared" si="14"/>
        <v>2299</v>
      </c>
      <c r="T23" s="38">
        <f t="shared" si="14"/>
        <v>2300</v>
      </c>
      <c r="U23" s="36">
        <f t="shared" si="14"/>
        <v>2301</v>
      </c>
      <c r="V23" s="37">
        <f t="shared" si="14"/>
        <v>2302</v>
      </c>
      <c r="W23" s="37">
        <f t="shared" si="14"/>
        <v>2303</v>
      </c>
      <c r="X23" s="37">
        <f t="shared" si="14"/>
        <v>2304</v>
      </c>
      <c r="Y23" s="37">
        <f t="shared" si="14"/>
        <v>2305</v>
      </c>
      <c r="Z23" s="37">
        <f t="shared" si="14"/>
        <v>2306</v>
      </c>
      <c r="AA23" s="37">
        <f t="shared" si="14"/>
        <v>2307</v>
      </c>
      <c r="AB23" s="37">
        <f t="shared" si="14"/>
        <v>2308</v>
      </c>
      <c r="AC23" s="37">
        <f t="shared" si="14"/>
        <v>2309</v>
      </c>
      <c r="AD23" s="38">
        <f t="shared" si="14"/>
        <v>2310</v>
      </c>
      <c r="AE23" s="36">
        <f t="shared" si="14"/>
        <v>2311</v>
      </c>
      <c r="AF23" s="37">
        <f t="shared" si="14"/>
        <v>2312</v>
      </c>
      <c r="AG23" s="37">
        <f t="shared" si="14"/>
        <v>2313</v>
      </c>
      <c r="AH23" s="37">
        <f t="shared" si="15"/>
        <v>2314</v>
      </c>
      <c r="AI23" s="37">
        <f t="shared" si="15"/>
        <v>2315</v>
      </c>
      <c r="AJ23" s="37">
        <f t="shared" si="15"/>
        <v>2316</v>
      </c>
      <c r="AK23" s="37">
        <f t="shared" si="15"/>
        <v>2317</v>
      </c>
      <c r="AL23" s="37">
        <f t="shared" si="15"/>
        <v>2318</v>
      </c>
      <c r="AM23" s="37">
        <f t="shared" si="15"/>
        <v>2319</v>
      </c>
      <c r="AN23" s="38">
        <f t="shared" si="15"/>
        <v>2320</v>
      </c>
      <c r="AO23" s="36">
        <f t="shared" si="15"/>
        <v>2321</v>
      </c>
      <c r="AP23" s="37">
        <f t="shared" si="15"/>
        <v>2322</v>
      </c>
      <c r="AQ23" s="37">
        <f t="shared" si="15"/>
        <v>2323</v>
      </c>
      <c r="AR23" s="37">
        <f t="shared" si="15"/>
        <v>2324</v>
      </c>
      <c r="AS23" s="37">
        <f t="shared" si="15"/>
        <v>2325</v>
      </c>
      <c r="AT23" s="37">
        <f t="shared" si="15"/>
        <v>2326</v>
      </c>
      <c r="AU23" s="37">
        <f t="shared" si="15"/>
        <v>2327</v>
      </c>
      <c r="AV23" s="37">
        <f t="shared" si="15"/>
        <v>2328</v>
      </c>
      <c r="AW23" s="37">
        <f t="shared" si="15"/>
        <v>2329</v>
      </c>
      <c r="AX23" s="38">
        <f t="shared" si="12"/>
        <v>2330</v>
      </c>
      <c r="AY23" s="36">
        <f t="shared" si="12"/>
        <v>2331</v>
      </c>
      <c r="AZ23" s="37">
        <f t="shared" si="12"/>
        <v>2332</v>
      </c>
      <c r="BA23" s="37">
        <f t="shared" si="12"/>
        <v>2333</v>
      </c>
      <c r="BB23" s="37">
        <f t="shared" si="12"/>
        <v>2334</v>
      </c>
      <c r="BC23" s="37">
        <f t="shared" si="12"/>
        <v>2335</v>
      </c>
      <c r="BD23" s="37">
        <f t="shared" si="12"/>
        <v>2336</v>
      </c>
      <c r="BE23" s="37">
        <f t="shared" si="12"/>
        <v>2337</v>
      </c>
      <c r="BF23" s="37">
        <f t="shared" si="12"/>
        <v>2338</v>
      </c>
      <c r="BG23" s="37">
        <f t="shared" si="12"/>
        <v>2339</v>
      </c>
      <c r="BH23" s="38">
        <f t="shared" si="12"/>
        <v>2340</v>
      </c>
      <c r="BI23" s="36">
        <f t="shared" si="12"/>
        <v>2341</v>
      </c>
      <c r="BJ23" s="37">
        <f t="shared" si="12"/>
        <v>2342</v>
      </c>
      <c r="BK23" s="37">
        <f t="shared" si="12"/>
        <v>2343</v>
      </c>
      <c r="BL23" s="37">
        <f t="shared" si="12"/>
        <v>2344</v>
      </c>
      <c r="BM23" s="37">
        <f t="shared" si="12"/>
        <v>2345</v>
      </c>
      <c r="BN23" s="37">
        <f t="shared" si="16"/>
        <v>2346</v>
      </c>
      <c r="BO23" s="37">
        <f t="shared" si="9"/>
        <v>2347</v>
      </c>
      <c r="BP23" s="37">
        <f t="shared" si="9"/>
        <v>2348</v>
      </c>
      <c r="BQ23" s="37">
        <f t="shared" si="9"/>
        <v>2349</v>
      </c>
      <c r="BR23" s="39">
        <f t="shared" si="9"/>
        <v>2350</v>
      </c>
      <c r="BS23" s="36">
        <f t="shared" si="9"/>
        <v>2351</v>
      </c>
      <c r="BT23" s="37">
        <f t="shared" si="9"/>
        <v>2352</v>
      </c>
      <c r="BU23" s="37">
        <f t="shared" si="9"/>
        <v>2353</v>
      </c>
      <c r="BV23" s="37">
        <f t="shared" si="9"/>
        <v>2354</v>
      </c>
      <c r="BW23" s="37">
        <f t="shared" si="9"/>
        <v>2355</v>
      </c>
      <c r="BX23" s="37">
        <f t="shared" si="9"/>
        <v>2356</v>
      </c>
      <c r="BY23" s="37">
        <f t="shared" si="9"/>
        <v>2357</v>
      </c>
      <c r="BZ23" s="37">
        <f t="shared" si="9"/>
        <v>2358</v>
      </c>
      <c r="CA23" s="37">
        <f t="shared" si="9"/>
        <v>2359</v>
      </c>
      <c r="CB23" s="38">
        <f t="shared" si="9"/>
        <v>2360</v>
      </c>
      <c r="CC23" s="40">
        <f t="shared" si="9"/>
        <v>2361</v>
      </c>
      <c r="CD23" s="37">
        <f t="shared" si="9"/>
        <v>2362</v>
      </c>
      <c r="CE23" s="37">
        <f t="shared" si="10"/>
        <v>2363</v>
      </c>
      <c r="CF23" s="37">
        <f t="shared" si="10"/>
        <v>2364</v>
      </c>
      <c r="CG23" s="37">
        <f t="shared" si="10"/>
        <v>2365</v>
      </c>
      <c r="CH23" s="37">
        <f t="shared" si="10"/>
        <v>2366</v>
      </c>
      <c r="CI23" s="37">
        <f t="shared" si="10"/>
        <v>2367</v>
      </c>
      <c r="CJ23" s="37">
        <f t="shared" si="10"/>
        <v>2368</v>
      </c>
      <c r="CK23" s="37">
        <f t="shared" si="10"/>
        <v>2369</v>
      </c>
      <c r="CL23" s="39">
        <f t="shared" si="10"/>
        <v>2370</v>
      </c>
      <c r="CM23" s="36">
        <f t="shared" si="10"/>
        <v>2371</v>
      </c>
      <c r="CN23" s="37">
        <f t="shared" si="10"/>
        <v>2372</v>
      </c>
      <c r="CO23" s="37">
        <f t="shared" si="10"/>
        <v>2373</v>
      </c>
      <c r="CP23" s="37">
        <f t="shared" si="10"/>
        <v>2374</v>
      </c>
      <c r="CQ23" s="37">
        <f t="shared" si="10"/>
        <v>2375</v>
      </c>
      <c r="CR23" s="37">
        <f t="shared" si="10"/>
        <v>2376</v>
      </c>
      <c r="CS23" s="37">
        <f t="shared" si="10"/>
        <v>2377</v>
      </c>
      <c r="CT23" s="37">
        <f t="shared" si="10"/>
        <v>2378</v>
      </c>
      <c r="CU23" s="37">
        <f t="shared" si="11"/>
        <v>2379</v>
      </c>
      <c r="CV23" s="38">
        <f t="shared" si="11"/>
        <v>2380</v>
      </c>
      <c r="CW23" s="40">
        <f t="shared" si="11"/>
        <v>2381</v>
      </c>
      <c r="CX23" s="37">
        <f t="shared" si="11"/>
        <v>2382</v>
      </c>
      <c r="CY23" s="37">
        <f t="shared" si="11"/>
        <v>2383</v>
      </c>
      <c r="CZ23" s="37">
        <f t="shared" si="11"/>
        <v>2384</v>
      </c>
      <c r="DA23" s="37">
        <f t="shared" si="11"/>
        <v>2385</v>
      </c>
      <c r="DB23" s="37">
        <f t="shared" si="11"/>
        <v>2386</v>
      </c>
      <c r="DC23" s="37">
        <f t="shared" si="11"/>
        <v>2387</v>
      </c>
      <c r="DD23" s="37">
        <f t="shared" si="11"/>
        <v>2388</v>
      </c>
      <c r="DE23" s="37">
        <f t="shared" si="11"/>
        <v>2389</v>
      </c>
      <c r="DF23" s="39">
        <f t="shared" si="11"/>
        <v>2390</v>
      </c>
      <c r="DG23" s="36">
        <f t="shared" si="11"/>
        <v>2391</v>
      </c>
      <c r="DH23" s="37">
        <f t="shared" si="11"/>
        <v>2392</v>
      </c>
      <c r="DI23" s="37">
        <f t="shared" si="11"/>
        <v>2393</v>
      </c>
      <c r="DJ23" s="37">
        <f t="shared" si="11"/>
        <v>2394</v>
      </c>
      <c r="DK23" s="37">
        <f t="shared" si="7"/>
        <v>2395</v>
      </c>
      <c r="DL23" s="37">
        <f t="shared" si="7"/>
        <v>2396</v>
      </c>
      <c r="DM23" s="37">
        <f t="shared" si="7"/>
        <v>2397</v>
      </c>
      <c r="DN23" s="37">
        <f t="shared" si="7"/>
        <v>2398</v>
      </c>
      <c r="DO23" s="37">
        <f t="shared" si="7"/>
        <v>2399</v>
      </c>
      <c r="DP23" s="38">
        <f t="shared" si="7"/>
        <v>2400</v>
      </c>
      <c r="DQ23" s="63"/>
      <c r="DR23" s="1214">
        <v>6</v>
      </c>
      <c r="DS23" s="1215"/>
      <c r="DT23" s="1215"/>
      <c r="DU23" s="1216"/>
    </row>
    <row r="24" spans="1:125" ht="5.85" customHeight="1" x14ac:dyDescent="0.3">
      <c r="A24" s="36">
        <v>2401</v>
      </c>
      <c r="B24" s="37">
        <f t="shared" si="13"/>
        <v>2402</v>
      </c>
      <c r="C24" s="37">
        <f t="shared" si="13"/>
        <v>2403</v>
      </c>
      <c r="D24" s="37">
        <f t="shared" si="13"/>
        <v>2404</v>
      </c>
      <c r="E24" s="37">
        <f t="shared" si="13"/>
        <v>2405</v>
      </c>
      <c r="F24" s="37">
        <f t="shared" si="13"/>
        <v>2406</v>
      </c>
      <c r="G24" s="37">
        <f t="shared" si="13"/>
        <v>2407</v>
      </c>
      <c r="H24" s="37">
        <f t="shared" si="13"/>
        <v>2408</v>
      </c>
      <c r="I24" s="37">
        <f t="shared" si="13"/>
        <v>2409</v>
      </c>
      <c r="J24" s="38">
        <f t="shared" si="13"/>
        <v>2410</v>
      </c>
      <c r="K24" s="36">
        <f t="shared" si="13"/>
        <v>2411</v>
      </c>
      <c r="L24" s="37">
        <f t="shared" si="13"/>
        <v>2412</v>
      </c>
      <c r="M24" s="37">
        <f t="shared" si="13"/>
        <v>2413</v>
      </c>
      <c r="N24" s="37">
        <f t="shared" si="13"/>
        <v>2414</v>
      </c>
      <c r="O24" s="37">
        <f t="shared" si="13"/>
        <v>2415</v>
      </c>
      <c r="P24" s="37">
        <f t="shared" si="13"/>
        <v>2416</v>
      </c>
      <c r="Q24" s="37">
        <f t="shared" si="13"/>
        <v>2417</v>
      </c>
      <c r="R24" s="37">
        <f t="shared" si="14"/>
        <v>2418</v>
      </c>
      <c r="S24" s="37">
        <f t="shared" si="14"/>
        <v>2419</v>
      </c>
      <c r="T24" s="38">
        <f t="shared" si="14"/>
        <v>2420</v>
      </c>
      <c r="U24" s="36">
        <f t="shared" si="14"/>
        <v>2421</v>
      </c>
      <c r="V24" s="37">
        <f t="shared" si="14"/>
        <v>2422</v>
      </c>
      <c r="W24" s="37">
        <f t="shared" si="14"/>
        <v>2423</v>
      </c>
      <c r="X24" s="37">
        <f t="shared" si="14"/>
        <v>2424</v>
      </c>
      <c r="Y24" s="37">
        <f t="shared" si="14"/>
        <v>2425</v>
      </c>
      <c r="Z24" s="37">
        <f t="shared" si="14"/>
        <v>2426</v>
      </c>
      <c r="AA24" s="37">
        <f t="shared" si="14"/>
        <v>2427</v>
      </c>
      <c r="AB24" s="37">
        <f t="shared" si="14"/>
        <v>2428</v>
      </c>
      <c r="AC24" s="37">
        <f t="shared" si="14"/>
        <v>2429</v>
      </c>
      <c r="AD24" s="38">
        <f t="shared" si="14"/>
        <v>2430</v>
      </c>
      <c r="AE24" s="36">
        <f t="shared" si="14"/>
        <v>2431</v>
      </c>
      <c r="AF24" s="37">
        <f t="shared" si="14"/>
        <v>2432</v>
      </c>
      <c r="AG24" s="37">
        <f t="shared" si="14"/>
        <v>2433</v>
      </c>
      <c r="AH24" s="37">
        <f t="shared" si="15"/>
        <v>2434</v>
      </c>
      <c r="AI24" s="37">
        <f t="shared" si="15"/>
        <v>2435</v>
      </c>
      <c r="AJ24" s="37">
        <f t="shared" si="15"/>
        <v>2436</v>
      </c>
      <c r="AK24" s="37">
        <f t="shared" si="15"/>
        <v>2437</v>
      </c>
      <c r="AL24" s="37">
        <f t="shared" si="15"/>
        <v>2438</v>
      </c>
      <c r="AM24" s="37">
        <f t="shared" si="15"/>
        <v>2439</v>
      </c>
      <c r="AN24" s="38">
        <f t="shared" si="15"/>
        <v>2440</v>
      </c>
      <c r="AO24" s="36">
        <f t="shared" si="15"/>
        <v>2441</v>
      </c>
      <c r="AP24" s="37">
        <f t="shared" si="15"/>
        <v>2442</v>
      </c>
      <c r="AQ24" s="37">
        <f t="shared" si="15"/>
        <v>2443</v>
      </c>
      <c r="AR24" s="37">
        <f t="shared" si="15"/>
        <v>2444</v>
      </c>
      <c r="AS24" s="37">
        <f t="shared" si="15"/>
        <v>2445</v>
      </c>
      <c r="AT24" s="37">
        <f t="shared" si="15"/>
        <v>2446</v>
      </c>
      <c r="AU24" s="37">
        <f t="shared" si="15"/>
        <v>2447</v>
      </c>
      <c r="AV24" s="37">
        <f t="shared" si="15"/>
        <v>2448</v>
      </c>
      <c r="AW24" s="37">
        <f t="shared" si="15"/>
        <v>2449</v>
      </c>
      <c r="AX24" s="38">
        <f t="shared" si="12"/>
        <v>2450</v>
      </c>
      <c r="AY24" s="36">
        <f t="shared" si="12"/>
        <v>2451</v>
      </c>
      <c r="AZ24" s="37">
        <f t="shared" si="12"/>
        <v>2452</v>
      </c>
      <c r="BA24" s="37">
        <f t="shared" si="12"/>
        <v>2453</v>
      </c>
      <c r="BB24" s="37">
        <f t="shared" si="12"/>
        <v>2454</v>
      </c>
      <c r="BC24" s="37">
        <f t="shared" si="12"/>
        <v>2455</v>
      </c>
      <c r="BD24" s="37">
        <f t="shared" si="12"/>
        <v>2456</v>
      </c>
      <c r="BE24" s="37">
        <f t="shared" si="12"/>
        <v>2457</v>
      </c>
      <c r="BF24" s="37">
        <f t="shared" si="12"/>
        <v>2458</v>
      </c>
      <c r="BG24" s="37">
        <f t="shared" si="12"/>
        <v>2459</v>
      </c>
      <c r="BH24" s="38">
        <f t="shared" si="12"/>
        <v>2460</v>
      </c>
      <c r="BI24" s="36">
        <f t="shared" si="12"/>
        <v>2461</v>
      </c>
      <c r="BJ24" s="37">
        <f t="shared" si="12"/>
        <v>2462</v>
      </c>
      <c r="BK24" s="37">
        <f t="shared" si="12"/>
        <v>2463</v>
      </c>
      <c r="BL24" s="37">
        <f t="shared" si="12"/>
        <v>2464</v>
      </c>
      <c r="BM24" s="37">
        <f t="shared" si="12"/>
        <v>2465</v>
      </c>
      <c r="BN24" s="37">
        <f t="shared" si="16"/>
        <v>2466</v>
      </c>
      <c r="BO24" s="37">
        <f t="shared" si="9"/>
        <v>2467</v>
      </c>
      <c r="BP24" s="37">
        <f t="shared" si="9"/>
        <v>2468</v>
      </c>
      <c r="BQ24" s="37">
        <f t="shared" si="9"/>
        <v>2469</v>
      </c>
      <c r="BR24" s="39">
        <f t="shared" si="9"/>
        <v>2470</v>
      </c>
      <c r="BS24" s="36">
        <f t="shared" si="9"/>
        <v>2471</v>
      </c>
      <c r="BT24" s="37">
        <f t="shared" si="9"/>
        <v>2472</v>
      </c>
      <c r="BU24" s="37">
        <f t="shared" si="9"/>
        <v>2473</v>
      </c>
      <c r="BV24" s="37">
        <f t="shared" si="9"/>
        <v>2474</v>
      </c>
      <c r="BW24" s="37">
        <f t="shared" si="9"/>
        <v>2475</v>
      </c>
      <c r="BX24" s="37">
        <f t="shared" si="9"/>
        <v>2476</v>
      </c>
      <c r="BY24" s="37">
        <f t="shared" si="9"/>
        <v>2477</v>
      </c>
      <c r="BZ24" s="37">
        <f t="shared" si="9"/>
        <v>2478</v>
      </c>
      <c r="CA24" s="37">
        <f t="shared" si="9"/>
        <v>2479</v>
      </c>
      <c r="CB24" s="38">
        <f t="shared" si="9"/>
        <v>2480</v>
      </c>
      <c r="CC24" s="40">
        <f t="shared" si="9"/>
        <v>2481</v>
      </c>
      <c r="CD24" s="37">
        <f t="shared" si="9"/>
        <v>2482</v>
      </c>
      <c r="CE24" s="37">
        <f t="shared" si="10"/>
        <v>2483</v>
      </c>
      <c r="CF24" s="37">
        <f t="shared" si="10"/>
        <v>2484</v>
      </c>
      <c r="CG24" s="37">
        <f t="shared" si="10"/>
        <v>2485</v>
      </c>
      <c r="CH24" s="37">
        <f t="shared" si="10"/>
        <v>2486</v>
      </c>
      <c r="CI24" s="37">
        <f t="shared" si="10"/>
        <v>2487</v>
      </c>
      <c r="CJ24" s="37">
        <f t="shared" si="10"/>
        <v>2488</v>
      </c>
      <c r="CK24" s="37">
        <f t="shared" si="10"/>
        <v>2489</v>
      </c>
      <c r="CL24" s="39">
        <f t="shared" si="10"/>
        <v>2490</v>
      </c>
      <c r="CM24" s="36">
        <f t="shared" si="10"/>
        <v>2491</v>
      </c>
      <c r="CN24" s="37">
        <f t="shared" si="10"/>
        <v>2492</v>
      </c>
      <c r="CO24" s="37">
        <f t="shared" si="10"/>
        <v>2493</v>
      </c>
      <c r="CP24" s="37">
        <f t="shared" si="10"/>
        <v>2494</v>
      </c>
      <c r="CQ24" s="37">
        <f t="shared" si="10"/>
        <v>2495</v>
      </c>
      <c r="CR24" s="37">
        <f t="shared" si="10"/>
        <v>2496</v>
      </c>
      <c r="CS24" s="37">
        <f t="shared" si="10"/>
        <v>2497</v>
      </c>
      <c r="CT24" s="37">
        <f t="shared" si="10"/>
        <v>2498</v>
      </c>
      <c r="CU24" s="37">
        <f t="shared" si="11"/>
        <v>2499</v>
      </c>
      <c r="CV24" s="38">
        <f t="shared" si="11"/>
        <v>2500</v>
      </c>
      <c r="CW24" s="40">
        <f t="shared" si="11"/>
        <v>2501</v>
      </c>
      <c r="CX24" s="37">
        <f t="shared" si="11"/>
        <v>2502</v>
      </c>
      <c r="CY24" s="37">
        <f t="shared" si="11"/>
        <v>2503</v>
      </c>
      <c r="CZ24" s="37">
        <f t="shared" si="11"/>
        <v>2504</v>
      </c>
      <c r="DA24" s="37">
        <f t="shared" si="11"/>
        <v>2505</v>
      </c>
      <c r="DB24" s="37">
        <f t="shared" si="11"/>
        <v>2506</v>
      </c>
      <c r="DC24" s="37">
        <f t="shared" si="11"/>
        <v>2507</v>
      </c>
      <c r="DD24" s="37">
        <f t="shared" si="11"/>
        <v>2508</v>
      </c>
      <c r="DE24" s="37">
        <f t="shared" si="11"/>
        <v>2509</v>
      </c>
      <c r="DF24" s="39">
        <f t="shared" si="11"/>
        <v>2510</v>
      </c>
      <c r="DG24" s="36">
        <f t="shared" si="11"/>
        <v>2511</v>
      </c>
      <c r="DH24" s="37">
        <f t="shared" si="11"/>
        <v>2512</v>
      </c>
      <c r="DI24" s="37">
        <f t="shared" si="11"/>
        <v>2513</v>
      </c>
      <c r="DJ24" s="37">
        <f t="shared" si="11"/>
        <v>2514</v>
      </c>
      <c r="DK24" s="37">
        <f t="shared" si="7"/>
        <v>2515</v>
      </c>
      <c r="DL24" s="37">
        <f t="shared" si="7"/>
        <v>2516</v>
      </c>
      <c r="DM24" s="37">
        <f t="shared" si="7"/>
        <v>2517</v>
      </c>
      <c r="DN24" s="37">
        <f t="shared" si="7"/>
        <v>2518</v>
      </c>
      <c r="DO24" s="37">
        <f t="shared" si="7"/>
        <v>2519</v>
      </c>
      <c r="DP24" s="38">
        <f t="shared" si="7"/>
        <v>2520</v>
      </c>
      <c r="DQ24" s="63"/>
      <c r="DR24" s="1214"/>
      <c r="DS24" s="1215"/>
      <c r="DT24" s="1215"/>
      <c r="DU24" s="1216"/>
    </row>
    <row r="25" spans="1:125" ht="5.85" customHeight="1" x14ac:dyDescent="0.3">
      <c r="A25" s="36">
        <v>2521</v>
      </c>
      <c r="B25" s="37">
        <f t="shared" si="13"/>
        <v>2522</v>
      </c>
      <c r="C25" s="37">
        <f t="shared" si="13"/>
        <v>2523</v>
      </c>
      <c r="D25" s="37">
        <f t="shared" si="13"/>
        <v>2524</v>
      </c>
      <c r="E25" s="37">
        <f t="shared" si="13"/>
        <v>2525</v>
      </c>
      <c r="F25" s="37">
        <f t="shared" si="13"/>
        <v>2526</v>
      </c>
      <c r="G25" s="37">
        <f t="shared" si="13"/>
        <v>2527</v>
      </c>
      <c r="H25" s="37">
        <f t="shared" si="13"/>
        <v>2528</v>
      </c>
      <c r="I25" s="37">
        <f t="shared" si="13"/>
        <v>2529</v>
      </c>
      <c r="J25" s="38">
        <f t="shared" si="13"/>
        <v>2530</v>
      </c>
      <c r="K25" s="36">
        <f t="shared" si="13"/>
        <v>2531</v>
      </c>
      <c r="L25" s="37">
        <f t="shared" si="13"/>
        <v>2532</v>
      </c>
      <c r="M25" s="37">
        <f t="shared" si="13"/>
        <v>2533</v>
      </c>
      <c r="N25" s="37">
        <f t="shared" si="13"/>
        <v>2534</v>
      </c>
      <c r="O25" s="37">
        <f t="shared" si="13"/>
        <v>2535</v>
      </c>
      <c r="P25" s="37">
        <f t="shared" si="13"/>
        <v>2536</v>
      </c>
      <c r="Q25" s="37">
        <f t="shared" si="13"/>
        <v>2537</v>
      </c>
      <c r="R25" s="37">
        <f t="shared" si="14"/>
        <v>2538</v>
      </c>
      <c r="S25" s="37">
        <f t="shared" si="14"/>
        <v>2539</v>
      </c>
      <c r="T25" s="38">
        <f t="shared" si="14"/>
        <v>2540</v>
      </c>
      <c r="U25" s="36">
        <f t="shared" si="14"/>
        <v>2541</v>
      </c>
      <c r="V25" s="37">
        <f t="shared" si="14"/>
        <v>2542</v>
      </c>
      <c r="W25" s="37">
        <f t="shared" si="14"/>
        <v>2543</v>
      </c>
      <c r="X25" s="37">
        <f t="shared" si="14"/>
        <v>2544</v>
      </c>
      <c r="Y25" s="37">
        <f t="shared" si="14"/>
        <v>2545</v>
      </c>
      <c r="Z25" s="37">
        <f t="shared" si="14"/>
        <v>2546</v>
      </c>
      <c r="AA25" s="37">
        <f t="shared" si="14"/>
        <v>2547</v>
      </c>
      <c r="AB25" s="37">
        <f t="shared" si="14"/>
        <v>2548</v>
      </c>
      <c r="AC25" s="37">
        <f t="shared" si="14"/>
        <v>2549</v>
      </c>
      <c r="AD25" s="38">
        <f t="shared" si="14"/>
        <v>2550</v>
      </c>
      <c r="AE25" s="36">
        <f t="shared" si="14"/>
        <v>2551</v>
      </c>
      <c r="AF25" s="37">
        <f t="shared" si="14"/>
        <v>2552</v>
      </c>
      <c r="AG25" s="37">
        <f t="shared" si="14"/>
        <v>2553</v>
      </c>
      <c r="AH25" s="37">
        <f t="shared" si="15"/>
        <v>2554</v>
      </c>
      <c r="AI25" s="37">
        <f t="shared" si="15"/>
        <v>2555</v>
      </c>
      <c r="AJ25" s="37">
        <f t="shared" si="15"/>
        <v>2556</v>
      </c>
      <c r="AK25" s="37">
        <f t="shared" si="15"/>
        <v>2557</v>
      </c>
      <c r="AL25" s="37">
        <f t="shared" si="15"/>
        <v>2558</v>
      </c>
      <c r="AM25" s="37">
        <f t="shared" si="15"/>
        <v>2559</v>
      </c>
      <c r="AN25" s="38">
        <f t="shared" si="15"/>
        <v>2560</v>
      </c>
      <c r="AO25" s="36">
        <f t="shared" si="15"/>
        <v>2561</v>
      </c>
      <c r="AP25" s="37">
        <f t="shared" si="15"/>
        <v>2562</v>
      </c>
      <c r="AQ25" s="37">
        <f t="shared" si="15"/>
        <v>2563</v>
      </c>
      <c r="AR25" s="37">
        <f t="shared" si="15"/>
        <v>2564</v>
      </c>
      <c r="AS25" s="37">
        <f t="shared" si="15"/>
        <v>2565</v>
      </c>
      <c r="AT25" s="37">
        <f t="shared" si="15"/>
        <v>2566</v>
      </c>
      <c r="AU25" s="37">
        <f t="shared" si="15"/>
        <v>2567</v>
      </c>
      <c r="AV25" s="37">
        <f t="shared" si="15"/>
        <v>2568</v>
      </c>
      <c r="AW25" s="37">
        <f t="shared" si="15"/>
        <v>2569</v>
      </c>
      <c r="AX25" s="38">
        <f t="shared" si="12"/>
        <v>2570</v>
      </c>
      <c r="AY25" s="36">
        <f t="shared" si="12"/>
        <v>2571</v>
      </c>
      <c r="AZ25" s="37">
        <f t="shared" si="12"/>
        <v>2572</v>
      </c>
      <c r="BA25" s="37">
        <f t="shared" si="12"/>
        <v>2573</v>
      </c>
      <c r="BB25" s="37">
        <f t="shared" si="12"/>
        <v>2574</v>
      </c>
      <c r="BC25" s="37">
        <f t="shared" si="12"/>
        <v>2575</v>
      </c>
      <c r="BD25" s="37">
        <f t="shared" si="12"/>
        <v>2576</v>
      </c>
      <c r="BE25" s="37">
        <f t="shared" si="12"/>
        <v>2577</v>
      </c>
      <c r="BF25" s="37">
        <f t="shared" si="12"/>
        <v>2578</v>
      </c>
      <c r="BG25" s="37">
        <f t="shared" si="12"/>
        <v>2579</v>
      </c>
      <c r="BH25" s="38">
        <f t="shared" si="12"/>
        <v>2580</v>
      </c>
      <c r="BI25" s="36">
        <f t="shared" si="12"/>
        <v>2581</v>
      </c>
      <c r="BJ25" s="37">
        <f t="shared" si="12"/>
        <v>2582</v>
      </c>
      <c r="BK25" s="37">
        <f t="shared" si="12"/>
        <v>2583</v>
      </c>
      <c r="BL25" s="37">
        <f t="shared" si="12"/>
        <v>2584</v>
      </c>
      <c r="BM25" s="37">
        <f t="shared" si="12"/>
        <v>2585</v>
      </c>
      <c r="BN25" s="37">
        <f t="shared" si="16"/>
        <v>2586</v>
      </c>
      <c r="BO25" s="37">
        <f t="shared" si="9"/>
        <v>2587</v>
      </c>
      <c r="BP25" s="37">
        <f t="shared" si="9"/>
        <v>2588</v>
      </c>
      <c r="BQ25" s="37">
        <f t="shared" si="9"/>
        <v>2589</v>
      </c>
      <c r="BR25" s="39">
        <f t="shared" si="9"/>
        <v>2590</v>
      </c>
      <c r="BS25" s="36">
        <f t="shared" si="9"/>
        <v>2591</v>
      </c>
      <c r="BT25" s="37">
        <f t="shared" si="9"/>
        <v>2592</v>
      </c>
      <c r="BU25" s="37">
        <f t="shared" si="9"/>
        <v>2593</v>
      </c>
      <c r="BV25" s="37">
        <f t="shared" si="9"/>
        <v>2594</v>
      </c>
      <c r="BW25" s="37">
        <f t="shared" si="9"/>
        <v>2595</v>
      </c>
      <c r="BX25" s="37">
        <f t="shared" si="9"/>
        <v>2596</v>
      </c>
      <c r="BY25" s="37">
        <f t="shared" si="9"/>
        <v>2597</v>
      </c>
      <c r="BZ25" s="37">
        <f t="shared" si="9"/>
        <v>2598</v>
      </c>
      <c r="CA25" s="37">
        <f t="shared" si="9"/>
        <v>2599</v>
      </c>
      <c r="CB25" s="38">
        <f t="shared" si="9"/>
        <v>2600</v>
      </c>
      <c r="CC25" s="40">
        <f t="shared" si="9"/>
        <v>2601</v>
      </c>
      <c r="CD25" s="37">
        <f t="shared" si="9"/>
        <v>2602</v>
      </c>
      <c r="CE25" s="37">
        <f t="shared" si="10"/>
        <v>2603</v>
      </c>
      <c r="CF25" s="37">
        <f t="shared" si="10"/>
        <v>2604</v>
      </c>
      <c r="CG25" s="37">
        <f t="shared" si="10"/>
        <v>2605</v>
      </c>
      <c r="CH25" s="37">
        <f t="shared" si="10"/>
        <v>2606</v>
      </c>
      <c r="CI25" s="37">
        <f t="shared" si="10"/>
        <v>2607</v>
      </c>
      <c r="CJ25" s="37">
        <f t="shared" si="10"/>
        <v>2608</v>
      </c>
      <c r="CK25" s="37">
        <f t="shared" si="10"/>
        <v>2609</v>
      </c>
      <c r="CL25" s="39">
        <f t="shared" si="10"/>
        <v>2610</v>
      </c>
      <c r="CM25" s="36">
        <f t="shared" si="10"/>
        <v>2611</v>
      </c>
      <c r="CN25" s="37">
        <f t="shared" si="10"/>
        <v>2612</v>
      </c>
      <c r="CO25" s="37">
        <f t="shared" si="10"/>
        <v>2613</v>
      </c>
      <c r="CP25" s="37">
        <f t="shared" si="10"/>
        <v>2614</v>
      </c>
      <c r="CQ25" s="37">
        <f t="shared" si="10"/>
        <v>2615</v>
      </c>
      <c r="CR25" s="37">
        <f t="shared" si="10"/>
        <v>2616</v>
      </c>
      <c r="CS25" s="37">
        <f t="shared" si="10"/>
        <v>2617</v>
      </c>
      <c r="CT25" s="37">
        <f t="shared" si="10"/>
        <v>2618</v>
      </c>
      <c r="CU25" s="37">
        <f t="shared" si="11"/>
        <v>2619</v>
      </c>
      <c r="CV25" s="38">
        <f t="shared" si="11"/>
        <v>2620</v>
      </c>
      <c r="CW25" s="40">
        <f t="shared" si="11"/>
        <v>2621</v>
      </c>
      <c r="CX25" s="37">
        <f t="shared" si="11"/>
        <v>2622</v>
      </c>
      <c r="CY25" s="37">
        <f t="shared" si="11"/>
        <v>2623</v>
      </c>
      <c r="CZ25" s="37">
        <f t="shared" si="11"/>
        <v>2624</v>
      </c>
      <c r="DA25" s="37">
        <f t="shared" si="11"/>
        <v>2625</v>
      </c>
      <c r="DB25" s="37">
        <f t="shared" si="11"/>
        <v>2626</v>
      </c>
      <c r="DC25" s="37">
        <f t="shared" si="11"/>
        <v>2627</v>
      </c>
      <c r="DD25" s="37">
        <f t="shared" si="11"/>
        <v>2628</v>
      </c>
      <c r="DE25" s="37">
        <f t="shared" si="11"/>
        <v>2629</v>
      </c>
      <c r="DF25" s="39">
        <f t="shared" si="11"/>
        <v>2630</v>
      </c>
      <c r="DG25" s="36">
        <f t="shared" si="11"/>
        <v>2631</v>
      </c>
      <c r="DH25" s="37">
        <f t="shared" si="11"/>
        <v>2632</v>
      </c>
      <c r="DI25" s="37">
        <f t="shared" si="11"/>
        <v>2633</v>
      </c>
      <c r="DJ25" s="37">
        <f t="shared" si="11"/>
        <v>2634</v>
      </c>
      <c r="DK25" s="37">
        <f t="shared" si="7"/>
        <v>2635</v>
      </c>
      <c r="DL25" s="37">
        <f t="shared" si="7"/>
        <v>2636</v>
      </c>
      <c r="DM25" s="37">
        <f t="shared" si="7"/>
        <v>2637</v>
      </c>
      <c r="DN25" s="37">
        <f t="shared" si="7"/>
        <v>2638</v>
      </c>
      <c r="DO25" s="37">
        <f t="shared" si="7"/>
        <v>2639</v>
      </c>
      <c r="DP25" s="38">
        <f t="shared" si="7"/>
        <v>2640</v>
      </c>
      <c r="DQ25" s="63"/>
      <c r="DR25" s="1214"/>
      <c r="DS25" s="1215"/>
      <c r="DT25" s="1215"/>
      <c r="DU25" s="1216"/>
    </row>
    <row r="26" spans="1:125" ht="5.85" customHeight="1" x14ac:dyDescent="0.3">
      <c r="A26" s="36">
        <v>2641</v>
      </c>
      <c r="B26" s="37">
        <f t="shared" si="13"/>
        <v>2642</v>
      </c>
      <c r="C26" s="37">
        <f t="shared" si="13"/>
        <v>2643</v>
      </c>
      <c r="D26" s="37">
        <f t="shared" si="13"/>
        <v>2644</v>
      </c>
      <c r="E26" s="37">
        <f t="shared" si="13"/>
        <v>2645</v>
      </c>
      <c r="F26" s="37">
        <f t="shared" si="13"/>
        <v>2646</v>
      </c>
      <c r="G26" s="37">
        <f t="shared" si="13"/>
        <v>2647</v>
      </c>
      <c r="H26" s="37">
        <f t="shared" si="13"/>
        <v>2648</v>
      </c>
      <c r="I26" s="37">
        <f t="shared" si="13"/>
        <v>2649</v>
      </c>
      <c r="J26" s="38">
        <f t="shared" si="13"/>
        <v>2650</v>
      </c>
      <c r="K26" s="36">
        <f t="shared" si="13"/>
        <v>2651</v>
      </c>
      <c r="L26" s="37">
        <f t="shared" si="13"/>
        <v>2652</v>
      </c>
      <c r="M26" s="37">
        <f t="shared" si="13"/>
        <v>2653</v>
      </c>
      <c r="N26" s="37">
        <f t="shared" si="13"/>
        <v>2654</v>
      </c>
      <c r="O26" s="37">
        <f t="shared" si="13"/>
        <v>2655</v>
      </c>
      <c r="P26" s="37">
        <f t="shared" si="13"/>
        <v>2656</v>
      </c>
      <c r="Q26" s="37">
        <f t="shared" si="13"/>
        <v>2657</v>
      </c>
      <c r="R26" s="37">
        <f t="shared" si="14"/>
        <v>2658</v>
      </c>
      <c r="S26" s="37">
        <f t="shared" si="14"/>
        <v>2659</v>
      </c>
      <c r="T26" s="38">
        <f t="shared" si="14"/>
        <v>2660</v>
      </c>
      <c r="U26" s="36">
        <f t="shared" si="14"/>
        <v>2661</v>
      </c>
      <c r="V26" s="37">
        <f t="shared" si="14"/>
        <v>2662</v>
      </c>
      <c r="W26" s="37">
        <f t="shared" si="14"/>
        <v>2663</v>
      </c>
      <c r="X26" s="37">
        <f t="shared" si="14"/>
        <v>2664</v>
      </c>
      <c r="Y26" s="37">
        <f t="shared" si="14"/>
        <v>2665</v>
      </c>
      <c r="Z26" s="37">
        <f t="shared" si="14"/>
        <v>2666</v>
      </c>
      <c r="AA26" s="37">
        <f t="shared" si="14"/>
        <v>2667</v>
      </c>
      <c r="AB26" s="37">
        <f t="shared" si="14"/>
        <v>2668</v>
      </c>
      <c r="AC26" s="37">
        <f t="shared" si="14"/>
        <v>2669</v>
      </c>
      <c r="AD26" s="38">
        <f t="shared" si="14"/>
        <v>2670</v>
      </c>
      <c r="AE26" s="36">
        <f t="shared" si="14"/>
        <v>2671</v>
      </c>
      <c r="AF26" s="37">
        <f t="shared" si="14"/>
        <v>2672</v>
      </c>
      <c r="AG26" s="37">
        <f t="shared" si="14"/>
        <v>2673</v>
      </c>
      <c r="AH26" s="37">
        <f t="shared" si="15"/>
        <v>2674</v>
      </c>
      <c r="AI26" s="37">
        <f t="shared" si="15"/>
        <v>2675</v>
      </c>
      <c r="AJ26" s="37">
        <f t="shared" si="15"/>
        <v>2676</v>
      </c>
      <c r="AK26" s="37">
        <f t="shared" si="15"/>
        <v>2677</v>
      </c>
      <c r="AL26" s="37">
        <f t="shared" si="15"/>
        <v>2678</v>
      </c>
      <c r="AM26" s="37">
        <f t="shared" si="15"/>
        <v>2679</v>
      </c>
      <c r="AN26" s="38">
        <f t="shared" si="15"/>
        <v>2680</v>
      </c>
      <c r="AO26" s="36">
        <f t="shared" si="15"/>
        <v>2681</v>
      </c>
      <c r="AP26" s="37">
        <f t="shared" si="15"/>
        <v>2682</v>
      </c>
      <c r="AQ26" s="37">
        <f t="shared" si="15"/>
        <v>2683</v>
      </c>
      <c r="AR26" s="37">
        <f t="shared" si="15"/>
        <v>2684</v>
      </c>
      <c r="AS26" s="37">
        <f t="shared" si="15"/>
        <v>2685</v>
      </c>
      <c r="AT26" s="37">
        <f t="shared" si="15"/>
        <v>2686</v>
      </c>
      <c r="AU26" s="37">
        <f t="shared" si="15"/>
        <v>2687</v>
      </c>
      <c r="AV26" s="37">
        <f t="shared" si="15"/>
        <v>2688</v>
      </c>
      <c r="AW26" s="37">
        <f t="shared" si="15"/>
        <v>2689</v>
      </c>
      <c r="AX26" s="38">
        <f t="shared" si="12"/>
        <v>2690</v>
      </c>
      <c r="AY26" s="36">
        <f t="shared" si="12"/>
        <v>2691</v>
      </c>
      <c r="AZ26" s="37">
        <f t="shared" si="12"/>
        <v>2692</v>
      </c>
      <c r="BA26" s="37">
        <f t="shared" si="12"/>
        <v>2693</v>
      </c>
      <c r="BB26" s="37">
        <f t="shared" si="12"/>
        <v>2694</v>
      </c>
      <c r="BC26" s="37">
        <f t="shared" si="12"/>
        <v>2695</v>
      </c>
      <c r="BD26" s="37">
        <f t="shared" si="12"/>
        <v>2696</v>
      </c>
      <c r="BE26" s="37">
        <f t="shared" si="12"/>
        <v>2697</v>
      </c>
      <c r="BF26" s="37">
        <f t="shared" si="12"/>
        <v>2698</v>
      </c>
      <c r="BG26" s="37">
        <f t="shared" si="12"/>
        <v>2699</v>
      </c>
      <c r="BH26" s="38">
        <f t="shared" si="12"/>
        <v>2700</v>
      </c>
      <c r="BI26" s="36">
        <f t="shared" si="12"/>
        <v>2701</v>
      </c>
      <c r="BJ26" s="37">
        <f t="shared" si="12"/>
        <v>2702</v>
      </c>
      <c r="BK26" s="37">
        <f t="shared" si="12"/>
        <v>2703</v>
      </c>
      <c r="BL26" s="37">
        <f t="shared" si="12"/>
        <v>2704</v>
      </c>
      <c r="BM26" s="37">
        <f t="shared" si="12"/>
        <v>2705</v>
      </c>
      <c r="BN26" s="37">
        <f t="shared" si="16"/>
        <v>2706</v>
      </c>
      <c r="BO26" s="37">
        <f t="shared" si="9"/>
        <v>2707</v>
      </c>
      <c r="BP26" s="37">
        <f t="shared" si="9"/>
        <v>2708</v>
      </c>
      <c r="BQ26" s="37">
        <f t="shared" si="9"/>
        <v>2709</v>
      </c>
      <c r="BR26" s="39">
        <f t="shared" si="9"/>
        <v>2710</v>
      </c>
      <c r="BS26" s="36">
        <f t="shared" si="9"/>
        <v>2711</v>
      </c>
      <c r="BT26" s="37">
        <f t="shared" si="9"/>
        <v>2712</v>
      </c>
      <c r="BU26" s="37">
        <f t="shared" si="9"/>
        <v>2713</v>
      </c>
      <c r="BV26" s="37">
        <f t="shared" si="9"/>
        <v>2714</v>
      </c>
      <c r="BW26" s="37">
        <f t="shared" si="9"/>
        <v>2715</v>
      </c>
      <c r="BX26" s="37">
        <f t="shared" si="9"/>
        <v>2716</v>
      </c>
      <c r="BY26" s="37">
        <f t="shared" si="9"/>
        <v>2717</v>
      </c>
      <c r="BZ26" s="37">
        <f t="shared" si="9"/>
        <v>2718</v>
      </c>
      <c r="CA26" s="37">
        <f t="shared" si="9"/>
        <v>2719</v>
      </c>
      <c r="CB26" s="38">
        <f t="shared" si="9"/>
        <v>2720</v>
      </c>
      <c r="CC26" s="40">
        <f t="shared" si="9"/>
        <v>2721</v>
      </c>
      <c r="CD26" s="37">
        <f t="shared" si="9"/>
        <v>2722</v>
      </c>
      <c r="CE26" s="37">
        <f t="shared" si="10"/>
        <v>2723</v>
      </c>
      <c r="CF26" s="37">
        <f t="shared" si="10"/>
        <v>2724</v>
      </c>
      <c r="CG26" s="37">
        <f t="shared" si="10"/>
        <v>2725</v>
      </c>
      <c r="CH26" s="37">
        <f t="shared" si="10"/>
        <v>2726</v>
      </c>
      <c r="CI26" s="37">
        <f t="shared" si="10"/>
        <v>2727</v>
      </c>
      <c r="CJ26" s="37">
        <f t="shared" si="10"/>
        <v>2728</v>
      </c>
      <c r="CK26" s="37">
        <f t="shared" si="10"/>
        <v>2729</v>
      </c>
      <c r="CL26" s="39">
        <f t="shared" si="10"/>
        <v>2730</v>
      </c>
      <c r="CM26" s="36">
        <f t="shared" si="10"/>
        <v>2731</v>
      </c>
      <c r="CN26" s="37">
        <f t="shared" si="10"/>
        <v>2732</v>
      </c>
      <c r="CO26" s="37">
        <f t="shared" si="10"/>
        <v>2733</v>
      </c>
      <c r="CP26" s="37">
        <f t="shared" si="10"/>
        <v>2734</v>
      </c>
      <c r="CQ26" s="37">
        <f t="shared" si="10"/>
        <v>2735</v>
      </c>
      <c r="CR26" s="37">
        <f t="shared" si="10"/>
        <v>2736</v>
      </c>
      <c r="CS26" s="37">
        <f t="shared" si="10"/>
        <v>2737</v>
      </c>
      <c r="CT26" s="37">
        <f t="shared" si="10"/>
        <v>2738</v>
      </c>
      <c r="CU26" s="37">
        <f t="shared" si="11"/>
        <v>2739</v>
      </c>
      <c r="CV26" s="38">
        <f t="shared" si="11"/>
        <v>2740</v>
      </c>
      <c r="CW26" s="40">
        <f t="shared" si="11"/>
        <v>2741</v>
      </c>
      <c r="CX26" s="37">
        <f t="shared" si="11"/>
        <v>2742</v>
      </c>
      <c r="CY26" s="37">
        <f t="shared" si="11"/>
        <v>2743</v>
      </c>
      <c r="CZ26" s="37">
        <f t="shared" si="11"/>
        <v>2744</v>
      </c>
      <c r="DA26" s="37">
        <f t="shared" si="11"/>
        <v>2745</v>
      </c>
      <c r="DB26" s="37">
        <f t="shared" si="11"/>
        <v>2746</v>
      </c>
      <c r="DC26" s="37">
        <f t="shared" si="11"/>
        <v>2747</v>
      </c>
      <c r="DD26" s="37">
        <f t="shared" si="11"/>
        <v>2748</v>
      </c>
      <c r="DE26" s="37">
        <f t="shared" si="11"/>
        <v>2749</v>
      </c>
      <c r="DF26" s="39">
        <f t="shared" si="11"/>
        <v>2750</v>
      </c>
      <c r="DG26" s="36">
        <f t="shared" si="11"/>
        <v>2751</v>
      </c>
      <c r="DH26" s="37">
        <f t="shared" si="11"/>
        <v>2752</v>
      </c>
      <c r="DI26" s="37">
        <f t="shared" si="11"/>
        <v>2753</v>
      </c>
      <c r="DJ26" s="37">
        <f t="shared" si="11"/>
        <v>2754</v>
      </c>
      <c r="DK26" s="37">
        <f t="shared" si="7"/>
        <v>2755</v>
      </c>
      <c r="DL26" s="37">
        <f t="shared" si="7"/>
        <v>2756</v>
      </c>
      <c r="DM26" s="37">
        <f t="shared" si="7"/>
        <v>2757</v>
      </c>
      <c r="DN26" s="37">
        <f t="shared" si="7"/>
        <v>2758</v>
      </c>
      <c r="DO26" s="37">
        <f t="shared" si="7"/>
        <v>2759</v>
      </c>
      <c r="DP26" s="38">
        <f t="shared" si="7"/>
        <v>2760</v>
      </c>
      <c r="DQ26" s="62"/>
      <c r="DR26" s="1214">
        <v>7</v>
      </c>
      <c r="DS26" s="1215"/>
      <c r="DT26" s="1215"/>
      <c r="DU26" s="1216"/>
    </row>
    <row r="27" spans="1:125" ht="5.85" customHeight="1" x14ac:dyDescent="0.3">
      <c r="A27" s="36">
        <v>2761</v>
      </c>
      <c r="B27" s="37">
        <f t="shared" si="13"/>
        <v>2762</v>
      </c>
      <c r="C27" s="37">
        <f t="shared" si="13"/>
        <v>2763</v>
      </c>
      <c r="D27" s="37">
        <f t="shared" si="13"/>
        <v>2764</v>
      </c>
      <c r="E27" s="37">
        <f t="shared" si="13"/>
        <v>2765</v>
      </c>
      <c r="F27" s="37">
        <f t="shared" si="13"/>
        <v>2766</v>
      </c>
      <c r="G27" s="37">
        <f t="shared" si="13"/>
        <v>2767</v>
      </c>
      <c r="H27" s="37">
        <f t="shared" si="13"/>
        <v>2768</v>
      </c>
      <c r="I27" s="37">
        <f t="shared" si="13"/>
        <v>2769</v>
      </c>
      <c r="J27" s="38">
        <f t="shared" si="13"/>
        <v>2770</v>
      </c>
      <c r="K27" s="36">
        <f t="shared" si="13"/>
        <v>2771</v>
      </c>
      <c r="L27" s="37">
        <f t="shared" si="13"/>
        <v>2772</v>
      </c>
      <c r="M27" s="37">
        <f t="shared" si="13"/>
        <v>2773</v>
      </c>
      <c r="N27" s="37">
        <f t="shared" si="13"/>
        <v>2774</v>
      </c>
      <c r="O27" s="37">
        <f t="shared" si="13"/>
        <v>2775</v>
      </c>
      <c r="P27" s="37">
        <f t="shared" si="13"/>
        <v>2776</v>
      </c>
      <c r="Q27" s="37">
        <f t="shared" si="13"/>
        <v>2777</v>
      </c>
      <c r="R27" s="37">
        <f t="shared" si="14"/>
        <v>2778</v>
      </c>
      <c r="S27" s="37">
        <f t="shared" si="14"/>
        <v>2779</v>
      </c>
      <c r="T27" s="38">
        <f t="shared" si="14"/>
        <v>2780</v>
      </c>
      <c r="U27" s="36">
        <f t="shared" si="14"/>
        <v>2781</v>
      </c>
      <c r="V27" s="37">
        <f t="shared" si="14"/>
        <v>2782</v>
      </c>
      <c r="W27" s="37">
        <f t="shared" si="14"/>
        <v>2783</v>
      </c>
      <c r="X27" s="37">
        <f t="shared" si="14"/>
        <v>2784</v>
      </c>
      <c r="Y27" s="37">
        <f t="shared" si="14"/>
        <v>2785</v>
      </c>
      <c r="Z27" s="37">
        <f t="shared" si="14"/>
        <v>2786</v>
      </c>
      <c r="AA27" s="37">
        <f t="shared" si="14"/>
        <v>2787</v>
      </c>
      <c r="AB27" s="37">
        <f t="shared" si="14"/>
        <v>2788</v>
      </c>
      <c r="AC27" s="37">
        <f t="shared" si="14"/>
        <v>2789</v>
      </c>
      <c r="AD27" s="38">
        <f t="shared" si="14"/>
        <v>2790</v>
      </c>
      <c r="AE27" s="36">
        <f t="shared" si="14"/>
        <v>2791</v>
      </c>
      <c r="AF27" s="37">
        <f t="shared" si="14"/>
        <v>2792</v>
      </c>
      <c r="AG27" s="37">
        <f t="shared" si="14"/>
        <v>2793</v>
      </c>
      <c r="AH27" s="37">
        <f t="shared" si="15"/>
        <v>2794</v>
      </c>
      <c r="AI27" s="37">
        <f t="shared" si="15"/>
        <v>2795</v>
      </c>
      <c r="AJ27" s="37">
        <f t="shared" si="15"/>
        <v>2796</v>
      </c>
      <c r="AK27" s="37">
        <f t="shared" si="15"/>
        <v>2797</v>
      </c>
      <c r="AL27" s="37">
        <f t="shared" si="15"/>
        <v>2798</v>
      </c>
      <c r="AM27" s="37">
        <f t="shared" si="15"/>
        <v>2799</v>
      </c>
      <c r="AN27" s="38">
        <f t="shared" si="15"/>
        <v>2800</v>
      </c>
      <c r="AO27" s="36">
        <f t="shared" si="15"/>
        <v>2801</v>
      </c>
      <c r="AP27" s="37">
        <f t="shared" si="15"/>
        <v>2802</v>
      </c>
      <c r="AQ27" s="37">
        <f t="shared" si="15"/>
        <v>2803</v>
      </c>
      <c r="AR27" s="37">
        <f t="shared" si="15"/>
        <v>2804</v>
      </c>
      <c r="AS27" s="37">
        <f t="shared" si="15"/>
        <v>2805</v>
      </c>
      <c r="AT27" s="37">
        <f t="shared" si="15"/>
        <v>2806</v>
      </c>
      <c r="AU27" s="37">
        <f t="shared" si="15"/>
        <v>2807</v>
      </c>
      <c r="AV27" s="37">
        <f t="shared" si="15"/>
        <v>2808</v>
      </c>
      <c r="AW27" s="37">
        <f t="shared" si="15"/>
        <v>2809</v>
      </c>
      <c r="AX27" s="38">
        <f t="shared" si="12"/>
        <v>2810</v>
      </c>
      <c r="AY27" s="36">
        <f t="shared" si="12"/>
        <v>2811</v>
      </c>
      <c r="AZ27" s="37">
        <f t="shared" si="12"/>
        <v>2812</v>
      </c>
      <c r="BA27" s="37">
        <f t="shared" si="12"/>
        <v>2813</v>
      </c>
      <c r="BB27" s="37">
        <f t="shared" si="12"/>
        <v>2814</v>
      </c>
      <c r="BC27" s="37">
        <f t="shared" si="12"/>
        <v>2815</v>
      </c>
      <c r="BD27" s="37">
        <f t="shared" si="12"/>
        <v>2816</v>
      </c>
      <c r="BE27" s="37">
        <f t="shared" si="12"/>
        <v>2817</v>
      </c>
      <c r="BF27" s="37">
        <f t="shared" si="12"/>
        <v>2818</v>
      </c>
      <c r="BG27" s="37">
        <f t="shared" si="12"/>
        <v>2819</v>
      </c>
      <c r="BH27" s="38">
        <f t="shared" si="12"/>
        <v>2820</v>
      </c>
      <c r="BI27" s="36">
        <f t="shared" si="12"/>
        <v>2821</v>
      </c>
      <c r="BJ27" s="37">
        <f t="shared" si="12"/>
        <v>2822</v>
      </c>
      <c r="BK27" s="37">
        <f t="shared" si="12"/>
        <v>2823</v>
      </c>
      <c r="BL27" s="37">
        <f t="shared" si="12"/>
        <v>2824</v>
      </c>
      <c r="BM27" s="37">
        <f t="shared" si="12"/>
        <v>2825</v>
      </c>
      <c r="BN27" s="37">
        <f t="shared" si="16"/>
        <v>2826</v>
      </c>
      <c r="BO27" s="37">
        <f t="shared" si="9"/>
        <v>2827</v>
      </c>
      <c r="BP27" s="37">
        <f t="shared" si="9"/>
        <v>2828</v>
      </c>
      <c r="BQ27" s="37">
        <f t="shared" si="9"/>
        <v>2829</v>
      </c>
      <c r="BR27" s="39">
        <f t="shared" si="9"/>
        <v>2830</v>
      </c>
      <c r="BS27" s="36">
        <f t="shared" si="9"/>
        <v>2831</v>
      </c>
      <c r="BT27" s="37">
        <f t="shared" si="9"/>
        <v>2832</v>
      </c>
      <c r="BU27" s="37">
        <f t="shared" si="9"/>
        <v>2833</v>
      </c>
      <c r="BV27" s="37">
        <f t="shared" si="9"/>
        <v>2834</v>
      </c>
      <c r="BW27" s="37">
        <f t="shared" si="9"/>
        <v>2835</v>
      </c>
      <c r="BX27" s="37">
        <f t="shared" si="9"/>
        <v>2836</v>
      </c>
      <c r="BY27" s="37">
        <f t="shared" si="9"/>
        <v>2837</v>
      </c>
      <c r="BZ27" s="37">
        <f t="shared" si="9"/>
        <v>2838</v>
      </c>
      <c r="CA27" s="37">
        <f t="shared" si="9"/>
        <v>2839</v>
      </c>
      <c r="CB27" s="38">
        <f t="shared" si="9"/>
        <v>2840</v>
      </c>
      <c r="CC27" s="40">
        <f t="shared" si="9"/>
        <v>2841</v>
      </c>
      <c r="CD27" s="37">
        <f t="shared" si="9"/>
        <v>2842</v>
      </c>
      <c r="CE27" s="37">
        <f t="shared" si="10"/>
        <v>2843</v>
      </c>
      <c r="CF27" s="37">
        <f t="shared" si="10"/>
        <v>2844</v>
      </c>
      <c r="CG27" s="37">
        <f t="shared" si="10"/>
        <v>2845</v>
      </c>
      <c r="CH27" s="37">
        <f t="shared" si="10"/>
        <v>2846</v>
      </c>
      <c r="CI27" s="37">
        <f t="shared" si="10"/>
        <v>2847</v>
      </c>
      <c r="CJ27" s="37">
        <f t="shared" si="10"/>
        <v>2848</v>
      </c>
      <c r="CK27" s="37">
        <f t="shared" si="10"/>
        <v>2849</v>
      </c>
      <c r="CL27" s="39">
        <f t="shared" si="10"/>
        <v>2850</v>
      </c>
      <c r="CM27" s="36">
        <f t="shared" si="10"/>
        <v>2851</v>
      </c>
      <c r="CN27" s="37">
        <f t="shared" si="10"/>
        <v>2852</v>
      </c>
      <c r="CO27" s="37">
        <f t="shared" si="10"/>
        <v>2853</v>
      </c>
      <c r="CP27" s="37">
        <f t="shared" si="10"/>
        <v>2854</v>
      </c>
      <c r="CQ27" s="37">
        <f t="shared" si="10"/>
        <v>2855</v>
      </c>
      <c r="CR27" s="37">
        <f t="shared" si="10"/>
        <v>2856</v>
      </c>
      <c r="CS27" s="37">
        <f t="shared" si="10"/>
        <v>2857</v>
      </c>
      <c r="CT27" s="37">
        <f t="shared" si="10"/>
        <v>2858</v>
      </c>
      <c r="CU27" s="37">
        <f t="shared" si="11"/>
        <v>2859</v>
      </c>
      <c r="CV27" s="38">
        <f t="shared" si="11"/>
        <v>2860</v>
      </c>
      <c r="CW27" s="40">
        <f t="shared" si="11"/>
        <v>2861</v>
      </c>
      <c r="CX27" s="37">
        <f t="shared" si="11"/>
        <v>2862</v>
      </c>
      <c r="CY27" s="37">
        <f t="shared" si="11"/>
        <v>2863</v>
      </c>
      <c r="CZ27" s="37">
        <f t="shared" si="11"/>
        <v>2864</v>
      </c>
      <c r="DA27" s="37">
        <f t="shared" si="11"/>
        <v>2865</v>
      </c>
      <c r="DB27" s="37">
        <f t="shared" si="11"/>
        <v>2866</v>
      </c>
      <c r="DC27" s="37">
        <f t="shared" si="11"/>
        <v>2867</v>
      </c>
      <c r="DD27" s="37">
        <f t="shared" si="11"/>
        <v>2868</v>
      </c>
      <c r="DE27" s="37">
        <f t="shared" si="11"/>
        <v>2869</v>
      </c>
      <c r="DF27" s="39">
        <f t="shared" si="11"/>
        <v>2870</v>
      </c>
      <c r="DG27" s="36">
        <f t="shared" si="11"/>
        <v>2871</v>
      </c>
      <c r="DH27" s="37">
        <f t="shared" si="11"/>
        <v>2872</v>
      </c>
      <c r="DI27" s="37">
        <f t="shared" si="11"/>
        <v>2873</v>
      </c>
      <c r="DJ27" s="37">
        <f t="shared" si="11"/>
        <v>2874</v>
      </c>
      <c r="DK27" s="37">
        <f t="shared" si="7"/>
        <v>2875</v>
      </c>
      <c r="DL27" s="37">
        <f t="shared" si="7"/>
        <v>2876</v>
      </c>
      <c r="DM27" s="37">
        <f t="shared" si="7"/>
        <v>2877</v>
      </c>
      <c r="DN27" s="37">
        <f t="shared" si="7"/>
        <v>2878</v>
      </c>
      <c r="DO27" s="37">
        <f t="shared" si="7"/>
        <v>2879</v>
      </c>
      <c r="DP27" s="38">
        <f t="shared" si="7"/>
        <v>2880</v>
      </c>
      <c r="DQ27" s="62"/>
      <c r="DR27" s="1214"/>
      <c r="DS27" s="1215"/>
      <c r="DT27" s="1215"/>
      <c r="DU27" s="1216"/>
    </row>
    <row r="28" spans="1:125" ht="5.85" customHeight="1" x14ac:dyDescent="0.3">
      <c r="A28" s="36">
        <v>2881</v>
      </c>
      <c r="B28" s="37">
        <f t="shared" si="13"/>
        <v>2882</v>
      </c>
      <c r="C28" s="37">
        <f t="shared" si="13"/>
        <v>2883</v>
      </c>
      <c r="D28" s="37">
        <f t="shared" si="13"/>
        <v>2884</v>
      </c>
      <c r="E28" s="37">
        <f t="shared" si="13"/>
        <v>2885</v>
      </c>
      <c r="F28" s="37">
        <f t="shared" si="13"/>
        <v>2886</v>
      </c>
      <c r="G28" s="37">
        <f t="shared" si="13"/>
        <v>2887</v>
      </c>
      <c r="H28" s="37">
        <f t="shared" si="13"/>
        <v>2888</v>
      </c>
      <c r="I28" s="37">
        <f t="shared" si="13"/>
        <v>2889</v>
      </c>
      <c r="J28" s="38">
        <f t="shared" si="13"/>
        <v>2890</v>
      </c>
      <c r="K28" s="36">
        <f t="shared" si="13"/>
        <v>2891</v>
      </c>
      <c r="L28" s="37">
        <f t="shared" si="13"/>
        <v>2892</v>
      </c>
      <c r="M28" s="37">
        <f t="shared" si="13"/>
        <v>2893</v>
      </c>
      <c r="N28" s="37">
        <f t="shared" si="13"/>
        <v>2894</v>
      </c>
      <c r="O28" s="37">
        <f t="shared" si="13"/>
        <v>2895</v>
      </c>
      <c r="P28" s="37">
        <f t="shared" si="13"/>
        <v>2896</v>
      </c>
      <c r="Q28" s="37">
        <f t="shared" si="13"/>
        <v>2897</v>
      </c>
      <c r="R28" s="37">
        <f t="shared" si="14"/>
        <v>2898</v>
      </c>
      <c r="S28" s="37">
        <f t="shared" si="14"/>
        <v>2899</v>
      </c>
      <c r="T28" s="38">
        <f t="shared" si="14"/>
        <v>2900</v>
      </c>
      <c r="U28" s="36">
        <f t="shared" si="14"/>
        <v>2901</v>
      </c>
      <c r="V28" s="37">
        <f t="shared" si="14"/>
        <v>2902</v>
      </c>
      <c r="W28" s="37">
        <f t="shared" si="14"/>
        <v>2903</v>
      </c>
      <c r="X28" s="37">
        <f t="shared" si="14"/>
        <v>2904</v>
      </c>
      <c r="Y28" s="37">
        <f t="shared" si="14"/>
        <v>2905</v>
      </c>
      <c r="Z28" s="37">
        <f t="shared" si="14"/>
        <v>2906</v>
      </c>
      <c r="AA28" s="37">
        <f t="shared" si="14"/>
        <v>2907</v>
      </c>
      <c r="AB28" s="37">
        <f t="shared" si="14"/>
        <v>2908</v>
      </c>
      <c r="AC28" s="37">
        <f t="shared" si="14"/>
        <v>2909</v>
      </c>
      <c r="AD28" s="38">
        <f t="shared" si="14"/>
        <v>2910</v>
      </c>
      <c r="AE28" s="36">
        <f t="shared" si="14"/>
        <v>2911</v>
      </c>
      <c r="AF28" s="37">
        <f t="shared" si="14"/>
        <v>2912</v>
      </c>
      <c r="AG28" s="37">
        <f t="shared" si="14"/>
        <v>2913</v>
      </c>
      <c r="AH28" s="37">
        <f t="shared" si="15"/>
        <v>2914</v>
      </c>
      <c r="AI28" s="37">
        <f t="shared" si="15"/>
        <v>2915</v>
      </c>
      <c r="AJ28" s="37">
        <f t="shared" si="15"/>
        <v>2916</v>
      </c>
      <c r="AK28" s="37">
        <f t="shared" si="15"/>
        <v>2917</v>
      </c>
      <c r="AL28" s="37">
        <f t="shared" si="15"/>
        <v>2918</v>
      </c>
      <c r="AM28" s="37">
        <f t="shared" si="15"/>
        <v>2919</v>
      </c>
      <c r="AN28" s="38">
        <f t="shared" si="15"/>
        <v>2920</v>
      </c>
      <c r="AO28" s="36">
        <f t="shared" si="15"/>
        <v>2921</v>
      </c>
      <c r="AP28" s="37">
        <f t="shared" si="15"/>
        <v>2922</v>
      </c>
      <c r="AQ28" s="37">
        <f t="shared" si="15"/>
        <v>2923</v>
      </c>
      <c r="AR28" s="37">
        <f t="shared" si="15"/>
        <v>2924</v>
      </c>
      <c r="AS28" s="37">
        <f t="shared" si="15"/>
        <v>2925</v>
      </c>
      <c r="AT28" s="37">
        <f t="shared" si="15"/>
        <v>2926</v>
      </c>
      <c r="AU28" s="37">
        <f t="shared" si="15"/>
        <v>2927</v>
      </c>
      <c r="AV28" s="37">
        <f t="shared" si="15"/>
        <v>2928</v>
      </c>
      <c r="AW28" s="37">
        <f t="shared" si="15"/>
        <v>2929</v>
      </c>
      <c r="AX28" s="38">
        <f t="shared" si="12"/>
        <v>2930</v>
      </c>
      <c r="AY28" s="36">
        <f t="shared" si="12"/>
        <v>2931</v>
      </c>
      <c r="AZ28" s="37">
        <f t="shared" si="12"/>
        <v>2932</v>
      </c>
      <c r="BA28" s="37">
        <f t="shared" si="12"/>
        <v>2933</v>
      </c>
      <c r="BB28" s="37">
        <f t="shared" si="12"/>
        <v>2934</v>
      </c>
      <c r="BC28" s="37">
        <f t="shared" si="12"/>
        <v>2935</v>
      </c>
      <c r="BD28" s="37">
        <f t="shared" si="12"/>
        <v>2936</v>
      </c>
      <c r="BE28" s="37">
        <f t="shared" si="12"/>
        <v>2937</v>
      </c>
      <c r="BF28" s="37">
        <f t="shared" si="12"/>
        <v>2938</v>
      </c>
      <c r="BG28" s="37">
        <f t="shared" si="12"/>
        <v>2939</v>
      </c>
      <c r="BH28" s="38">
        <f t="shared" si="12"/>
        <v>2940</v>
      </c>
      <c r="BI28" s="36">
        <f t="shared" si="12"/>
        <v>2941</v>
      </c>
      <c r="BJ28" s="37">
        <f t="shared" si="12"/>
        <v>2942</v>
      </c>
      <c r="BK28" s="37">
        <f t="shared" si="12"/>
        <v>2943</v>
      </c>
      <c r="BL28" s="37">
        <f t="shared" si="12"/>
        <v>2944</v>
      </c>
      <c r="BM28" s="37">
        <f t="shared" si="12"/>
        <v>2945</v>
      </c>
      <c r="BN28" s="37">
        <f t="shared" si="16"/>
        <v>2946</v>
      </c>
      <c r="BO28" s="37">
        <f t="shared" si="9"/>
        <v>2947</v>
      </c>
      <c r="BP28" s="37">
        <f t="shared" si="9"/>
        <v>2948</v>
      </c>
      <c r="BQ28" s="37">
        <f t="shared" si="9"/>
        <v>2949</v>
      </c>
      <c r="BR28" s="39">
        <f t="shared" si="9"/>
        <v>2950</v>
      </c>
      <c r="BS28" s="36">
        <f t="shared" si="9"/>
        <v>2951</v>
      </c>
      <c r="BT28" s="37">
        <f t="shared" si="9"/>
        <v>2952</v>
      </c>
      <c r="BU28" s="37">
        <f t="shared" si="9"/>
        <v>2953</v>
      </c>
      <c r="BV28" s="37">
        <f t="shared" si="9"/>
        <v>2954</v>
      </c>
      <c r="BW28" s="37">
        <f t="shared" si="9"/>
        <v>2955</v>
      </c>
      <c r="BX28" s="37">
        <f t="shared" si="9"/>
        <v>2956</v>
      </c>
      <c r="BY28" s="37">
        <f t="shared" si="9"/>
        <v>2957</v>
      </c>
      <c r="BZ28" s="37">
        <f t="shared" si="9"/>
        <v>2958</v>
      </c>
      <c r="CA28" s="37">
        <f t="shared" si="9"/>
        <v>2959</v>
      </c>
      <c r="CB28" s="38">
        <f t="shared" si="9"/>
        <v>2960</v>
      </c>
      <c r="CC28" s="40">
        <f t="shared" si="9"/>
        <v>2961</v>
      </c>
      <c r="CD28" s="37">
        <f t="shared" si="9"/>
        <v>2962</v>
      </c>
      <c r="CE28" s="37">
        <f t="shared" si="10"/>
        <v>2963</v>
      </c>
      <c r="CF28" s="37">
        <f t="shared" si="10"/>
        <v>2964</v>
      </c>
      <c r="CG28" s="37">
        <f t="shared" si="10"/>
        <v>2965</v>
      </c>
      <c r="CH28" s="37">
        <f t="shared" si="10"/>
        <v>2966</v>
      </c>
      <c r="CI28" s="37">
        <f t="shared" si="10"/>
        <v>2967</v>
      </c>
      <c r="CJ28" s="37">
        <f t="shared" si="10"/>
        <v>2968</v>
      </c>
      <c r="CK28" s="37">
        <f t="shared" si="10"/>
        <v>2969</v>
      </c>
      <c r="CL28" s="39">
        <f t="shared" si="10"/>
        <v>2970</v>
      </c>
      <c r="CM28" s="36">
        <f t="shared" si="10"/>
        <v>2971</v>
      </c>
      <c r="CN28" s="37">
        <f t="shared" si="10"/>
        <v>2972</v>
      </c>
      <c r="CO28" s="37">
        <f t="shared" si="10"/>
        <v>2973</v>
      </c>
      <c r="CP28" s="37">
        <f t="shared" si="10"/>
        <v>2974</v>
      </c>
      <c r="CQ28" s="37">
        <f t="shared" si="10"/>
        <v>2975</v>
      </c>
      <c r="CR28" s="37">
        <f t="shared" si="10"/>
        <v>2976</v>
      </c>
      <c r="CS28" s="37">
        <f t="shared" si="10"/>
        <v>2977</v>
      </c>
      <c r="CT28" s="37">
        <f t="shared" si="10"/>
        <v>2978</v>
      </c>
      <c r="CU28" s="37">
        <f t="shared" si="11"/>
        <v>2979</v>
      </c>
      <c r="CV28" s="38">
        <f t="shared" si="11"/>
        <v>2980</v>
      </c>
      <c r="CW28" s="40">
        <f t="shared" si="11"/>
        <v>2981</v>
      </c>
      <c r="CX28" s="37">
        <f t="shared" si="11"/>
        <v>2982</v>
      </c>
      <c r="CY28" s="37">
        <f t="shared" si="11"/>
        <v>2983</v>
      </c>
      <c r="CZ28" s="37">
        <f t="shared" si="11"/>
        <v>2984</v>
      </c>
      <c r="DA28" s="37">
        <f t="shared" si="11"/>
        <v>2985</v>
      </c>
      <c r="DB28" s="37">
        <f t="shared" si="11"/>
        <v>2986</v>
      </c>
      <c r="DC28" s="37">
        <f t="shared" si="11"/>
        <v>2987</v>
      </c>
      <c r="DD28" s="37">
        <f t="shared" si="11"/>
        <v>2988</v>
      </c>
      <c r="DE28" s="37">
        <f t="shared" si="11"/>
        <v>2989</v>
      </c>
      <c r="DF28" s="39">
        <f t="shared" si="11"/>
        <v>2990</v>
      </c>
      <c r="DG28" s="36">
        <f t="shared" si="11"/>
        <v>2991</v>
      </c>
      <c r="DH28" s="37">
        <f t="shared" si="11"/>
        <v>2992</v>
      </c>
      <c r="DI28" s="37">
        <f t="shared" si="11"/>
        <v>2993</v>
      </c>
      <c r="DJ28" s="37">
        <f t="shared" si="11"/>
        <v>2994</v>
      </c>
      <c r="DK28" s="37">
        <f t="shared" si="7"/>
        <v>2995</v>
      </c>
      <c r="DL28" s="37">
        <f t="shared" si="7"/>
        <v>2996</v>
      </c>
      <c r="DM28" s="37">
        <f t="shared" si="7"/>
        <v>2997</v>
      </c>
      <c r="DN28" s="37">
        <f t="shared" si="7"/>
        <v>2998</v>
      </c>
      <c r="DO28" s="37">
        <f t="shared" si="7"/>
        <v>2999</v>
      </c>
      <c r="DP28" s="38">
        <f t="shared" si="7"/>
        <v>3000</v>
      </c>
      <c r="DQ28" s="62"/>
      <c r="DR28" s="1214"/>
      <c r="DS28" s="1215"/>
      <c r="DT28" s="1215"/>
      <c r="DU28" s="1216"/>
    </row>
    <row r="29" spans="1:125" ht="5.85" customHeight="1" x14ac:dyDescent="0.3">
      <c r="A29" s="36">
        <v>3001</v>
      </c>
      <c r="B29" s="37">
        <f t="shared" ref="B29:B92" si="17">A29+1</f>
        <v>3002</v>
      </c>
      <c r="C29" s="37">
        <f t="shared" ref="C29:C92" si="18">B29+1</f>
        <v>3003</v>
      </c>
      <c r="D29" s="37">
        <f t="shared" ref="D29:D92" si="19">C29+1</f>
        <v>3004</v>
      </c>
      <c r="E29" s="37">
        <f t="shared" ref="E29:E92" si="20">D29+1</f>
        <v>3005</v>
      </c>
      <c r="F29" s="37">
        <f t="shared" ref="F29:F92" si="21">E29+1</f>
        <v>3006</v>
      </c>
      <c r="G29" s="37">
        <f t="shared" ref="G29:G92" si="22">F29+1</f>
        <v>3007</v>
      </c>
      <c r="H29" s="37">
        <f t="shared" ref="H29:H92" si="23">G29+1</f>
        <v>3008</v>
      </c>
      <c r="I29" s="37">
        <f t="shared" ref="I29:I92" si="24">H29+1</f>
        <v>3009</v>
      </c>
      <c r="J29" s="38">
        <f t="shared" ref="J29:J92" si="25">I29+1</f>
        <v>3010</v>
      </c>
      <c r="K29" s="36">
        <f t="shared" ref="K29:K92" si="26">J29+1</f>
        <v>3011</v>
      </c>
      <c r="L29" s="37">
        <f t="shared" ref="L29:L92" si="27">K29+1</f>
        <v>3012</v>
      </c>
      <c r="M29" s="37">
        <f t="shared" ref="M29:M92" si="28">L29+1</f>
        <v>3013</v>
      </c>
      <c r="N29" s="37">
        <f t="shared" ref="N29:N92" si="29">M29+1</f>
        <v>3014</v>
      </c>
      <c r="O29" s="37">
        <f t="shared" ref="O29:O92" si="30">N29+1</f>
        <v>3015</v>
      </c>
      <c r="P29" s="37">
        <f t="shared" ref="P29:P92" si="31">O29+1</f>
        <v>3016</v>
      </c>
      <c r="Q29" s="37">
        <f t="shared" ref="Q29:Q92" si="32">P29+1</f>
        <v>3017</v>
      </c>
      <c r="R29" s="37">
        <f t="shared" ref="R29:R92" si="33">Q29+1</f>
        <v>3018</v>
      </c>
      <c r="S29" s="37">
        <f t="shared" ref="S29:S92" si="34">R29+1</f>
        <v>3019</v>
      </c>
      <c r="T29" s="38">
        <f t="shared" ref="T29:T92" si="35">S29+1</f>
        <v>3020</v>
      </c>
      <c r="U29" s="36">
        <f t="shared" ref="U29:U92" si="36">T29+1</f>
        <v>3021</v>
      </c>
      <c r="V29" s="37">
        <f t="shared" ref="V29:V92" si="37">U29+1</f>
        <v>3022</v>
      </c>
      <c r="W29" s="37">
        <f t="shared" ref="W29:W92" si="38">V29+1</f>
        <v>3023</v>
      </c>
      <c r="X29" s="37">
        <f t="shared" ref="X29:X92" si="39">W29+1</f>
        <v>3024</v>
      </c>
      <c r="Y29" s="37">
        <f t="shared" ref="Y29:Y92" si="40">X29+1</f>
        <v>3025</v>
      </c>
      <c r="Z29" s="37">
        <f t="shared" ref="Z29:Z92" si="41">Y29+1</f>
        <v>3026</v>
      </c>
      <c r="AA29" s="37">
        <f t="shared" ref="AA29:AA92" si="42">Z29+1</f>
        <v>3027</v>
      </c>
      <c r="AB29" s="37">
        <f t="shared" ref="AB29:AB92" si="43">AA29+1</f>
        <v>3028</v>
      </c>
      <c r="AC29" s="37">
        <f t="shared" ref="AC29:AC92" si="44">AB29+1</f>
        <v>3029</v>
      </c>
      <c r="AD29" s="38">
        <f t="shared" ref="AD29:AD92" si="45">AC29+1</f>
        <v>3030</v>
      </c>
      <c r="AE29" s="36">
        <f t="shared" ref="AE29:AE92" si="46">AD29+1</f>
        <v>3031</v>
      </c>
      <c r="AF29" s="37">
        <f t="shared" ref="AF29:AF92" si="47">AE29+1</f>
        <v>3032</v>
      </c>
      <c r="AG29" s="37">
        <f t="shared" ref="AG29:AG92" si="48">AF29+1</f>
        <v>3033</v>
      </c>
      <c r="AH29" s="37">
        <f t="shared" ref="AH29:AH92" si="49">AG29+1</f>
        <v>3034</v>
      </c>
      <c r="AI29" s="37">
        <f t="shared" ref="AI29:AI92" si="50">AH29+1</f>
        <v>3035</v>
      </c>
      <c r="AJ29" s="37">
        <f t="shared" ref="AJ29:AJ92" si="51">AI29+1</f>
        <v>3036</v>
      </c>
      <c r="AK29" s="37">
        <f t="shared" ref="AK29:AK92" si="52">AJ29+1</f>
        <v>3037</v>
      </c>
      <c r="AL29" s="37">
        <f t="shared" ref="AL29:AL92" si="53">AK29+1</f>
        <v>3038</v>
      </c>
      <c r="AM29" s="37">
        <f t="shared" ref="AM29:AM92" si="54">AL29+1</f>
        <v>3039</v>
      </c>
      <c r="AN29" s="38">
        <f t="shared" ref="AN29:AN92" si="55">AM29+1</f>
        <v>3040</v>
      </c>
      <c r="AO29" s="36">
        <f t="shared" ref="AO29:AO92" si="56">AN29+1</f>
        <v>3041</v>
      </c>
      <c r="AP29" s="37">
        <f t="shared" ref="AP29:AP92" si="57">AO29+1</f>
        <v>3042</v>
      </c>
      <c r="AQ29" s="37">
        <f t="shared" ref="AQ29:AQ92" si="58">AP29+1</f>
        <v>3043</v>
      </c>
      <c r="AR29" s="37">
        <f t="shared" ref="AR29:AR92" si="59">AQ29+1</f>
        <v>3044</v>
      </c>
      <c r="AS29" s="37">
        <f t="shared" ref="AS29:AS92" si="60">AR29+1</f>
        <v>3045</v>
      </c>
      <c r="AT29" s="37">
        <f t="shared" ref="AT29:AT92" si="61">AS29+1</f>
        <v>3046</v>
      </c>
      <c r="AU29" s="37">
        <f t="shared" ref="AU29:AU92" si="62">AT29+1</f>
        <v>3047</v>
      </c>
      <c r="AV29" s="37">
        <f t="shared" ref="AV29:AV92" si="63">AU29+1</f>
        <v>3048</v>
      </c>
      <c r="AW29" s="37">
        <f t="shared" ref="AW29:AW92" si="64">AV29+1</f>
        <v>3049</v>
      </c>
      <c r="AX29" s="38">
        <f t="shared" ref="AX29:AX92" si="65">AW29+1</f>
        <v>3050</v>
      </c>
      <c r="AY29" s="36">
        <f t="shared" ref="AY29:AY92" si="66">AX29+1</f>
        <v>3051</v>
      </c>
      <c r="AZ29" s="37">
        <f t="shared" ref="AZ29:AZ92" si="67">AY29+1</f>
        <v>3052</v>
      </c>
      <c r="BA29" s="37">
        <f t="shared" ref="BA29:BA92" si="68">AZ29+1</f>
        <v>3053</v>
      </c>
      <c r="BB29" s="37">
        <f t="shared" ref="BB29:BB92" si="69">BA29+1</f>
        <v>3054</v>
      </c>
      <c r="BC29" s="37">
        <f t="shared" ref="BC29:BC92" si="70">BB29+1</f>
        <v>3055</v>
      </c>
      <c r="BD29" s="37">
        <f t="shared" ref="BD29:BD92" si="71">BC29+1</f>
        <v>3056</v>
      </c>
      <c r="BE29" s="37">
        <f t="shared" ref="BE29:BE92" si="72">BD29+1</f>
        <v>3057</v>
      </c>
      <c r="BF29" s="37">
        <f t="shared" ref="BF29:BF92" si="73">BE29+1</f>
        <v>3058</v>
      </c>
      <c r="BG29" s="37">
        <f t="shared" ref="BG29:BG92" si="74">BF29+1</f>
        <v>3059</v>
      </c>
      <c r="BH29" s="38">
        <f t="shared" ref="BH29:BH92" si="75">BG29+1</f>
        <v>3060</v>
      </c>
      <c r="BI29" s="36">
        <f t="shared" ref="BI29:BI92" si="76">BH29+1</f>
        <v>3061</v>
      </c>
      <c r="BJ29" s="37">
        <f t="shared" ref="BJ29:BJ92" si="77">BI29+1</f>
        <v>3062</v>
      </c>
      <c r="BK29" s="37">
        <f t="shared" ref="BK29:BK92" si="78">BJ29+1</f>
        <v>3063</v>
      </c>
      <c r="BL29" s="37">
        <f t="shared" ref="BL29:BL92" si="79">BK29+1</f>
        <v>3064</v>
      </c>
      <c r="BM29" s="37">
        <f t="shared" ref="BM29:BM92" si="80">BL29+1</f>
        <v>3065</v>
      </c>
      <c r="BN29" s="37">
        <f t="shared" ref="BN29:BN92" si="81">BM29+1</f>
        <v>3066</v>
      </c>
      <c r="BO29" s="37">
        <f t="shared" ref="BO29:BO92" si="82">BN29+1</f>
        <v>3067</v>
      </c>
      <c r="BP29" s="37">
        <f t="shared" ref="BP29:BP92" si="83">BO29+1</f>
        <v>3068</v>
      </c>
      <c r="BQ29" s="37">
        <f t="shared" ref="BQ29:BQ92" si="84">BP29+1</f>
        <v>3069</v>
      </c>
      <c r="BR29" s="39">
        <f t="shared" ref="BR29:BR92" si="85">BQ29+1</f>
        <v>3070</v>
      </c>
      <c r="BS29" s="36">
        <f t="shared" ref="BS29:BS92" si="86">BR29+1</f>
        <v>3071</v>
      </c>
      <c r="BT29" s="37">
        <f t="shared" ref="BT29:BT92" si="87">BS29+1</f>
        <v>3072</v>
      </c>
      <c r="BU29" s="37">
        <f t="shared" ref="BU29:BU92" si="88">BT29+1</f>
        <v>3073</v>
      </c>
      <c r="BV29" s="37">
        <f t="shared" ref="BV29:BV92" si="89">BU29+1</f>
        <v>3074</v>
      </c>
      <c r="BW29" s="37">
        <f t="shared" ref="BW29:BW92" si="90">BV29+1</f>
        <v>3075</v>
      </c>
      <c r="BX29" s="37">
        <f t="shared" ref="BX29:BX92" si="91">BW29+1</f>
        <v>3076</v>
      </c>
      <c r="BY29" s="37">
        <f t="shared" ref="BY29:BY92" si="92">BX29+1</f>
        <v>3077</v>
      </c>
      <c r="BZ29" s="37">
        <f t="shared" ref="BZ29:BZ92" si="93">BY29+1</f>
        <v>3078</v>
      </c>
      <c r="CA29" s="37">
        <f t="shared" ref="CA29:CA92" si="94">BZ29+1</f>
        <v>3079</v>
      </c>
      <c r="CB29" s="38">
        <f t="shared" ref="CB29:CB92" si="95">CA29+1</f>
        <v>3080</v>
      </c>
      <c r="CC29" s="40">
        <f t="shared" ref="CC29:CC92" si="96">CB29+1</f>
        <v>3081</v>
      </c>
      <c r="CD29" s="37">
        <f t="shared" ref="CD29:CD92" si="97">CC29+1</f>
        <v>3082</v>
      </c>
      <c r="CE29" s="37">
        <f t="shared" ref="CE29:CE92" si="98">CD29+1</f>
        <v>3083</v>
      </c>
      <c r="CF29" s="37">
        <f t="shared" ref="CF29:CF92" si="99">CE29+1</f>
        <v>3084</v>
      </c>
      <c r="CG29" s="37">
        <f t="shared" ref="CG29:CG92" si="100">CF29+1</f>
        <v>3085</v>
      </c>
      <c r="CH29" s="37">
        <f t="shared" ref="CH29:CH92" si="101">CG29+1</f>
        <v>3086</v>
      </c>
      <c r="CI29" s="37">
        <f t="shared" ref="CI29:CI92" si="102">CH29+1</f>
        <v>3087</v>
      </c>
      <c r="CJ29" s="37">
        <f t="shared" ref="CJ29:CJ92" si="103">CI29+1</f>
        <v>3088</v>
      </c>
      <c r="CK29" s="37">
        <f t="shared" ref="CK29:CK92" si="104">CJ29+1</f>
        <v>3089</v>
      </c>
      <c r="CL29" s="39">
        <f t="shared" ref="CL29:CL92" si="105">CK29+1</f>
        <v>3090</v>
      </c>
      <c r="CM29" s="36">
        <f t="shared" ref="CM29:CM92" si="106">CL29+1</f>
        <v>3091</v>
      </c>
      <c r="CN29" s="37">
        <f t="shared" ref="CN29:CN92" si="107">CM29+1</f>
        <v>3092</v>
      </c>
      <c r="CO29" s="37">
        <f t="shared" ref="CO29:CO92" si="108">CN29+1</f>
        <v>3093</v>
      </c>
      <c r="CP29" s="37">
        <f t="shared" ref="CP29:CP92" si="109">CO29+1</f>
        <v>3094</v>
      </c>
      <c r="CQ29" s="37">
        <f t="shared" ref="CQ29:CQ92" si="110">CP29+1</f>
        <v>3095</v>
      </c>
      <c r="CR29" s="37">
        <f t="shared" ref="CR29:CR92" si="111">CQ29+1</f>
        <v>3096</v>
      </c>
      <c r="CS29" s="37">
        <f t="shared" ref="CS29:CS92" si="112">CR29+1</f>
        <v>3097</v>
      </c>
      <c r="CT29" s="37">
        <f t="shared" ref="CT29:CT92" si="113">CS29+1</f>
        <v>3098</v>
      </c>
      <c r="CU29" s="37">
        <f t="shared" ref="CU29:CU92" si="114">CT29+1</f>
        <v>3099</v>
      </c>
      <c r="CV29" s="38">
        <f t="shared" ref="CV29:CV92" si="115">CU29+1</f>
        <v>3100</v>
      </c>
      <c r="CW29" s="40">
        <f t="shared" ref="CW29:CW92" si="116">CV29+1</f>
        <v>3101</v>
      </c>
      <c r="CX29" s="37">
        <f t="shared" ref="CX29:CX92" si="117">CW29+1</f>
        <v>3102</v>
      </c>
      <c r="CY29" s="37">
        <f t="shared" ref="CY29:CY92" si="118">CX29+1</f>
        <v>3103</v>
      </c>
      <c r="CZ29" s="37">
        <f t="shared" ref="CZ29:CZ92" si="119">CY29+1</f>
        <v>3104</v>
      </c>
      <c r="DA29" s="37">
        <f t="shared" ref="DA29:DA92" si="120">CZ29+1</f>
        <v>3105</v>
      </c>
      <c r="DB29" s="37">
        <f t="shared" ref="DB29:DB92" si="121">DA29+1</f>
        <v>3106</v>
      </c>
      <c r="DC29" s="37">
        <f t="shared" ref="DC29:DC92" si="122">DB29+1</f>
        <v>3107</v>
      </c>
      <c r="DD29" s="37">
        <f t="shared" ref="DD29:DD92" si="123">DC29+1</f>
        <v>3108</v>
      </c>
      <c r="DE29" s="37">
        <f t="shared" ref="DE29:DE92" si="124">DD29+1</f>
        <v>3109</v>
      </c>
      <c r="DF29" s="39">
        <f t="shared" ref="DF29:DF92" si="125">DE29+1</f>
        <v>3110</v>
      </c>
      <c r="DG29" s="36">
        <f t="shared" ref="DG29:DG92" si="126">DF29+1</f>
        <v>3111</v>
      </c>
      <c r="DH29" s="37">
        <f t="shared" ref="DH29:DH92" si="127">DG29+1</f>
        <v>3112</v>
      </c>
      <c r="DI29" s="37">
        <f t="shared" ref="DI29:DI92" si="128">DH29+1</f>
        <v>3113</v>
      </c>
      <c r="DJ29" s="37">
        <f t="shared" ref="DJ29:DJ92" si="129">DI29+1</f>
        <v>3114</v>
      </c>
      <c r="DK29" s="37">
        <f t="shared" ref="DK29:DK92" si="130">DJ29+1</f>
        <v>3115</v>
      </c>
      <c r="DL29" s="37">
        <f t="shared" ref="DL29:DL92" si="131">DK29+1</f>
        <v>3116</v>
      </c>
      <c r="DM29" s="37">
        <f t="shared" ref="DM29:DM92" si="132">DL29+1</f>
        <v>3117</v>
      </c>
      <c r="DN29" s="37">
        <f t="shared" ref="DN29:DN92" si="133">DM29+1</f>
        <v>3118</v>
      </c>
      <c r="DO29" s="37">
        <f t="shared" ref="DO29:DO92" si="134">DN29+1</f>
        <v>3119</v>
      </c>
      <c r="DP29" s="38">
        <f t="shared" ref="DP29:DP92" si="135">DO29+1</f>
        <v>3120</v>
      </c>
      <c r="DR29" s="1214">
        <v>8</v>
      </c>
      <c r="DS29" s="1215"/>
      <c r="DT29" s="1215"/>
      <c r="DU29" s="1216"/>
    </row>
    <row r="30" spans="1:125" ht="5.85" customHeight="1" x14ac:dyDescent="0.3">
      <c r="A30" s="36">
        <v>2881</v>
      </c>
      <c r="B30" s="37">
        <f t="shared" si="17"/>
        <v>2882</v>
      </c>
      <c r="C30" s="37">
        <f t="shared" si="18"/>
        <v>2883</v>
      </c>
      <c r="D30" s="37">
        <f t="shared" si="19"/>
        <v>2884</v>
      </c>
      <c r="E30" s="37">
        <f t="shared" si="20"/>
        <v>2885</v>
      </c>
      <c r="F30" s="37">
        <f t="shared" si="21"/>
        <v>2886</v>
      </c>
      <c r="G30" s="37">
        <f t="shared" si="22"/>
        <v>2887</v>
      </c>
      <c r="H30" s="37">
        <f t="shared" si="23"/>
        <v>2888</v>
      </c>
      <c r="I30" s="37">
        <f t="shared" si="24"/>
        <v>2889</v>
      </c>
      <c r="J30" s="38">
        <f t="shared" si="25"/>
        <v>2890</v>
      </c>
      <c r="K30" s="36">
        <f t="shared" si="26"/>
        <v>2891</v>
      </c>
      <c r="L30" s="37">
        <f t="shared" si="27"/>
        <v>2892</v>
      </c>
      <c r="M30" s="37">
        <f t="shared" si="28"/>
        <v>2893</v>
      </c>
      <c r="N30" s="37">
        <f t="shared" si="29"/>
        <v>2894</v>
      </c>
      <c r="O30" s="37">
        <f t="shared" si="30"/>
        <v>2895</v>
      </c>
      <c r="P30" s="37">
        <f t="shared" si="31"/>
        <v>2896</v>
      </c>
      <c r="Q30" s="37">
        <f t="shared" si="32"/>
        <v>2897</v>
      </c>
      <c r="R30" s="37">
        <f t="shared" si="33"/>
        <v>2898</v>
      </c>
      <c r="S30" s="37">
        <f t="shared" si="34"/>
        <v>2899</v>
      </c>
      <c r="T30" s="38">
        <f t="shared" si="35"/>
        <v>2900</v>
      </c>
      <c r="U30" s="36">
        <f t="shared" si="36"/>
        <v>2901</v>
      </c>
      <c r="V30" s="37">
        <f t="shared" si="37"/>
        <v>2902</v>
      </c>
      <c r="W30" s="37">
        <f t="shared" si="38"/>
        <v>2903</v>
      </c>
      <c r="X30" s="37">
        <f t="shared" si="39"/>
        <v>2904</v>
      </c>
      <c r="Y30" s="37">
        <f t="shared" si="40"/>
        <v>2905</v>
      </c>
      <c r="Z30" s="37">
        <f t="shared" si="41"/>
        <v>2906</v>
      </c>
      <c r="AA30" s="37">
        <f t="shared" si="42"/>
        <v>2907</v>
      </c>
      <c r="AB30" s="37">
        <f t="shared" si="43"/>
        <v>2908</v>
      </c>
      <c r="AC30" s="37">
        <f t="shared" si="44"/>
        <v>2909</v>
      </c>
      <c r="AD30" s="38">
        <f t="shared" si="45"/>
        <v>2910</v>
      </c>
      <c r="AE30" s="36">
        <f t="shared" si="46"/>
        <v>2911</v>
      </c>
      <c r="AF30" s="37">
        <f t="shared" si="47"/>
        <v>2912</v>
      </c>
      <c r="AG30" s="37">
        <f t="shared" si="48"/>
        <v>2913</v>
      </c>
      <c r="AH30" s="37">
        <f t="shared" si="49"/>
        <v>2914</v>
      </c>
      <c r="AI30" s="37">
        <f t="shared" si="50"/>
        <v>2915</v>
      </c>
      <c r="AJ30" s="37">
        <f t="shared" si="51"/>
        <v>2916</v>
      </c>
      <c r="AK30" s="37">
        <f t="shared" si="52"/>
        <v>2917</v>
      </c>
      <c r="AL30" s="37">
        <f t="shared" si="53"/>
        <v>2918</v>
      </c>
      <c r="AM30" s="37">
        <f t="shared" si="54"/>
        <v>2919</v>
      </c>
      <c r="AN30" s="38">
        <f t="shared" si="55"/>
        <v>2920</v>
      </c>
      <c r="AO30" s="36">
        <f t="shared" si="56"/>
        <v>2921</v>
      </c>
      <c r="AP30" s="37">
        <f t="shared" si="57"/>
        <v>2922</v>
      </c>
      <c r="AQ30" s="37">
        <f t="shared" si="58"/>
        <v>2923</v>
      </c>
      <c r="AR30" s="37">
        <f t="shared" si="59"/>
        <v>2924</v>
      </c>
      <c r="AS30" s="37">
        <f t="shared" si="60"/>
        <v>2925</v>
      </c>
      <c r="AT30" s="37">
        <f t="shared" si="61"/>
        <v>2926</v>
      </c>
      <c r="AU30" s="37">
        <f t="shared" si="62"/>
        <v>2927</v>
      </c>
      <c r="AV30" s="37">
        <f t="shared" si="63"/>
        <v>2928</v>
      </c>
      <c r="AW30" s="37">
        <f t="shared" si="64"/>
        <v>2929</v>
      </c>
      <c r="AX30" s="38">
        <f t="shared" si="65"/>
        <v>2930</v>
      </c>
      <c r="AY30" s="36">
        <f t="shared" si="66"/>
        <v>2931</v>
      </c>
      <c r="AZ30" s="37">
        <f t="shared" si="67"/>
        <v>2932</v>
      </c>
      <c r="BA30" s="37">
        <f t="shared" si="68"/>
        <v>2933</v>
      </c>
      <c r="BB30" s="37">
        <f t="shared" si="69"/>
        <v>2934</v>
      </c>
      <c r="BC30" s="37">
        <f t="shared" si="70"/>
        <v>2935</v>
      </c>
      <c r="BD30" s="37">
        <f t="shared" si="71"/>
        <v>2936</v>
      </c>
      <c r="BE30" s="37">
        <f t="shared" si="72"/>
        <v>2937</v>
      </c>
      <c r="BF30" s="37">
        <f t="shared" si="73"/>
        <v>2938</v>
      </c>
      <c r="BG30" s="37">
        <f t="shared" si="74"/>
        <v>2939</v>
      </c>
      <c r="BH30" s="38">
        <f t="shared" si="75"/>
        <v>2940</v>
      </c>
      <c r="BI30" s="36">
        <f t="shared" si="76"/>
        <v>2941</v>
      </c>
      <c r="BJ30" s="37">
        <f t="shared" si="77"/>
        <v>2942</v>
      </c>
      <c r="BK30" s="37">
        <f t="shared" si="78"/>
        <v>2943</v>
      </c>
      <c r="BL30" s="37">
        <f t="shared" si="79"/>
        <v>2944</v>
      </c>
      <c r="BM30" s="37">
        <f t="shared" si="80"/>
        <v>2945</v>
      </c>
      <c r="BN30" s="37">
        <f t="shared" si="81"/>
        <v>2946</v>
      </c>
      <c r="BO30" s="37">
        <f t="shared" si="82"/>
        <v>2947</v>
      </c>
      <c r="BP30" s="37">
        <f t="shared" si="83"/>
        <v>2948</v>
      </c>
      <c r="BQ30" s="37">
        <f t="shared" si="84"/>
        <v>2949</v>
      </c>
      <c r="BR30" s="39">
        <f t="shared" si="85"/>
        <v>2950</v>
      </c>
      <c r="BS30" s="36">
        <f t="shared" si="86"/>
        <v>2951</v>
      </c>
      <c r="BT30" s="37">
        <f t="shared" si="87"/>
        <v>2952</v>
      </c>
      <c r="BU30" s="37">
        <f t="shared" si="88"/>
        <v>2953</v>
      </c>
      <c r="BV30" s="37">
        <f t="shared" si="89"/>
        <v>2954</v>
      </c>
      <c r="BW30" s="37">
        <f t="shared" si="90"/>
        <v>2955</v>
      </c>
      <c r="BX30" s="37">
        <f t="shared" si="91"/>
        <v>2956</v>
      </c>
      <c r="BY30" s="37">
        <f t="shared" si="92"/>
        <v>2957</v>
      </c>
      <c r="BZ30" s="37">
        <f t="shared" si="93"/>
        <v>2958</v>
      </c>
      <c r="CA30" s="37">
        <f t="shared" si="94"/>
        <v>2959</v>
      </c>
      <c r="CB30" s="38">
        <f t="shared" si="95"/>
        <v>2960</v>
      </c>
      <c r="CC30" s="40">
        <f t="shared" si="96"/>
        <v>2961</v>
      </c>
      <c r="CD30" s="37">
        <f t="shared" si="97"/>
        <v>2962</v>
      </c>
      <c r="CE30" s="37">
        <f t="shared" si="98"/>
        <v>2963</v>
      </c>
      <c r="CF30" s="37">
        <f t="shared" si="99"/>
        <v>2964</v>
      </c>
      <c r="CG30" s="37">
        <f t="shared" si="100"/>
        <v>2965</v>
      </c>
      <c r="CH30" s="37">
        <f t="shared" si="101"/>
        <v>2966</v>
      </c>
      <c r="CI30" s="37">
        <f t="shared" si="102"/>
        <v>2967</v>
      </c>
      <c r="CJ30" s="37">
        <f t="shared" si="103"/>
        <v>2968</v>
      </c>
      <c r="CK30" s="37">
        <f t="shared" si="104"/>
        <v>2969</v>
      </c>
      <c r="CL30" s="39">
        <f t="shared" si="105"/>
        <v>2970</v>
      </c>
      <c r="CM30" s="36">
        <f t="shared" si="106"/>
        <v>2971</v>
      </c>
      <c r="CN30" s="37">
        <f t="shared" si="107"/>
        <v>2972</v>
      </c>
      <c r="CO30" s="37">
        <f t="shared" si="108"/>
        <v>2973</v>
      </c>
      <c r="CP30" s="37">
        <f t="shared" si="109"/>
        <v>2974</v>
      </c>
      <c r="CQ30" s="37">
        <f t="shared" si="110"/>
        <v>2975</v>
      </c>
      <c r="CR30" s="37">
        <f t="shared" si="111"/>
        <v>2976</v>
      </c>
      <c r="CS30" s="37">
        <f t="shared" si="112"/>
        <v>2977</v>
      </c>
      <c r="CT30" s="37">
        <f t="shared" si="113"/>
        <v>2978</v>
      </c>
      <c r="CU30" s="37">
        <f t="shared" si="114"/>
        <v>2979</v>
      </c>
      <c r="CV30" s="38">
        <f t="shared" si="115"/>
        <v>2980</v>
      </c>
      <c r="CW30" s="40">
        <f t="shared" si="116"/>
        <v>2981</v>
      </c>
      <c r="CX30" s="37">
        <f t="shared" si="117"/>
        <v>2982</v>
      </c>
      <c r="CY30" s="37">
        <f t="shared" si="118"/>
        <v>2983</v>
      </c>
      <c r="CZ30" s="37">
        <f t="shared" si="119"/>
        <v>2984</v>
      </c>
      <c r="DA30" s="37">
        <f t="shared" si="120"/>
        <v>2985</v>
      </c>
      <c r="DB30" s="37">
        <f t="shared" si="121"/>
        <v>2986</v>
      </c>
      <c r="DC30" s="37">
        <f t="shared" si="122"/>
        <v>2987</v>
      </c>
      <c r="DD30" s="37">
        <f t="shared" si="123"/>
        <v>2988</v>
      </c>
      <c r="DE30" s="37">
        <f t="shared" si="124"/>
        <v>2989</v>
      </c>
      <c r="DF30" s="39">
        <f t="shared" si="125"/>
        <v>2990</v>
      </c>
      <c r="DG30" s="36">
        <f t="shared" si="126"/>
        <v>2991</v>
      </c>
      <c r="DH30" s="37">
        <f t="shared" si="127"/>
        <v>2992</v>
      </c>
      <c r="DI30" s="37">
        <f t="shared" si="128"/>
        <v>2993</v>
      </c>
      <c r="DJ30" s="37">
        <f t="shared" si="129"/>
        <v>2994</v>
      </c>
      <c r="DK30" s="37">
        <f t="shared" si="130"/>
        <v>2995</v>
      </c>
      <c r="DL30" s="37">
        <f t="shared" si="131"/>
        <v>2996</v>
      </c>
      <c r="DM30" s="37">
        <f t="shared" si="132"/>
        <v>2997</v>
      </c>
      <c r="DN30" s="37">
        <f t="shared" si="133"/>
        <v>2998</v>
      </c>
      <c r="DO30" s="37">
        <f t="shared" si="134"/>
        <v>2999</v>
      </c>
      <c r="DP30" s="38">
        <f t="shared" si="135"/>
        <v>3000</v>
      </c>
      <c r="DR30" s="1214"/>
      <c r="DS30" s="1215"/>
      <c r="DT30" s="1215"/>
      <c r="DU30" s="1216"/>
    </row>
    <row r="31" spans="1:125" ht="5.85" customHeight="1" x14ac:dyDescent="0.3">
      <c r="A31" s="36">
        <f>DP30+1</f>
        <v>3001</v>
      </c>
      <c r="B31" s="37">
        <f t="shared" si="17"/>
        <v>3002</v>
      </c>
      <c r="C31" s="37">
        <f t="shared" si="18"/>
        <v>3003</v>
      </c>
      <c r="D31" s="37">
        <f t="shared" si="19"/>
        <v>3004</v>
      </c>
      <c r="E31" s="37">
        <f t="shared" si="20"/>
        <v>3005</v>
      </c>
      <c r="F31" s="37">
        <f t="shared" si="21"/>
        <v>3006</v>
      </c>
      <c r="G31" s="37">
        <f t="shared" si="22"/>
        <v>3007</v>
      </c>
      <c r="H31" s="37">
        <f t="shared" si="23"/>
        <v>3008</v>
      </c>
      <c r="I31" s="37">
        <f t="shared" si="24"/>
        <v>3009</v>
      </c>
      <c r="J31" s="38">
        <f t="shared" si="25"/>
        <v>3010</v>
      </c>
      <c r="K31" s="36">
        <f t="shared" si="26"/>
        <v>3011</v>
      </c>
      <c r="L31" s="37">
        <f t="shared" si="27"/>
        <v>3012</v>
      </c>
      <c r="M31" s="37">
        <f t="shared" si="28"/>
        <v>3013</v>
      </c>
      <c r="N31" s="37">
        <f t="shared" si="29"/>
        <v>3014</v>
      </c>
      <c r="O31" s="37">
        <f t="shared" si="30"/>
        <v>3015</v>
      </c>
      <c r="P31" s="37">
        <f t="shared" si="31"/>
        <v>3016</v>
      </c>
      <c r="Q31" s="37">
        <f t="shared" si="32"/>
        <v>3017</v>
      </c>
      <c r="R31" s="37">
        <f t="shared" si="33"/>
        <v>3018</v>
      </c>
      <c r="S31" s="37">
        <f t="shared" si="34"/>
        <v>3019</v>
      </c>
      <c r="T31" s="38">
        <f t="shared" si="35"/>
        <v>3020</v>
      </c>
      <c r="U31" s="36">
        <f t="shared" si="36"/>
        <v>3021</v>
      </c>
      <c r="V31" s="37">
        <f t="shared" si="37"/>
        <v>3022</v>
      </c>
      <c r="W31" s="37">
        <f t="shared" si="38"/>
        <v>3023</v>
      </c>
      <c r="X31" s="37">
        <f t="shared" si="39"/>
        <v>3024</v>
      </c>
      <c r="Y31" s="37">
        <f t="shared" si="40"/>
        <v>3025</v>
      </c>
      <c r="Z31" s="37">
        <f t="shared" si="41"/>
        <v>3026</v>
      </c>
      <c r="AA31" s="37">
        <f t="shared" si="42"/>
        <v>3027</v>
      </c>
      <c r="AB31" s="37">
        <f t="shared" si="43"/>
        <v>3028</v>
      </c>
      <c r="AC31" s="37">
        <f t="shared" si="44"/>
        <v>3029</v>
      </c>
      <c r="AD31" s="38">
        <f t="shared" si="45"/>
        <v>3030</v>
      </c>
      <c r="AE31" s="36">
        <f t="shared" si="46"/>
        <v>3031</v>
      </c>
      <c r="AF31" s="37">
        <f t="shared" si="47"/>
        <v>3032</v>
      </c>
      <c r="AG31" s="37">
        <f t="shared" si="48"/>
        <v>3033</v>
      </c>
      <c r="AH31" s="37">
        <f t="shared" si="49"/>
        <v>3034</v>
      </c>
      <c r="AI31" s="37">
        <f t="shared" si="50"/>
        <v>3035</v>
      </c>
      <c r="AJ31" s="37">
        <f t="shared" si="51"/>
        <v>3036</v>
      </c>
      <c r="AK31" s="37">
        <f t="shared" si="52"/>
        <v>3037</v>
      </c>
      <c r="AL31" s="37">
        <f t="shared" si="53"/>
        <v>3038</v>
      </c>
      <c r="AM31" s="37">
        <f t="shared" si="54"/>
        <v>3039</v>
      </c>
      <c r="AN31" s="38">
        <f t="shared" si="55"/>
        <v>3040</v>
      </c>
      <c r="AO31" s="36">
        <f t="shared" si="56"/>
        <v>3041</v>
      </c>
      <c r="AP31" s="37">
        <f t="shared" si="57"/>
        <v>3042</v>
      </c>
      <c r="AQ31" s="37">
        <f t="shared" si="58"/>
        <v>3043</v>
      </c>
      <c r="AR31" s="37">
        <f t="shared" si="59"/>
        <v>3044</v>
      </c>
      <c r="AS31" s="37">
        <f t="shared" si="60"/>
        <v>3045</v>
      </c>
      <c r="AT31" s="37">
        <f t="shared" si="61"/>
        <v>3046</v>
      </c>
      <c r="AU31" s="37">
        <f t="shared" si="62"/>
        <v>3047</v>
      </c>
      <c r="AV31" s="37">
        <f t="shared" si="63"/>
        <v>3048</v>
      </c>
      <c r="AW31" s="37">
        <f t="shared" si="64"/>
        <v>3049</v>
      </c>
      <c r="AX31" s="38">
        <f t="shared" si="65"/>
        <v>3050</v>
      </c>
      <c r="AY31" s="36">
        <f t="shared" si="66"/>
        <v>3051</v>
      </c>
      <c r="AZ31" s="37">
        <f t="shared" si="67"/>
        <v>3052</v>
      </c>
      <c r="BA31" s="37">
        <f t="shared" si="68"/>
        <v>3053</v>
      </c>
      <c r="BB31" s="37">
        <f t="shared" si="69"/>
        <v>3054</v>
      </c>
      <c r="BC31" s="37">
        <f t="shared" si="70"/>
        <v>3055</v>
      </c>
      <c r="BD31" s="37">
        <f t="shared" si="71"/>
        <v>3056</v>
      </c>
      <c r="BE31" s="37">
        <f t="shared" si="72"/>
        <v>3057</v>
      </c>
      <c r="BF31" s="37">
        <f t="shared" si="73"/>
        <v>3058</v>
      </c>
      <c r="BG31" s="37">
        <f t="shared" si="74"/>
        <v>3059</v>
      </c>
      <c r="BH31" s="38">
        <f t="shared" si="75"/>
        <v>3060</v>
      </c>
      <c r="BI31" s="36">
        <f t="shared" si="76"/>
        <v>3061</v>
      </c>
      <c r="BJ31" s="37">
        <f t="shared" si="77"/>
        <v>3062</v>
      </c>
      <c r="BK31" s="37">
        <f t="shared" si="78"/>
        <v>3063</v>
      </c>
      <c r="BL31" s="37">
        <f t="shared" si="79"/>
        <v>3064</v>
      </c>
      <c r="BM31" s="37">
        <f t="shared" si="80"/>
        <v>3065</v>
      </c>
      <c r="BN31" s="37">
        <f t="shared" si="81"/>
        <v>3066</v>
      </c>
      <c r="BO31" s="37">
        <f t="shared" si="82"/>
        <v>3067</v>
      </c>
      <c r="BP31" s="37">
        <f t="shared" si="83"/>
        <v>3068</v>
      </c>
      <c r="BQ31" s="37">
        <f t="shared" si="84"/>
        <v>3069</v>
      </c>
      <c r="BR31" s="39">
        <f t="shared" si="85"/>
        <v>3070</v>
      </c>
      <c r="BS31" s="36">
        <f t="shared" si="86"/>
        <v>3071</v>
      </c>
      <c r="BT31" s="37">
        <f t="shared" si="87"/>
        <v>3072</v>
      </c>
      <c r="BU31" s="37">
        <f t="shared" si="88"/>
        <v>3073</v>
      </c>
      <c r="BV31" s="37">
        <f t="shared" si="89"/>
        <v>3074</v>
      </c>
      <c r="BW31" s="37">
        <f t="shared" si="90"/>
        <v>3075</v>
      </c>
      <c r="BX31" s="37">
        <f t="shared" si="91"/>
        <v>3076</v>
      </c>
      <c r="BY31" s="37">
        <f t="shared" si="92"/>
        <v>3077</v>
      </c>
      <c r="BZ31" s="37">
        <f t="shared" si="93"/>
        <v>3078</v>
      </c>
      <c r="CA31" s="37">
        <f t="shared" si="94"/>
        <v>3079</v>
      </c>
      <c r="CB31" s="38">
        <f t="shared" si="95"/>
        <v>3080</v>
      </c>
      <c r="CC31" s="40">
        <f t="shared" si="96"/>
        <v>3081</v>
      </c>
      <c r="CD31" s="37">
        <f t="shared" si="97"/>
        <v>3082</v>
      </c>
      <c r="CE31" s="37">
        <f t="shared" si="98"/>
        <v>3083</v>
      </c>
      <c r="CF31" s="37">
        <f t="shared" si="99"/>
        <v>3084</v>
      </c>
      <c r="CG31" s="37">
        <f t="shared" si="100"/>
        <v>3085</v>
      </c>
      <c r="CH31" s="37">
        <f t="shared" si="101"/>
        <v>3086</v>
      </c>
      <c r="CI31" s="37">
        <f t="shared" si="102"/>
        <v>3087</v>
      </c>
      <c r="CJ31" s="37">
        <f t="shared" si="103"/>
        <v>3088</v>
      </c>
      <c r="CK31" s="37">
        <f t="shared" si="104"/>
        <v>3089</v>
      </c>
      <c r="CL31" s="39">
        <f t="shared" si="105"/>
        <v>3090</v>
      </c>
      <c r="CM31" s="36">
        <f t="shared" si="106"/>
        <v>3091</v>
      </c>
      <c r="CN31" s="37">
        <f t="shared" si="107"/>
        <v>3092</v>
      </c>
      <c r="CO31" s="37">
        <f t="shared" si="108"/>
        <v>3093</v>
      </c>
      <c r="CP31" s="37">
        <f t="shared" si="109"/>
        <v>3094</v>
      </c>
      <c r="CQ31" s="37">
        <f t="shared" si="110"/>
        <v>3095</v>
      </c>
      <c r="CR31" s="37">
        <f t="shared" si="111"/>
        <v>3096</v>
      </c>
      <c r="CS31" s="37">
        <f t="shared" si="112"/>
        <v>3097</v>
      </c>
      <c r="CT31" s="37">
        <f t="shared" si="113"/>
        <v>3098</v>
      </c>
      <c r="CU31" s="37">
        <f t="shared" si="114"/>
        <v>3099</v>
      </c>
      <c r="CV31" s="38">
        <f t="shared" si="115"/>
        <v>3100</v>
      </c>
      <c r="CW31" s="40">
        <f t="shared" si="116"/>
        <v>3101</v>
      </c>
      <c r="CX31" s="37">
        <f t="shared" si="117"/>
        <v>3102</v>
      </c>
      <c r="CY31" s="37">
        <f t="shared" si="118"/>
        <v>3103</v>
      </c>
      <c r="CZ31" s="37">
        <f t="shared" si="119"/>
        <v>3104</v>
      </c>
      <c r="DA31" s="37">
        <f t="shared" si="120"/>
        <v>3105</v>
      </c>
      <c r="DB31" s="37">
        <f t="shared" si="121"/>
        <v>3106</v>
      </c>
      <c r="DC31" s="37">
        <f t="shared" si="122"/>
        <v>3107</v>
      </c>
      <c r="DD31" s="37">
        <f t="shared" si="123"/>
        <v>3108</v>
      </c>
      <c r="DE31" s="37">
        <f t="shared" si="124"/>
        <v>3109</v>
      </c>
      <c r="DF31" s="39">
        <f t="shared" si="125"/>
        <v>3110</v>
      </c>
      <c r="DG31" s="36">
        <f t="shared" si="126"/>
        <v>3111</v>
      </c>
      <c r="DH31" s="37">
        <f t="shared" si="127"/>
        <v>3112</v>
      </c>
      <c r="DI31" s="37">
        <f t="shared" si="128"/>
        <v>3113</v>
      </c>
      <c r="DJ31" s="37">
        <f t="shared" si="129"/>
        <v>3114</v>
      </c>
      <c r="DK31" s="37">
        <f t="shared" si="130"/>
        <v>3115</v>
      </c>
      <c r="DL31" s="37">
        <f t="shared" si="131"/>
        <v>3116</v>
      </c>
      <c r="DM31" s="37">
        <f t="shared" si="132"/>
        <v>3117</v>
      </c>
      <c r="DN31" s="37">
        <f t="shared" si="133"/>
        <v>3118</v>
      </c>
      <c r="DO31" s="37">
        <f t="shared" si="134"/>
        <v>3119</v>
      </c>
      <c r="DP31" s="38">
        <f t="shared" si="135"/>
        <v>3120</v>
      </c>
      <c r="DR31" s="1214"/>
      <c r="DS31" s="1215"/>
      <c r="DT31" s="1215"/>
      <c r="DU31" s="1216"/>
    </row>
    <row r="32" spans="1:125" ht="5.85" customHeight="1" x14ac:dyDescent="0.3">
      <c r="A32" s="36">
        <f t="shared" ref="A32:A93" si="136">DP31+1</f>
        <v>3121</v>
      </c>
      <c r="B32" s="37">
        <f t="shared" si="17"/>
        <v>3122</v>
      </c>
      <c r="C32" s="37">
        <f t="shared" si="18"/>
        <v>3123</v>
      </c>
      <c r="D32" s="37">
        <f t="shared" si="19"/>
        <v>3124</v>
      </c>
      <c r="E32" s="37">
        <f t="shared" si="20"/>
        <v>3125</v>
      </c>
      <c r="F32" s="37">
        <f t="shared" si="21"/>
        <v>3126</v>
      </c>
      <c r="G32" s="37">
        <f t="shared" si="22"/>
        <v>3127</v>
      </c>
      <c r="H32" s="37">
        <f t="shared" si="23"/>
        <v>3128</v>
      </c>
      <c r="I32" s="37">
        <f t="shared" si="24"/>
        <v>3129</v>
      </c>
      <c r="J32" s="38">
        <f t="shared" si="25"/>
        <v>3130</v>
      </c>
      <c r="K32" s="36">
        <f t="shared" si="26"/>
        <v>3131</v>
      </c>
      <c r="L32" s="37">
        <f t="shared" si="27"/>
        <v>3132</v>
      </c>
      <c r="M32" s="37">
        <f t="shared" si="28"/>
        <v>3133</v>
      </c>
      <c r="N32" s="37">
        <f t="shared" si="29"/>
        <v>3134</v>
      </c>
      <c r="O32" s="37">
        <f t="shared" si="30"/>
        <v>3135</v>
      </c>
      <c r="P32" s="37">
        <f t="shared" si="31"/>
        <v>3136</v>
      </c>
      <c r="Q32" s="37">
        <f t="shared" si="32"/>
        <v>3137</v>
      </c>
      <c r="R32" s="37">
        <f t="shared" si="33"/>
        <v>3138</v>
      </c>
      <c r="S32" s="37">
        <f t="shared" si="34"/>
        <v>3139</v>
      </c>
      <c r="T32" s="38">
        <f t="shared" si="35"/>
        <v>3140</v>
      </c>
      <c r="U32" s="36">
        <f t="shared" si="36"/>
        <v>3141</v>
      </c>
      <c r="V32" s="37">
        <f t="shared" si="37"/>
        <v>3142</v>
      </c>
      <c r="W32" s="37">
        <f t="shared" si="38"/>
        <v>3143</v>
      </c>
      <c r="X32" s="37">
        <f t="shared" si="39"/>
        <v>3144</v>
      </c>
      <c r="Y32" s="37">
        <f t="shared" si="40"/>
        <v>3145</v>
      </c>
      <c r="Z32" s="37">
        <f t="shared" si="41"/>
        <v>3146</v>
      </c>
      <c r="AA32" s="37">
        <f t="shared" si="42"/>
        <v>3147</v>
      </c>
      <c r="AB32" s="37">
        <f t="shared" si="43"/>
        <v>3148</v>
      </c>
      <c r="AC32" s="37">
        <f t="shared" si="44"/>
        <v>3149</v>
      </c>
      <c r="AD32" s="38">
        <f t="shared" si="45"/>
        <v>3150</v>
      </c>
      <c r="AE32" s="36">
        <f t="shared" si="46"/>
        <v>3151</v>
      </c>
      <c r="AF32" s="37">
        <f t="shared" si="47"/>
        <v>3152</v>
      </c>
      <c r="AG32" s="37">
        <f t="shared" si="48"/>
        <v>3153</v>
      </c>
      <c r="AH32" s="37">
        <f t="shared" si="49"/>
        <v>3154</v>
      </c>
      <c r="AI32" s="37">
        <f t="shared" si="50"/>
        <v>3155</v>
      </c>
      <c r="AJ32" s="37">
        <f t="shared" si="51"/>
        <v>3156</v>
      </c>
      <c r="AK32" s="37">
        <f t="shared" si="52"/>
        <v>3157</v>
      </c>
      <c r="AL32" s="37">
        <f t="shared" si="53"/>
        <v>3158</v>
      </c>
      <c r="AM32" s="37">
        <f t="shared" si="54"/>
        <v>3159</v>
      </c>
      <c r="AN32" s="38">
        <f t="shared" si="55"/>
        <v>3160</v>
      </c>
      <c r="AO32" s="36">
        <f t="shared" si="56"/>
        <v>3161</v>
      </c>
      <c r="AP32" s="37">
        <f t="shared" si="57"/>
        <v>3162</v>
      </c>
      <c r="AQ32" s="37">
        <f t="shared" si="58"/>
        <v>3163</v>
      </c>
      <c r="AR32" s="37">
        <f t="shared" si="59"/>
        <v>3164</v>
      </c>
      <c r="AS32" s="37">
        <f t="shared" si="60"/>
        <v>3165</v>
      </c>
      <c r="AT32" s="37">
        <f t="shared" si="61"/>
        <v>3166</v>
      </c>
      <c r="AU32" s="37">
        <f t="shared" si="62"/>
        <v>3167</v>
      </c>
      <c r="AV32" s="37">
        <f t="shared" si="63"/>
        <v>3168</v>
      </c>
      <c r="AW32" s="37">
        <f t="shared" si="64"/>
        <v>3169</v>
      </c>
      <c r="AX32" s="38">
        <f t="shared" si="65"/>
        <v>3170</v>
      </c>
      <c r="AY32" s="36">
        <f t="shared" si="66"/>
        <v>3171</v>
      </c>
      <c r="AZ32" s="37">
        <f t="shared" si="67"/>
        <v>3172</v>
      </c>
      <c r="BA32" s="37">
        <f t="shared" si="68"/>
        <v>3173</v>
      </c>
      <c r="BB32" s="37">
        <f t="shared" si="69"/>
        <v>3174</v>
      </c>
      <c r="BC32" s="37">
        <f t="shared" si="70"/>
        <v>3175</v>
      </c>
      <c r="BD32" s="37">
        <f t="shared" si="71"/>
        <v>3176</v>
      </c>
      <c r="BE32" s="37">
        <f t="shared" si="72"/>
        <v>3177</v>
      </c>
      <c r="BF32" s="37">
        <f t="shared" si="73"/>
        <v>3178</v>
      </c>
      <c r="BG32" s="37">
        <f t="shared" si="74"/>
        <v>3179</v>
      </c>
      <c r="BH32" s="38">
        <f t="shared" si="75"/>
        <v>3180</v>
      </c>
      <c r="BI32" s="36">
        <f t="shared" si="76"/>
        <v>3181</v>
      </c>
      <c r="BJ32" s="37">
        <f t="shared" si="77"/>
        <v>3182</v>
      </c>
      <c r="BK32" s="37">
        <f t="shared" si="78"/>
        <v>3183</v>
      </c>
      <c r="BL32" s="37">
        <f t="shared" si="79"/>
        <v>3184</v>
      </c>
      <c r="BM32" s="37">
        <f t="shared" si="80"/>
        <v>3185</v>
      </c>
      <c r="BN32" s="37">
        <f t="shared" si="81"/>
        <v>3186</v>
      </c>
      <c r="BO32" s="37">
        <f t="shared" si="82"/>
        <v>3187</v>
      </c>
      <c r="BP32" s="37">
        <f t="shared" si="83"/>
        <v>3188</v>
      </c>
      <c r="BQ32" s="37">
        <f t="shared" si="84"/>
        <v>3189</v>
      </c>
      <c r="BR32" s="39">
        <f t="shared" si="85"/>
        <v>3190</v>
      </c>
      <c r="BS32" s="36">
        <f t="shared" si="86"/>
        <v>3191</v>
      </c>
      <c r="BT32" s="37">
        <f t="shared" si="87"/>
        <v>3192</v>
      </c>
      <c r="BU32" s="37">
        <f t="shared" si="88"/>
        <v>3193</v>
      </c>
      <c r="BV32" s="37">
        <f t="shared" si="89"/>
        <v>3194</v>
      </c>
      <c r="BW32" s="37">
        <f t="shared" si="90"/>
        <v>3195</v>
      </c>
      <c r="BX32" s="37">
        <f t="shared" si="91"/>
        <v>3196</v>
      </c>
      <c r="BY32" s="37">
        <f t="shared" si="92"/>
        <v>3197</v>
      </c>
      <c r="BZ32" s="37">
        <f t="shared" si="93"/>
        <v>3198</v>
      </c>
      <c r="CA32" s="37">
        <f t="shared" si="94"/>
        <v>3199</v>
      </c>
      <c r="CB32" s="38">
        <f t="shared" si="95"/>
        <v>3200</v>
      </c>
      <c r="CC32" s="40">
        <f t="shared" si="96"/>
        <v>3201</v>
      </c>
      <c r="CD32" s="37">
        <f t="shared" si="97"/>
        <v>3202</v>
      </c>
      <c r="CE32" s="37">
        <f t="shared" si="98"/>
        <v>3203</v>
      </c>
      <c r="CF32" s="37">
        <f t="shared" si="99"/>
        <v>3204</v>
      </c>
      <c r="CG32" s="37">
        <f t="shared" si="100"/>
        <v>3205</v>
      </c>
      <c r="CH32" s="37">
        <f t="shared" si="101"/>
        <v>3206</v>
      </c>
      <c r="CI32" s="37">
        <f t="shared" si="102"/>
        <v>3207</v>
      </c>
      <c r="CJ32" s="37">
        <f t="shared" si="103"/>
        <v>3208</v>
      </c>
      <c r="CK32" s="37">
        <f t="shared" si="104"/>
        <v>3209</v>
      </c>
      <c r="CL32" s="39">
        <f t="shared" si="105"/>
        <v>3210</v>
      </c>
      <c r="CM32" s="36">
        <f t="shared" si="106"/>
        <v>3211</v>
      </c>
      <c r="CN32" s="37">
        <f t="shared" si="107"/>
        <v>3212</v>
      </c>
      <c r="CO32" s="37">
        <f t="shared" si="108"/>
        <v>3213</v>
      </c>
      <c r="CP32" s="37">
        <f t="shared" si="109"/>
        <v>3214</v>
      </c>
      <c r="CQ32" s="37">
        <f t="shared" si="110"/>
        <v>3215</v>
      </c>
      <c r="CR32" s="37">
        <f t="shared" si="111"/>
        <v>3216</v>
      </c>
      <c r="CS32" s="37">
        <f t="shared" si="112"/>
        <v>3217</v>
      </c>
      <c r="CT32" s="37">
        <f t="shared" si="113"/>
        <v>3218</v>
      </c>
      <c r="CU32" s="37">
        <f t="shared" si="114"/>
        <v>3219</v>
      </c>
      <c r="CV32" s="38">
        <f t="shared" si="115"/>
        <v>3220</v>
      </c>
      <c r="CW32" s="40">
        <f t="shared" si="116"/>
        <v>3221</v>
      </c>
      <c r="CX32" s="37">
        <f t="shared" si="117"/>
        <v>3222</v>
      </c>
      <c r="CY32" s="37">
        <f t="shared" si="118"/>
        <v>3223</v>
      </c>
      <c r="CZ32" s="37">
        <f t="shared" si="119"/>
        <v>3224</v>
      </c>
      <c r="DA32" s="37">
        <f t="shared" si="120"/>
        <v>3225</v>
      </c>
      <c r="DB32" s="37">
        <f t="shared" si="121"/>
        <v>3226</v>
      </c>
      <c r="DC32" s="37">
        <f t="shared" si="122"/>
        <v>3227</v>
      </c>
      <c r="DD32" s="37">
        <f t="shared" si="123"/>
        <v>3228</v>
      </c>
      <c r="DE32" s="37">
        <f t="shared" si="124"/>
        <v>3229</v>
      </c>
      <c r="DF32" s="39">
        <f t="shared" si="125"/>
        <v>3230</v>
      </c>
      <c r="DG32" s="36">
        <f t="shared" si="126"/>
        <v>3231</v>
      </c>
      <c r="DH32" s="37">
        <f t="shared" si="127"/>
        <v>3232</v>
      </c>
      <c r="DI32" s="37">
        <f t="shared" si="128"/>
        <v>3233</v>
      </c>
      <c r="DJ32" s="37">
        <f t="shared" si="129"/>
        <v>3234</v>
      </c>
      <c r="DK32" s="37">
        <f t="shared" si="130"/>
        <v>3235</v>
      </c>
      <c r="DL32" s="37">
        <f t="shared" si="131"/>
        <v>3236</v>
      </c>
      <c r="DM32" s="37">
        <f t="shared" si="132"/>
        <v>3237</v>
      </c>
      <c r="DN32" s="37">
        <f t="shared" si="133"/>
        <v>3238</v>
      </c>
      <c r="DO32" s="37">
        <f t="shared" si="134"/>
        <v>3239</v>
      </c>
      <c r="DP32" s="38">
        <f t="shared" si="135"/>
        <v>3240</v>
      </c>
      <c r="DR32" s="1214">
        <v>9</v>
      </c>
      <c r="DS32" s="1215"/>
      <c r="DT32" s="1215"/>
      <c r="DU32" s="1216"/>
    </row>
    <row r="33" spans="1:125" ht="5.85" customHeight="1" x14ac:dyDescent="0.3">
      <c r="A33" s="36">
        <f t="shared" si="136"/>
        <v>3241</v>
      </c>
      <c r="B33" s="37">
        <f t="shared" si="17"/>
        <v>3242</v>
      </c>
      <c r="C33" s="37">
        <f t="shared" si="18"/>
        <v>3243</v>
      </c>
      <c r="D33" s="37">
        <f t="shared" si="19"/>
        <v>3244</v>
      </c>
      <c r="E33" s="37">
        <f t="shared" si="20"/>
        <v>3245</v>
      </c>
      <c r="F33" s="37">
        <f t="shared" si="21"/>
        <v>3246</v>
      </c>
      <c r="G33" s="37">
        <f t="shared" si="22"/>
        <v>3247</v>
      </c>
      <c r="H33" s="37">
        <f t="shared" si="23"/>
        <v>3248</v>
      </c>
      <c r="I33" s="37">
        <f t="shared" si="24"/>
        <v>3249</v>
      </c>
      <c r="J33" s="38">
        <f t="shared" si="25"/>
        <v>3250</v>
      </c>
      <c r="K33" s="36">
        <f t="shared" si="26"/>
        <v>3251</v>
      </c>
      <c r="L33" s="37">
        <f t="shared" si="27"/>
        <v>3252</v>
      </c>
      <c r="M33" s="37">
        <f t="shared" si="28"/>
        <v>3253</v>
      </c>
      <c r="N33" s="37">
        <f t="shared" si="29"/>
        <v>3254</v>
      </c>
      <c r="O33" s="37">
        <f t="shared" si="30"/>
        <v>3255</v>
      </c>
      <c r="P33" s="37">
        <f t="shared" si="31"/>
        <v>3256</v>
      </c>
      <c r="Q33" s="37">
        <f t="shared" si="32"/>
        <v>3257</v>
      </c>
      <c r="R33" s="37">
        <f t="shared" si="33"/>
        <v>3258</v>
      </c>
      <c r="S33" s="37">
        <f t="shared" si="34"/>
        <v>3259</v>
      </c>
      <c r="T33" s="38">
        <f t="shared" si="35"/>
        <v>3260</v>
      </c>
      <c r="U33" s="36">
        <f t="shared" si="36"/>
        <v>3261</v>
      </c>
      <c r="V33" s="37">
        <f t="shared" si="37"/>
        <v>3262</v>
      </c>
      <c r="W33" s="37">
        <f t="shared" si="38"/>
        <v>3263</v>
      </c>
      <c r="X33" s="37">
        <f t="shared" si="39"/>
        <v>3264</v>
      </c>
      <c r="Y33" s="37">
        <f t="shared" si="40"/>
        <v>3265</v>
      </c>
      <c r="Z33" s="37">
        <f t="shared" si="41"/>
        <v>3266</v>
      </c>
      <c r="AA33" s="37">
        <f t="shared" si="42"/>
        <v>3267</v>
      </c>
      <c r="AB33" s="37">
        <f t="shared" si="43"/>
        <v>3268</v>
      </c>
      <c r="AC33" s="37">
        <f t="shared" si="44"/>
        <v>3269</v>
      </c>
      <c r="AD33" s="38">
        <f t="shared" si="45"/>
        <v>3270</v>
      </c>
      <c r="AE33" s="36">
        <f t="shared" si="46"/>
        <v>3271</v>
      </c>
      <c r="AF33" s="37">
        <f t="shared" si="47"/>
        <v>3272</v>
      </c>
      <c r="AG33" s="37">
        <f t="shared" si="48"/>
        <v>3273</v>
      </c>
      <c r="AH33" s="37">
        <f t="shared" si="49"/>
        <v>3274</v>
      </c>
      <c r="AI33" s="37">
        <f t="shared" si="50"/>
        <v>3275</v>
      </c>
      <c r="AJ33" s="37">
        <f t="shared" si="51"/>
        <v>3276</v>
      </c>
      <c r="AK33" s="37">
        <f t="shared" si="52"/>
        <v>3277</v>
      </c>
      <c r="AL33" s="37">
        <f t="shared" si="53"/>
        <v>3278</v>
      </c>
      <c r="AM33" s="37">
        <f t="shared" si="54"/>
        <v>3279</v>
      </c>
      <c r="AN33" s="38">
        <f t="shared" si="55"/>
        <v>3280</v>
      </c>
      <c r="AO33" s="36">
        <f t="shared" si="56"/>
        <v>3281</v>
      </c>
      <c r="AP33" s="37">
        <f t="shared" si="57"/>
        <v>3282</v>
      </c>
      <c r="AQ33" s="37">
        <f t="shared" si="58"/>
        <v>3283</v>
      </c>
      <c r="AR33" s="37">
        <f t="shared" si="59"/>
        <v>3284</v>
      </c>
      <c r="AS33" s="37">
        <f t="shared" si="60"/>
        <v>3285</v>
      </c>
      <c r="AT33" s="37">
        <f t="shared" si="61"/>
        <v>3286</v>
      </c>
      <c r="AU33" s="37">
        <f t="shared" si="62"/>
        <v>3287</v>
      </c>
      <c r="AV33" s="37">
        <f t="shared" si="63"/>
        <v>3288</v>
      </c>
      <c r="AW33" s="37">
        <f t="shared" si="64"/>
        <v>3289</v>
      </c>
      <c r="AX33" s="38">
        <f t="shared" si="65"/>
        <v>3290</v>
      </c>
      <c r="AY33" s="36">
        <f t="shared" si="66"/>
        <v>3291</v>
      </c>
      <c r="AZ33" s="37">
        <f t="shared" si="67"/>
        <v>3292</v>
      </c>
      <c r="BA33" s="37">
        <f t="shared" si="68"/>
        <v>3293</v>
      </c>
      <c r="BB33" s="37">
        <f t="shared" si="69"/>
        <v>3294</v>
      </c>
      <c r="BC33" s="37">
        <f t="shared" si="70"/>
        <v>3295</v>
      </c>
      <c r="BD33" s="37">
        <f t="shared" si="71"/>
        <v>3296</v>
      </c>
      <c r="BE33" s="37">
        <f t="shared" si="72"/>
        <v>3297</v>
      </c>
      <c r="BF33" s="37">
        <f t="shared" si="73"/>
        <v>3298</v>
      </c>
      <c r="BG33" s="37">
        <f t="shared" si="74"/>
        <v>3299</v>
      </c>
      <c r="BH33" s="38">
        <f t="shared" si="75"/>
        <v>3300</v>
      </c>
      <c r="BI33" s="36">
        <f t="shared" si="76"/>
        <v>3301</v>
      </c>
      <c r="BJ33" s="37">
        <f t="shared" si="77"/>
        <v>3302</v>
      </c>
      <c r="BK33" s="37">
        <f t="shared" si="78"/>
        <v>3303</v>
      </c>
      <c r="BL33" s="37">
        <f t="shared" si="79"/>
        <v>3304</v>
      </c>
      <c r="BM33" s="37">
        <f t="shared" si="80"/>
        <v>3305</v>
      </c>
      <c r="BN33" s="37">
        <f t="shared" si="81"/>
        <v>3306</v>
      </c>
      <c r="BO33" s="37">
        <f t="shared" si="82"/>
        <v>3307</v>
      </c>
      <c r="BP33" s="37">
        <f t="shared" si="83"/>
        <v>3308</v>
      </c>
      <c r="BQ33" s="37">
        <f t="shared" si="84"/>
        <v>3309</v>
      </c>
      <c r="BR33" s="39">
        <f t="shared" si="85"/>
        <v>3310</v>
      </c>
      <c r="BS33" s="36">
        <f t="shared" si="86"/>
        <v>3311</v>
      </c>
      <c r="BT33" s="37">
        <f t="shared" si="87"/>
        <v>3312</v>
      </c>
      <c r="BU33" s="37">
        <f t="shared" si="88"/>
        <v>3313</v>
      </c>
      <c r="BV33" s="37">
        <f t="shared" si="89"/>
        <v>3314</v>
      </c>
      <c r="BW33" s="37">
        <f t="shared" si="90"/>
        <v>3315</v>
      </c>
      <c r="BX33" s="37">
        <f t="shared" si="91"/>
        <v>3316</v>
      </c>
      <c r="BY33" s="37">
        <f t="shared" si="92"/>
        <v>3317</v>
      </c>
      <c r="BZ33" s="37">
        <f t="shared" si="93"/>
        <v>3318</v>
      </c>
      <c r="CA33" s="37">
        <f t="shared" si="94"/>
        <v>3319</v>
      </c>
      <c r="CB33" s="38">
        <f t="shared" si="95"/>
        <v>3320</v>
      </c>
      <c r="CC33" s="40">
        <f t="shared" si="96"/>
        <v>3321</v>
      </c>
      <c r="CD33" s="37">
        <f t="shared" si="97"/>
        <v>3322</v>
      </c>
      <c r="CE33" s="37">
        <f t="shared" si="98"/>
        <v>3323</v>
      </c>
      <c r="CF33" s="37">
        <f t="shared" si="99"/>
        <v>3324</v>
      </c>
      <c r="CG33" s="37">
        <f t="shared" si="100"/>
        <v>3325</v>
      </c>
      <c r="CH33" s="37">
        <f t="shared" si="101"/>
        <v>3326</v>
      </c>
      <c r="CI33" s="37">
        <f t="shared" si="102"/>
        <v>3327</v>
      </c>
      <c r="CJ33" s="37">
        <f t="shared" si="103"/>
        <v>3328</v>
      </c>
      <c r="CK33" s="37">
        <f t="shared" si="104"/>
        <v>3329</v>
      </c>
      <c r="CL33" s="39">
        <f t="shared" si="105"/>
        <v>3330</v>
      </c>
      <c r="CM33" s="36">
        <f t="shared" si="106"/>
        <v>3331</v>
      </c>
      <c r="CN33" s="37">
        <f t="shared" si="107"/>
        <v>3332</v>
      </c>
      <c r="CO33" s="37">
        <f t="shared" si="108"/>
        <v>3333</v>
      </c>
      <c r="CP33" s="37">
        <f t="shared" si="109"/>
        <v>3334</v>
      </c>
      <c r="CQ33" s="37">
        <f t="shared" si="110"/>
        <v>3335</v>
      </c>
      <c r="CR33" s="37">
        <f t="shared" si="111"/>
        <v>3336</v>
      </c>
      <c r="CS33" s="37">
        <f t="shared" si="112"/>
        <v>3337</v>
      </c>
      <c r="CT33" s="37">
        <f t="shared" si="113"/>
        <v>3338</v>
      </c>
      <c r="CU33" s="37">
        <f t="shared" si="114"/>
        <v>3339</v>
      </c>
      <c r="CV33" s="38">
        <f t="shared" si="115"/>
        <v>3340</v>
      </c>
      <c r="CW33" s="40">
        <f t="shared" si="116"/>
        <v>3341</v>
      </c>
      <c r="CX33" s="37">
        <f t="shared" si="117"/>
        <v>3342</v>
      </c>
      <c r="CY33" s="37">
        <f t="shared" si="118"/>
        <v>3343</v>
      </c>
      <c r="CZ33" s="37">
        <f t="shared" si="119"/>
        <v>3344</v>
      </c>
      <c r="DA33" s="37">
        <f t="shared" si="120"/>
        <v>3345</v>
      </c>
      <c r="DB33" s="37">
        <f t="shared" si="121"/>
        <v>3346</v>
      </c>
      <c r="DC33" s="37">
        <f t="shared" si="122"/>
        <v>3347</v>
      </c>
      <c r="DD33" s="37">
        <f t="shared" si="123"/>
        <v>3348</v>
      </c>
      <c r="DE33" s="37">
        <f t="shared" si="124"/>
        <v>3349</v>
      </c>
      <c r="DF33" s="39">
        <f t="shared" si="125"/>
        <v>3350</v>
      </c>
      <c r="DG33" s="36">
        <f t="shared" si="126"/>
        <v>3351</v>
      </c>
      <c r="DH33" s="37">
        <f t="shared" si="127"/>
        <v>3352</v>
      </c>
      <c r="DI33" s="37">
        <f t="shared" si="128"/>
        <v>3353</v>
      </c>
      <c r="DJ33" s="37">
        <f t="shared" si="129"/>
        <v>3354</v>
      </c>
      <c r="DK33" s="37">
        <f t="shared" si="130"/>
        <v>3355</v>
      </c>
      <c r="DL33" s="37">
        <f t="shared" si="131"/>
        <v>3356</v>
      </c>
      <c r="DM33" s="37">
        <f t="shared" si="132"/>
        <v>3357</v>
      </c>
      <c r="DN33" s="37">
        <f t="shared" si="133"/>
        <v>3358</v>
      </c>
      <c r="DO33" s="37">
        <f t="shared" si="134"/>
        <v>3359</v>
      </c>
      <c r="DP33" s="38">
        <f t="shared" si="135"/>
        <v>3360</v>
      </c>
      <c r="DR33" s="1214"/>
      <c r="DS33" s="1215"/>
      <c r="DT33" s="1215"/>
      <c r="DU33" s="1216"/>
    </row>
    <row r="34" spans="1:125" ht="5.85" customHeight="1" thickBot="1" x14ac:dyDescent="0.35">
      <c r="A34" s="36">
        <f t="shared" si="136"/>
        <v>3361</v>
      </c>
      <c r="B34" s="37">
        <f t="shared" si="17"/>
        <v>3362</v>
      </c>
      <c r="C34" s="37">
        <f t="shared" si="18"/>
        <v>3363</v>
      </c>
      <c r="D34" s="37">
        <f t="shared" si="19"/>
        <v>3364</v>
      </c>
      <c r="E34" s="37">
        <f t="shared" si="20"/>
        <v>3365</v>
      </c>
      <c r="F34" s="37">
        <f t="shared" si="21"/>
        <v>3366</v>
      </c>
      <c r="G34" s="37">
        <f t="shared" si="22"/>
        <v>3367</v>
      </c>
      <c r="H34" s="37">
        <f t="shared" si="23"/>
        <v>3368</v>
      </c>
      <c r="I34" s="37">
        <f t="shared" si="24"/>
        <v>3369</v>
      </c>
      <c r="J34" s="38">
        <f t="shared" si="25"/>
        <v>3370</v>
      </c>
      <c r="K34" s="36">
        <f t="shared" si="26"/>
        <v>3371</v>
      </c>
      <c r="L34" s="37">
        <f t="shared" si="27"/>
        <v>3372</v>
      </c>
      <c r="M34" s="37">
        <f t="shared" si="28"/>
        <v>3373</v>
      </c>
      <c r="N34" s="37">
        <f t="shared" si="29"/>
        <v>3374</v>
      </c>
      <c r="O34" s="37">
        <f t="shared" si="30"/>
        <v>3375</v>
      </c>
      <c r="P34" s="37">
        <f t="shared" si="31"/>
        <v>3376</v>
      </c>
      <c r="Q34" s="37">
        <f t="shared" si="32"/>
        <v>3377</v>
      </c>
      <c r="R34" s="37">
        <f t="shared" si="33"/>
        <v>3378</v>
      </c>
      <c r="S34" s="37">
        <f t="shared" si="34"/>
        <v>3379</v>
      </c>
      <c r="T34" s="38">
        <f t="shared" si="35"/>
        <v>3380</v>
      </c>
      <c r="U34" s="36">
        <f t="shared" si="36"/>
        <v>3381</v>
      </c>
      <c r="V34" s="37">
        <f t="shared" si="37"/>
        <v>3382</v>
      </c>
      <c r="W34" s="37">
        <f t="shared" si="38"/>
        <v>3383</v>
      </c>
      <c r="X34" s="37">
        <f t="shared" si="39"/>
        <v>3384</v>
      </c>
      <c r="Y34" s="37">
        <f t="shared" si="40"/>
        <v>3385</v>
      </c>
      <c r="Z34" s="37">
        <f t="shared" si="41"/>
        <v>3386</v>
      </c>
      <c r="AA34" s="37">
        <f t="shared" si="42"/>
        <v>3387</v>
      </c>
      <c r="AB34" s="37">
        <f t="shared" si="43"/>
        <v>3388</v>
      </c>
      <c r="AC34" s="37">
        <f t="shared" si="44"/>
        <v>3389</v>
      </c>
      <c r="AD34" s="38">
        <f t="shared" si="45"/>
        <v>3390</v>
      </c>
      <c r="AE34" s="36">
        <f t="shared" si="46"/>
        <v>3391</v>
      </c>
      <c r="AF34" s="37">
        <f t="shared" si="47"/>
        <v>3392</v>
      </c>
      <c r="AG34" s="37">
        <f t="shared" si="48"/>
        <v>3393</v>
      </c>
      <c r="AH34" s="37">
        <f t="shared" si="49"/>
        <v>3394</v>
      </c>
      <c r="AI34" s="37">
        <f t="shared" si="50"/>
        <v>3395</v>
      </c>
      <c r="AJ34" s="37">
        <f t="shared" si="51"/>
        <v>3396</v>
      </c>
      <c r="AK34" s="37">
        <f t="shared" si="52"/>
        <v>3397</v>
      </c>
      <c r="AL34" s="37">
        <f t="shared" si="53"/>
        <v>3398</v>
      </c>
      <c r="AM34" s="37">
        <f t="shared" si="54"/>
        <v>3399</v>
      </c>
      <c r="AN34" s="38">
        <f t="shared" si="55"/>
        <v>3400</v>
      </c>
      <c r="AO34" s="36">
        <f t="shared" si="56"/>
        <v>3401</v>
      </c>
      <c r="AP34" s="37">
        <f t="shared" si="57"/>
        <v>3402</v>
      </c>
      <c r="AQ34" s="37">
        <f t="shared" si="58"/>
        <v>3403</v>
      </c>
      <c r="AR34" s="37">
        <f t="shared" si="59"/>
        <v>3404</v>
      </c>
      <c r="AS34" s="37">
        <f t="shared" si="60"/>
        <v>3405</v>
      </c>
      <c r="AT34" s="37">
        <f t="shared" si="61"/>
        <v>3406</v>
      </c>
      <c r="AU34" s="37">
        <f t="shared" si="62"/>
        <v>3407</v>
      </c>
      <c r="AV34" s="37">
        <f t="shared" si="63"/>
        <v>3408</v>
      </c>
      <c r="AW34" s="37">
        <f t="shared" si="64"/>
        <v>3409</v>
      </c>
      <c r="AX34" s="38">
        <f t="shared" si="65"/>
        <v>3410</v>
      </c>
      <c r="AY34" s="36">
        <f t="shared" si="66"/>
        <v>3411</v>
      </c>
      <c r="AZ34" s="37">
        <f t="shared" si="67"/>
        <v>3412</v>
      </c>
      <c r="BA34" s="37">
        <f t="shared" si="68"/>
        <v>3413</v>
      </c>
      <c r="BB34" s="37">
        <f t="shared" si="69"/>
        <v>3414</v>
      </c>
      <c r="BC34" s="37">
        <f t="shared" si="70"/>
        <v>3415</v>
      </c>
      <c r="BD34" s="37">
        <f t="shared" si="71"/>
        <v>3416</v>
      </c>
      <c r="BE34" s="37">
        <f t="shared" si="72"/>
        <v>3417</v>
      </c>
      <c r="BF34" s="37">
        <f t="shared" si="73"/>
        <v>3418</v>
      </c>
      <c r="BG34" s="37">
        <f t="shared" si="74"/>
        <v>3419</v>
      </c>
      <c r="BH34" s="38">
        <f t="shared" si="75"/>
        <v>3420</v>
      </c>
      <c r="BI34" s="36">
        <f t="shared" si="76"/>
        <v>3421</v>
      </c>
      <c r="BJ34" s="37">
        <f t="shared" si="77"/>
        <v>3422</v>
      </c>
      <c r="BK34" s="37">
        <f t="shared" si="78"/>
        <v>3423</v>
      </c>
      <c r="BL34" s="37">
        <f t="shared" si="79"/>
        <v>3424</v>
      </c>
      <c r="BM34" s="37">
        <f t="shared" si="80"/>
        <v>3425</v>
      </c>
      <c r="BN34" s="37">
        <f t="shared" si="81"/>
        <v>3426</v>
      </c>
      <c r="BO34" s="37">
        <f t="shared" si="82"/>
        <v>3427</v>
      </c>
      <c r="BP34" s="37">
        <f t="shared" si="83"/>
        <v>3428</v>
      </c>
      <c r="BQ34" s="37">
        <f t="shared" si="84"/>
        <v>3429</v>
      </c>
      <c r="BR34" s="39">
        <f t="shared" si="85"/>
        <v>3430</v>
      </c>
      <c r="BS34" s="36">
        <f t="shared" si="86"/>
        <v>3431</v>
      </c>
      <c r="BT34" s="37">
        <f t="shared" si="87"/>
        <v>3432</v>
      </c>
      <c r="BU34" s="37">
        <f t="shared" si="88"/>
        <v>3433</v>
      </c>
      <c r="BV34" s="37">
        <f t="shared" si="89"/>
        <v>3434</v>
      </c>
      <c r="BW34" s="37">
        <f t="shared" si="90"/>
        <v>3435</v>
      </c>
      <c r="BX34" s="37">
        <f t="shared" si="91"/>
        <v>3436</v>
      </c>
      <c r="BY34" s="37">
        <f t="shared" si="92"/>
        <v>3437</v>
      </c>
      <c r="BZ34" s="37">
        <f t="shared" si="93"/>
        <v>3438</v>
      </c>
      <c r="CA34" s="37">
        <f t="shared" si="94"/>
        <v>3439</v>
      </c>
      <c r="CB34" s="38">
        <f t="shared" si="95"/>
        <v>3440</v>
      </c>
      <c r="CC34" s="40">
        <f t="shared" si="96"/>
        <v>3441</v>
      </c>
      <c r="CD34" s="37">
        <f t="shared" si="97"/>
        <v>3442</v>
      </c>
      <c r="CE34" s="37">
        <f t="shared" si="98"/>
        <v>3443</v>
      </c>
      <c r="CF34" s="37">
        <f t="shared" si="99"/>
        <v>3444</v>
      </c>
      <c r="CG34" s="37">
        <f t="shared" si="100"/>
        <v>3445</v>
      </c>
      <c r="CH34" s="37">
        <f t="shared" si="101"/>
        <v>3446</v>
      </c>
      <c r="CI34" s="37">
        <f t="shared" si="102"/>
        <v>3447</v>
      </c>
      <c r="CJ34" s="37">
        <f t="shared" si="103"/>
        <v>3448</v>
      </c>
      <c r="CK34" s="37">
        <f t="shared" si="104"/>
        <v>3449</v>
      </c>
      <c r="CL34" s="39">
        <f t="shared" si="105"/>
        <v>3450</v>
      </c>
      <c r="CM34" s="36">
        <f t="shared" si="106"/>
        <v>3451</v>
      </c>
      <c r="CN34" s="37">
        <f t="shared" si="107"/>
        <v>3452</v>
      </c>
      <c r="CO34" s="37">
        <f t="shared" si="108"/>
        <v>3453</v>
      </c>
      <c r="CP34" s="37">
        <f t="shared" si="109"/>
        <v>3454</v>
      </c>
      <c r="CQ34" s="37">
        <f t="shared" si="110"/>
        <v>3455</v>
      </c>
      <c r="CR34" s="37">
        <f t="shared" si="111"/>
        <v>3456</v>
      </c>
      <c r="CS34" s="37">
        <f t="shared" si="112"/>
        <v>3457</v>
      </c>
      <c r="CT34" s="37">
        <f t="shared" si="113"/>
        <v>3458</v>
      </c>
      <c r="CU34" s="37">
        <f t="shared" si="114"/>
        <v>3459</v>
      </c>
      <c r="CV34" s="38">
        <f t="shared" si="115"/>
        <v>3460</v>
      </c>
      <c r="CW34" s="40">
        <f t="shared" si="116"/>
        <v>3461</v>
      </c>
      <c r="CX34" s="37">
        <f t="shared" si="117"/>
        <v>3462</v>
      </c>
      <c r="CY34" s="37">
        <f t="shared" si="118"/>
        <v>3463</v>
      </c>
      <c r="CZ34" s="37">
        <f t="shared" si="119"/>
        <v>3464</v>
      </c>
      <c r="DA34" s="37">
        <f t="shared" si="120"/>
        <v>3465</v>
      </c>
      <c r="DB34" s="37">
        <f t="shared" si="121"/>
        <v>3466</v>
      </c>
      <c r="DC34" s="37">
        <f t="shared" si="122"/>
        <v>3467</v>
      </c>
      <c r="DD34" s="37">
        <f t="shared" si="123"/>
        <v>3468</v>
      </c>
      <c r="DE34" s="37">
        <f t="shared" si="124"/>
        <v>3469</v>
      </c>
      <c r="DF34" s="39">
        <f t="shared" si="125"/>
        <v>3470</v>
      </c>
      <c r="DG34" s="36">
        <f t="shared" si="126"/>
        <v>3471</v>
      </c>
      <c r="DH34" s="37">
        <f t="shared" si="127"/>
        <v>3472</v>
      </c>
      <c r="DI34" s="37">
        <f t="shared" si="128"/>
        <v>3473</v>
      </c>
      <c r="DJ34" s="37">
        <f t="shared" si="129"/>
        <v>3474</v>
      </c>
      <c r="DK34" s="37">
        <f t="shared" si="130"/>
        <v>3475</v>
      </c>
      <c r="DL34" s="37">
        <f t="shared" si="131"/>
        <v>3476</v>
      </c>
      <c r="DM34" s="37">
        <f t="shared" si="132"/>
        <v>3477</v>
      </c>
      <c r="DN34" s="37">
        <f t="shared" si="133"/>
        <v>3478</v>
      </c>
      <c r="DO34" s="37">
        <f t="shared" si="134"/>
        <v>3479</v>
      </c>
      <c r="DP34" s="38">
        <f t="shared" si="135"/>
        <v>3480</v>
      </c>
      <c r="DR34" s="1217"/>
      <c r="DS34" s="1218"/>
      <c r="DT34" s="1218"/>
      <c r="DU34" s="1219"/>
    </row>
    <row r="35" spans="1:125" ht="5.85" customHeight="1" thickBot="1" x14ac:dyDescent="0.35">
      <c r="A35" s="36">
        <f t="shared" si="136"/>
        <v>3481</v>
      </c>
      <c r="B35" s="37">
        <f t="shared" si="17"/>
        <v>3482</v>
      </c>
      <c r="C35" s="37">
        <f t="shared" si="18"/>
        <v>3483</v>
      </c>
      <c r="D35" s="37">
        <f t="shared" si="19"/>
        <v>3484</v>
      </c>
      <c r="E35" s="37">
        <f t="shared" si="20"/>
        <v>3485</v>
      </c>
      <c r="F35" s="37">
        <f t="shared" si="21"/>
        <v>3486</v>
      </c>
      <c r="G35" s="37">
        <f t="shared" si="22"/>
        <v>3487</v>
      </c>
      <c r="H35" s="37">
        <f t="shared" si="23"/>
        <v>3488</v>
      </c>
      <c r="I35" s="37">
        <f t="shared" si="24"/>
        <v>3489</v>
      </c>
      <c r="J35" s="38">
        <f t="shared" si="25"/>
        <v>3490</v>
      </c>
      <c r="K35" s="36">
        <f t="shared" si="26"/>
        <v>3491</v>
      </c>
      <c r="L35" s="37">
        <f t="shared" si="27"/>
        <v>3492</v>
      </c>
      <c r="M35" s="37">
        <f t="shared" si="28"/>
        <v>3493</v>
      </c>
      <c r="N35" s="37">
        <f t="shared" si="29"/>
        <v>3494</v>
      </c>
      <c r="O35" s="37">
        <f t="shared" si="30"/>
        <v>3495</v>
      </c>
      <c r="P35" s="37">
        <f t="shared" si="31"/>
        <v>3496</v>
      </c>
      <c r="Q35" s="37">
        <f t="shared" si="32"/>
        <v>3497</v>
      </c>
      <c r="R35" s="37">
        <f t="shared" si="33"/>
        <v>3498</v>
      </c>
      <c r="S35" s="37">
        <f t="shared" si="34"/>
        <v>3499</v>
      </c>
      <c r="T35" s="38">
        <f t="shared" si="35"/>
        <v>3500</v>
      </c>
      <c r="U35" s="36">
        <f t="shared" si="36"/>
        <v>3501</v>
      </c>
      <c r="V35" s="37">
        <f t="shared" si="37"/>
        <v>3502</v>
      </c>
      <c r="W35" s="37">
        <f t="shared" si="38"/>
        <v>3503</v>
      </c>
      <c r="X35" s="37">
        <f t="shared" si="39"/>
        <v>3504</v>
      </c>
      <c r="Y35" s="37">
        <f t="shared" si="40"/>
        <v>3505</v>
      </c>
      <c r="Z35" s="37">
        <f t="shared" si="41"/>
        <v>3506</v>
      </c>
      <c r="AA35" s="37">
        <f t="shared" si="42"/>
        <v>3507</v>
      </c>
      <c r="AB35" s="37">
        <f t="shared" si="43"/>
        <v>3508</v>
      </c>
      <c r="AC35" s="37">
        <f t="shared" si="44"/>
        <v>3509</v>
      </c>
      <c r="AD35" s="38">
        <f t="shared" si="45"/>
        <v>3510</v>
      </c>
      <c r="AE35" s="36">
        <f t="shared" si="46"/>
        <v>3511</v>
      </c>
      <c r="AF35" s="37">
        <f t="shared" si="47"/>
        <v>3512</v>
      </c>
      <c r="AG35" s="37">
        <f t="shared" si="48"/>
        <v>3513</v>
      </c>
      <c r="AH35" s="37">
        <f t="shared" si="49"/>
        <v>3514</v>
      </c>
      <c r="AI35" s="37">
        <f t="shared" si="50"/>
        <v>3515</v>
      </c>
      <c r="AJ35" s="37">
        <f t="shared" si="51"/>
        <v>3516</v>
      </c>
      <c r="AK35" s="37">
        <f t="shared" si="52"/>
        <v>3517</v>
      </c>
      <c r="AL35" s="37">
        <f t="shared" si="53"/>
        <v>3518</v>
      </c>
      <c r="AM35" s="37">
        <f t="shared" si="54"/>
        <v>3519</v>
      </c>
      <c r="AN35" s="38">
        <f t="shared" si="55"/>
        <v>3520</v>
      </c>
      <c r="AO35" s="36">
        <f t="shared" si="56"/>
        <v>3521</v>
      </c>
      <c r="AP35" s="37">
        <f t="shared" si="57"/>
        <v>3522</v>
      </c>
      <c r="AQ35" s="37">
        <f t="shared" si="58"/>
        <v>3523</v>
      </c>
      <c r="AR35" s="37">
        <f t="shared" si="59"/>
        <v>3524</v>
      </c>
      <c r="AS35" s="37">
        <f t="shared" si="60"/>
        <v>3525</v>
      </c>
      <c r="AT35" s="37">
        <f t="shared" si="61"/>
        <v>3526</v>
      </c>
      <c r="AU35" s="37">
        <f t="shared" si="62"/>
        <v>3527</v>
      </c>
      <c r="AV35" s="37">
        <f t="shared" si="63"/>
        <v>3528</v>
      </c>
      <c r="AW35" s="37">
        <f t="shared" si="64"/>
        <v>3529</v>
      </c>
      <c r="AX35" s="38">
        <f t="shared" si="65"/>
        <v>3530</v>
      </c>
      <c r="AY35" s="36">
        <f t="shared" si="66"/>
        <v>3531</v>
      </c>
      <c r="AZ35" s="37">
        <f t="shared" si="67"/>
        <v>3532</v>
      </c>
      <c r="BA35" s="37">
        <f t="shared" si="68"/>
        <v>3533</v>
      </c>
      <c r="BB35" s="37">
        <f t="shared" si="69"/>
        <v>3534</v>
      </c>
      <c r="BC35" s="37">
        <f t="shared" si="70"/>
        <v>3535</v>
      </c>
      <c r="BD35" s="37">
        <f t="shared" si="71"/>
        <v>3536</v>
      </c>
      <c r="BE35" s="37">
        <f t="shared" si="72"/>
        <v>3537</v>
      </c>
      <c r="BF35" s="37">
        <f t="shared" si="73"/>
        <v>3538</v>
      </c>
      <c r="BG35" s="37">
        <f t="shared" si="74"/>
        <v>3539</v>
      </c>
      <c r="BH35" s="38">
        <f t="shared" si="75"/>
        <v>3540</v>
      </c>
      <c r="BI35" s="36">
        <f t="shared" si="76"/>
        <v>3541</v>
      </c>
      <c r="BJ35" s="37">
        <f t="shared" si="77"/>
        <v>3542</v>
      </c>
      <c r="BK35" s="37">
        <f t="shared" si="78"/>
        <v>3543</v>
      </c>
      <c r="BL35" s="37">
        <f t="shared" si="79"/>
        <v>3544</v>
      </c>
      <c r="BM35" s="37">
        <f t="shared" si="80"/>
        <v>3545</v>
      </c>
      <c r="BN35" s="37">
        <f t="shared" si="81"/>
        <v>3546</v>
      </c>
      <c r="BO35" s="37">
        <f t="shared" si="82"/>
        <v>3547</v>
      </c>
      <c r="BP35" s="37">
        <f t="shared" si="83"/>
        <v>3548</v>
      </c>
      <c r="BQ35" s="37">
        <f t="shared" si="84"/>
        <v>3549</v>
      </c>
      <c r="BR35" s="39">
        <f t="shared" si="85"/>
        <v>3550</v>
      </c>
      <c r="BS35" s="36">
        <f t="shared" si="86"/>
        <v>3551</v>
      </c>
      <c r="BT35" s="37">
        <f t="shared" si="87"/>
        <v>3552</v>
      </c>
      <c r="BU35" s="37">
        <f t="shared" si="88"/>
        <v>3553</v>
      </c>
      <c r="BV35" s="37">
        <f t="shared" si="89"/>
        <v>3554</v>
      </c>
      <c r="BW35" s="37">
        <f t="shared" si="90"/>
        <v>3555</v>
      </c>
      <c r="BX35" s="37">
        <f t="shared" si="91"/>
        <v>3556</v>
      </c>
      <c r="BY35" s="37">
        <f t="shared" si="92"/>
        <v>3557</v>
      </c>
      <c r="BZ35" s="37">
        <f t="shared" si="93"/>
        <v>3558</v>
      </c>
      <c r="CA35" s="37">
        <f t="shared" si="94"/>
        <v>3559</v>
      </c>
      <c r="CB35" s="38">
        <f t="shared" si="95"/>
        <v>3560</v>
      </c>
      <c r="CC35" s="40">
        <f t="shared" si="96"/>
        <v>3561</v>
      </c>
      <c r="CD35" s="37">
        <f t="shared" si="97"/>
        <v>3562</v>
      </c>
      <c r="CE35" s="37">
        <f t="shared" si="98"/>
        <v>3563</v>
      </c>
      <c r="CF35" s="37">
        <f t="shared" si="99"/>
        <v>3564</v>
      </c>
      <c r="CG35" s="37">
        <f t="shared" si="100"/>
        <v>3565</v>
      </c>
      <c r="CH35" s="37">
        <f t="shared" si="101"/>
        <v>3566</v>
      </c>
      <c r="CI35" s="37">
        <f t="shared" si="102"/>
        <v>3567</v>
      </c>
      <c r="CJ35" s="37">
        <f t="shared" si="103"/>
        <v>3568</v>
      </c>
      <c r="CK35" s="37">
        <f t="shared" si="104"/>
        <v>3569</v>
      </c>
      <c r="CL35" s="39">
        <f t="shared" si="105"/>
        <v>3570</v>
      </c>
      <c r="CM35" s="36">
        <f t="shared" si="106"/>
        <v>3571</v>
      </c>
      <c r="CN35" s="37">
        <f t="shared" si="107"/>
        <v>3572</v>
      </c>
      <c r="CO35" s="37">
        <f t="shared" si="108"/>
        <v>3573</v>
      </c>
      <c r="CP35" s="37">
        <f t="shared" si="109"/>
        <v>3574</v>
      </c>
      <c r="CQ35" s="37">
        <f t="shared" si="110"/>
        <v>3575</v>
      </c>
      <c r="CR35" s="37">
        <f t="shared" si="111"/>
        <v>3576</v>
      </c>
      <c r="CS35" s="37">
        <f t="shared" si="112"/>
        <v>3577</v>
      </c>
      <c r="CT35" s="37">
        <f t="shared" si="113"/>
        <v>3578</v>
      </c>
      <c r="CU35" s="37">
        <f t="shared" si="114"/>
        <v>3579</v>
      </c>
      <c r="CV35" s="38">
        <f t="shared" si="115"/>
        <v>3580</v>
      </c>
      <c r="CW35" s="40">
        <f t="shared" si="116"/>
        <v>3581</v>
      </c>
      <c r="CX35" s="37">
        <f t="shared" si="117"/>
        <v>3582</v>
      </c>
      <c r="CY35" s="37">
        <f t="shared" si="118"/>
        <v>3583</v>
      </c>
      <c r="CZ35" s="37">
        <f t="shared" si="119"/>
        <v>3584</v>
      </c>
      <c r="DA35" s="37">
        <f t="shared" si="120"/>
        <v>3585</v>
      </c>
      <c r="DB35" s="37">
        <f t="shared" si="121"/>
        <v>3586</v>
      </c>
      <c r="DC35" s="37">
        <f t="shared" si="122"/>
        <v>3587</v>
      </c>
      <c r="DD35" s="37">
        <f t="shared" si="123"/>
        <v>3588</v>
      </c>
      <c r="DE35" s="37">
        <f t="shared" si="124"/>
        <v>3589</v>
      </c>
      <c r="DF35" s="39">
        <f t="shared" si="125"/>
        <v>3590</v>
      </c>
      <c r="DG35" s="36">
        <f t="shared" si="126"/>
        <v>3591</v>
      </c>
      <c r="DH35" s="37">
        <f t="shared" si="127"/>
        <v>3592</v>
      </c>
      <c r="DI35" s="37">
        <f t="shared" si="128"/>
        <v>3593</v>
      </c>
      <c r="DJ35" s="37">
        <f t="shared" si="129"/>
        <v>3594</v>
      </c>
      <c r="DK35" s="37">
        <f t="shared" si="130"/>
        <v>3595</v>
      </c>
      <c r="DL35" s="37">
        <f t="shared" si="131"/>
        <v>3596</v>
      </c>
      <c r="DM35" s="37">
        <f t="shared" si="132"/>
        <v>3597</v>
      </c>
      <c r="DN35" s="37">
        <f t="shared" si="133"/>
        <v>3598</v>
      </c>
      <c r="DO35" s="37">
        <f t="shared" si="134"/>
        <v>3599</v>
      </c>
      <c r="DP35" s="38">
        <f t="shared" si="135"/>
        <v>3600</v>
      </c>
    </row>
    <row r="36" spans="1:125" ht="5.85" customHeight="1" x14ac:dyDescent="0.3">
      <c r="A36" s="36">
        <f t="shared" si="136"/>
        <v>3601</v>
      </c>
      <c r="B36" s="37">
        <f t="shared" si="17"/>
        <v>3602</v>
      </c>
      <c r="C36" s="37">
        <f t="shared" si="18"/>
        <v>3603</v>
      </c>
      <c r="D36" s="37">
        <f t="shared" si="19"/>
        <v>3604</v>
      </c>
      <c r="E36" s="37">
        <f t="shared" si="20"/>
        <v>3605</v>
      </c>
      <c r="F36" s="37">
        <f t="shared" si="21"/>
        <v>3606</v>
      </c>
      <c r="G36" s="37">
        <f t="shared" si="22"/>
        <v>3607</v>
      </c>
      <c r="H36" s="37">
        <f t="shared" si="23"/>
        <v>3608</v>
      </c>
      <c r="I36" s="37">
        <f t="shared" si="24"/>
        <v>3609</v>
      </c>
      <c r="J36" s="38">
        <f t="shared" si="25"/>
        <v>3610</v>
      </c>
      <c r="K36" s="36">
        <f t="shared" si="26"/>
        <v>3611</v>
      </c>
      <c r="L36" s="37">
        <f t="shared" si="27"/>
        <v>3612</v>
      </c>
      <c r="M36" s="37">
        <f t="shared" si="28"/>
        <v>3613</v>
      </c>
      <c r="N36" s="37">
        <f t="shared" si="29"/>
        <v>3614</v>
      </c>
      <c r="O36" s="37">
        <f t="shared" si="30"/>
        <v>3615</v>
      </c>
      <c r="P36" s="37">
        <f t="shared" si="31"/>
        <v>3616</v>
      </c>
      <c r="Q36" s="37">
        <f t="shared" si="32"/>
        <v>3617</v>
      </c>
      <c r="R36" s="37">
        <f t="shared" si="33"/>
        <v>3618</v>
      </c>
      <c r="S36" s="37">
        <f t="shared" si="34"/>
        <v>3619</v>
      </c>
      <c r="T36" s="38">
        <f t="shared" si="35"/>
        <v>3620</v>
      </c>
      <c r="U36" s="36">
        <f t="shared" si="36"/>
        <v>3621</v>
      </c>
      <c r="V36" s="37">
        <f t="shared" si="37"/>
        <v>3622</v>
      </c>
      <c r="W36" s="37">
        <f t="shared" si="38"/>
        <v>3623</v>
      </c>
      <c r="X36" s="37">
        <f t="shared" si="39"/>
        <v>3624</v>
      </c>
      <c r="Y36" s="37">
        <f t="shared" si="40"/>
        <v>3625</v>
      </c>
      <c r="Z36" s="37">
        <f t="shared" si="41"/>
        <v>3626</v>
      </c>
      <c r="AA36" s="37">
        <f t="shared" si="42"/>
        <v>3627</v>
      </c>
      <c r="AB36" s="37">
        <f t="shared" si="43"/>
        <v>3628</v>
      </c>
      <c r="AC36" s="37">
        <f t="shared" si="44"/>
        <v>3629</v>
      </c>
      <c r="AD36" s="38">
        <f t="shared" si="45"/>
        <v>3630</v>
      </c>
      <c r="AE36" s="36">
        <f t="shared" si="46"/>
        <v>3631</v>
      </c>
      <c r="AF36" s="37">
        <f t="shared" si="47"/>
        <v>3632</v>
      </c>
      <c r="AG36" s="37">
        <f t="shared" si="48"/>
        <v>3633</v>
      </c>
      <c r="AH36" s="37">
        <f t="shared" si="49"/>
        <v>3634</v>
      </c>
      <c r="AI36" s="37">
        <f t="shared" si="50"/>
        <v>3635</v>
      </c>
      <c r="AJ36" s="37">
        <f t="shared" si="51"/>
        <v>3636</v>
      </c>
      <c r="AK36" s="37">
        <f t="shared" si="52"/>
        <v>3637</v>
      </c>
      <c r="AL36" s="37">
        <f t="shared" si="53"/>
        <v>3638</v>
      </c>
      <c r="AM36" s="37">
        <f t="shared" si="54"/>
        <v>3639</v>
      </c>
      <c r="AN36" s="38">
        <f t="shared" si="55"/>
        <v>3640</v>
      </c>
      <c r="AO36" s="36">
        <f t="shared" si="56"/>
        <v>3641</v>
      </c>
      <c r="AP36" s="37">
        <f t="shared" si="57"/>
        <v>3642</v>
      </c>
      <c r="AQ36" s="37">
        <f t="shared" si="58"/>
        <v>3643</v>
      </c>
      <c r="AR36" s="37">
        <f t="shared" si="59"/>
        <v>3644</v>
      </c>
      <c r="AS36" s="37">
        <f t="shared" si="60"/>
        <v>3645</v>
      </c>
      <c r="AT36" s="37">
        <f t="shared" si="61"/>
        <v>3646</v>
      </c>
      <c r="AU36" s="37">
        <f t="shared" si="62"/>
        <v>3647</v>
      </c>
      <c r="AV36" s="37">
        <f t="shared" si="63"/>
        <v>3648</v>
      </c>
      <c r="AW36" s="37">
        <f t="shared" si="64"/>
        <v>3649</v>
      </c>
      <c r="AX36" s="38">
        <f t="shared" si="65"/>
        <v>3650</v>
      </c>
      <c r="AY36" s="36">
        <f t="shared" si="66"/>
        <v>3651</v>
      </c>
      <c r="AZ36" s="37">
        <f t="shared" si="67"/>
        <v>3652</v>
      </c>
      <c r="BA36" s="37">
        <f t="shared" si="68"/>
        <v>3653</v>
      </c>
      <c r="BB36" s="37">
        <f t="shared" si="69"/>
        <v>3654</v>
      </c>
      <c r="BC36" s="37">
        <f t="shared" si="70"/>
        <v>3655</v>
      </c>
      <c r="BD36" s="37">
        <f t="shared" si="71"/>
        <v>3656</v>
      </c>
      <c r="BE36" s="37">
        <f t="shared" si="72"/>
        <v>3657</v>
      </c>
      <c r="BF36" s="37">
        <f t="shared" si="73"/>
        <v>3658</v>
      </c>
      <c r="BG36" s="37">
        <f t="shared" si="74"/>
        <v>3659</v>
      </c>
      <c r="BH36" s="38">
        <f t="shared" si="75"/>
        <v>3660</v>
      </c>
      <c r="BI36" s="36">
        <f t="shared" si="76"/>
        <v>3661</v>
      </c>
      <c r="BJ36" s="37">
        <f t="shared" si="77"/>
        <v>3662</v>
      </c>
      <c r="BK36" s="37">
        <f t="shared" si="78"/>
        <v>3663</v>
      </c>
      <c r="BL36" s="37">
        <f t="shared" si="79"/>
        <v>3664</v>
      </c>
      <c r="BM36" s="37">
        <f t="shared" si="80"/>
        <v>3665</v>
      </c>
      <c r="BN36" s="37">
        <f t="shared" si="81"/>
        <v>3666</v>
      </c>
      <c r="BO36" s="37">
        <f t="shared" si="82"/>
        <v>3667</v>
      </c>
      <c r="BP36" s="37">
        <f t="shared" si="83"/>
        <v>3668</v>
      </c>
      <c r="BQ36" s="37">
        <f t="shared" si="84"/>
        <v>3669</v>
      </c>
      <c r="BR36" s="39">
        <f t="shared" si="85"/>
        <v>3670</v>
      </c>
      <c r="BS36" s="36">
        <f t="shared" si="86"/>
        <v>3671</v>
      </c>
      <c r="BT36" s="37">
        <f t="shared" si="87"/>
        <v>3672</v>
      </c>
      <c r="BU36" s="37">
        <f t="shared" si="88"/>
        <v>3673</v>
      </c>
      <c r="BV36" s="37">
        <f t="shared" si="89"/>
        <v>3674</v>
      </c>
      <c r="BW36" s="37">
        <f t="shared" si="90"/>
        <v>3675</v>
      </c>
      <c r="BX36" s="37">
        <f t="shared" si="91"/>
        <v>3676</v>
      </c>
      <c r="BY36" s="37">
        <f t="shared" si="92"/>
        <v>3677</v>
      </c>
      <c r="BZ36" s="37">
        <f t="shared" si="93"/>
        <v>3678</v>
      </c>
      <c r="CA36" s="37">
        <f t="shared" si="94"/>
        <v>3679</v>
      </c>
      <c r="CB36" s="38">
        <f t="shared" si="95"/>
        <v>3680</v>
      </c>
      <c r="CC36" s="40">
        <f t="shared" si="96"/>
        <v>3681</v>
      </c>
      <c r="CD36" s="37">
        <f t="shared" si="97"/>
        <v>3682</v>
      </c>
      <c r="CE36" s="37">
        <f t="shared" si="98"/>
        <v>3683</v>
      </c>
      <c r="CF36" s="37">
        <f t="shared" si="99"/>
        <v>3684</v>
      </c>
      <c r="CG36" s="37">
        <f t="shared" si="100"/>
        <v>3685</v>
      </c>
      <c r="CH36" s="37">
        <f t="shared" si="101"/>
        <v>3686</v>
      </c>
      <c r="CI36" s="37">
        <f t="shared" si="102"/>
        <v>3687</v>
      </c>
      <c r="CJ36" s="37">
        <f t="shared" si="103"/>
        <v>3688</v>
      </c>
      <c r="CK36" s="37">
        <f t="shared" si="104"/>
        <v>3689</v>
      </c>
      <c r="CL36" s="39">
        <f t="shared" si="105"/>
        <v>3690</v>
      </c>
      <c r="CM36" s="36">
        <f t="shared" si="106"/>
        <v>3691</v>
      </c>
      <c r="CN36" s="37">
        <f t="shared" si="107"/>
        <v>3692</v>
      </c>
      <c r="CO36" s="37">
        <f t="shared" si="108"/>
        <v>3693</v>
      </c>
      <c r="CP36" s="37">
        <f t="shared" si="109"/>
        <v>3694</v>
      </c>
      <c r="CQ36" s="37">
        <f t="shared" si="110"/>
        <v>3695</v>
      </c>
      <c r="CR36" s="37">
        <f t="shared" si="111"/>
        <v>3696</v>
      </c>
      <c r="CS36" s="37">
        <f t="shared" si="112"/>
        <v>3697</v>
      </c>
      <c r="CT36" s="37">
        <f t="shared" si="113"/>
        <v>3698</v>
      </c>
      <c r="CU36" s="37">
        <f t="shared" si="114"/>
        <v>3699</v>
      </c>
      <c r="CV36" s="38">
        <f t="shared" si="115"/>
        <v>3700</v>
      </c>
      <c r="CW36" s="40">
        <f t="shared" si="116"/>
        <v>3701</v>
      </c>
      <c r="CX36" s="37">
        <f t="shared" si="117"/>
        <v>3702</v>
      </c>
      <c r="CY36" s="37">
        <f t="shared" si="118"/>
        <v>3703</v>
      </c>
      <c r="CZ36" s="37">
        <f t="shared" si="119"/>
        <v>3704</v>
      </c>
      <c r="DA36" s="37">
        <f t="shared" si="120"/>
        <v>3705</v>
      </c>
      <c r="DB36" s="37">
        <f t="shared" si="121"/>
        <v>3706</v>
      </c>
      <c r="DC36" s="37">
        <f t="shared" si="122"/>
        <v>3707</v>
      </c>
      <c r="DD36" s="37">
        <f t="shared" si="123"/>
        <v>3708</v>
      </c>
      <c r="DE36" s="37">
        <f t="shared" si="124"/>
        <v>3709</v>
      </c>
      <c r="DF36" s="39">
        <f t="shared" si="125"/>
        <v>3710</v>
      </c>
      <c r="DG36" s="36">
        <f t="shared" si="126"/>
        <v>3711</v>
      </c>
      <c r="DH36" s="37">
        <f t="shared" si="127"/>
        <v>3712</v>
      </c>
      <c r="DI36" s="37">
        <f t="shared" si="128"/>
        <v>3713</v>
      </c>
      <c r="DJ36" s="37">
        <f t="shared" si="129"/>
        <v>3714</v>
      </c>
      <c r="DK36" s="37">
        <f t="shared" si="130"/>
        <v>3715</v>
      </c>
      <c r="DL36" s="37">
        <f t="shared" si="131"/>
        <v>3716</v>
      </c>
      <c r="DM36" s="37">
        <f t="shared" si="132"/>
        <v>3717</v>
      </c>
      <c r="DN36" s="37">
        <f t="shared" si="133"/>
        <v>3718</v>
      </c>
      <c r="DO36" s="37">
        <f t="shared" si="134"/>
        <v>3719</v>
      </c>
      <c r="DP36" s="38">
        <f t="shared" si="135"/>
        <v>3720</v>
      </c>
      <c r="DR36" s="1220">
        <v>0</v>
      </c>
      <c r="DS36" s="1221"/>
      <c r="DT36" s="1221"/>
      <c r="DU36" s="1222"/>
    </row>
    <row r="37" spans="1:125" ht="5.85" customHeight="1" x14ac:dyDescent="0.3">
      <c r="A37" s="36">
        <f t="shared" si="136"/>
        <v>3721</v>
      </c>
      <c r="B37" s="37">
        <f t="shared" si="17"/>
        <v>3722</v>
      </c>
      <c r="C37" s="37">
        <f t="shared" si="18"/>
        <v>3723</v>
      </c>
      <c r="D37" s="37">
        <f t="shared" si="19"/>
        <v>3724</v>
      </c>
      <c r="E37" s="37">
        <f t="shared" si="20"/>
        <v>3725</v>
      </c>
      <c r="F37" s="37">
        <f t="shared" si="21"/>
        <v>3726</v>
      </c>
      <c r="G37" s="37">
        <f t="shared" si="22"/>
        <v>3727</v>
      </c>
      <c r="H37" s="37">
        <f t="shared" si="23"/>
        <v>3728</v>
      </c>
      <c r="I37" s="37">
        <f t="shared" si="24"/>
        <v>3729</v>
      </c>
      <c r="J37" s="38">
        <f t="shared" si="25"/>
        <v>3730</v>
      </c>
      <c r="K37" s="36">
        <f t="shared" si="26"/>
        <v>3731</v>
      </c>
      <c r="L37" s="37">
        <f t="shared" si="27"/>
        <v>3732</v>
      </c>
      <c r="M37" s="37">
        <f t="shared" si="28"/>
        <v>3733</v>
      </c>
      <c r="N37" s="37">
        <f t="shared" si="29"/>
        <v>3734</v>
      </c>
      <c r="O37" s="37">
        <f t="shared" si="30"/>
        <v>3735</v>
      </c>
      <c r="P37" s="37">
        <f t="shared" si="31"/>
        <v>3736</v>
      </c>
      <c r="Q37" s="37">
        <f t="shared" si="32"/>
        <v>3737</v>
      </c>
      <c r="R37" s="37">
        <f t="shared" si="33"/>
        <v>3738</v>
      </c>
      <c r="S37" s="37">
        <f t="shared" si="34"/>
        <v>3739</v>
      </c>
      <c r="T37" s="38">
        <f t="shared" si="35"/>
        <v>3740</v>
      </c>
      <c r="U37" s="36">
        <f t="shared" si="36"/>
        <v>3741</v>
      </c>
      <c r="V37" s="37">
        <f t="shared" si="37"/>
        <v>3742</v>
      </c>
      <c r="W37" s="37">
        <f t="shared" si="38"/>
        <v>3743</v>
      </c>
      <c r="X37" s="37">
        <f t="shared" si="39"/>
        <v>3744</v>
      </c>
      <c r="Y37" s="37">
        <f t="shared" si="40"/>
        <v>3745</v>
      </c>
      <c r="Z37" s="37">
        <f t="shared" si="41"/>
        <v>3746</v>
      </c>
      <c r="AA37" s="37">
        <f t="shared" si="42"/>
        <v>3747</v>
      </c>
      <c r="AB37" s="37">
        <f t="shared" si="43"/>
        <v>3748</v>
      </c>
      <c r="AC37" s="37">
        <f t="shared" si="44"/>
        <v>3749</v>
      </c>
      <c r="AD37" s="38">
        <f t="shared" si="45"/>
        <v>3750</v>
      </c>
      <c r="AE37" s="36">
        <f t="shared" si="46"/>
        <v>3751</v>
      </c>
      <c r="AF37" s="37">
        <f t="shared" si="47"/>
        <v>3752</v>
      </c>
      <c r="AG37" s="37">
        <f t="shared" si="48"/>
        <v>3753</v>
      </c>
      <c r="AH37" s="37">
        <f t="shared" si="49"/>
        <v>3754</v>
      </c>
      <c r="AI37" s="37">
        <f t="shared" si="50"/>
        <v>3755</v>
      </c>
      <c r="AJ37" s="37">
        <f t="shared" si="51"/>
        <v>3756</v>
      </c>
      <c r="AK37" s="37">
        <f t="shared" si="52"/>
        <v>3757</v>
      </c>
      <c r="AL37" s="37">
        <f t="shared" si="53"/>
        <v>3758</v>
      </c>
      <c r="AM37" s="37">
        <f t="shared" si="54"/>
        <v>3759</v>
      </c>
      <c r="AN37" s="38">
        <f t="shared" si="55"/>
        <v>3760</v>
      </c>
      <c r="AO37" s="36">
        <f t="shared" si="56"/>
        <v>3761</v>
      </c>
      <c r="AP37" s="37">
        <f t="shared" si="57"/>
        <v>3762</v>
      </c>
      <c r="AQ37" s="37">
        <f t="shared" si="58"/>
        <v>3763</v>
      </c>
      <c r="AR37" s="37">
        <f t="shared" si="59"/>
        <v>3764</v>
      </c>
      <c r="AS37" s="37">
        <f t="shared" si="60"/>
        <v>3765</v>
      </c>
      <c r="AT37" s="37">
        <f t="shared" si="61"/>
        <v>3766</v>
      </c>
      <c r="AU37" s="37">
        <f t="shared" si="62"/>
        <v>3767</v>
      </c>
      <c r="AV37" s="37">
        <f t="shared" si="63"/>
        <v>3768</v>
      </c>
      <c r="AW37" s="37">
        <f t="shared" si="64"/>
        <v>3769</v>
      </c>
      <c r="AX37" s="38">
        <f t="shared" si="65"/>
        <v>3770</v>
      </c>
      <c r="AY37" s="36">
        <f t="shared" si="66"/>
        <v>3771</v>
      </c>
      <c r="AZ37" s="37">
        <f t="shared" si="67"/>
        <v>3772</v>
      </c>
      <c r="BA37" s="37">
        <f t="shared" si="68"/>
        <v>3773</v>
      </c>
      <c r="BB37" s="37">
        <f t="shared" si="69"/>
        <v>3774</v>
      </c>
      <c r="BC37" s="37">
        <f t="shared" si="70"/>
        <v>3775</v>
      </c>
      <c r="BD37" s="37">
        <f t="shared" si="71"/>
        <v>3776</v>
      </c>
      <c r="BE37" s="37">
        <f t="shared" si="72"/>
        <v>3777</v>
      </c>
      <c r="BF37" s="37">
        <f t="shared" si="73"/>
        <v>3778</v>
      </c>
      <c r="BG37" s="37">
        <f t="shared" si="74"/>
        <v>3779</v>
      </c>
      <c r="BH37" s="38">
        <f t="shared" si="75"/>
        <v>3780</v>
      </c>
      <c r="BI37" s="36">
        <f t="shared" si="76"/>
        <v>3781</v>
      </c>
      <c r="BJ37" s="37">
        <f t="shared" si="77"/>
        <v>3782</v>
      </c>
      <c r="BK37" s="37">
        <f t="shared" si="78"/>
        <v>3783</v>
      </c>
      <c r="BL37" s="37">
        <f t="shared" si="79"/>
        <v>3784</v>
      </c>
      <c r="BM37" s="37">
        <f t="shared" si="80"/>
        <v>3785</v>
      </c>
      <c r="BN37" s="37">
        <f t="shared" si="81"/>
        <v>3786</v>
      </c>
      <c r="BO37" s="37">
        <f t="shared" si="82"/>
        <v>3787</v>
      </c>
      <c r="BP37" s="37">
        <f t="shared" si="83"/>
        <v>3788</v>
      </c>
      <c r="BQ37" s="37">
        <f t="shared" si="84"/>
        <v>3789</v>
      </c>
      <c r="BR37" s="39">
        <f t="shared" si="85"/>
        <v>3790</v>
      </c>
      <c r="BS37" s="36">
        <f t="shared" si="86"/>
        <v>3791</v>
      </c>
      <c r="BT37" s="37">
        <f t="shared" si="87"/>
        <v>3792</v>
      </c>
      <c r="BU37" s="37">
        <f t="shared" si="88"/>
        <v>3793</v>
      </c>
      <c r="BV37" s="37">
        <f t="shared" si="89"/>
        <v>3794</v>
      </c>
      <c r="BW37" s="37">
        <f t="shared" si="90"/>
        <v>3795</v>
      </c>
      <c r="BX37" s="37">
        <f t="shared" si="91"/>
        <v>3796</v>
      </c>
      <c r="BY37" s="37">
        <f t="shared" si="92"/>
        <v>3797</v>
      </c>
      <c r="BZ37" s="37">
        <f t="shared" si="93"/>
        <v>3798</v>
      </c>
      <c r="CA37" s="37">
        <f t="shared" si="94"/>
        <v>3799</v>
      </c>
      <c r="CB37" s="38">
        <f t="shared" si="95"/>
        <v>3800</v>
      </c>
      <c r="CC37" s="40">
        <f t="shared" si="96"/>
        <v>3801</v>
      </c>
      <c r="CD37" s="37">
        <f t="shared" si="97"/>
        <v>3802</v>
      </c>
      <c r="CE37" s="37">
        <f t="shared" si="98"/>
        <v>3803</v>
      </c>
      <c r="CF37" s="37">
        <f t="shared" si="99"/>
        <v>3804</v>
      </c>
      <c r="CG37" s="37">
        <f t="shared" si="100"/>
        <v>3805</v>
      </c>
      <c r="CH37" s="37">
        <f t="shared" si="101"/>
        <v>3806</v>
      </c>
      <c r="CI37" s="37">
        <f t="shared" si="102"/>
        <v>3807</v>
      </c>
      <c r="CJ37" s="37">
        <f t="shared" si="103"/>
        <v>3808</v>
      </c>
      <c r="CK37" s="37">
        <f t="shared" si="104"/>
        <v>3809</v>
      </c>
      <c r="CL37" s="39">
        <f t="shared" si="105"/>
        <v>3810</v>
      </c>
      <c r="CM37" s="36">
        <f t="shared" si="106"/>
        <v>3811</v>
      </c>
      <c r="CN37" s="37">
        <f t="shared" si="107"/>
        <v>3812</v>
      </c>
      <c r="CO37" s="37">
        <f t="shared" si="108"/>
        <v>3813</v>
      </c>
      <c r="CP37" s="37">
        <f t="shared" si="109"/>
        <v>3814</v>
      </c>
      <c r="CQ37" s="37">
        <f t="shared" si="110"/>
        <v>3815</v>
      </c>
      <c r="CR37" s="37">
        <f t="shared" si="111"/>
        <v>3816</v>
      </c>
      <c r="CS37" s="37">
        <f t="shared" si="112"/>
        <v>3817</v>
      </c>
      <c r="CT37" s="37">
        <f t="shared" si="113"/>
        <v>3818</v>
      </c>
      <c r="CU37" s="37">
        <f t="shared" si="114"/>
        <v>3819</v>
      </c>
      <c r="CV37" s="38">
        <f t="shared" si="115"/>
        <v>3820</v>
      </c>
      <c r="CW37" s="40">
        <f t="shared" si="116"/>
        <v>3821</v>
      </c>
      <c r="CX37" s="37">
        <f t="shared" si="117"/>
        <v>3822</v>
      </c>
      <c r="CY37" s="37">
        <f t="shared" si="118"/>
        <v>3823</v>
      </c>
      <c r="CZ37" s="37">
        <f t="shared" si="119"/>
        <v>3824</v>
      </c>
      <c r="DA37" s="37">
        <f t="shared" si="120"/>
        <v>3825</v>
      </c>
      <c r="DB37" s="37">
        <f t="shared" si="121"/>
        <v>3826</v>
      </c>
      <c r="DC37" s="37">
        <f t="shared" si="122"/>
        <v>3827</v>
      </c>
      <c r="DD37" s="37">
        <f t="shared" si="123"/>
        <v>3828</v>
      </c>
      <c r="DE37" s="37">
        <f t="shared" si="124"/>
        <v>3829</v>
      </c>
      <c r="DF37" s="39">
        <f t="shared" si="125"/>
        <v>3830</v>
      </c>
      <c r="DG37" s="36">
        <f t="shared" si="126"/>
        <v>3831</v>
      </c>
      <c r="DH37" s="37">
        <f t="shared" si="127"/>
        <v>3832</v>
      </c>
      <c r="DI37" s="37">
        <f t="shared" si="128"/>
        <v>3833</v>
      </c>
      <c r="DJ37" s="37">
        <f t="shared" si="129"/>
        <v>3834</v>
      </c>
      <c r="DK37" s="37">
        <f t="shared" si="130"/>
        <v>3835</v>
      </c>
      <c r="DL37" s="37">
        <f t="shared" si="131"/>
        <v>3836</v>
      </c>
      <c r="DM37" s="37">
        <f t="shared" si="132"/>
        <v>3837</v>
      </c>
      <c r="DN37" s="37">
        <f t="shared" si="133"/>
        <v>3838</v>
      </c>
      <c r="DO37" s="37">
        <f t="shared" si="134"/>
        <v>3839</v>
      </c>
      <c r="DP37" s="38">
        <f t="shared" si="135"/>
        <v>3840</v>
      </c>
      <c r="DR37" s="1214"/>
      <c r="DS37" s="1215"/>
      <c r="DT37" s="1215"/>
      <c r="DU37" s="1216"/>
    </row>
    <row r="38" spans="1:125" ht="5.85" customHeight="1" x14ac:dyDescent="0.3">
      <c r="A38" s="36">
        <f t="shared" si="136"/>
        <v>3841</v>
      </c>
      <c r="B38" s="37">
        <f t="shared" si="17"/>
        <v>3842</v>
      </c>
      <c r="C38" s="37">
        <f t="shared" si="18"/>
        <v>3843</v>
      </c>
      <c r="D38" s="37">
        <f t="shared" si="19"/>
        <v>3844</v>
      </c>
      <c r="E38" s="37">
        <f t="shared" si="20"/>
        <v>3845</v>
      </c>
      <c r="F38" s="37">
        <f t="shared" si="21"/>
        <v>3846</v>
      </c>
      <c r="G38" s="37">
        <f t="shared" si="22"/>
        <v>3847</v>
      </c>
      <c r="H38" s="37">
        <f t="shared" si="23"/>
        <v>3848</v>
      </c>
      <c r="I38" s="37">
        <f t="shared" si="24"/>
        <v>3849</v>
      </c>
      <c r="J38" s="38">
        <f t="shared" si="25"/>
        <v>3850</v>
      </c>
      <c r="K38" s="36">
        <f t="shared" si="26"/>
        <v>3851</v>
      </c>
      <c r="L38" s="37">
        <f t="shared" si="27"/>
        <v>3852</v>
      </c>
      <c r="M38" s="37">
        <f t="shared" si="28"/>
        <v>3853</v>
      </c>
      <c r="N38" s="37">
        <f t="shared" si="29"/>
        <v>3854</v>
      </c>
      <c r="O38" s="37">
        <f t="shared" si="30"/>
        <v>3855</v>
      </c>
      <c r="P38" s="37">
        <f t="shared" si="31"/>
        <v>3856</v>
      </c>
      <c r="Q38" s="37">
        <f t="shared" si="32"/>
        <v>3857</v>
      </c>
      <c r="R38" s="37">
        <f t="shared" si="33"/>
        <v>3858</v>
      </c>
      <c r="S38" s="37">
        <f t="shared" si="34"/>
        <v>3859</v>
      </c>
      <c r="T38" s="38">
        <f t="shared" si="35"/>
        <v>3860</v>
      </c>
      <c r="U38" s="36">
        <f t="shared" si="36"/>
        <v>3861</v>
      </c>
      <c r="V38" s="37">
        <f t="shared" si="37"/>
        <v>3862</v>
      </c>
      <c r="W38" s="37">
        <f t="shared" si="38"/>
        <v>3863</v>
      </c>
      <c r="X38" s="37">
        <f t="shared" si="39"/>
        <v>3864</v>
      </c>
      <c r="Y38" s="37">
        <f t="shared" si="40"/>
        <v>3865</v>
      </c>
      <c r="Z38" s="37">
        <f t="shared" si="41"/>
        <v>3866</v>
      </c>
      <c r="AA38" s="37">
        <f t="shared" si="42"/>
        <v>3867</v>
      </c>
      <c r="AB38" s="37">
        <f t="shared" si="43"/>
        <v>3868</v>
      </c>
      <c r="AC38" s="37">
        <f t="shared" si="44"/>
        <v>3869</v>
      </c>
      <c r="AD38" s="38">
        <f t="shared" si="45"/>
        <v>3870</v>
      </c>
      <c r="AE38" s="36">
        <f t="shared" si="46"/>
        <v>3871</v>
      </c>
      <c r="AF38" s="37">
        <f t="shared" si="47"/>
        <v>3872</v>
      </c>
      <c r="AG38" s="37">
        <f t="shared" si="48"/>
        <v>3873</v>
      </c>
      <c r="AH38" s="37">
        <f t="shared" si="49"/>
        <v>3874</v>
      </c>
      <c r="AI38" s="37">
        <f t="shared" si="50"/>
        <v>3875</v>
      </c>
      <c r="AJ38" s="37">
        <f t="shared" si="51"/>
        <v>3876</v>
      </c>
      <c r="AK38" s="37">
        <f t="shared" si="52"/>
        <v>3877</v>
      </c>
      <c r="AL38" s="37">
        <f t="shared" si="53"/>
        <v>3878</v>
      </c>
      <c r="AM38" s="37">
        <f t="shared" si="54"/>
        <v>3879</v>
      </c>
      <c r="AN38" s="38">
        <f t="shared" si="55"/>
        <v>3880</v>
      </c>
      <c r="AO38" s="36">
        <f t="shared" si="56"/>
        <v>3881</v>
      </c>
      <c r="AP38" s="37">
        <f t="shared" si="57"/>
        <v>3882</v>
      </c>
      <c r="AQ38" s="37">
        <f t="shared" si="58"/>
        <v>3883</v>
      </c>
      <c r="AR38" s="37">
        <f t="shared" si="59"/>
        <v>3884</v>
      </c>
      <c r="AS38" s="37">
        <f t="shared" si="60"/>
        <v>3885</v>
      </c>
      <c r="AT38" s="37">
        <f t="shared" si="61"/>
        <v>3886</v>
      </c>
      <c r="AU38" s="37">
        <f t="shared" si="62"/>
        <v>3887</v>
      </c>
      <c r="AV38" s="37">
        <f t="shared" si="63"/>
        <v>3888</v>
      </c>
      <c r="AW38" s="37">
        <f t="shared" si="64"/>
        <v>3889</v>
      </c>
      <c r="AX38" s="38">
        <f t="shared" si="65"/>
        <v>3890</v>
      </c>
      <c r="AY38" s="36">
        <f t="shared" si="66"/>
        <v>3891</v>
      </c>
      <c r="AZ38" s="37">
        <f t="shared" si="67"/>
        <v>3892</v>
      </c>
      <c r="BA38" s="37">
        <f t="shared" si="68"/>
        <v>3893</v>
      </c>
      <c r="BB38" s="37">
        <f t="shared" si="69"/>
        <v>3894</v>
      </c>
      <c r="BC38" s="37">
        <f t="shared" si="70"/>
        <v>3895</v>
      </c>
      <c r="BD38" s="37">
        <f t="shared" si="71"/>
        <v>3896</v>
      </c>
      <c r="BE38" s="37">
        <f t="shared" si="72"/>
        <v>3897</v>
      </c>
      <c r="BF38" s="37">
        <f t="shared" si="73"/>
        <v>3898</v>
      </c>
      <c r="BG38" s="37">
        <f t="shared" si="74"/>
        <v>3899</v>
      </c>
      <c r="BH38" s="38">
        <f t="shared" si="75"/>
        <v>3900</v>
      </c>
      <c r="BI38" s="36">
        <f t="shared" si="76"/>
        <v>3901</v>
      </c>
      <c r="BJ38" s="37">
        <f t="shared" si="77"/>
        <v>3902</v>
      </c>
      <c r="BK38" s="37">
        <f t="shared" si="78"/>
        <v>3903</v>
      </c>
      <c r="BL38" s="37">
        <f t="shared" si="79"/>
        <v>3904</v>
      </c>
      <c r="BM38" s="37">
        <f t="shared" si="80"/>
        <v>3905</v>
      </c>
      <c r="BN38" s="37">
        <f t="shared" si="81"/>
        <v>3906</v>
      </c>
      <c r="BO38" s="37">
        <f t="shared" si="82"/>
        <v>3907</v>
      </c>
      <c r="BP38" s="37">
        <f t="shared" si="83"/>
        <v>3908</v>
      </c>
      <c r="BQ38" s="37">
        <f t="shared" si="84"/>
        <v>3909</v>
      </c>
      <c r="BR38" s="39">
        <f t="shared" si="85"/>
        <v>3910</v>
      </c>
      <c r="BS38" s="36">
        <f t="shared" si="86"/>
        <v>3911</v>
      </c>
      <c r="BT38" s="37">
        <f t="shared" si="87"/>
        <v>3912</v>
      </c>
      <c r="BU38" s="37">
        <f t="shared" si="88"/>
        <v>3913</v>
      </c>
      <c r="BV38" s="37">
        <f t="shared" si="89"/>
        <v>3914</v>
      </c>
      <c r="BW38" s="37">
        <f t="shared" si="90"/>
        <v>3915</v>
      </c>
      <c r="BX38" s="37">
        <f t="shared" si="91"/>
        <v>3916</v>
      </c>
      <c r="BY38" s="37">
        <f t="shared" si="92"/>
        <v>3917</v>
      </c>
      <c r="BZ38" s="37">
        <f t="shared" si="93"/>
        <v>3918</v>
      </c>
      <c r="CA38" s="37">
        <f t="shared" si="94"/>
        <v>3919</v>
      </c>
      <c r="CB38" s="38">
        <f t="shared" si="95"/>
        <v>3920</v>
      </c>
      <c r="CC38" s="40">
        <f t="shared" si="96"/>
        <v>3921</v>
      </c>
      <c r="CD38" s="37">
        <f t="shared" si="97"/>
        <v>3922</v>
      </c>
      <c r="CE38" s="37">
        <f t="shared" si="98"/>
        <v>3923</v>
      </c>
      <c r="CF38" s="37">
        <f t="shared" si="99"/>
        <v>3924</v>
      </c>
      <c r="CG38" s="37">
        <f t="shared" si="100"/>
        <v>3925</v>
      </c>
      <c r="CH38" s="37">
        <f t="shared" si="101"/>
        <v>3926</v>
      </c>
      <c r="CI38" s="37">
        <f t="shared" si="102"/>
        <v>3927</v>
      </c>
      <c r="CJ38" s="37">
        <f t="shared" si="103"/>
        <v>3928</v>
      </c>
      <c r="CK38" s="37">
        <f t="shared" si="104"/>
        <v>3929</v>
      </c>
      <c r="CL38" s="39">
        <f t="shared" si="105"/>
        <v>3930</v>
      </c>
      <c r="CM38" s="36">
        <f t="shared" si="106"/>
        <v>3931</v>
      </c>
      <c r="CN38" s="37">
        <f t="shared" si="107"/>
        <v>3932</v>
      </c>
      <c r="CO38" s="37">
        <f t="shared" si="108"/>
        <v>3933</v>
      </c>
      <c r="CP38" s="37">
        <f t="shared" si="109"/>
        <v>3934</v>
      </c>
      <c r="CQ38" s="37">
        <f t="shared" si="110"/>
        <v>3935</v>
      </c>
      <c r="CR38" s="37">
        <f t="shared" si="111"/>
        <v>3936</v>
      </c>
      <c r="CS38" s="37">
        <f t="shared" si="112"/>
        <v>3937</v>
      </c>
      <c r="CT38" s="37">
        <f t="shared" si="113"/>
        <v>3938</v>
      </c>
      <c r="CU38" s="37">
        <f t="shared" si="114"/>
        <v>3939</v>
      </c>
      <c r="CV38" s="38">
        <f t="shared" si="115"/>
        <v>3940</v>
      </c>
      <c r="CW38" s="40">
        <f t="shared" si="116"/>
        <v>3941</v>
      </c>
      <c r="CX38" s="37">
        <f t="shared" si="117"/>
        <v>3942</v>
      </c>
      <c r="CY38" s="37">
        <f t="shared" si="118"/>
        <v>3943</v>
      </c>
      <c r="CZ38" s="37">
        <f t="shared" si="119"/>
        <v>3944</v>
      </c>
      <c r="DA38" s="37">
        <f t="shared" si="120"/>
        <v>3945</v>
      </c>
      <c r="DB38" s="37">
        <f t="shared" si="121"/>
        <v>3946</v>
      </c>
      <c r="DC38" s="37">
        <f t="shared" si="122"/>
        <v>3947</v>
      </c>
      <c r="DD38" s="37">
        <f t="shared" si="123"/>
        <v>3948</v>
      </c>
      <c r="DE38" s="37">
        <f t="shared" si="124"/>
        <v>3949</v>
      </c>
      <c r="DF38" s="39">
        <f t="shared" si="125"/>
        <v>3950</v>
      </c>
      <c r="DG38" s="36">
        <f t="shared" si="126"/>
        <v>3951</v>
      </c>
      <c r="DH38" s="37">
        <f t="shared" si="127"/>
        <v>3952</v>
      </c>
      <c r="DI38" s="37">
        <f t="shared" si="128"/>
        <v>3953</v>
      </c>
      <c r="DJ38" s="37">
        <f t="shared" si="129"/>
        <v>3954</v>
      </c>
      <c r="DK38" s="37">
        <f t="shared" si="130"/>
        <v>3955</v>
      </c>
      <c r="DL38" s="37">
        <f t="shared" si="131"/>
        <v>3956</v>
      </c>
      <c r="DM38" s="37">
        <f t="shared" si="132"/>
        <v>3957</v>
      </c>
      <c r="DN38" s="37">
        <f t="shared" si="133"/>
        <v>3958</v>
      </c>
      <c r="DO38" s="37">
        <f t="shared" si="134"/>
        <v>3959</v>
      </c>
      <c r="DP38" s="38">
        <f t="shared" si="135"/>
        <v>3960</v>
      </c>
      <c r="DR38" s="1214"/>
      <c r="DS38" s="1215"/>
      <c r="DT38" s="1215"/>
      <c r="DU38" s="1216"/>
    </row>
    <row r="39" spans="1:125" ht="5.85" customHeight="1" x14ac:dyDescent="0.3">
      <c r="A39" s="36">
        <f t="shared" si="136"/>
        <v>3961</v>
      </c>
      <c r="B39" s="37">
        <f t="shared" si="17"/>
        <v>3962</v>
      </c>
      <c r="C39" s="37">
        <f t="shared" si="18"/>
        <v>3963</v>
      </c>
      <c r="D39" s="37">
        <f t="shared" si="19"/>
        <v>3964</v>
      </c>
      <c r="E39" s="37">
        <f t="shared" si="20"/>
        <v>3965</v>
      </c>
      <c r="F39" s="37">
        <f t="shared" si="21"/>
        <v>3966</v>
      </c>
      <c r="G39" s="37">
        <f t="shared" si="22"/>
        <v>3967</v>
      </c>
      <c r="H39" s="37">
        <f t="shared" si="23"/>
        <v>3968</v>
      </c>
      <c r="I39" s="37">
        <f t="shared" si="24"/>
        <v>3969</v>
      </c>
      <c r="J39" s="38">
        <f t="shared" si="25"/>
        <v>3970</v>
      </c>
      <c r="K39" s="36">
        <f t="shared" si="26"/>
        <v>3971</v>
      </c>
      <c r="L39" s="37">
        <f t="shared" si="27"/>
        <v>3972</v>
      </c>
      <c r="M39" s="37">
        <f t="shared" si="28"/>
        <v>3973</v>
      </c>
      <c r="N39" s="37">
        <f t="shared" si="29"/>
        <v>3974</v>
      </c>
      <c r="O39" s="37">
        <f t="shared" si="30"/>
        <v>3975</v>
      </c>
      <c r="P39" s="37">
        <f t="shared" si="31"/>
        <v>3976</v>
      </c>
      <c r="Q39" s="37">
        <f t="shared" si="32"/>
        <v>3977</v>
      </c>
      <c r="R39" s="37">
        <f t="shared" si="33"/>
        <v>3978</v>
      </c>
      <c r="S39" s="37">
        <f t="shared" si="34"/>
        <v>3979</v>
      </c>
      <c r="T39" s="38">
        <f t="shared" si="35"/>
        <v>3980</v>
      </c>
      <c r="U39" s="36">
        <f t="shared" si="36"/>
        <v>3981</v>
      </c>
      <c r="V39" s="37">
        <f t="shared" si="37"/>
        <v>3982</v>
      </c>
      <c r="W39" s="37">
        <f t="shared" si="38"/>
        <v>3983</v>
      </c>
      <c r="X39" s="37">
        <f t="shared" si="39"/>
        <v>3984</v>
      </c>
      <c r="Y39" s="37">
        <f t="shared" si="40"/>
        <v>3985</v>
      </c>
      <c r="Z39" s="37">
        <f t="shared" si="41"/>
        <v>3986</v>
      </c>
      <c r="AA39" s="37">
        <f t="shared" si="42"/>
        <v>3987</v>
      </c>
      <c r="AB39" s="37">
        <f t="shared" si="43"/>
        <v>3988</v>
      </c>
      <c r="AC39" s="37">
        <f t="shared" si="44"/>
        <v>3989</v>
      </c>
      <c r="AD39" s="38">
        <f t="shared" si="45"/>
        <v>3990</v>
      </c>
      <c r="AE39" s="36">
        <f t="shared" si="46"/>
        <v>3991</v>
      </c>
      <c r="AF39" s="37">
        <f t="shared" si="47"/>
        <v>3992</v>
      </c>
      <c r="AG39" s="37">
        <f t="shared" si="48"/>
        <v>3993</v>
      </c>
      <c r="AH39" s="37">
        <f t="shared" si="49"/>
        <v>3994</v>
      </c>
      <c r="AI39" s="37">
        <f t="shared" si="50"/>
        <v>3995</v>
      </c>
      <c r="AJ39" s="37">
        <f t="shared" si="51"/>
        <v>3996</v>
      </c>
      <c r="AK39" s="37">
        <f t="shared" si="52"/>
        <v>3997</v>
      </c>
      <c r="AL39" s="37">
        <f t="shared" si="53"/>
        <v>3998</v>
      </c>
      <c r="AM39" s="37">
        <f t="shared" si="54"/>
        <v>3999</v>
      </c>
      <c r="AN39" s="38">
        <f t="shared" si="55"/>
        <v>4000</v>
      </c>
      <c r="AO39" s="36">
        <f t="shared" si="56"/>
        <v>4001</v>
      </c>
      <c r="AP39" s="37">
        <f t="shared" si="57"/>
        <v>4002</v>
      </c>
      <c r="AQ39" s="37">
        <f t="shared" si="58"/>
        <v>4003</v>
      </c>
      <c r="AR39" s="37">
        <f t="shared" si="59"/>
        <v>4004</v>
      </c>
      <c r="AS39" s="37">
        <f t="shared" si="60"/>
        <v>4005</v>
      </c>
      <c r="AT39" s="37">
        <f t="shared" si="61"/>
        <v>4006</v>
      </c>
      <c r="AU39" s="37">
        <f t="shared" si="62"/>
        <v>4007</v>
      </c>
      <c r="AV39" s="37">
        <f t="shared" si="63"/>
        <v>4008</v>
      </c>
      <c r="AW39" s="37">
        <f t="shared" si="64"/>
        <v>4009</v>
      </c>
      <c r="AX39" s="38">
        <f t="shared" si="65"/>
        <v>4010</v>
      </c>
      <c r="AY39" s="36">
        <f t="shared" si="66"/>
        <v>4011</v>
      </c>
      <c r="AZ39" s="37">
        <f t="shared" si="67"/>
        <v>4012</v>
      </c>
      <c r="BA39" s="37">
        <f t="shared" si="68"/>
        <v>4013</v>
      </c>
      <c r="BB39" s="37">
        <f t="shared" si="69"/>
        <v>4014</v>
      </c>
      <c r="BC39" s="37">
        <f t="shared" si="70"/>
        <v>4015</v>
      </c>
      <c r="BD39" s="37">
        <f t="shared" si="71"/>
        <v>4016</v>
      </c>
      <c r="BE39" s="37">
        <f t="shared" si="72"/>
        <v>4017</v>
      </c>
      <c r="BF39" s="37">
        <f t="shared" si="73"/>
        <v>4018</v>
      </c>
      <c r="BG39" s="37">
        <f t="shared" si="74"/>
        <v>4019</v>
      </c>
      <c r="BH39" s="38">
        <f t="shared" si="75"/>
        <v>4020</v>
      </c>
      <c r="BI39" s="36">
        <f t="shared" si="76"/>
        <v>4021</v>
      </c>
      <c r="BJ39" s="37">
        <f t="shared" si="77"/>
        <v>4022</v>
      </c>
      <c r="BK39" s="37">
        <f t="shared" si="78"/>
        <v>4023</v>
      </c>
      <c r="BL39" s="37">
        <f t="shared" si="79"/>
        <v>4024</v>
      </c>
      <c r="BM39" s="37">
        <f t="shared" si="80"/>
        <v>4025</v>
      </c>
      <c r="BN39" s="37">
        <f t="shared" si="81"/>
        <v>4026</v>
      </c>
      <c r="BO39" s="37">
        <f t="shared" si="82"/>
        <v>4027</v>
      </c>
      <c r="BP39" s="37">
        <f t="shared" si="83"/>
        <v>4028</v>
      </c>
      <c r="BQ39" s="37">
        <f t="shared" si="84"/>
        <v>4029</v>
      </c>
      <c r="BR39" s="39">
        <f t="shared" si="85"/>
        <v>4030</v>
      </c>
      <c r="BS39" s="36">
        <f t="shared" si="86"/>
        <v>4031</v>
      </c>
      <c r="BT39" s="37">
        <f t="shared" si="87"/>
        <v>4032</v>
      </c>
      <c r="BU39" s="37">
        <f t="shared" si="88"/>
        <v>4033</v>
      </c>
      <c r="BV39" s="37">
        <f t="shared" si="89"/>
        <v>4034</v>
      </c>
      <c r="BW39" s="37">
        <f t="shared" si="90"/>
        <v>4035</v>
      </c>
      <c r="BX39" s="37">
        <f t="shared" si="91"/>
        <v>4036</v>
      </c>
      <c r="BY39" s="37">
        <f t="shared" si="92"/>
        <v>4037</v>
      </c>
      <c r="BZ39" s="37">
        <f t="shared" si="93"/>
        <v>4038</v>
      </c>
      <c r="CA39" s="37">
        <f t="shared" si="94"/>
        <v>4039</v>
      </c>
      <c r="CB39" s="38">
        <f t="shared" si="95"/>
        <v>4040</v>
      </c>
      <c r="CC39" s="40">
        <f t="shared" si="96"/>
        <v>4041</v>
      </c>
      <c r="CD39" s="37">
        <f t="shared" si="97"/>
        <v>4042</v>
      </c>
      <c r="CE39" s="37">
        <f t="shared" si="98"/>
        <v>4043</v>
      </c>
      <c r="CF39" s="37">
        <f t="shared" si="99"/>
        <v>4044</v>
      </c>
      <c r="CG39" s="37">
        <f t="shared" si="100"/>
        <v>4045</v>
      </c>
      <c r="CH39" s="37">
        <f t="shared" si="101"/>
        <v>4046</v>
      </c>
      <c r="CI39" s="37">
        <f t="shared" si="102"/>
        <v>4047</v>
      </c>
      <c r="CJ39" s="37">
        <f t="shared" si="103"/>
        <v>4048</v>
      </c>
      <c r="CK39" s="37">
        <f t="shared" si="104"/>
        <v>4049</v>
      </c>
      <c r="CL39" s="39">
        <f t="shared" si="105"/>
        <v>4050</v>
      </c>
      <c r="CM39" s="36">
        <f t="shared" si="106"/>
        <v>4051</v>
      </c>
      <c r="CN39" s="37">
        <f t="shared" si="107"/>
        <v>4052</v>
      </c>
      <c r="CO39" s="37">
        <f t="shared" si="108"/>
        <v>4053</v>
      </c>
      <c r="CP39" s="37">
        <f t="shared" si="109"/>
        <v>4054</v>
      </c>
      <c r="CQ39" s="37">
        <f t="shared" si="110"/>
        <v>4055</v>
      </c>
      <c r="CR39" s="37">
        <f t="shared" si="111"/>
        <v>4056</v>
      </c>
      <c r="CS39" s="37">
        <f t="shared" si="112"/>
        <v>4057</v>
      </c>
      <c r="CT39" s="37">
        <f t="shared" si="113"/>
        <v>4058</v>
      </c>
      <c r="CU39" s="37">
        <f t="shared" si="114"/>
        <v>4059</v>
      </c>
      <c r="CV39" s="38">
        <f t="shared" si="115"/>
        <v>4060</v>
      </c>
      <c r="CW39" s="40">
        <f t="shared" si="116"/>
        <v>4061</v>
      </c>
      <c r="CX39" s="37">
        <f t="shared" si="117"/>
        <v>4062</v>
      </c>
      <c r="CY39" s="37">
        <f t="shared" si="118"/>
        <v>4063</v>
      </c>
      <c r="CZ39" s="37">
        <f t="shared" si="119"/>
        <v>4064</v>
      </c>
      <c r="DA39" s="37">
        <f t="shared" si="120"/>
        <v>4065</v>
      </c>
      <c r="DB39" s="37">
        <f t="shared" si="121"/>
        <v>4066</v>
      </c>
      <c r="DC39" s="37">
        <f t="shared" si="122"/>
        <v>4067</v>
      </c>
      <c r="DD39" s="37">
        <f t="shared" si="123"/>
        <v>4068</v>
      </c>
      <c r="DE39" s="37">
        <f t="shared" si="124"/>
        <v>4069</v>
      </c>
      <c r="DF39" s="39">
        <f t="shared" si="125"/>
        <v>4070</v>
      </c>
      <c r="DG39" s="36">
        <f t="shared" si="126"/>
        <v>4071</v>
      </c>
      <c r="DH39" s="37">
        <f t="shared" si="127"/>
        <v>4072</v>
      </c>
      <c r="DI39" s="37">
        <f t="shared" si="128"/>
        <v>4073</v>
      </c>
      <c r="DJ39" s="37">
        <f t="shared" si="129"/>
        <v>4074</v>
      </c>
      <c r="DK39" s="37">
        <f t="shared" si="130"/>
        <v>4075</v>
      </c>
      <c r="DL39" s="37">
        <f t="shared" si="131"/>
        <v>4076</v>
      </c>
      <c r="DM39" s="37">
        <f t="shared" si="132"/>
        <v>4077</v>
      </c>
      <c r="DN39" s="37">
        <f t="shared" si="133"/>
        <v>4078</v>
      </c>
      <c r="DO39" s="37">
        <f t="shared" si="134"/>
        <v>4079</v>
      </c>
      <c r="DP39" s="38">
        <f t="shared" si="135"/>
        <v>4080</v>
      </c>
      <c r="DR39" s="1214">
        <v>10</v>
      </c>
      <c r="DS39" s="1215"/>
      <c r="DT39" s="1215"/>
      <c r="DU39" s="1216"/>
    </row>
    <row r="40" spans="1:125" ht="5.85" customHeight="1" x14ac:dyDescent="0.3">
      <c r="A40" s="36">
        <f t="shared" si="136"/>
        <v>4081</v>
      </c>
      <c r="B40" s="37">
        <f t="shared" si="17"/>
        <v>4082</v>
      </c>
      <c r="C40" s="37">
        <f t="shared" si="18"/>
        <v>4083</v>
      </c>
      <c r="D40" s="37">
        <f t="shared" si="19"/>
        <v>4084</v>
      </c>
      <c r="E40" s="37">
        <f t="shared" si="20"/>
        <v>4085</v>
      </c>
      <c r="F40" s="37">
        <f t="shared" si="21"/>
        <v>4086</v>
      </c>
      <c r="G40" s="37">
        <f t="shared" si="22"/>
        <v>4087</v>
      </c>
      <c r="H40" s="37">
        <f t="shared" si="23"/>
        <v>4088</v>
      </c>
      <c r="I40" s="37">
        <f t="shared" si="24"/>
        <v>4089</v>
      </c>
      <c r="J40" s="38">
        <f t="shared" si="25"/>
        <v>4090</v>
      </c>
      <c r="K40" s="36">
        <f t="shared" si="26"/>
        <v>4091</v>
      </c>
      <c r="L40" s="37">
        <f t="shared" si="27"/>
        <v>4092</v>
      </c>
      <c r="M40" s="37">
        <f t="shared" si="28"/>
        <v>4093</v>
      </c>
      <c r="N40" s="37">
        <f t="shared" si="29"/>
        <v>4094</v>
      </c>
      <c r="O40" s="37">
        <f t="shared" si="30"/>
        <v>4095</v>
      </c>
      <c r="P40" s="37">
        <f t="shared" si="31"/>
        <v>4096</v>
      </c>
      <c r="Q40" s="37">
        <f t="shared" si="32"/>
        <v>4097</v>
      </c>
      <c r="R40" s="37">
        <f t="shared" si="33"/>
        <v>4098</v>
      </c>
      <c r="S40" s="37">
        <f t="shared" si="34"/>
        <v>4099</v>
      </c>
      <c r="T40" s="38">
        <f t="shared" si="35"/>
        <v>4100</v>
      </c>
      <c r="U40" s="36">
        <f t="shared" si="36"/>
        <v>4101</v>
      </c>
      <c r="V40" s="37">
        <f t="shared" si="37"/>
        <v>4102</v>
      </c>
      <c r="W40" s="37">
        <f t="shared" si="38"/>
        <v>4103</v>
      </c>
      <c r="X40" s="37">
        <f t="shared" si="39"/>
        <v>4104</v>
      </c>
      <c r="Y40" s="37">
        <f t="shared" si="40"/>
        <v>4105</v>
      </c>
      <c r="Z40" s="37">
        <f t="shared" si="41"/>
        <v>4106</v>
      </c>
      <c r="AA40" s="37">
        <f t="shared" si="42"/>
        <v>4107</v>
      </c>
      <c r="AB40" s="37">
        <f t="shared" si="43"/>
        <v>4108</v>
      </c>
      <c r="AC40" s="37">
        <f t="shared" si="44"/>
        <v>4109</v>
      </c>
      <c r="AD40" s="38">
        <f t="shared" si="45"/>
        <v>4110</v>
      </c>
      <c r="AE40" s="36">
        <f t="shared" si="46"/>
        <v>4111</v>
      </c>
      <c r="AF40" s="37">
        <f t="shared" si="47"/>
        <v>4112</v>
      </c>
      <c r="AG40" s="37">
        <f t="shared" si="48"/>
        <v>4113</v>
      </c>
      <c r="AH40" s="37">
        <f t="shared" si="49"/>
        <v>4114</v>
      </c>
      <c r="AI40" s="37">
        <f t="shared" si="50"/>
        <v>4115</v>
      </c>
      <c r="AJ40" s="37">
        <f t="shared" si="51"/>
        <v>4116</v>
      </c>
      <c r="AK40" s="37">
        <f t="shared" si="52"/>
        <v>4117</v>
      </c>
      <c r="AL40" s="37">
        <f t="shared" si="53"/>
        <v>4118</v>
      </c>
      <c r="AM40" s="37">
        <f t="shared" si="54"/>
        <v>4119</v>
      </c>
      <c r="AN40" s="38">
        <f t="shared" si="55"/>
        <v>4120</v>
      </c>
      <c r="AO40" s="36">
        <f t="shared" si="56"/>
        <v>4121</v>
      </c>
      <c r="AP40" s="37">
        <f t="shared" si="57"/>
        <v>4122</v>
      </c>
      <c r="AQ40" s="37">
        <f t="shared" si="58"/>
        <v>4123</v>
      </c>
      <c r="AR40" s="37">
        <f t="shared" si="59"/>
        <v>4124</v>
      </c>
      <c r="AS40" s="37">
        <f t="shared" si="60"/>
        <v>4125</v>
      </c>
      <c r="AT40" s="37">
        <f t="shared" si="61"/>
        <v>4126</v>
      </c>
      <c r="AU40" s="37">
        <f t="shared" si="62"/>
        <v>4127</v>
      </c>
      <c r="AV40" s="37">
        <f t="shared" si="63"/>
        <v>4128</v>
      </c>
      <c r="AW40" s="37">
        <f t="shared" si="64"/>
        <v>4129</v>
      </c>
      <c r="AX40" s="38">
        <f t="shared" si="65"/>
        <v>4130</v>
      </c>
      <c r="AY40" s="36">
        <f t="shared" si="66"/>
        <v>4131</v>
      </c>
      <c r="AZ40" s="37">
        <f t="shared" si="67"/>
        <v>4132</v>
      </c>
      <c r="BA40" s="37">
        <f t="shared" si="68"/>
        <v>4133</v>
      </c>
      <c r="BB40" s="37">
        <f t="shared" si="69"/>
        <v>4134</v>
      </c>
      <c r="BC40" s="37">
        <f t="shared" si="70"/>
        <v>4135</v>
      </c>
      <c r="BD40" s="37">
        <f t="shared" si="71"/>
        <v>4136</v>
      </c>
      <c r="BE40" s="37">
        <f t="shared" si="72"/>
        <v>4137</v>
      </c>
      <c r="BF40" s="37">
        <f t="shared" si="73"/>
        <v>4138</v>
      </c>
      <c r="BG40" s="37">
        <f t="shared" si="74"/>
        <v>4139</v>
      </c>
      <c r="BH40" s="38">
        <f t="shared" si="75"/>
        <v>4140</v>
      </c>
      <c r="BI40" s="36">
        <f t="shared" si="76"/>
        <v>4141</v>
      </c>
      <c r="BJ40" s="37">
        <f t="shared" si="77"/>
        <v>4142</v>
      </c>
      <c r="BK40" s="37">
        <f t="shared" si="78"/>
        <v>4143</v>
      </c>
      <c r="BL40" s="37">
        <f t="shared" si="79"/>
        <v>4144</v>
      </c>
      <c r="BM40" s="37">
        <f t="shared" si="80"/>
        <v>4145</v>
      </c>
      <c r="BN40" s="37">
        <f t="shared" si="81"/>
        <v>4146</v>
      </c>
      <c r="BO40" s="37">
        <f t="shared" si="82"/>
        <v>4147</v>
      </c>
      <c r="BP40" s="37">
        <f t="shared" si="83"/>
        <v>4148</v>
      </c>
      <c r="BQ40" s="37">
        <f t="shared" si="84"/>
        <v>4149</v>
      </c>
      <c r="BR40" s="39">
        <f t="shared" si="85"/>
        <v>4150</v>
      </c>
      <c r="BS40" s="36">
        <f t="shared" si="86"/>
        <v>4151</v>
      </c>
      <c r="BT40" s="37">
        <f t="shared" si="87"/>
        <v>4152</v>
      </c>
      <c r="BU40" s="37">
        <f t="shared" si="88"/>
        <v>4153</v>
      </c>
      <c r="BV40" s="37">
        <f t="shared" si="89"/>
        <v>4154</v>
      </c>
      <c r="BW40" s="37">
        <f t="shared" si="90"/>
        <v>4155</v>
      </c>
      <c r="BX40" s="37">
        <f t="shared" si="91"/>
        <v>4156</v>
      </c>
      <c r="BY40" s="37">
        <f t="shared" si="92"/>
        <v>4157</v>
      </c>
      <c r="BZ40" s="37">
        <f t="shared" si="93"/>
        <v>4158</v>
      </c>
      <c r="CA40" s="37">
        <f t="shared" si="94"/>
        <v>4159</v>
      </c>
      <c r="CB40" s="38">
        <f t="shared" si="95"/>
        <v>4160</v>
      </c>
      <c r="CC40" s="40">
        <f t="shared" si="96"/>
        <v>4161</v>
      </c>
      <c r="CD40" s="37">
        <f t="shared" si="97"/>
        <v>4162</v>
      </c>
      <c r="CE40" s="37">
        <f t="shared" si="98"/>
        <v>4163</v>
      </c>
      <c r="CF40" s="37">
        <f t="shared" si="99"/>
        <v>4164</v>
      </c>
      <c r="CG40" s="37">
        <f t="shared" si="100"/>
        <v>4165</v>
      </c>
      <c r="CH40" s="37">
        <f t="shared" si="101"/>
        <v>4166</v>
      </c>
      <c r="CI40" s="37">
        <f t="shared" si="102"/>
        <v>4167</v>
      </c>
      <c r="CJ40" s="37">
        <f t="shared" si="103"/>
        <v>4168</v>
      </c>
      <c r="CK40" s="37">
        <f t="shared" si="104"/>
        <v>4169</v>
      </c>
      <c r="CL40" s="39">
        <f t="shared" si="105"/>
        <v>4170</v>
      </c>
      <c r="CM40" s="36">
        <f t="shared" si="106"/>
        <v>4171</v>
      </c>
      <c r="CN40" s="37">
        <f t="shared" si="107"/>
        <v>4172</v>
      </c>
      <c r="CO40" s="37">
        <f t="shared" si="108"/>
        <v>4173</v>
      </c>
      <c r="CP40" s="37">
        <f t="shared" si="109"/>
        <v>4174</v>
      </c>
      <c r="CQ40" s="37">
        <f t="shared" si="110"/>
        <v>4175</v>
      </c>
      <c r="CR40" s="37">
        <f t="shared" si="111"/>
        <v>4176</v>
      </c>
      <c r="CS40" s="37">
        <f t="shared" si="112"/>
        <v>4177</v>
      </c>
      <c r="CT40" s="37">
        <f t="shared" si="113"/>
        <v>4178</v>
      </c>
      <c r="CU40" s="37">
        <f t="shared" si="114"/>
        <v>4179</v>
      </c>
      <c r="CV40" s="38">
        <f t="shared" si="115"/>
        <v>4180</v>
      </c>
      <c r="CW40" s="40">
        <f t="shared" si="116"/>
        <v>4181</v>
      </c>
      <c r="CX40" s="37">
        <f t="shared" si="117"/>
        <v>4182</v>
      </c>
      <c r="CY40" s="37">
        <f t="shared" si="118"/>
        <v>4183</v>
      </c>
      <c r="CZ40" s="37">
        <f t="shared" si="119"/>
        <v>4184</v>
      </c>
      <c r="DA40" s="37">
        <f t="shared" si="120"/>
        <v>4185</v>
      </c>
      <c r="DB40" s="37">
        <f t="shared" si="121"/>
        <v>4186</v>
      </c>
      <c r="DC40" s="37">
        <f t="shared" si="122"/>
        <v>4187</v>
      </c>
      <c r="DD40" s="37">
        <f t="shared" si="123"/>
        <v>4188</v>
      </c>
      <c r="DE40" s="37">
        <f t="shared" si="124"/>
        <v>4189</v>
      </c>
      <c r="DF40" s="39">
        <f t="shared" si="125"/>
        <v>4190</v>
      </c>
      <c r="DG40" s="36">
        <f t="shared" si="126"/>
        <v>4191</v>
      </c>
      <c r="DH40" s="37">
        <f t="shared" si="127"/>
        <v>4192</v>
      </c>
      <c r="DI40" s="37">
        <f t="shared" si="128"/>
        <v>4193</v>
      </c>
      <c r="DJ40" s="37">
        <f t="shared" si="129"/>
        <v>4194</v>
      </c>
      <c r="DK40" s="37">
        <f t="shared" si="130"/>
        <v>4195</v>
      </c>
      <c r="DL40" s="37">
        <f t="shared" si="131"/>
        <v>4196</v>
      </c>
      <c r="DM40" s="37">
        <f t="shared" si="132"/>
        <v>4197</v>
      </c>
      <c r="DN40" s="37">
        <f t="shared" si="133"/>
        <v>4198</v>
      </c>
      <c r="DO40" s="37">
        <f t="shared" si="134"/>
        <v>4199</v>
      </c>
      <c r="DP40" s="38">
        <f t="shared" si="135"/>
        <v>4200</v>
      </c>
      <c r="DR40" s="1214"/>
      <c r="DS40" s="1215"/>
      <c r="DT40" s="1215"/>
      <c r="DU40" s="1216"/>
    </row>
    <row r="41" spans="1:125" ht="5.85" customHeight="1" x14ac:dyDescent="0.3">
      <c r="A41" s="36">
        <f t="shared" si="136"/>
        <v>4201</v>
      </c>
      <c r="B41" s="37">
        <f t="shared" si="17"/>
        <v>4202</v>
      </c>
      <c r="C41" s="37">
        <f t="shared" si="18"/>
        <v>4203</v>
      </c>
      <c r="D41" s="37">
        <f t="shared" si="19"/>
        <v>4204</v>
      </c>
      <c r="E41" s="37">
        <f t="shared" si="20"/>
        <v>4205</v>
      </c>
      <c r="F41" s="37">
        <f t="shared" si="21"/>
        <v>4206</v>
      </c>
      <c r="G41" s="37">
        <f t="shared" si="22"/>
        <v>4207</v>
      </c>
      <c r="H41" s="37">
        <f t="shared" si="23"/>
        <v>4208</v>
      </c>
      <c r="I41" s="37">
        <f t="shared" si="24"/>
        <v>4209</v>
      </c>
      <c r="J41" s="38">
        <f t="shared" si="25"/>
        <v>4210</v>
      </c>
      <c r="K41" s="36">
        <f t="shared" si="26"/>
        <v>4211</v>
      </c>
      <c r="L41" s="37">
        <f t="shared" si="27"/>
        <v>4212</v>
      </c>
      <c r="M41" s="37">
        <f t="shared" si="28"/>
        <v>4213</v>
      </c>
      <c r="N41" s="37">
        <f t="shared" si="29"/>
        <v>4214</v>
      </c>
      <c r="O41" s="37">
        <f t="shared" si="30"/>
        <v>4215</v>
      </c>
      <c r="P41" s="37">
        <f t="shared" si="31"/>
        <v>4216</v>
      </c>
      <c r="Q41" s="37">
        <f t="shared" si="32"/>
        <v>4217</v>
      </c>
      <c r="R41" s="37">
        <f t="shared" si="33"/>
        <v>4218</v>
      </c>
      <c r="S41" s="37">
        <f t="shared" si="34"/>
        <v>4219</v>
      </c>
      <c r="T41" s="38">
        <f t="shared" si="35"/>
        <v>4220</v>
      </c>
      <c r="U41" s="36">
        <f t="shared" si="36"/>
        <v>4221</v>
      </c>
      <c r="V41" s="37">
        <f t="shared" si="37"/>
        <v>4222</v>
      </c>
      <c r="W41" s="37">
        <f t="shared" si="38"/>
        <v>4223</v>
      </c>
      <c r="X41" s="37">
        <f t="shared" si="39"/>
        <v>4224</v>
      </c>
      <c r="Y41" s="37">
        <f t="shared" si="40"/>
        <v>4225</v>
      </c>
      <c r="Z41" s="37">
        <f t="shared" si="41"/>
        <v>4226</v>
      </c>
      <c r="AA41" s="37">
        <f t="shared" si="42"/>
        <v>4227</v>
      </c>
      <c r="AB41" s="37">
        <f t="shared" si="43"/>
        <v>4228</v>
      </c>
      <c r="AC41" s="37">
        <f t="shared" si="44"/>
        <v>4229</v>
      </c>
      <c r="AD41" s="38">
        <f t="shared" si="45"/>
        <v>4230</v>
      </c>
      <c r="AE41" s="36">
        <f t="shared" si="46"/>
        <v>4231</v>
      </c>
      <c r="AF41" s="37">
        <f t="shared" si="47"/>
        <v>4232</v>
      </c>
      <c r="AG41" s="37">
        <f t="shared" si="48"/>
        <v>4233</v>
      </c>
      <c r="AH41" s="37">
        <f t="shared" si="49"/>
        <v>4234</v>
      </c>
      <c r="AI41" s="37">
        <f t="shared" si="50"/>
        <v>4235</v>
      </c>
      <c r="AJ41" s="37">
        <f t="shared" si="51"/>
        <v>4236</v>
      </c>
      <c r="AK41" s="37">
        <f t="shared" si="52"/>
        <v>4237</v>
      </c>
      <c r="AL41" s="37">
        <f t="shared" si="53"/>
        <v>4238</v>
      </c>
      <c r="AM41" s="37">
        <f t="shared" si="54"/>
        <v>4239</v>
      </c>
      <c r="AN41" s="38">
        <f t="shared" si="55"/>
        <v>4240</v>
      </c>
      <c r="AO41" s="36">
        <f t="shared" si="56"/>
        <v>4241</v>
      </c>
      <c r="AP41" s="37">
        <f t="shared" si="57"/>
        <v>4242</v>
      </c>
      <c r="AQ41" s="37">
        <f t="shared" si="58"/>
        <v>4243</v>
      </c>
      <c r="AR41" s="37">
        <f t="shared" si="59"/>
        <v>4244</v>
      </c>
      <c r="AS41" s="37">
        <f t="shared" si="60"/>
        <v>4245</v>
      </c>
      <c r="AT41" s="37">
        <f t="shared" si="61"/>
        <v>4246</v>
      </c>
      <c r="AU41" s="37">
        <f t="shared" si="62"/>
        <v>4247</v>
      </c>
      <c r="AV41" s="37">
        <f t="shared" si="63"/>
        <v>4248</v>
      </c>
      <c r="AW41" s="37">
        <f t="shared" si="64"/>
        <v>4249</v>
      </c>
      <c r="AX41" s="38">
        <f t="shared" si="65"/>
        <v>4250</v>
      </c>
      <c r="AY41" s="36">
        <f t="shared" si="66"/>
        <v>4251</v>
      </c>
      <c r="AZ41" s="37">
        <f t="shared" si="67"/>
        <v>4252</v>
      </c>
      <c r="BA41" s="37">
        <f t="shared" si="68"/>
        <v>4253</v>
      </c>
      <c r="BB41" s="37">
        <f t="shared" si="69"/>
        <v>4254</v>
      </c>
      <c r="BC41" s="37">
        <f t="shared" si="70"/>
        <v>4255</v>
      </c>
      <c r="BD41" s="37">
        <f t="shared" si="71"/>
        <v>4256</v>
      </c>
      <c r="BE41" s="37">
        <f t="shared" si="72"/>
        <v>4257</v>
      </c>
      <c r="BF41" s="37">
        <f t="shared" si="73"/>
        <v>4258</v>
      </c>
      <c r="BG41" s="37">
        <f t="shared" si="74"/>
        <v>4259</v>
      </c>
      <c r="BH41" s="38">
        <f t="shared" si="75"/>
        <v>4260</v>
      </c>
      <c r="BI41" s="36">
        <f t="shared" si="76"/>
        <v>4261</v>
      </c>
      <c r="BJ41" s="37">
        <f t="shared" si="77"/>
        <v>4262</v>
      </c>
      <c r="BK41" s="37">
        <f t="shared" si="78"/>
        <v>4263</v>
      </c>
      <c r="BL41" s="37">
        <f t="shared" si="79"/>
        <v>4264</v>
      </c>
      <c r="BM41" s="37">
        <f t="shared" si="80"/>
        <v>4265</v>
      </c>
      <c r="BN41" s="37">
        <f t="shared" si="81"/>
        <v>4266</v>
      </c>
      <c r="BO41" s="37">
        <f t="shared" si="82"/>
        <v>4267</v>
      </c>
      <c r="BP41" s="37">
        <f t="shared" si="83"/>
        <v>4268</v>
      </c>
      <c r="BQ41" s="37">
        <f t="shared" si="84"/>
        <v>4269</v>
      </c>
      <c r="BR41" s="39">
        <f t="shared" si="85"/>
        <v>4270</v>
      </c>
      <c r="BS41" s="36">
        <f t="shared" si="86"/>
        <v>4271</v>
      </c>
      <c r="BT41" s="37">
        <f t="shared" si="87"/>
        <v>4272</v>
      </c>
      <c r="BU41" s="37">
        <f t="shared" si="88"/>
        <v>4273</v>
      </c>
      <c r="BV41" s="37">
        <f t="shared" si="89"/>
        <v>4274</v>
      </c>
      <c r="BW41" s="37">
        <f t="shared" si="90"/>
        <v>4275</v>
      </c>
      <c r="BX41" s="37">
        <f t="shared" si="91"/>
        <v>4276</v>
      </c>
      <c r="BY41" s="37">
        <f t="shared" si="92"/>
        <v>4277</v>
      </c>
      <c r="BZ41" s="37">
        <f t="shared" si="93"/>
        <v>4278</v>
      </c>
      <c r="CA41" s="37">
        <f t="shared" si="94"/>
        <v>4279</v>
      </c>
      <c r="CB41" s="38">
        <f t="shared" si="95"/>
        <v>4280</v>
      </c>
      <c r="CC41" s="40">
        <f t="shared" si="96"/>
        <v>4281</v>
      </c>
      <c r="CD41" s="37">
        <f t="shared" si="97"/>
        <v>4282</v>
      </c>
      <c r="CE41" s="37">
        <f t="shared" si="98"/>
        <v>4283</v>
      </c>
      <c r="CF41" s="37">
        <f t="shared" si="99"/>
        <v>4284</v>
      </c>
      <c r="CG41" s="37">
        <f t="shared" si="100"/>
        <v>4285</v>
      </c>
      <c r="CH41" s="37">
        <f t="shared" si="101"/>
        <v>4286</v>
      </c>
      <c r="CI41" s="37">
        <f t="shared" si="102"/>
        <v>4287</v>
      </c>
      <c r="CJ41" s="37">
        <f t="shared" si="103"/>
        <v>4288</v>
      </c>
      <c r="CK41" s="37">
        <f t="shared" si="104"/>
        <v>4289</v>
      </c>
      <c r="CL41" s="39">
        <f t="shared" si="105"/>
        <v>4290</v>
      </c>
      <c r="CM41" s="36">
        <f t="shared" si="106"/>
        <v>4291</v>
      </c>
      <c r="CN41" s="37">
        <f t="shared" si="107"/>
        <v>4292</v>
      </c>
      <c r="CO41" s="37">
        <f t="shared" si="108"/>
        <v>4293</v>
      </c>
      <c r="CP41" s="37">
        <f t="shared" si="109"/>
        <v>4294</v>
      </c>
      <c r="CQ41" s="37">
        <f t="shared" si="110"/>
        <v>4295</v>
      </c>
      <c r="CR41" s="37">
        <f t="shared" si="111"/>
        <v>4296</v>
      </c>
      <c r="CS41" s="37">
        <f t="shared" si="112"/>
        <v>4297</v>
      </c>
      <c r="CT41" s="37">
        <f t="shared" si="113"/>
        <v>4298</v>
      </c>
      <c r="CU41" s="37">
        <f t="shared" si="114"/>
        <v>4299</v>
      </c>
      <c r="CV41" s="38">
        <f t="shared" si="115"/>
        <v>4300</v>
      </c>
      <c r="CW41" s="40">
        <f t="shared" si="116"/>
        <v>4301</v>
      </c>
      <c r="CX41" s="37">
        <f t="shared" si="117"/>
        <v>4302</v>
      </c>
      <c r="CY41" s="37">
        <f t="shared" si="118"/>
        <v>4303</v>
      </c>
      <c r="CZ41" s="37">
        <f t="shared" si="119"/>
        <v>4304</v>
      </c>
      <c r="DA41" s="37">
        <f t="shared" si="120"/>
        <v>4305</v>
      </c>
      <c r="DB41" s="37">
        <f t="shared" si="121"/>
        <v>4306</v>
      </c>
      <c r="DC41" s="37">
        <f t="shared" si="122"/>
        <v>4307</v>
      </c>
      <c r="DD41" s="37">
        <f t="shared" si="123"/>
        <v>4308</v>
      </c>
      <c r="DE41" s="37">
        <f t="shared" si="124"/>
        <v>4309</v>
      </c>
      <c r="DF41" s="39">
        <f t="shared" si="125"/>
        <v>4310</v>
      </c>
      <c r="DG41" s="36">
        <f t="shared" si="126"/>
        <v>4311</v>
      </c>
      <c r="DH41" s="37">
        <f t="shared" si="127"/>
        <v>4312</v>
      </c>
      <c r="DI41" s="37">
        <f t="shared" si="128"/>
        <v>4313</v>
      </c>
      <c r="DJ41" s="37">
        <f t="shared" si="129"/>
        <v>4314</v>
      </c>
      <c r="DK41" s="37">
        <f t="shared" si="130"/>
        <v>4315</v>
      </c>
      <c r="DL41" s="37">
        <f t="shared" si="131"/>
        <v>4316</v>
      </c>
      <c r="DM41" s="37">
        <f t="shared" si="132"/>
        <v>4317</v>
      </c>
      <c r="DN41" s="37">
        <f t="shared" si="133"/>
        <v>4318</v>
      </c>
      <c r="DO41" s="37">
        <f t="shared" si="134"/>
        <v>4319</v>
      </c>
      <c r="DP41" s="38">
        <f t="shared" si="135"/>
        <v>4320</v>
      </c>
      <c r="DR41" s="1214"/>
      <c r="DS41" s="1215"/>
      <c r="DT41" s="1215"/>
      <c r="DU41" s="1216"/>
    </row>
    <row r="42" spans="1:125" ht="5.85" customHeight="1" x14ac:dyDescent="0.3">
      <c r="A42" s="36">
        <f t="shared" si="136"/>
        <v>4321</v>
      </c>
      <c r="B42" s="37">
        <f t="shared" si="17"/>
        <v>4322</v>
      </c>
      <c r="C42" s="37">
        <f t="shared" si="18"/>
        <v>4323</v>
      </c>
      <c r="D42" s="37">
        <f t="shared" si="19"/>
        <v>4324</v>
      </c>
      <c r="E42" s="37">
        <f t="shared" si="20"/>
        <v>4325</v>
      </c>
      <c r="F42" s="37">
        <f t="shared" si="21"/>
        <v>4326</v>
      </c>
      <c r="G42" s="37">
        <f t="shared" si="22"/>
        <v>4327</v>
      </c>
      <c r="H42" s="37">
        <f t="shared" si="23"/>
        <v>4328</v>
      </c>
      <c r="I42" s="37">
        <f t="shared" si="24"/>
        <v>4329</v>
      </c>
      <c r="J42" s="38">
        <f t="shared" si="25"/>
        <v>4330</v>
      </c>
      <c r="K42" s="36">
        <f t="shared" si="26"/>
        <v>4331</v>
      </c>
      <c r="L42" s="37">
        <f t="shared" si="27"/>
        <v>4332</v>
      </c>
      <c r="M42" s="37">
        <f t="shared" si="28"/>
        <v>4333</v>
      </c>
      <c r="N42" s="37">
        <f t="shared" si="29"/>
        <v>4334</v>
      </c>
      <c r="O42" s="37">
        <f t="shared" si="30"/>
        <v>4335</v>
      </c>
      <c r="P42" s="37">
        <f t="shared" si="31"/>
        <v>4336</v>
      </c>
      <c r="Q42" s="37">
        <f t="shared" si="32"/>
        <v>4337</v>
      </c>
      <c r="R42" s="37">
        <f t="shared" si="33"/>
        <v>4338</v>
      </c>
      <c r="S42" s="37">
        <f t="shared" si="34"/>
        <v>4339</v>
      </c>
      <c r="T42" s="38">
        <f t="shared" si="35"/>
        <v>4340</v>
      </c>
      <c r="U42" s="36">
        <f t="shared" si="36"/>
        <v>4341</v>
      </c>
      <c r="V42" s="37">
        <f t="shared" si="37"/>
        <v>4342</v>
      </c>
      <c r="W42" s="37">
        <f t="shared" si="38"/>
        <v>4343</v>
      </c>
      <c r="X42" s="37">
        <f t="shared" si="39"/>
        <v>4344</v>
      </c>
      <c r="Y42" s="37">
        <f t="shared" si="40"/>
        <v>4345</v>
      </c>
      <c r="Z42" s="37">
        <f t="shared" si="41"/>
        <v>4346</v>
      </c>
      <c r="AA42" s="37">
        <f t="shared" si="42"/>
        <v>4347</v>
      </c>
      <c r="AB42" s="37">
        <f t="shared" si="43"/>
        <v>4348</v>
      </c>
      <c r="AC42" s="37">
        <f t="shared" si="44"/>
        <v>4349</v>
      </c>
      <c r="AD42" s="38">
        <f t="shared" si="45"/>
        <v>4350</v>
      </c>
      <c r="AE42" s="36">
        <f t="shared" si="46"/>
        <v>4351</v>
      </c>
      <c r="AF42" s="37">
        <f t="shared" si="47"/>
        <v>4352</v>
      </c>
      <c r="AG42" s="37">
        <f t="shared" si="48"/>
        <v>4353</v>
      </c>
      <c r="AH42" s="37">
        <f t="shared" si="49"/>
        <v>4354</v>
      </c>
      <c r="AI42" s="37">
        <f t="shared" si="50"/>
        <v>4355</v>
      </c>
      <c r="AJ42" s="37">
        <f t="shared" si="51"/>
        <v>4356</v>
      </c>
      <c r="AK42" s="37">
        <f t="shared" si="52"/>
        <v>4357</v>
      </c>
      <c r="AL42" s="37">
        <f t="shared" si="53"/>
        <v>4358</v>
      </c>
      <c r="AM42" s="37">
        <f t="shared" si="54"/>
        <v>4359</v>
      </c>
      <c r="AN42" s="38">
        <f t="shared" si="55"/>
        <v>4360</v>
      </c>
      <c r="AO42" s="36">
        <f t="shared" si="56"/>
        <v>4361</v>
      </c>
      <c r="AP42" s="37">
        <f t="shared" si="57"/>
        <v>4362</v>
      </c>
      <c r="AQ42" s="37">
        <f t="shared" si="58"/>
        <v>4363</v>
      </c>
      <c r="AR42" s="37">
        <f t="shared" si="59"/>
        <v>4364</v>
      </c>
      <c r="AS42" s="37">
        <f t="shared" si="60"/>
        <v>4365</v>
      </c>
      <c r="AT42" s="37">
        <f t="shared" si="61"/>
        <v>4366</v>
      </c>
      <c r="AU42" s="37">
        <f t="shared" si="62"/>
        <v>4367</v>
      </c>
      <c r="AV42" s="37">
        <f t="shared" si="63"/>
        <v>4368</v>
      </c>
      <c r="AW42" s="37">
        <f t="shared" si="64"/>
        <v>4369</v>
      </c>
      <c r="AX42" s="38">
        <f t="shared" si="65"/>
        <v>4370</v>
      </c>
      <c r="AY42" s="36">
        <f t="shared" si="66"/>
        <v>4371</v>
      </c>
      <c r="AZ42" s="37">
        <f t="shared" si="67"/>
        <v>4372</v>
      </c>
      <c r="BA42" s="37">
        <f t="shared" si="68"/>
        <v>4373</v>
      </c>
      <c r="BB42" s="37">
        <f t="shared" si="69"/>
        <v>4374</v>
      </c>
      <c r="BC42" s="37">
        <f t="shared" si="70"/>
        <v>4375</v>
      </c>
      <c r="BD42" s="37">
        <f t="shared" si="71"/>
        <v>4376</v>
      </c>
      <c r="BE42" s="37">
        <f t="shared" si="72"/>
        <v>4377</v>
      </c>
      <c r="BF42" s="37">
        <f t="shared" si="73"/>
        <v>4378</v>
      </c>
      <c r="BG42" s="37">
        <f t="shared" si="74"/>
        <v>4379</v>
      </c>
      <c r="BH42" s="38">
        <f t="shared" si="75"/>
        <v>4380</v>
      </c>
      <c r="BI42" s="36">
        <f t="shared" si="76"/>
        <v>4381</v>
      </c>
      <c r="BJ42" s="37">
        <f t="shared" si="77"/>
        <v>4382</v>
      </c>
      <c r="BK42" s="37">
        <f t="shared" si="78"/>
        <v>4383</v>
      </c>
      <c r="BL42" s="37">
        <f t="shared" si="79"/>
        <v>4384</v>
      </c>
      <c r="BM42" s="37">
        <f t="shared" si="80"/>
        <v>4385</v>
      </c>
      <c r="BN42" s="37">
        <f t="shared" si="81"/>
        <v>4386</v>
      </c>
      <c r="BO42" s="37">
        <f t="shared" si="82"/>
        <v>4387</v>
      </c>
      <c r="BP42" s="37">
        <f t="shared" si="83"/>
        <v>4388</v>
      </c>
      <c r="BQ42" s="37">
        <f t="shared" si="84"/>
        <v>4389</v>
      </c>
      <c r="BR42" s="39">
        <f t="shared" si="85"/>
        <v>4390</v>
      </c>
      <c r="BS42" s="36">
        <f t="shared" si="86"/>
        <v>4391</v>
      </c>
      <c r="BT42" s="37">
        <f t="shared" si="87"/>
        <v>4392</v>
      </c>
      <c r="BU42" s="37">
        <f t="shared" si="88"/>
        <v>4393</v>
      </c>
      <c r="BV42" s="37">
        <f t="shared" si="89"/>
        <v>4394</v>
      </c>
      <c r="BW42" s="37">
        <f t="shared" si="90"/>
        <v>4395</v>
      </c>
      <c r="BX42" s="37">
        <f t="shared" si="91"/>
        <v>4396</v>
      </c>
      <c r="BY42" s="37">
        <f t="shared" si="92"/>
        <v>4397</v>
      </c>
      <c r="BZ42" s="37">
        <f t="shared" si="93"/>
        <v>4398</v>
      </c>
      <c r="CA42" s="37">
        <f t="shared" si="94"/>
        <v>4399</v>
      </c>
      <c r="CB42" s="38">
        <f t="shared" si="95"/>
        <v>4400</v>
      </c>
      <c r="CC42" s="40">
        <f t="shared" si="96"/>
        <v>4401</v>
      </c>
      <c r="CD42" s="37">
        <f t="shared" si="97"/>
        <v>4402</v>
      </c>
      <c r="CE42" s="37">
        <f t="shared" si="98"/>
        <v>4403</v>
      </c>
      <c r="CF42" s="37">
        <f t="shared" si="99"/>
        <v>4404</v>
      </c>
      <c r="CG42" s="37">
        <f t="shared" si="100"/>
        <v>4405</v>
      </c>
      <c r="CH42" s="37">
        <f t="shared" si="101"/>
        <v>4406</v>
      </c>
      <c r="CI42" s="37">
        <f t="shared" si="102"/>
        <v>4407</v>
      </c>
      <c r="CJ42" s="37">
        <f t="shared" si="103"/>
        <v>4408</v>
      </c>
      <c r="CK42" s="37">
        <f t="shared" si="104"/>
        <v>4409</v>
      </c>
      <c r="CL42" s="39">
        <f t="shared" si="105"/>
        <v>4410</v>
      </c>
      <c r="CM42" s="36">
        <f t="shared" si="106"/>
        <v>4411</v>
      </c>
      <c r="CN42" s="37">
        <f t="shared" si="107"/>
        <v>4412</v>
      </c>
      <c r="CO42" s="37">
        <f t="shared" si="108"/>
        <v>4413</v>
      </c>
      <c r="CP42" s="37">
        <f t="shared" si="109"/>
        <v>4414</v>
      </c>
      <c r="CQ42" s="37">
        <f t="shared" si="110"/>
        <v>4415</v>
      </c>
      <c r="CR42" s="37">
        <f t="shared" si="111"/>
        <v>4416</v>
      </c>
      <c r="CS42" s="37">
        <f t="shared" si="112"/>
        <v>4417</v>
      </c>
      <c r="CT42" s="37">
        <f t="shared" si="113"/>
        <v>4418</v>
      </c>
      <c r="CU42" s="37">
        <f t="shared" si="114"/>
        <v>4419</v>
      </c>
      <c r="CV42" s="38">
        <f t="shared" si="115"/>
        <v>4420</v>
      </c>
      <c r="CW42" s="40">
        <f t="shared" si="116"/>
        <v>4421</v>
      </c>
      <c r="CX42" s="37">
        <f t="shared" si="117"/>
        <v>4422</v>
      </c>
      <c r="CY42" s="37">
        <f t="shared" si="118"/>
        <v>4423</v>
      </c>
      <c r="CZ42" s="37">
        <f t="shared" si="119"/>
        <v>4424</v>
      </c>
      <c r="DA42" s="37">
        <f t="shared" si="120"/>
        <v>4425</v>
      </c>
      <c r="DB42" s="37">
        <f t="shared" si="121"/>
        <v>4426</v>
      </c>
      <c r="DC42" s="37">
        <f t="shared" si="122"/>
        <v>4427</v>
      </c>
      <c r="DD42" s="37">
        <f t="shared" si="123"/>
        <v>4428</v>
      </c>
      <c r="DE42" s="37">
        <f t="shared" si="124"/>
        <v>4429</v>
      </c>
      <c r="DF42" s="39">
        <f t="shared" si="125"/>
        <v>4430</v>
      </c>
      <c r="DG42" s="36">
        <f t="shared" si="126"/>
        <v>4431</v>
      </c>
      <c r="DH42" s="37">
        <f t="shared" si="127"/>
        <v>4432</v>
      </c>
      <c r="DI42" s="37">
        <f t="shared" si="128"/>
        <v>4433</v>
      </c>
      <c r="DJ42" s="37">
        <f t="shared" si="129"/>
        <v>4434</v>
      </c>
      <c r="DK42" s="37">
        <f t="shared" si="130"/>
        <v>4435</v>
      </c>
      <c r="DL42" s="37">
        <f t="shared" si="131"/>
        <v>4436</v>
      </c>
      <c r="DM42" s="37">
        <f t="shared" si="132"/>
        <v>4437</v>
      </c>
      <c r="DN42" s="37">
        <f t="shared" si="133"/>
        <v>4438</v>
      </c>
      <c r="DO42" s="37">
        <f t="shared" si="134"/>
        <v>4439</v>
      </c>
      <c r="DP42" s="38">
        <f t="shared" si="135"/>
        <v>4440</v>
      </c>
      <c r="DR42" s="1214">
        <v>20</v>
      </c>
      <c r="DS42" s="1215"/>
      <c r="DT42" s="1215"/>
      <c r="DU42" s="1216"/>
    </row>
    <row r="43" spans="1:125" ht="5.85" customHeight="1" x14ac:dyDescent="0.3">
      <c r="A43" s="36">
        <f t="shared" si="136"/>
        <v>4441</v>
      </c>
      <c r="B43" s="37">
        <f t="shared" si="17"/>
        <v>4442</v>
      </c>
      <c r="C43" s="37">
        <f t="shared" si="18"/>
        <v>4443</v>
      </c>
      <c r="D43" s="37">
        <f t="shared" si="19"/>
        <v>4444</v>
      </c>
      <c r="E43" s="37">
        <f t="shared" si="20"/>
        <v>4445</v>
      </c>
      <c r="F43" s="37">
        <f t="shared" si="21"/>
        <v>4446</v>
      </c>
      <c r="G43" s="37">
        <f t="shared" si="22"/>
        <v>4447</v>
      </c>
      <c r="H43" s="37">
        <f t="shared" si="23"/>
        <v>4448</v>
      </c>
      <c r="I43" s="37">
        <f t="shared" si="24"/>
        <v>4449</v>
      </c>
      <c r="J43" s="38">
        <f t="shared" si="25"/>
        <v>4450</v>
      </c>
      <c r="K43" s="36">
        <f t="shared" si="26"/>
        <v>4451</v>
      </c>
      <c r="L43" s="37">
        <f t="shared" si="27"/>
        <v>4452</v>
      </c>
      <c r="M43" s="37">
        <f t="shared" si="28"/>
        <v>4453</v>
      </c>
      <c r="N43" s="37">
        <f t="shared" si="29"/>
        <v>4454</v>
      </c>
      <c r="O43" s="37">
        <f t="shared" si="30"/>
        <v>4455</v>
      </c>
      <c r="P43" s="37">
        <f t="shared" si="31"/>
        <v>4456</v>
      </c>
      <c r="Q43" s="37">
        <f t="shared" si="32"/>
        <v>4457</v>
      </c>
      <c r="R43" s="37">
        <f t="shared" si="33"/>
        <v>4458</v>
      </c>
      <c r="S43" s="37">
        <f t="shared" si="34"/>
        <v>4459</v>
      </c>
      <c r="T43" s="38">
        <f t="shared" si="35"/>
        <v>4460</v>
      </c>
      <c r="U43" s="36">
        <f t="shared" si="36"/>
        <v>4461</v>
      </c>
      <c r="V43" s="37">
        <f t="shared" si="37"/>
        <v>4462</v>
      </c>
      <c r="W43" s="37">
        <f t="shared" si="38"/>
        <v>4463</v>
      </c>
      <c r="X43" s="37">
        <f t="shared" si="39"/>
        <v>4464</v>
      </c>
      <c r="Y43" s="37">
        <f t="shared" si="40"/>
        <v>4465</v>
      </c>
      <c r="Z43" s="37">
        <f t="shared" si="41"/>
        <v>4466</v>
      </c>
      <c r="AA43" s="37">
        <f t="shared" si="42"/>
        <v>4467</v>
      </c>
      <c r="AB43" s="37">
        <f t="shared" si="43"/>
        <v>4468</v>
      </c>
      <c r="AC43" s="37">
        <f t="shared" si="44"/>
        <v>4469</v>
      </c>
      <c r="AD43" s="38">
        <f t="shared" si="45"/>
        <v>4470</v>
      </c>
      <c r="AE43" s="36">
        <f t="shared" si="46"/>
        <v>4471</v>
      </c>
      <c r="AF43" s="37">
        <f t="shared" si="47"/>
        <v>4472</v>
      </c>
      <c r="AG43" s="37">
        <f t="shared" si="48"/>
        <v>4473</v>
      </c>
      <c r="AH43" s="37">
        <f t="shared" si="49"/>
        <v>4474</v>
      </c>
      <c r="AI43" s="37">
        <f t="shared" si="50"/>
        <v>4475</v>
      </c>
      <c r="AJ43" s="37">
        <f t="shared" si="51"/>
        <v>4476</v>
      </c>
      <c r="AK43" s="37">
        <f t="shared" si="52"/>
        <v>4477</v>
      </c>
      <c r="AL43" s="37">
        <f t="shared" si="53"/>
        <v>4478</v>
      </c>
      <c r="AM43" s="37">
        <f t="shared" si="54"/>
        <v>4479</v>
      </c>
      <c r="AN43" s="38">
        <f t="shared" si="55"/>
        <v>4480</v>
      </c>
      <c r="AO43" s="36">
        <f t="shared" si="56"/>
        <v>4481</v>
      </c>
      <c r="AP43" s="37">
        <f t="shared" si="57"/>
        <v>4482</v>
      </c>
      <c r="AQ43" s="37">
        <f t="shared" si="58"/>
        <v>4483</v>
      </c>
      <c r="AR43" s="37">
        <f t="shared" si="59"/>
        <v>4484</v>
      </c>
      <c r="AS43" s="37">
        <f t="shared" si="60"/>
        <v>4485</v>
      </c>
      <c r="AT43" s="37">
        <f t="shared" si="61"/>
        <v>4486</v>
      </c>
      <c r="AU43" s="37">
        <f t="shared" si="62"/>
        <v>4487</v>
      </c>
      <c r="AV43" s="37">
        <f t="shared" si="63"/>
        <v>4488</v>
      </c>
      <c r="AW43" s="37">
        <f t="shared" si="64"/>
        <v>4489</v>
      </c>
      <c r="AX43" s="38">
        <f t="shared" si="65"/>
        <v>4490</v>
      </c>
      <c r="AY43" s="36">
        <f t="shared" si="66"/>
        <v>4491</v>
      </c>
      <c r="AZ43" s="37">
        <f t="shared" si="67"/>
        <v>4492</v>
      </c>
      <c r="BA43" s="37">
        <f t="shared" si="68"/>
        <v>4493</v>
      </c>
      <c r="BB43" s="37">
        <f t="shared" si="69"/>
        <v>4494</v>
      </c>
      <c r="BC43" s="37">
        <f t="shared" si="70"/>
        <v>4495</v>
      </c>
      <c r="BD43" s="37">
        <f t="shared" si="71"/>
        <v>4496</v>
      </c>
      <c r="BE43" s="37">
        <f t="shared" si="72"/>
        <v>4497</v>
      </c>
      <c r="BF43" s="37">
        <f t="shared" si="73"/>
        <v>4498</v>
      </c>
      <c r="BG43" s="37">
        <f t="shared" si="74"/>
        <v>4499</v>
      </c>
      <c r="BH43" s="38">
        <f t="shared" si="75"/>
        <v>4500</v>
      </c>
      <c r="BI43" s="36">
        <f t="shared" si="76"/>
        <v>4501</v>
      </c>
      <c r="BJ43" s="37">
        <f t="shared" si="77"/>
        <v>4502</v>
      </c>
      <c r="BK43" s="37">
        <f t="shared" si="78"/>
        <v>4503</v>
      </c>
      <c r="BL43" s="37">
        <f t="shared" si="79"/>
        <v>4504</v>
      </c>
      <c r="BM43" s="37">
        <f t="shared" si="80"/>
        <v>4505</v>
      </c>
      <c r="BN43" s="37">
        <f t="shared" si="81"/>
        <v>4506</v>
      </c>
      <c r="BO43" s="37">
        <f t="shared" si="82"/>
        <v>4507</v>
      </c>
      <c r="BP43" s="37">
        <f t="shared" si="83"/>
        <v>4508</v>
      </c>
      <c r="BQ43" s="37">
        <f t="shared" si="84"/>
        <v>4509</v>
      </c>
      <c r="BR43" s="39">
        <f t="shared" si="85"/>
        <v>4510</v>
      </c>
      <c r="BS43" s="36">
        <f t="shared" si="86"/>
        <v>4511</v>
      </c>
      <c r="BT43" s="37">
        <f t="shared" si="87"/>
        <v>4512</v>
      </c>
      <c r="BU43" s="37">
        <f t="shared" si="88"/>
        <v>4513</v>
      </c>
      <c r="BV43" s="37">
        <f t="shared" si="89"/>
        <v>4514</v>
      </c>
      <c r="BW43" s="37">
        <f t="shared" si="90"/>
        <v>4515</v>
      </c>
      <c r="BX43" s="37">
        <f t="shared" si="91"/>
        <v>4516</v>
      </c>
      <c r="BY43" s="37">
        <f t="shared" si="92"/>
        <v>4517</v>
      </c>
      <c r="BZ43" s="37">
        <f t="shared" si="93"/>
        <v>4518</v>
      </c>
      <c r="CA43" s="37">
        <f t="shared" si="94"/>
        <v>4519</v>
      </c>
      <c r="CB43" s="38">
        <f t="shared" si="95"/>
        <v>4520</v>
      </c>
      <c r="CC43" s="40">
        <f t="shared" si="96"/>
        <v>4521</v>
      </c>
      <c r="CD43" s="37">
        <f t="shared" si="97"/>
        <v>4522</v>
      </c>
      <c r="CE43" s="37">
        <f t="shared" si="98"/>
        <v>4523</v>
      </c>
      <c r="CF43" s="37">
        <f t="shared" si="99"/>
        <v>4524</v>
      </c>
      <c r="CG43" s="37">
        <f t="shared" si="100"/>
        <v>4525</v>
      </c>
      <c r="CH43" s="37">
        <f t="shared" si="101"/>
        <v>4526</v>
      </c>
      <c r="CI43" s="37">
        <f t="shared" si="102"/>
        <v>4527</v>
      </c>
      <c r="CJ43" s="37">
        <f t="shared" si="103"/>
        <v>4528</v>
      </c>
      <c r="CK43" s="37">
        <f t="shared" si="104"/>
        <v>4529</v>
      </c>
      <c r="CL43" s="39">
        <f t="shared" si="105"/>
        <v>4530</v>
      </c>
      <c r="CM43" s="36">
        <f t="shared" si="106"/>
        <v>4531</v>
      </c>
      <c r="CN43" s="37">
        <f t="shared" si="107"/>
        <v>4532</v>
      </c>
      <c r="CO43" s="37">
        <f t="shared" si="108"/>
        <v>4533</v>
      </c>
      <c r="CP43" s="37">
        <f t="shared" si="109"/>
        <v>4534</v>
      </c>
      <c r="CQ43" s="37">
        <f t="shared" si="110"/>
        <v>4535</v>
      </c>
      <c r="CR43" s="37">
        <f t="shared" si="111"/>
        <v>4536</v>
      </c>
      <c r="CS43" s="37">
        <f t="shared" si="112"/>
        <v>4537</v>
      </c>
      <c r="CT43" s="37">
        <f t="shared" si="113"/>
        <v>4538</v>
      </c>
      <c r="CU43" s="37">
        <f t="shared" si="114"/>
        <v>4539</v>
      </c>
      <c r="CV43" s="38">
        <f t="shared" si="115"/>
        <v>4540</v>
      </c>
      <c r="CW43" s="40">
        <f t="shared" si="116"/>
        <v>4541</v>
      </c>
      <c r="CX43" s="37">
        <f t="shared" si="117"/>
        <v>4542</v>
      </c>
      <c r="CY43" s="37">
        <f t="shared" si="118"/>
        <v>4543</v>
      </c>
      <c r="CZ43" s="37">
        <f t="shared" si="119"/>
        <v>4544</v>
      </c>
      <c r="DA43" s="37">
        <f t="shared" si="120"/>
        <v>4545</v>
      </c>
      <c r="DB43" s="37">
        <f t="shared" si="121"/>
        <v>4546</v>
      </c>
      <c r="DC43" s="37">
        <f t="shared" si="122"/>
        <v>4547</v>
      </c>
      <c r="DD43" s="37">
        <f t="shared" si="123"/>
        <v>4548</v>
      </c>
      <c r="DE43" s="37">
        <f t="shared" si="124"/>
        <v>4549</v>
      </c>
      <c r="DF43" s="39">
        <f t="shared" si="125"/>
        <v>4550</v>
      </c>
      <c r="DG43" s="36">
        <f t="shared" si="126"/>
        <v>4551</v>
      </c>
      <c r="DH43" s="37">
        <f t="shared" si="127"/>
        <v>4552</v>
      </c>
      <c r="DI43" s="37">
        <f t="shared" si="128"/>
        <v>4553</v>
      </c>
      <c r="DJ43" s="37">
        <f t="shared" si="129"/>
        <v>4554</v>
      </c>
      <c r="DK43" s="37">
        <f t="shared" si="130"/>
        <v>4555</v>
      </c>
      <c r="DL43" s="37">
        <f t="shared" si="131"/>
        <v>4556</v>
      </c>
      <c r="DM43" s="37">
        <f t="shared" si="132"/>
        <v>4557</v>
      </c>
      <c r="DN43" s="37">
        <f t="shared" si="133"/>
        <v>4558</v>
      </c>
      <c r="DO43" s="37">
        <f t="shared" si="134"/>
        <v>4559</v>
      </c>
      <c r="DP43" s="38">
        <f t="shared" si="135"/>
        <v>4560</v>
      </c>
      <c r="DR43" s="1214"/>
      <c r="DS43" s="1215"/>
      <c r="DT43" s="1215"/>
      <c r="DU43" s="1216"/>
    </row>
    <row r="44" spans="1:125" ht="5.85" customHeight="1" x14ac:dyDescent="0.3">
      <c r="A44" s="36">
        <f t="shared" si="136"/>
        <v>4561</v>
      </c>
      <c r="B44" s="37">
        <f t="shared" si="17"/>
        <v>4562</v>
      </c>
      <c r="C44" s="37">
        <f t="shared" si="18"/>
        <v>4563</v>
      </c>
      <c r="D44" s="37">
        <f t="shared" si="19"/>
        <v>4564</v>
      </c>
      <c r="E44" s="37">
        <f t="shared" si="20"/>
        <v>4565</v>
      </c>
      <c r="F44" s="37">
        <f t="shared" si="21"/>
        <v>4566</v>
      </c>
      <c r="G44" s="37">
        <f t="shared" si="22"/>
        <v>4567</v>
      </c>
      <c r="H44" s="37">
        <f t="shared" si="23"/>
        <v>4568</v>
      </c>
      <c r="I44" s="37">
        <f t="shared" si="24"/>
        <v>4569</v>
      </c>
      <c r="J44" s="38">
        <f t="shared" si="25"/>
        <v>4570</v>
      </c>
      <c r="K44" s="36">
        <f t="shared" si="26"/>
        <v>4571</v>
      </c>
      <c r="L44" s="37">
        <f t="shared" si="27"/>
        <v>4572</v>
      </c>
      <c r="M44" s="37">
        <f t="shared" si="28"/>
        <v>4573</v>
      </c>
      <c r="N44" s="37">
        <f t="shared" si="29"/>
        <v>4574</v>
      </c>
      <c r="O44" s="37">
        <f t="shared" si="30"/>
        <v>4575</v>
      </c>
      <c r="P44" s="37">
        <f t="shared" si="31"/>
        <v>4576</v>
      </c>
      <c r="Q44" s="37">
        <f t="shared" si="32"/>
        <v>4577</v>
      </c>
      <c r="R44" s="37">
        <f t="shared" si="33"/>
        <v>4578</v>
      </c>
      <c r="S44" s="37">
        <f t="shared" si="34"/>
        <v>4579</v>
      </c>
      <c r="T44" s="38">
        <f t="shared" si="35"/>
        <v>4580</v>
      </c>
      <c r="U44" s="36">
        <f t="shared" si="36"/>
        <v>4581</v>
      </c>
      <c r="V44" s="37">
        <f t="shared" si="37"/>
        <v>4582</v>
      </c>
      <c r="W44" s="37">
        <f t="shared" si="38"/>
        <v>4583</v>
      </c>
      <c r="X44" s="37">
        <f t="shared" si="39"/>
        <v>4584</v>
      </c>
      <c r="Y44" s="37">
        <f t="shared" si="40"/>
        <v>4585</v>
      </c>
      <c r="Z44" s="37">
        <f t="shared" si="41"/>
        <v>4586</v>
      </c>
      <c r="AA44" s="37">
        <f t="shared" si="42"/>
        <v>4587</v>
      </c>
      <c r="AB44" s="37">
        <f t="shared" si="43"/>
        <v>4588</v>
      </c>
      <c r="AC44" s="37">
        <f t="shared" si="44"/>
        <v>4589</v>
      </c>
      <c r="AD44" s="38">
        <f t="shared" si="45"/>
        <v>4590</v>
      </c>
      <c r="AE44" s="36">
        <f t="shared" si="46"/>
        <v>4591</v>
      </c>
      <c r="AF44" s="37">
        <f t="shared" si="47"/>
        <v>4592</v>
      </c>
      <c r="AG44" s="37">
        <f t="shared" si="48"/>
        <v>4593</v>
      </c>
      <c r="AH44" s="37">
        <f t="shared" si="49"/>
        <v>4594</v>
      </c>
      <c r="AI44" s="37">
        <f t="shared" si="50"/>
        <v>4595</v>
      </c>
      <c r="AJ44" s="37">
        <f t="shared" si="51"/>
        <v>4596</v>
      </c>
      <c r="AK44" s="37">
        <f t="shared" si="52"/>
        <v>4597</v>
      </c>
      <c r="AL44" s="37">
        <f t="shared" si="53"/>
        <v>4598</v>
      </c>
      <c r="AM44" s="37">
        <f t="shared" si="54"/>
        <v>4599</v>
      </c>
      <c r="AN44" s="38">
        <f t="shared" si="55"/>
        <v>4600</v>
      </c>
      <c r="AO44" s="36">
        <f t="shared" si="56"/>
        <v>4601</v>
      </c>
      <c r="AP44" s="37">
        <f t="shared" si="57"/>
        <v>4602</v>
      </c>
      <c r="AQ44" s="37">
        <f t="shared" si="58"/>
        <v>4603</v>
      </c>
      <c r="AR44" s="37">
        <f t="shared" si="59"/>
        <v>4604</v>
      </c>
      <c r="AS44" s="37">
        <f t="shared" si="60"/>
        <v>4605</v>
      </c>
      <c r="AT44" s="37">
        <f t="shared" si="61"/>
        <v>4606</v>
      </c>
      <c r="AU44" s="37">
        <f t="shared" si="62"/>
        <v>4607</v>
      </c>
      <c r="AV44" s="37">
        <f t="shared" si="63"/>
        <v>4608</v>
      </c>
      <c r="AW44" s="37">
        <f t="shared" si="64"/>
        <v>4609</v>
      </c>
      <c r="AX44" s="38">
        <f t="shared" si="65"/>
        <v>4610</v>
      </c>
      <c r="AY44" s="36">
        <f t="shared" si="66"/>
        <v>4611</v>
      </c>
      <c r="AZ44" s="37">
        <f t="shared" si="67"/>
        <v>4612</v>
      </c>
      <c r="BA44" s="37">
        <f t="shared" si="68"/>
        <v>4613</v>
      </c>
      <c r="BB44" s="37">
        <f t="shared" si="69"/>
        <v>4614</v>
      </c>
      <c r="BC44" s="37">
        <f t="shared" si="70"/>
        <v>4615</v>
      </c>
      <c r="BD44" s="37">
        <f t="shared" si="71"/>
        <v>4616</v>
      </c>
      <c r="BE44" s="37">
        <f t="shared" si="72"/>
        <v>4617</v>
      </c>
      <c r="BF44" s="37">
        <f t="shared" si="73"/>
        <v>4618</v>
      </c>
      <c r="BG44" s="37">
        <f t="shared" si="74"/>
        <v>4619</v>
      </c>
      <c r="BH44" s="38">
        <f t="shared" si="75"/>
        <v>4620</v>
      </c>
      <c r="BI44" s="36">
        <f t="shared" si="76"/>
        <v>4621</v>
      </c>
      <c r="BJ44" s="37">
        <f t="shared" si="77"/>
        <v>4622</v>
      </c>
      <c r="BK44" s="37">
        <f t="shared" si="78"/>
        <v>4623</v>
      </c>
      <c r="BL44" s="37">
        <f t="shared" si="79"/>
        <v>4624</v>
      </c>
      <c r="BM44" s="37">
        <f t="shared" si="80"/>
        <v>4625</v>
      </c>
      <c r="BN44" s="37">
        <f t="shared" si="81"/>
        <v>4626</v>
      </c>
      <c r="BO44" s="37">
        <f t="shared" si="82"/>
        <v>4627</v>
      </c>
      <c r="BP44" s="37">
        <f t="shared" si="83"/>
        <v>4628</v>
      </c>
      <c r="BQ44" s="37">
        <f t="shared" si="84"/>
        <v>4629</v>
      </c>
      <c r="BR44" s="39">
        <f t="shared" si="85"/>
        <v>4630</v>
      </c>
      <c r="BS44" s="36">
        <f t="shared" si="86"/>
        <v>4631</v>
      </c>
      <c r="BT44" s="37">
        <f t="shared" si="87"/>
        <v>4632</v>
      </c>
      <c r="BU44" s="37">
        <f t="shared" si="88"/>
        <v>4633</v>
      </c>
      <c r="BV44" s="37">
        <f t="shared" si="89"/>
        <v>4634</v>
      </c>
      <c r="BW44" s="37">
        <f t="shared" si="90"/>
        <v>4635</v>
      </c>
      <c r="BX44" s="37">
        <f t="shared" si="91"/>
        <v>4636</v>
      </c>
      <c r="BY44" s="37">
        <f t="shared" si="92"/>
        <v>4637</v>
      </c>
      <c r="BZ44" s="37">
        <f t="shared" si="93"/>
        <v>4638</v>
      </c>
      <c r="CA44" s="37">
        <f t="shared" si="94"/>
        <v>4639</v>
      </c>
      <c r="CB44" s="38">
        <f t="shared" si="95"/>
        <v>4640</v>
      </c>
      <c r="CC44" s="40">
        <f t="shared" si="96"/>
        <v>4641</v>
      </c>
      <c r="CD44" s="37">
        <f t="shared" si="97"/>
        <v>4642</v>
      </c>
      <c r="CE44" s="37">
        <f t="shared" si="98"/>
        <v>4643</v>
      </c>
      <c r="CF44" s="37">
        <f t="shared" si="99"/>
        <v>4644</v>
      </c>
      <c r="CG44" s="37">
        <f t="shared" si="100"/>
        <v>4645</v>
      </c>
      <c r="CH44" s="37">
        <f t="shared" si="101"/>
        <v>4646</v>
      </c>
      <c r="CI44" s="37">
        <f t="shared" si="102"/>
        <v>4647</v>
      </c>
      <c r="CJ44" s="37">
        <f t="shared" si="103"/>
        <v>4648</v>
      </c>
      <c r="CK44" s="37">
        <f t="shared" si="104"/>
        <v>4649</v>
      </c>
      <c r="CL44" s="39">
        <f t="shared" si="105"/>
        <v>4650</v>
      </c>
      <c r="CM44" s="36">
        <f t="shared" si="106"/>
        <v>4651</v>
      </c>
      <c r="CN44" s="37">
        <f t="shared" si="107"/>
        <v>4652</v>
      </c>
      <c r="CO44" s="37">
        <f t="shared" si="108"/>
        <v>4653</v>
      </c>
      <c r="CP44" s="37">
        <f t="shared" si="109"/>
        <v>4654</v>
      </c>
      <c r="CQ44" s="37">
        <f t="shared" si="110"/>
        <v>4655</v>
      </c>
      <c r="CR44" s="37">
        <f t="shared" si="111"/>
        <v>4656</v>
      </c>
      <c r="CS44" s="37">
        <f t="shared" si="112"/>
        <v>4657</v>
      </c>
      <c r="CT44" s="37">
        <f t="shared" si="113"/>
        <v>4658</v>
      </c>
      <c r="CU44" s="37">
        <f t="shared" si="114"/>
        <v>4659</v>
      </c>
      <c r="CV44" s="38">
        <f t="shared" si="115"/>
        <v>4660</v>
      </c>
      <c r="CW44" s="40">
        <f t="shared" si="116"/>
        <v>4661</v>
      </c>
      <c r="CX44" s="37">
        <f t="shared" si="117"/>
        <v>4662</v>
      </c>
      <c r="CY44" s="37">
        <f t="shared" si="118"/>
        <v>4663</v>
      </c>
      <c r="CZ44" s="37">
        <f t="shared" si="119"/>
        <v>4664</v>
      </c>
      <c r="DA44" s="37">
        <f t="shared" si="120"/>
        <v>4665</v>
      </c>
      <c r="DB44" s="37">
        <f t="shared" si="121"/>
        <v>4666</v>
      </c>
      <c r="DC44" s="37">
        <f t="shared" si="122"/>
        <v>4667</v>
      </c>
      <c r="DD44" s="37">
        <f t="shared" si="123"/>
        <v>4668</v>
      </c>
      <c r="DE44" s="37">
        <f t="shared" si="124"/>
        <v>4669</v>
      </c>
      <c r="DF44" s="39">
        <f t="shared" si="125"/>
        <v>4670</v>
      </c>
      <c r="DG44" s="36">
        <f t="shared" si="126"/>
        <v>4671</v>
      </c>
      <c r="DH44" s="37">
        <f t="shared" si="127"/>
        <v>4672</v>
      </c>
      <c r="DI44" s="37">
        <f t="shared" si="128"/>
        <v>4673</v>
      </c>
      <c r="DJ44" s="37">
        <f t="shared" si="129"/>
        <v>4674</v>
      </c>
      <c r="DK44" s="37">
        <f t="shared" si="130"/>
        <v>4675</v>
      </c>
      <c r="DL44" s="37">
        <f t="shared" si="131"/>
        <v>4676</v>
      </c>
      <c r="DM44" s="37">
        <f t="shared" si="132"/>
        <v>4677</v>
      </c>
      <c r="DN44" s="37">
        <f t="shared" si="133"/>
        <v>4678</v>
      </c>
      <c r="DO44" s="37">
        <f t="shared" si="134"/>
        <v>4679</v>
      </c>
      <c r="DP44" s="38">
        <f t="shared" si="135"/>
        <v>4680</v>
      </c>
      <c r="DR44" s="1214"/>
      <c r="DS44" s="1215"/>
      <c r="DT44" s="1215"/>
      <c r="DU44" s="1216"/>
    </row>
    <row r="45" spans="1:125" ht="5.85" customHeight="1" x14ac:dyDescent="0.3">
      <c r="A45" s="36">
        <f t="shared" si="136"/>
        <v>4681</v>
      </c>
      <c r="B45" s="37">
        <f t="shared" si="17"/>
        <v>4682</v>
      </c>
      <c r="C45" s="37">
        <f t="shared" si="18"/>
        <v>4683</v>
      </c>
      <c r="D45" s="37">
        <f t="shared" si="19"/>
        <v>4684</v>
      </c>
      <c r="E45" s="37">
        <f t="shared" si="20"/>
        <v>4685</v>
      </c>
      <c r="F45" s="37">
        <f t="shared" si="21"/>
        <v>4686</v>
      </c>
      <c r="G45" s="37">
        <f t="shared" si="22"/>
        <v>4687</v>
      </c>
      <c r="H45" s="37">
        <f t="shared" si="23"/>
        <v>4688</v>
      </c>
      <c r="I45" s="37">
        <f t="shared" si="24"/>
        <v>4689</v>
      </c>
      <c r="J45" s="38">
        <f t="shared" si="25"/>
        <v>4690</v>
      </c>
      <c r="K45" s="36">
        <f t="shared" si="26"/>
        <v>4691</v>
      </c>
      <c r="L45" s="37">
        <f t="shared" si="27"/>
        <v>4692</v>
      </c>
      <c r="M45" s="37">
        <f t="shared" si="28"/>
        <v>4693</v>
      </c>
      <c r="N45" s="37">
        <f t="shared" si="29"/>
        <v>4694</v>
      </c>
      <c r="O45" s="37">
        <f t="shared" si="30"/>
        <v>4695</v>
      </c>
      <c r="P45" s="37">
        <f t="shared" si="31"/>
        <v>4696</v>
      </c>
      <c r="Q45" s="37">
        <f t="shared" si="32"/>
        <v>4697</v>
      </c>
      <c r="R45" s="37">
        <f t="shared" si="33"/>
        <v>4698</v>
      </c>
      <c r="S45" s="37">
        <f t="shared" si="34"/>
        <v>4699</v>
      </c>
      <c r="T45" s="38">
        <f t="shared" si="35"/>
        <v>4700</v>
      </c>
      <c r="U45" s="36">
        <f t="shared" si="36"/>
        <v>4701</v>
      </c>
      <c r="V45" s="37">
        <f t="shared" si="37"/>
        <v>4702</v>
      </c>
      <c r="W45" s="37">
        <f t="shared" si="38"/>
        <v>4703</v>
      </c>
      <c r="X45" s="37">
        <f t="shared" si="39"/>
        <v>4704</v>
      </c>
      <c r="Y45" s="37">
        <f t="shared" si="40"/>
        <v>4705</v>
      </c>
      <c r="Z45" s="37">
        <f t="shared" si="41"/>
        <v>4706</v>
      </c>
      <c r="AA45" s="37">
        <f t="shared" si="42"/>
        <v>4707</v>
      </c>
      <c r="AB45" s="37">
        <f t="shared" si="43"/>
        <v>4708</v>
      </c>
      <c r="AC45" s="37">
        <f t="shared" si="44"/>
        <v>4709</v>
      </c>
      <c r="AD45" s="38">
        <f t="shared" si="45"/>
        <v>4710</v>
      </c>
      <c r="AE45" s="36">
        <f t="shared" si="46"/>
        <v>4711</v>
      </c>
      <c r="AF45" s="37">
        <f t="shared" si="47"/>
        <v>4712</v>
      </c>
      <c r="AG45" s="37">
        <f t="shared" si="48"/>
        <v>4713</v>
      </c>
      <c r="AH45" s="37">
        <f t="shared" si="49"/>
        <v>4714</v>
      </c>
      <c r="AI45" s="37">
        <f t="shared" si="50"/>
        <v>4715</v>
      </c>
      <c r="AJ45" s="37">
        <f t="shared" si="51"/>
        <v>4716</v>
      </c>
      <c r="AK45" s="37">
        <f t="shared" si="52"/>
        <v>4717</v>
      </c>
      <c r="AL45" s="37">
        <f t="shared" si="53"/>
        <v>4718</v>
      </c>
      <c r="AM45" s="37">
        <f t="shared" si="54"/>
        <v>4719</v>
      </c>
      <c r="AN45" s="38">
        <f t="shared" si="55"/>
        <v>4720</v>
      </c>
      <c r="AO45" s="36">
        <f t="shared" si="56"/>
        <v>4721</v>
      </c>
      <c r="AP45" s="37">
        <f t="shared" si="57"/>
        <v>4722</v>
      </c>
      <c r="AQ45" s="37">
        <f t="shared" si="58"/>
        <v>4723</v>
      </c>
      <c r="AR45" s="37">
        <f t="shared" si="59"/>
        <v>4724</v>
      </c>
      <c r="AS45" s="37">
        <f t="shared" si="60"/>
        <v>4725</v>
      </c>
      <c r="AT45" s="37">
        <f t="shared" si="61"/>
        <v>4726</v>
      </c>
      <c r="AU45" s="37">
        <f t="shared" si="62"/>
        <v>4727</v>
      </c>
      <c r="AV45" s="37">
        <f t="shared" si="63"/>
        <v>4728</v>
      </c>
      <c r="AW45" s="37">
        <f t="shared" si="64"/>
        <v>4729</v>
      </c>
      <c r="AX45" s="38">
        <f t="shared" si="65"/>
        <v>4730</v>
      </c>
      <c r="AY45" s="36">
        <f t="shared" si="66"/>
        <v>4731</v>
      </c>
      <c r="AZ45" s="37">
        <f t="shared" si="67"/>
        <v>4732</v>
      </c>
      <c r="BA45" s="37">
        <f t="shared" si="68"/>
        <v>4733</v>
      </c>
      <c r="BB45" s="37">
        <f t="shared" si="69"/>
        <v>4734</v>
      </c>
      <c r="BC45" s="37">
        <f t="shared" si="70"/>
        <v>4735</v>
      </c>
      <c r="BD45" s="37">
        <f t="shared" si="71"/>
        <v>4736</v>
      </c>
      <c r="BE45" s="37">
        <f t="shared" si="72"/>
        <v>4737</v>
      </c>
      <c r="BF45" s="37">
        <f t="shared" si="73"/>
        <v>4738</v>
      </c>
      <c r="BG45" s="37">
        <f t="shared" si="74"/>
        <v>4739</v>
      </c>
      <c r="BH45" s="38">
        <f t="shared" si="75"/>
        <v>4740</v>
      </c>
      <c r="BI45" s="36">
        <f t="shared" si="76"/>
        <v>4741</v>
      </c>
      <c r="BJ45" s="37">
        <f t="shared" si="77"/>
        <v>4742</v>
      </c>
      <c r="BK45" s="37">
        <f t="shared" si="78"/>
        <v>4743</v>
      </c>
      <c r="BL45" s="37">
        <f t="shared" si="79"/>
        <v>4744</v>
      </c>
      <c r="BM45" s="37">
        <f t="shared" si="80"/>
        <v>4745</v>
      </c>
      <c r="BN45" s="37">
        <f t="shared" si="81"/>
        <v>4746</v>
      </c>
      <c r="BO45" s="37">
        <f t="shared" si="82"/>
        <v>4747</v>
      </c>
      <c r="BP45" s="37">
        <f t="shared" si="83"/>
        <v>4748</v>
      </c>
      <c r="BQ45" s="37">
        <f t="shared" si="84"/>
        <v>4749</v>
      </c>
      <c r="BR45" s="39">
        <f t="shared" si="85"/>
        <v>4750</v>
      </c>
      <c r="BS45" s="36">
        <f t="shared" si="86"/>
        <v>4751</v>
      </c>
      <c r="BT45" s="37">
        <f t="shared" si="87"/>
        <v>4752</v>
      </c>
      <c r="BU45" s="37">
        <f t="shared" si="88"/>
        <v>4753</v>
      </c>
      <c r="BV45" s="37">
        <f t="shared" si="89"/>
        <v>4754</v>
      </c>
      <c r="BW45" s="37">
        <f t="shared" si="90"/>
        <v>4755</v>
      </c>
      <c r="BX45" s="37">
        <f t="shared" si="91"/>
        <v>4756</v>
      </c>
      <c r="BY45" s="37">
        <f t="shared" si="92"/>
        <v>4757</v>
      </c>
      <c r="BZ45" s="37">
        <f t="shared" si="93"/>
        <v>4758</v>
      </c>
      <c r="CA45" s="37">
        <f t="shared" si="94"/>
        <v>4759</v>
      </c>
      <c r="CB45" s="38">
        <f t="shared" si="95"/>
        <v>4760</v>
      </c>
      <c r="CC45" s="40">
        <f t="shared" si="96"/>
        <v>4761</v>
      </c>
      <c r="CD45" s="37">
        <f t="shared" si="97"/>
        <v>4762</v>
      </c>
      <c r="CE45" s="37">
        <f t="shared" si="98"/>
        <v>4763</v>
      </c>
      <c r="CF45" s="37">
        <f t="shared" si="99"/>
        <v>4764</v>
      </c>
      <c r="CG45" s="37">
        <f t="shared" si="100"/>
        <v>4765</v>
      </c>
      <c r="CH45" s="37">
        <f t="shared" si="101"/>
        <v>4766</v>
      </c>
      <c r="CI45" s="37">
        <f t="shared" si="102"/>
        <v>4767</v>
      </c>
      <c r="CJ45" s="37">
        <f t="shared" si="103"/>
        <v>4768</v>
      </c>
      <c r="CK45" s="37">
        <f t="shared" si="104"/>
        <v>4769</v>
      </c>
      <c r="CL45" s="39">
        <f t="shared" si="105"/>
        <v>4770</v>
      </c>
      <c r="CM45" s="36">
        <f t="shared" si="106"/>
        <v>4771</v>
      </c>
      <c r="CN45" s="37">
        <f t="shared" si="107"/>
        <v>4772</v>
      </c>
      <c r="CO45" s="37">
        <f t="shared" si="108"/>
        <v>4773</v>
      </c>
      <c r="CP45" s="37">
        <f t="shared" si="109"/>
        <v>4774</v>
      </c>
      <c r="CQ45" s="37">
        <f t="shared" si="110"/>
        <v>4775</v>
      </c>
      <c r="CR45" s="37">
        <f t="shared" si="111"/>
        <v>4776</v>
      </c>
      <c r="CS45" s="37">
        <f t="shared" si="112"/>
        <v>4777</v>
      </c>
      <c r="CT45" s="37">
        <f t="shared" si="113"/>
        <v>4778</v>
      </c>
      <c r="CU45" s="37">
        <f t="shared" si="114"/>
        <v>4779</v>
      </c>
      <c r="CV45" s="38">
        <f t="shared" si="115"/>
        <v>4780</v>
      </c>
      <c r="CW45" s="40">
        <f t="shared" si="116"/>
        <v>4781</v>
      </c>
      <c r="CX45" s="37">
        <f t="shared" si="117"/>
        <v>4782</v>
      </c>
      <c r="CY45" s="37">
        <f t="shared" si="118"/>
        <v>4783</v>
      </c>
      <c r="CZ45" s="37">
        <f t="shared" si="119"/>
        <v>4784</v>
      </c>
      <c r="DA45" s="37">
        <f t="shared" si="120"/>
        <v>4785</v>
      </c>
      <c r="DB45" s="37">
        <f t="shared" si="121"/>
        <v>4786</v>
      </c>
      <c r="DC45" s="37">
        <f t="shared" si="122"/>
        <v>4787</v>
      </c>
      <c r="DD45" s="37">
        <f t="shared" si="123"/>
        <v>4788</v>
      </c>
      <c r="DE45" s="37">
        <f t="shared" si="124"/>
        <v>4789</v>
      </c>
      <c r="DF45" s="39">
        <f t="shared" si="125"/>
        <v>4790</v>
      </c>
      <c r="DG45" s="36">
        <f t="shared" si="126"/>
        <v>4791</v>
      </c>
      <c r="DH45" s="37">
        <f t="shared" si="127"/>
        <v>4792</v>
      </c>
      <c r="DI45" s="37">
        <f t="shared" si="128"/>
        <v>4793</v>
      </c>
      <c r="DJ45" s="37">
        <f t="shared" si="129"/>
        <v>4794</v>
      </c>
      <c r="DK45" s="37">
        <f t="shared" si="130"/>
        <v>4795</v>
      </c>
      <c r="DL45" s="37">
        <f t="shared" si="131"/>
        <v>4796</v>
      </c>
      <c r="DM45" s="37">
        <f t="shared" si="132"/>
        <v>4797</v>
      </c>
      <c r="DN45" s="37">
        <f t="shared" si="133"/>
        <v>4798</v>
      </c>
      <c r="DO45" s="37">
        <f t="shared" si="134"/>
        <v>4799</v>
      </c>
      <c r="DP45" s="38">
        <f t="shared" si="135"/>
        <v>4800</v>
      </c>
      <c r="DR45" s="1214">
        <v>30</v>
      </c>
      <c r="DS45" s="1215"/>
      <c r="DT45" s="1215"/>
      <c r="DU45" s="1216"/>
    </row>
    <row r="46" spans="1:125" ht="5.85" customHeight="1" x14ac:dyDescent="0.3">
      <c r="A46" s="36">
        <f t="shared" si="136"/>
        <v>4801</v>
      </c>
      <c r="B46" s="37">
        <f t="shared" si="17"/>
        <v>4802</v>
      </c>
      <c r="C46" s="37">
        <f t="shared" si="18"/>
        <v>4803</v>
      </c>
      <c r="D46" s="37">
        <f t="shared" si="19"/>
        <v>4804</v>
      </c>
      <c r="E46" s="37">
        <f t="shared" si="20"/>
        <v>4805</v>
      </c>
      <c r="F46" s="37">
        <f t="shared" si="21"/>
        <v>4806</v>
      </c>
      <c r="G46" s="37">
        <f t="shared" si="22"/>
        <v>4807</v>
      </c>
      <c r="H46" s="37">
        <f t="shared" si="23"/>
        <v>4808</v>
      </c>
      <c r="I46" s="37">
        <f t="shared" si="24"/>
        <v>4809</v>
      </c>
      <c r="J46" s="38">
        <f t="shared" si="25"/>
        <v>4810</v>
      </c>
      <c r="K46" s="36">
        <f t="shared" si="26"/>
        <v>4811</v>
      </c>
      <c r="L46" s="37">
        <f t="shared" si="27"/>
        <v>4812</v>
      </c>
      <c r="M46" s="37">
        <f t="shared" si="28"/>
        <v>4813</v>
      </c>
      <c r="N46" s="37">
        <f t="shared" si="29"/>
        <v>4814</v>
      </c>
      <c r="O46" s="37">
        <f t="shared" si="30"/>
        <v>4815</v>
      </c>
      <c r="P46" s="37">
        <f t="shared" si="31"/>
        <v>4816</v>
      </c>
      <c r="Q46" s="37">
        <f t="shared" si="32"/>
        <v>4817</v>
      </c>
      <c r="R46" s="37">
        <f t="shared" si="33"/>
        <v>4818</v>
      </c>
      <c r="S46" s="37">
        <f t="shared" si="34"/>
        <v>4819</v>
      </c>
      <c r="T46" s="38">
        <f t="shared" si="35"/>
        <v>4820</v>
      </c>
      <c r="U46" s="36">
        <f t="shared" si="36"/>
        <v>4821</v>
      </c>
      <c r="V46" s="37">
        <f t="shared" si="37"/>
        <v>4822</v>
      </c>
      <c r="W46" s="37">
        <f t="shared" si="38"/>
        <v>4823</v>
      </c>
      <c r="X46" s="37">
        <f t="shared" si="39"/>
        <v>4824</v>
      </c>
      <c r="Y46" s="37">
        <f t="shared" si="40"/>
        <v>4825</v>
      </c>
      <c r="Z46" s="37">
        <f t="shared" si="41"/>
        <v>4826</v>
      </c>
      <c r="AA46" s="37">
        <f t="shared" si="42"/>
        <v>4827</v>
      </c>
      <c r="AB46" s="37">
        <f t="shared" si="43"/>
        <v>4828</v>
      </c>
      <c r="AC46" s="37">
        <f t="shared" si="44"/>
        <v>4829</v>
      </c>
      <c r="AD46" s="38">
        <f t="shared" si="45"/>
        <v>4830</v>
      </c>
      <c r="AE46" s="36">
        <f t="shared" si="46"/>
        <v>4831</v>
      </c>
      <c r="AF46" s="37">
        <f t="shared" si="47"/>
        <v>4832</v>
      </c>
      <c r="AG46" s="37">
        <f t="shared" si="48"/>
        <v>4833</v>
      </c>
      <c r="AH46" s="37">
        <f t="shared" si="49"/>
        <v>4834</v>
      </c>
      <c r="AI46" s="37">
        <f t="shared" si="50"/>
        <v>4835</v>
      </c>
      <c r="AJ46" s="37">
        <f t="shared" si="51"/>
        <v>4836</v>
      </c>
      <c r="AK46" s="37">
        <f t="shared" si="52"/>
        <v>4837</v>
      </c>
      <c r="AL46" s="37">
        <f t="shared" si="53"/>
        <v>4838</v>
      </c>
      <c r="AM46" s="37">
        <f t="shared" si="54"/>
        <v>4839</v>
      </c>
      <c r="AN46" s="38">
        <f t="shared" si="55"/>
        <v>4840</v>
      </c>
      <c r="AO46" s="36">
        <f t="shared" si="56"/>
        <v>4841</v>
      </c>
      <c r="AP46" s="37">
        <f t="shared" si="57"/>
        <v>4842</v>
      </c>
      <c r="AQ46" s="37">
        <f t="shared" si="58"/>
        <v>4843</v>
      </c>
      <c r="AR46" s="37">
        <f t="shared" si="59"/>
        <v>4844</v>
      </c>
      <c r="AS46" s="37">
        <f t="shared" si="60"/>
        <v>4845</v>
      </c>
      <c r="AT46" s="37">
        <f t="shared" si="61"/>
        <v>4846</v>
      </c>
      <c r="AU46" s="37">
        <f t="shared" si="62"/>
        <v>4847</v>
      </c>
      <c r="AV46" s="37">
        <f t="shared" si="63"/>
        <v>4848</v>
      </c>
      <c r="AW46" s="37">
        <f t="shared" si="64"/>
        <v>4849</v>
      </c>
      <c r="AX46" s="38">
        <f t="shared" si="65"/>
        <v>4850</v>
      </c>
      <c r="AY46" s="36">
        <f t="shared" si="66"/>
        <v>4851</v>
      </c>
      <c r="AZ46" s="37">
        <f t="shared" si="67"/>
        <v>4852</v>
      </c>
      <c r="BA46" s="37">
        <f t="shared" si="68"/>
        <v>4853</v>
      </c>
      <c r="BB46" s="37">
        <f t="shared" si="69"/>
        <v>4854</v>
      </c>
      <c r="BC46" s="37">
        <f t="shared" si="70"/>
        <v>4855</v>
      </c>
      <c r="BD46" s="37">
        <f t="shared" si="71"/>
        <v>4856</v>
      </c>
      <c r="BE46" s="37">
        <f t="shared" si="72"/>
        <v>4857</v>
      </c>
      <c r="BF46" s="37">
        <f t="shared" si="73"/>
        <v>4858</v>
      </c>
      <c r="BG46" s="37">
        <f t="shared" si="74"/>
        <v>4859</v>
      </c>
      <c r="BH46" s="38">
        <f t="shared" si="75"/>
        <v>4860</v>
      </c>
      <c r="BI46" s="36">
        <f t="shared" si="76"/>
        <v>4861</v>
      </c>
      <c r="BJ46" s="37">
        <f t="shared" si="77"/>
        <v>4862</v>
      </c>
      <c r="BK46" s="37">
        <f t="shared" si="78"/>
        <v>4863</v>
      </c>
      <c r="BL46" s="37">
        <f t="shared" si="79"/>
        <v>4864</v>
      </c>
      <c r="BM46" s="37">
        <f t="shared" si="80"/>
        <v>4865</v>
      </c>
      <c r="BN46" s="37">
        <f t="shared" si="81"/>
        <v>4866</v>
      </c>
      <c r="BO46" s="37">
        <f t="shared" si="82"/>
        <v>4867</v>
      </c>
      <c r="BP46" s="37">
        <f t="shared" si="83"/>
        <v>4868</v>
      </c>
      <c r="BQ46" s="37">
        <f t="shared" si="84"/>
        <v>4869</v>
      </c>
      <c r="BR46" s="39">
        <f t="shared" si="85"/>
        <v>4870</v>
      </c>
      <c r="BS46" s="36">
        <f t="shared" si="86"/>
        <v>4871</v>
      </c>
      <c r="BT46" s="37">
        <f t="shared" si="87"/>
        <v>4872</v>
      </c>
      <c r="BU46" s="37">
        <f t="shared" si="88"/>
        <v>4873</v>
      </c>
      <c r="BV46" s="37">
        <f t="shared" si="89"/>
        <v>4874</v>
      </c>
      <c r="BW46" s="37">
        <f t="shared" si="90"/>
        <v>4875</v>
      </c>
      <c r="BX46" s="37">
        <f t="shared" si="91"/>
        <v>4876</v>
      </c>
      <c r="BY46" s="37">
        <f t="shared" si="92"/>
        <v>4877</v>
      </c>
      <c r="BZ46" s="37">
        <f t="shared" si="93"/>
        <v>4878</v>
      </c>
      <c r="CA46" s="37">
        <f t="shared" si="94"/>
        <v>4879</v>
      </c>
      <c r="CB46" s="38">
        <f t="shared" si="95"/>
        <v>4880</v>
      </c>
      <c r="CC46" s="40">
        <f t="shared" si="96"/>
        <v>4881</v>
      </c>
      <c r="CD46" s="37">
        <f t="shared" si="97"/>
        <v>4882</v>
      </c>
      <c r="CE46" s="37">
        <f t="shared" si="98"/>
        <v>4883</v>
      </c>
      <c r="CF46" s="37">
        <f t="shared" si="99"/>
        <v>4884</v>
      </c>
      <c r="CG46" s="37">
        <f t="shared" si="100"/>
        <v>4885</v>
      </c>
      <c r="CH46" s="37">
        <f t="shared" si="101"/>
        <v>4886</v>
      </c>
      <c r="CI46" s="37">
        <f t="shared" si="102"/>
        <v>4887</v>
      </c>
      <c r="CJ46" s="37">
        <f t="shared" si="103"/>
        <v>4888</v>
      </c>
      <c r="CK46" s="37">
        <f t="shared" si="104"/>
        <v>4889</v>
      </c>
      <c r="CL46" s="39">
        <f t="shared" si="105"/>
        <v>4890</v>
      </c>
      <c r="CM46" s="36">
        <f t="shared" si="106"/>
        <v>4891</v>
      </c>
      <c r="CN46" s="37">
        <f t="shared" si="107"/>
        <v>4892</v>
      </c>
      <c r="CO46" s="37">
        <f t="shared" si="108"/>
        <v>4893</v>
      </c>
      <c r="CP46" s="37">
        <f t="shared" si="109"/>
        <v>4894</v>
      </c>
      <c r="CQ46" s="37">
        <f t="shared" si="110"/>
        <v>4895</v>
      </c>
      <c r="CR46" s="37">
        <f t="shared" si="111"/>
        <v>4896</v>
      </c>
      <c r="CS46" s="37">
        <f t="shared" si="112"/>
        <v>4897</v>
      </c>
      <c r="CT46" s="37">
        <f t="shared" si="113"/>
        <v>4898</v>
      </c>
      <c r="CU46" s="37">
        <f t="shared" si="114"/>
        <v>4899</v>
      </c>
      <c r="CV46" s="38">
        <f t="shared" si="115"/>
        <v>4900</v>
      </c>
      <c r="CW46" s="40">
        <f t="shared" si="116"/>
        <v>4901</v>
      </c>
      <c r="CX46" s="37">
        <f t="shared" si="117"/>
        <v>4902</v>
      </c>
      <c r="CY46" s="37">
        <f t="shared" si="118"/>
        <v>4903</v>
      </c>
      <c r="CZ46" s="37">
        <f t="shared" si="119"/>
        <v>4904</v>
      </c>
      <c r="DA46" s="37">
        <f t="shared" si="120"/>
        <v>4905</v>
      </c>
      <c r="DB46" s="37">
        <f t="shared" si="121"/>
        <v>4906</v>
      </c>
      <c r="DC46" s="37">
        <f t="shared" si="122"/>
        <v>4907</v>
      </c>
      <c r="DD46" s="37">
        <f t="shared" si="123"/>
        <v>4908</v>
      </c>
      <c r="DE46" s="37">
        <f t="shared" si="124"/>
        <v>4909</v>
      </c>
      <c r="DF46" s="39">
        <f t="shared" si="125"/>
        <v>4910</v>
      </c>
      <c r="DG46" s="36">
        <f t="shared" si="126"/>
        <v>4911</v>
      </c>
      <c r="DH46" s="37">
        <f t="shared" si="127"/>
        <v>4912</v>
      </c>
      <c r="DI46" s="37">
        <f t="shared" si="128"/>
        <v>4913</v>
      </c>
      <c r="DJ46" s="37">
        <f t="shared" si="129"/>
        <v>4914</v>
      </c>
      <c r="DK46" s="37">
        <f t="shared" si="130"/>
        <v>4915</v>
      </c>
      <c r="DL46" s="37">
        <f t="shared" si="131"/>
        <v>4916</v>
      </c>
      <c r="DM46" s="37">
        <f t="shared" si="132"/>
        <v>4917</v>
      </c>
      <c r="DN46" s="37">
        <f t="shared" si="133"/>
        <v>4918</v>
      </c>
      <c r="DO46" s="37">
        <f t="shared" si="134"/>
        <v>4919</v>
      </c>
      <c r="DP46" s="38">
        <f t="shared" si="135"/>
        <v>4920</v>
      </c>
      <c r="DR46" s="1214"/>
      <c r="DS46" s="1215"/>
      <c r="DT46" s="1215"/>
      <c r="DU46" s="1216"/>
    </row>
    <row r="47" spans="1:125" ht="5.85" customHeight="1" x14ac:dyDescent="0.3">
      <c r="A47" s="36">
        <f t="shared" si="136"/>
        <v>4921</v>
      </c>
      <c r="B47" s="37">
        <f t="shared" si="17"/>
        <v>4922</v>
      </c>
      <c r="C47" s="37">
        <f t="shared" si="18"/>
        <v>4923</v>
      </c>
      <c r="D47" s="37">
        <f t="shared" si="19"/>
        <v>4924</v>
      </c>
      <c r="E47" s="37">
        <f t="shared" si="20"/>
        <v>4925</v>
      </c>
      <c r="F47" s="37">
        <f t="shared" si="21"/>
        <v>4926</v>
      </c>
      <c r="G47" s="37">
        <f t="shared" si="22"/>
        <v>4927</v>
      </c>
      <c r="H47" s="37">
        <f t="shared" si="23"/>
        <v>4928</v>
      </c>
      <c r="I47" s="37">
        <f t="shared" si="24"/>
        <v>4929</v>
      </c>
      <c r="J47" s="38">
        <f t="shared" si="25"/>
        <v>4930</v>
      </c>
      <c r="K47" s="36">
        <f t="shared" si="26"/>
        <v>4931</v>
      </c>
      <c r="L47" s="37">
        <f t="shared" si="27"/>
        <v>4932</v>
      </c>
      <c r="M47" s="37">
        <f t="shared" si="28"/>
        <v>4933</v>
      </c>
      <c r="N47" s="37">
        <f t="shared" si="29"/>
        <v>4934</v>
      </c>
      <c r="O47" s="37">
        <f t="shared" si="30"/>
        <v>4935</v>
      </c>
      <c r="P47" s="37">
        <f t="shared" si="31"/>
        <v>4936</v>
      </c>
      <c r="Q47" s="37">
        <f t="shared" si="32"/>
        <v>4937</v>
      </c>
      <c r="R47" s="37">
        <f t="shared" si="33"/>
        <v>4938</v>
      </c>
      <c r="S47" s="37">
        <f t="shared" si="34"/>
        <v>4939</v>
      </c>
      <c r="T47" s="38">
        <f t="shared" si="35"/>
        <v>4940</v>
      </c>
      <c r="U47" s="36">
        <f t="shared" si="36"/>
        <v>4941</v>
      </c>
      <c r="V47" s="37">
        <f t="shared" si="37"/>
        <v>4942</v>
      </c>
      <c r="W47" s="37">
        <f t="shared" si="38"/>
        <v>4943</v>
      </c>
      <c r="X47" s="37">
        <f t="shared" si="39"/>
        <v>4944</v>
      </c>
      <c r="Y47" s="37">
        <f t="shared" si="40"/>
        <v>4945</v>
      </c>
      <c r="Z47" s="37">
        <f t="shared" si="41"/>
        <v>4946</v>
      </c>
      <c r="AA47" s="37">
        <f t="shared" si="42"/>
        <v>4947</v>
      </c>
      <c r="AB47" s="37">
        <f t="shared" si="43"/>
        <v>4948</v>
      </c>
      <c r="AC47" s="37">
        <f t="shared" si="44"/>
        <v>4949</v>
      </c>
      <c r="AD47" s="38">
        <f t="shared" si="45"/>
        <v>4950</v>
      </c>
      <c r="AE47" s="36">
        <f t="shared" si="46"/>
        <v>4951</v>
      </c>
      <c r="AF47" s="37">
        <f t="shared" si="47"/>
        <v>4952</v>
      </c>
      <c r="AG47" s="37">
        <f t="shared" si="48"/>
        <v>4953</v>
      </c>
      <c r="AH47" s="37">
        <f t="shared" si="49"/>
        <v>4954</v>
      </c>
      <c r="AI47" s="37">
        <f t="shared" si="50"/>
        <v>4955</v>
      </c>
      <c r="AJ47" s="37">
        <f t="shared" si="51"/>
        <v>4956</v>
      </c>
      <c r="AK47" s="37">
        <f t="shared" si="52"/>
        <v>4957</v>
      </c>
      <c r="AL47" s="37">
        <f t="shared" si="53"/>
        <v>4958</v>
      </c>
      <c r="AM47" s="37">
        <f t="shared" si="54"/>
        <v>4959</v>
      </c>
      <c r="AN47" s="38">
        <f t="shared" si="55"/>
        <v>4960</v>
      </c>
      <c r="AO47" s="36">
        <f t="shared" si="56"/>
        <v>4961</v>
      </c>
      <c r="AP47" s="37">
        <f t="shared" si="57"/>
        <v>4962</v>
      </c>
      <c r="AQ47" s="37">
        <f t="shared" si="58"/>
        <v>4963</v>
      </c>
      <c r="AR47" s="37">
        <f t="shared" si="59"/>
        <v>4964</v>
      </c>
      <c r="AS47" s="37">
        <f t="shared" si="60"/>
        <v>4965</v>
      </c>
      <c r="AT47" s="37">
        <f t="shared" si="61"/>
        <v>4966</v>
      </c>
      <c r="AU47" s="37">
        <f t="shared" si="62"/>
        <v>4967</v>
      </c>
      <c r="AV47" s="37">
        <f t="shared" si="63"/>
        <v>4968</v>
      </c>
      <c r="AW47" s="37">
        <f t="shared" si="64"/>
        <v>4969</v>
      </c>
      <c r="AX47" s="38">
        <f t="shared" si="65"/>
        <v>4970</v>
      </c>
      <c r="AY47" s="36">
        <f t="shared" si="66"/>
        <v>4971</v>
      </c>
      <c r="AZ47" s="37">
        <f t="shared" si="67"/>
        <v>4972</v>
      </c>
      <c r="BA47" s="37">
        <f t="shared" si="68"/>
        <v>4973</v>
      </c>
      <c r="BB47" s="37">
        <f t="shared" si="69"/>
        <v>4974</v>
      </c>
      <c r="BC47" s="37">
        <f t="shared" si="70"/>
        <v>4975</v>
      </c>
      <c r="BD47" s="37">
        <f t="shared" si="71"/>
        <v>4976</v>
      </c>
      <c r="BE47" s="37">
        <f t="shared" si="72"/>
        <v>4977</v>
      </c>
      <c r="BF47" s="37">
        <f t="shared" si="73"/>
        <v>4978</v>
      </c>
      <c r="BG47" s="37">
        <f t="shared" si="74"/>
        <v>4979</v>
      </c>
      <c r="BH47" s="38">
        <f t="shared" si="75"/>
        <v>4980</v>
      </c>
      <c r="BI47" s="36">
        <f t="shared" si="76"/>
        <v>4981</v>
      </c>
      <c r="BJ47" s="37">
        <f t="shared" si="77"/>
        <v>4982</v>
      </c>
      <c r="BK47" s="37">
        <f t="shared" si="78"/>
        <v>4983</v>
      </c>
      <c r="BL47" s="37">
        <f t="shared" si="79"/>
        <v>4984</v>
      </c>
      <c r="BM47" s="37">
        <f t="shared" si="80"/>
        <v>4985</v>
      </c>
      <c r="BN47" s="37">
        <f t="shared" si="81"/>
        <v>4986</v>
      </c>
      <c r="BO47" s="37">
        <f t="shared" si="82"/>
        <v>4987</v>
      </c>
      <c r="BP47" s="37">
        <f t="shared" si="83"/>
        <v>4988</v>
      </c>
      <c r="BQ47" s="37">
        <f t="shared" si="84"/>
        <v>4989</v>
      </c>
      <c r="BR47" s="39">
        <f t="shared" si="85"/>
        <v>4990</v>
      </c>
      <c r="BS47" s="36">
        <f t="shared" si="86"/>
        <v>4991</v>
      </c>
      <c r="BT47" s="37">
        <f t="shared" si="87"/>
        <v>4992</v>
      </c>
      <c r="BU47" s="37">
        <f t="shared" si="88"/>
        <v>4993</v>
      </c>
      <c r="BV47" s="37">
        <f t="shared" si="89"/>
        <v>4994</v>
      </c>
      <c r="BW47" s="37">
        <f t="shared" si="90"/>
        <v>4995</v>
      </c>
      <c r="BX47" s="37">
        <f t="shared" si="91"/>
        <v>4996</v>
      </c>
      <c r="BY47" s="37">
        <f t="shared" si="92"/>
        <v>4997</v>
      </c>
      <c r="BZ47" s="37">
        <f t="shared" si="93"/>
        <v>4998</v>
      </c>
      <c r="CA47" s="37">
        <f t="shared" si="94"/>
        <v>4999</v>
      </c>
      <c r="CB47" s="38">
        <f t="shared" si="95"/>
        <v>5000</v>
      </c>
      <c r="CC47" s="40">
        <f t="shared" si="96"/>
        <v>5001</v>
      </c>
      <c r="CD47" s="37">
        <f t="shared" si="97"/>
        <v>5002</v>
      </c>
      <c r="CE47" s="37">
        <f t="shared" si="98"/>
        <v>5003</v>
      </c>
      <c r="CF47" s="37">
        <f t="shared" si="99"/>
        <v>5004</v>
      </c>
      <c r="CG47" s="37">
        <f t="shared" si="100"/>
        <v>5005</v>
      </c>
      <c r="CH47" s="37">
        <f t="shared" si="101"/>
        <v>5006</v>
      </c>
      <c r="CI47" s="37">
        <f t="shared" si="102"/>
        <v>5007</v>
      </c>
      <c r="CJ47" s="37">
        <f t="shared" si="103"/>
        <v>5008</v>
      </c>
      <c r="CK47" s="37">
        <f t="shared" si="104"/>
        <v>5009</v>
      </c>
      <c r="CL47" s="39">
        <f t="shared" si="105"/>
        <v>5010</v>
      </c>
      <c r="CM47" s="36">
        <f t="shared" si="106"/>
        <v>5011</v>
      </c>
      <c r="CN47" s="37">
        <f t="shared" si="107"/>
        <v>5012</v>
      </c>
      <c r="CO47" s="37">
        <f t="shared" si="108"/>
        <v>5013</v>
      </c>
      <c r="CP47" s="37">
        <f t="shared" si="109"/>
        <v>5014</v>
      </c>
      <c r="CQ47" s="37">
        <f t="shared" si="110"/>
        <v>5015</v>
      </c>
      <c r="CR47" s="37">
        <f t="shared" si="111"/>
        <v>5016</v>
      </c>
      <c r="CS47" s="37">
        <f t="shared" si="112"/>
        <v>5017</v>
      </c>
      <c r="CT47" s="37">
        <f t="shared" si="113"/>
        <v>5018</v>
      </c>
      <c r="CU47" s="37">
        <f t="shared" si="114"/>
        <v>5019</v>
      </c>
      <c r="CV47" s="38">
        <f t="shared" si="115"/>
        <v>5020</v>
      </c>
      <c r="CW47" s="40">
        <f t="shared" si="116"/>
        <v>5021</v>
      </c>
      <c r="CX47" s="37">
        <f t="shared" si="117"/>
        <v>5022</v>
      </c>
      <c r="CY47" s="37">
        <f t="shared" si="118"/>
        <v>5023</v>
      </c>
      <c r="CZ47" s="37">
        <f t="shared" si="119"/>
        <v>5024</v>
      </c>
      <c r="DA47" s="37">
        <f t="shared" si="120"/>
        <v>5025</v>
      </c>
      <c r="DB47" s="37">
        <f t="shared" si="121"/>
        <v>5026</v>
      </c>
      <c r="DC47" s="37">
        <f t="shared" si="122"/>
        <v>5027</v>
      </c>
      <c r="DD47" s="37">
        <f t="shared" si="123"/>
        <v>5028</v>
      </c>
      <c r="DE47" s="37">
        <f t="shared" si="124"/>
        <v>5029</v>
      </c>
      <c r="DF47" s="39">
        <f t="shared" si="125"/>
        <v>5030</v>
      </c>
      <c r="DG47" s="36">
        <f t="shared" si="126"/>
        <v>5031</v>
      </c>
      <c r="DH47" s="37">
        <f t="shared" si="127"/>
        <v>5032</v>
      </c>
      <c r="DI47" s="37">
        <f t="shared" si="128"/>
        <v>5033</v>
      </c>
      <c r="DJ47" s="37">
        <f t="shared" si="129"/>
        <v>5034</v>
      </c>
      <c r="DK47" s="37">
        <f t="shared" si="130"/>
        <v>5035</v>
      </c>
      <c r="DL47" s="37">
        <f t="shared" si="131"/>
        <v>5036</v>
      </c>
      <c r="DM47" s="37">
        <f t="shared" si="132"/>
        <v>5037</v>
      </c>
      <c r="DN47" s="37">
        <f t="shared" si="133"/>
        <v>5038</v>
      </c>
      <c r="DO47" s="37">
        <f t="shared" si="134"/>
        <v>5039</v>
      </c>
      <c r="DP47" s="38">
        <f t="shared" si="135"/>
        <v>5040</v>
      </c>
      <c r="DR47" s="1214"/>
      <c r="DS47" s="1215"/>
      <c r="DT47" s="1215"/>
      <c r="DU47" s="1216"/>
    </row>
    <row r="48" spans="1:125" ht="5.85" customHeight="1" x14ac:dyDescent="0.3">
      <c r="A48" s="36">
        <f t="shared" si="136"/>
        <v>5041</v>
      </c>
      <c r="B48" s="37">
        <f t="shared" si="17"/>
        <v>5042</v>
      </c>
      <c r="C48" s="37">
        <f t="shared" si="18"/>
        <v>5043</v>
      </c>
      <c r="D48" s="37">
        <f t="shared" si="19"/>
        <v>5044</v>
      </c>
      <c r="E48" s="37">
        <f t="shared" si="20"/>
        <v>5045</v>
      </c>
      <c r="F48" s="37">
        <f t="shared" si="21"/>
        <v>5046</v>
      </c>
      <c r="G48" s="37">
        <f t="shared" si="22"/>
        <v>5047</v>
      </c>
      <c r="H48" s="37">
        <f t="shared" si="23"/>
        <v>5048</v>
      </c>
      <c r="I48" s="37">
        <f t="shared" si="24"/>
        <v>5049</v>
      </c>
      <c r="J48" s="38">
        <f t="shared" si="25"/>
        <v>5050</v>
      </c>
      <c r="K48" s="36">
        <f t="shared" si="26"/>
        <v>5051</v>
      </c>
      <c r="L48" s="37">
        <f t="shared" si="27"/>
        <v>5052</v>
      </c>
      <c r="M48" s="37">
        <f t="shared" si="28"/>
        <v>5053</v>
      </c>
      <c r="N48" s="37">
        <f t="shared" si="29"/>
        <v>5054</v>
      </c>
      <c r="O48" s="37">
        <f t="shared" si="30"/>
        <v>5055</v>
      </c>
      <c r="P48" s="37">
        <f t="shared" si="31"/>
        <v>5056</v>
      </c>
      <c r="Q48" s="37">
        <f t="shared" si="32"/>
        <v>5057</v>
      </c>
      <c r="R48" s="37">
        <f t="shared" si="33"/>
        <v>5058</v>
      </c>
      <c r="S48" s="37">
        <f t="shared" si="34"/>
        <v>5059</v>
      </c>
      <c r="T48" s="38">
        <f t="shared" si="35"/>
        <v>5060</v>
      </c>
      <c r="U48" s="36">
        <f t="shared" si="36"/>
        <v>5061</v>
      </c>
      <c r="V48" s="37">
        <f t="shared" si="37"/>
        <v>5062</v>
      </c>
      <c r="W48" s="37">
        <f t="shared" si="38"/>
        <v>5063</v>
      </c>
      <c r="X48" s="37">
        <f t="shared" si="39"/>
        <v>5064</v>
      </c>
      <c r="Y48" s="37">
        <f t="shared" si="40"/>
        <v>5065</v>
      </c>
      <c r="Z48" s="37">
        <f t="shared" si="41"/>
        <v>5066</v>
      </c>
      <c r="AA48" s="37">
        <f t="shared" si="42"/>
        <v>5067</v>
      </c>
      <c r="AB48" s="37">
        <f t="shared" si="43"/>
        <v>5068</v>
      </c>
      <c r="AC48" s="37">
        <f t="shared" si="44"/>
        <v>5069</v>
      </c>
      <c r="AD48" s="38">
        <f t="shared" si="45"/>
        <v>5070</v>
      </c>
      <c r="AE48" s="36">
        <f t="shared" si="46"/>
        <v>5071</v>
      </c>
      <c r="AF48" s="37">
        <f t="shared" si="47"/>
        <v>5072</v>
      </c>
      <c r="AG48" s="37">
        <f t="shared" si="48"/>
        <v>5073</v>
      </c>
      <c r="AH48" s="37">
        <f t="shared" si="49"/>
        <v>5074</v>
      </c>
      <c r="AI48" s="37">
        <f t="shared" si="50"/>
        <v>5075</v>
      </c>
      <c r="AJ48" s="37">
        <f t="shared" si="51"/>
        <v>5076</v>
      </c>
      <c r="AK48" s="37">
        <f t="shared" si="52"/>
        <v>5077</v>
      </c>
      <c r="AL48" s="37">
        <f t="shared" si="53"/>
        <v>5078</v>
      </c>
      <c r="AM48" s="37">
        <f t="shared" si="54"/>
        <v>5079</v>
      </c>
      <c r="AN48" s="38">
        <f t="shared" si="55"/>
        <v>5080</v>
      </c>
      <c r="AO48" s="36">
        <f t="shared" si="56"/>
        <v>5081</v>
      </c>
      <c r="AP48" s="37">
        <f t="shared" si="57"/>
        <v>5082</v>
      </c>
      <c r="AQ48" s="37">
        <f t="shared" si="58"/>
        <v>5083</v>
      </c>
      <c r="AR48" s="37">
        <f t="shared" si="59"/>
        <v>5084</v>
      </c>
      <c r="AS48" s="37">
        <f t="shared" si="60"/>
        <v>5085</v>
      </c>
      <c r="AT48" s="37">
        <f t="shared" si="61"/>
        <v>5086</v>
      </c>
      <c r="AU48" s="37">
        <f t="shared" si="62"/>
        <v>5087</v>
      </c>
      <c r="AV48" s="37">
        <f t="shared" si="63"/>
        <v>5088</v>
      </c>
      <c r="AW48" s="37">
        <f t="shared" si="64"/>
        <v>5089</v>
      </c>
      <c r="AX48" s="38">
        <f t="shared" si="65"/>
        <v>5090</v>
      </c>
      <c r="AY48" s="36">
        <f t="shared" si="66"/>
        <v>5091</v>
      </c>
      <c r="AZ48" s="37">
        <f t="shared" si="67"/>
        <v>5092</v>
      </c>
      <c r="BA48" s="37">
        <f t="shared" si="68"/>
        <v>5093</v>
      </c>
      <c r="BB48" s="37">
        <f t="shared" si="69"/>
        <v>5094</v>
      </c>
      <c r="BC48" s="37">
        <f t="shared" si="70"/>
        <v>5095</v>
      </c>
      <c r="BD48" s="37">
        <f t="shared" si="71"/>
        <v>5096</v>
      </c>
      <c r="BE48" s="37">
        <f t="shared" si="72"/>
        <v>5097</v>
      </c>
      <c r="BF48" s="37">
        <f t="shared" si="73"/>
        <v>5098</v>
      </c>
      <c r="BG48" s="37">
        <f t="shared" si="74"/>
        <v>5099</v>
      </c>
      <c r="BH48" s="38">
        <f t="shared" si="75"/>
        <v>5100</v>
      </c>
      <c r="BI48" s="36">
        <f t="shared" si="76"/>
        <v>5101</v>
      </c>
      <c r="BJ48" s="37">
        <f t="shared" si="77"/>
        <v>5102</v>
      </c>
      <c r="BK48" s="37">
        <f t="shared" si="78"/>
        <v>5103</v>
      </c>
      <c r="BL48" s="37">
        <f t="shared" si="79"/>
        <v>5104</v>
      </c>
      <c r="BM48" s="37">
        <f t="shared" si="80"/>
        <v>5105</v>
      </c>
      <c r="BN48" s="37">
        <f t="shared" si="81"/>
        <v>5106</v>
      </c>
      <c r="BO48" s="37">
        <f t="shared" si="82"/>
        <v>5107</v>
      </c>
      <c r="BP48" s="37">
        <f t="shared" si="83"/>
        <v>5108</v>
      </c>
      <c r="BQ48" s="37">
        <f t="shared" si="84"/>
        <v>5109</v>
      </c>
      <c r="BR48" s="39">
        <f t="shared" si="85"/>
        <v>5110</v>
      </c>
      <c r="BS48" s="36">
        <f t="shared" si="86"/>
        <v>5111</v>
      </c>
      <c r="BT48" s="37">
        <f t="shared" si="87"/>
        <v>5112</v>
      </c>
      <c r="BU48" s="37">
        <f t="shared" si="88"/>
        <v>5113</v>
      </c>
      <c r="BV48" s="37">
        <f t="shared" si="89"/>
        <v>5114</v>
      </c>
      <c r="BW48" s="37">
        <f t="shared" si="90"/>
        <v>5115</v>
      </c>
      <c r="BX48" s="37">
        <f t="shared" si="91"/>
        <v>5116</v>
      </c>
      <c r="BY48" s="37">
        <f t="shared" si="92"/>
        <v>5117</v>
      </c>
      <c r="BZ48" s="37">
        <f t="shared" si="93"/>
        <v>5118</v>
      </c>
      <c r="CA48" s="37">
        <f t="shared" si="94"/>
        <v>5119</v>
      </c>
      <c r="CB48" s="38">
        <f t="shared" si="95"/>
        <v>5120</v>
      </c>
      <c r="CC48" s="40">
        <f t="shared" si="96"/>
        <v>5121</v>
      </c>
      <c r="CD48" s="37">
        <f t="shared" si="97"/>
        <v>5122</v>
      </c>
      <c r="CE48" s="37">
        <f t="shared" si="98"/>
        <v>5123</v>
      </c>
      <c r="CF48" s="37">
        <f t="shared" si="99"/>
        <v>5124</v>
      </c>
      <c r="CG48" s="37">
        <f t="shared" si="100"/>
        <v>5125</v>
      </c>
      <c r="CH48" s="37">
        <f t="shared" si="101"/>
        <v>5126</v>
      </c>
      <c r="CI48" s="37">
        <f t="shared" si="102"/>
        <v>5127</v>
      </c>
      <c r="CJ48" s="37">
        <f t="shared" si="103"/>
        <v>5128</v>
      </c>
      <c r="CK48" s="37">
        <f t="shared" si="104"/>
        <v>5129</v>
      </c>
      <c r="CL48" s="39">
        <f t="shared" si="105"/>
        <v>5130</v>
      </c>
      <c r="CM48" s="36">
        <f t="shared" si="106"/>
        <v>5131</v>
      </c>
      <c r="CN48" s="37">
        <f t="shared" si="107"/>
        <v>5132</v>
      </c>
      <c r="CO48" s="37">
        <f t="shared" si="108"/>
        <v>5133</v>
      </c>
      <c r="CP48" s="37">
        <f t="shared" si="109"/>
        <v>5134</v>
      </c>
      <c r="CQ48" s="37">
        <f t="shared" si="110"/>
        <v>5135</v>
      </c>
      <c r="CR48" s="37">
        <f t="shared" si="111"/>
        <v>5136</v>
      </c>
      <c r="CS48" s="37">
        <f t="shared" si="112"/>
        <v>5137</v>
      </c>
      <c r="CT48" s="37">
        <f t="shared" si="113"/>
        <v>5138</v>
      </c>
      <c r="CU48" s="37">
        <f t="shared" si="114"/>
        <v>5139</v>
      </c>
      <c r="CV48" s="38">
        <f t="shared" si="115"/>
        <v>5140</v>
      </c>
      <c r="CW48" s="40">
        <f t="shared" si="116"/>
        <v>5141</v>
      </c>
      <c r="CX48" s="37">
        <f t="shared" si="117"/>
        <v>5142</v>
      </c>
      <c r="CY48" s="37">
        <f t="shared" si="118"/>
        <v>5143</v>
      </c>
      <c r="CZ48" s="37">
        <f t="shared" si="119"/>
        <v>5144</v>
      </c>
      <c r="DA48" s="37">
        <f t="shared" si="120"/>
        <v>5145</v>
      </c>
      <c r="DB48" s="37">
        <f t="shared" si="121"/>
        <v>5146</v>
      </c>
      <c r="DC48" s="37">
        <f t="shared" si="122"/>
        <v>5147</v>
      </c>
      <c r="DD48" s="37">
        <f t="shared" si="123"/>
        <v>5148</v>
      </c>
      <c r="DE48" s="37">
        <f t="shared" si="124"/>
        <v>5149</v>
      </c>
      <c r="DF48" s="39">
        <f t="shared" si="125"/>
        <v>5150</v>
      </c>
      <c r="DG48" s="36">
        <f t="shared" si="126"/>
        <v>5151</v>
      </c>
      <c r="DH48" s="37">
        <f t="shared" si="127"/>
        <v>5152</v>
      </c>
      <c r="DI48" s="37">
        <f t="shared" si="128"/>
        <v>5153</v>
      </c>
      <c r="DJ48" s="37">
        <f t="shared" si="129"/>
        <v>5154</v>
      </c>
      <c r="DK48" s="37">
        <f t="shared" si="130"/>
        <v>5155</v>
      </c>
      <c r="DL48" s="37">
        <f t="shared" si="131"/>
        <v>5156</v>
      </c>
      <c r="DM48" s="37">
        <f t="shared" si="132"/>
        <v>5157</v>
      </c>
      <c r="DN48" s="37">
        <f t="shared" si="133"/>
        <v>5158</v>
      </c>
      <c r="DO48" s="37">
        <f t="shared" si="134"/>
        <v>5159</v>
      </c>
      <c r="DP48" s="38">
        <f t="shared" si="135"/>
        <v>5160</v>
      </c>
      <c r="DR48" s="1214">
        <v>40</v>
      </c>
      <c r="DS48" s="1215"/>
      <c r="DT48" s="1215"/>
      <c r="DU48" s="1216"/>
    </row>
    <row r="49" spans="1:125" ht="5.85" customHeight="1" x14ac:dyDescent="0.3">
      <c r="A49" s="36">
        <f t="shared" si="136"/>
        <v>5161</v>
      </c>
      <c r="B49" s="37">
        <f t="shared" si="17"/>
        <v>5162</v>
      </c>
      <c r="C49" s="37">
        <f t="shared" si="18"/>
        <v>5163</v>
      </c>
      <c r="D49" s="37">
        <f t="shared" si="19"/>
        <v>5164</v>
      </c>
      <c r="E49" s="37">
        <f t="shared" si="20"/>
        <v>5165</v>
      </c>
      <c r="F49" s="37">
        <f t="shared" si="21"/>
        <v>5166</v>
      </c>
      <c r="G49" s="37">
        <f t="shared" si="22"/>
        <v>5167</v>
      </c>
      <c r="H49" s="37">
        <f t="shared" si="23"/>
        <v>5168</v>
      </c>
      <c r="I49" s="37">
        <f t="shared" si="24"/>
        <v>5169</v>
      </c>
      <c r="J49" s="38">
        <f t="shared" si="25"/>
        <v>5170</v>
      </c>
      <c r="K49" s="36">
        <f t="shared" si="26"/>
        <v>5171</v>
      </c>
      <c r="L49" s="37">
        <f t="shared" si="27"/>
        <v>5172</v>
      </c>
      <c r="M49" s="37">
        <f t="shared" si="28"/>
        <v>5173</v>
      </c>
      <c r="N49" s="37">
        <f t="shared" si="29"/>
        <v>5174</v>
      </c>
      <c r="O49" s="37">
        <f t="shared" si="30"/>
        <v>5175</v>
      </c>
      <c r="P49" s="37">
        <f t="shared" si="31"/>
        <v>5176</v>
      </c>
      <c r="Q49" s="37">
        <f t="shared" si="32"/>
        <v>5177</v>
      </c>
      <c r="R49" s="37">
        <f t="shared" si="33"/>
        <v>5178</v>
      </c>
      <c r="S49" s="37">
        <f t="shared" si="34"/>
        <v>5179</v>
      </c>
      <c r="T49" s="38">
        <f t="shared" si="35"/>
        <v>5180</v>
      </c>
      <c r="U49" s="36">
        <f t="shared" si="36"/>
        <v>5181</v>
      </c>
      <c r="V49" s="37">
        <f t="shared" si="37"/>
        <v>5182</v>
      </c>
      <c r="W49" s="37">
        <f t="shared" si="38"/>
        <v>5183</v>
      </c>
      <c r="X49" s="37">
        <f t="shared" si="39"/>
        <v>5184</v>
      </c>
      <c r="Y49" s="37">
        <f t="shared" si="40"/>
        <v>5185</v>
      </c>
      <c r="Z49" s="37">
        <f t="shared" si="41"/>
        <v>5186</v>
      </c>
      <c r="AA49" s="37">
        <f t="shared" si="42"/>
        <v>5187</v>
      </c>
      <c r="AB49" s="37">
        <f t="shared" si="43"/>
        <v>5188</v>
      </c>
      <c r="AC49" s="37">
        <f t="shared" si="44"/>
        <v>5189</v>
      </c>
      <c r="AD49" s="38">
        <f t="shared" si="45"/>
        <v>5190</v>
      </c>
      <c r="AE49" s="36">
        <f t="shared" si="46"/>
        <v>5191</v>
      </c>
      <c r="AF49" s="37">
        <f t="shared" si="47"/>
        <v>5192</v>
      </c>
      <c r="AG49" s="37">
        <f t="shared" si="48"/>
        <v>5193</v>
      </c>
      <c r="AH49" s="37">
        <f t="shared" si="49"/>
        <v>5194</v>
      </c>
      <c r="AI49" s="37">
        <f t="shared" si="50"/>
        <v>5195</v>
      </c>
      <c r="AJ49" s="37">
        <f t="shared" si="51"/>
        <v>5196</v>
      </c>
      <c r="AK49" s="37">
        <f t="shared" si="52"/>
        <v>5197</v>
      </c>
      <c r="AL49" s="37">
        <f t="shared" si="53"/>
        <v>5198</v>
      </c>
      <c r="AM49" s="37">
        <f t="shared" si="54"/>
        <v>5199</v>
      </c>
      <c r="AN49" s="38">
        <f t="shared" si="55"/>
        <v>5200</v>
      </c>
      <c r="AO49" s="36">
        <f t="shared" si="56"/>
        <v>5201</v>
      </c>
      <c r="AP49" s="37">
        <f t="shared" si="57"/>
        <v>5202</v>
      </c>
      <c r="AQ49" s="37">
        <f t="shared" si="58"/>
        <v>5203</v>
      </c>
      <c r="AR49" s="37">
        <f t="shared" si="59"/>
        <v>5204</v>
      </c>
      <c r="AS49" s="37">
        <f t="shared" si="60"/>
        <v>5205</v>
      </c>
      <c r="AT49" s="37">
        <f t="shared" si="61"/>
        <v>5206</v>
      </c>
      <c r="AU49" s="37">
        <f t="shared" si="62"/>
        <v>5207</v>
      </c>
      <c r="AV49" s="37">
        <f t="shared" si="63"/>
        <v>5208</v>
      </c>
      <c r="AW49" s="37">
        <f t="shared" si="64"/>
        <v>5209</v>
      </c>
      <c r="AX49" s="38">
        <f t="shared" si="65"/>
        <v>5210</v>
      </c>
      <c r="AY49" s="36">
        <f t="shared" si="66"/>
        <v>5211</v>
      </c>
      <c r="AZ49" s="37">
        <f t="shared" si="67"/>
        <v>5212</v>
      </c>
      <c r="BA49" s="37">
        <f t="shared" si="68"/>
        <v>5213</v>
      </c>
      <c r="BB49" s="37">
        <f t="shared" si="69"/>
        <v>5214</v>
      </c>
      <c r="BC49" s="37">
        <f t="shared" si="70"/>
        <v>5215</v>
      </c>
      <c r="BD49" s="37">
        <f t="shared" si="71"/>
        <v>5216</v>
      </c>
      <c r="BE49" s="37">
        <f t="shared" si="72"/>
        <v>5217</v>
      </c>
      <c r="BF49" s="37">
        <f t="shared" si="73"/>
        <v>5218</v>
      </c>
      <c r="BG49" s="37">
        <f t="shared" si="74"/>
        <v>5219</v>
      </c>
      <c r="BH49" s="38">
        <f t="shared" si="75"/>
        <v>5220</v>
      </c>
      <c r="BI49" s="36">
        <f t="shared" si="76"/>
        <v>5221</v>
      </c>
      <c r="BJ49" s="37">
        <f t="shared" si="77"/>
        <v>5222</v>
      </c>
      <c r="BK49" s="37">
        <f t="shared" si="78"/>
        <v>5223</v>
      </c>
      <c r="BL49" s="37">
        <f t="shared" si="79"/>
        <v>5224</v>
      </c>
      <c r="BM49" s="37">
        <f t="shared" si="80"/>
        <v>5225</v>
      </c>
      <c r="BN49" s="37">
        <f t="shared" si="81"/>
        <v>5226</v>
      </c>
      <c r="BO49" s="37">
        <f t="shared" si="82"/>
        <v>5227</v>
      </c>
      <c r="BP49" s="37">
        <f t="shared" si="83"/>
        <v>5228</v>
      </c>
      <c r="BQ49" s="37">
        <f t="shared" si="84"/>
        <v>5229</v>
      </c>
      <c r="BR49" s="39">
        <f t="shared" si="85"/>
        <v>5230</v>
      </c>
      <c r="BS49" s="36">
        <f t="shared" si="86"/>
        <v>5231</v>
      </c>
      <c r="BT49" s="37">
        <f t="shared" si="87"/>
        <v>5232</v>
      </c>
      <c r="BU49" s="37">
        <f t="shared" si="88"/>
        <v>5233</v>
      </c>
      <c r="BV49" s="37">
        <f t="shared" si="89"/>
        <v>5234</v>
      </c>
      <c r="BW49" s="37">
        <f t="shared" si="90"/>
        <v>5235</v>
      </c>
      <c r="BX49" s="37">
        <f t="shared" si="91"/>
        <v>5236</v>
      </c>
      <c r="BY49" s="37">
        <f t="shared" si="92"/>
        <v>5237</v>
      </c>
      <c r="BZ49" s="37">
        <f t="shared" si="93"/>
        <v>5238</v>
      </c>
      <c r="CA49" s="37">
        <f t="shared" si="94"/>
        <v>5239</v>
      </c>
      <c r="CB49" s="38">
        <f t="shared" si="95"/>
        <v>5240</v>
      </c>
      <c r="CC49" s="40">
        <f t="shared" si="96"/>
        <v>5241</v>
      </c>
      <c r="CD49" s="37">
        <f t="shared" si="97"/>
        <v>5242</v>
      </c>
      <c r="CE49" s="37">
        <f t="shared" si="98"/>
        <v>5243</v>
      </c>
      <c r="CF49" s="37">
        <f t="shared" si="99"/>
        <v>5244</v>
      </c>
      <c r="CG49" s="37">
        <f t="shared" si="100"/>
        <v>5245</v>
      </c>
      <c r="CH49" s="37">
        <f t="shared" si="101"/>
        <v>5246</v>
      </c>
      <c r="CI49" s="37">
        <f t="shared" si="102"/>
        <v>5247</v>
      </c>
      <c r="CJ49" s="37">
        <f t="shared" si="103"/>
        <v>5248</v>
      </c>
      <c r="CK49" s="37">
        <f t="shared" si="104"/>
        <v>5249</v>
      </c>
      <c r="CL49" s="39">
        <f t="shared" si="105"/>
        <v>5250</v>
      </c>
      <c r="CM49" s="36">
        <f t="shared" si="106"/>
        <v>5251</v>
      </c>
      <c r="CN49" s="37">
        <f t="shared" si="107"/>
        <v>5252</v>
      </c>
      <c r="CO49" s="37">
        <f t="shared" si="108"/>
        <v>5253</v>
      </c>
      <c r="CP49" s="37">
        <f t="shared" si="109"/>
        <v>5254</v>
      </c>
      <c r="CQ49" s="37">
        <f t="shared" si="110"/>
        <v>5255</v>
      </c>
      <c r="CR49" s="37">
        <f t="shared" si="111"/>
        <v>5256</v>
      </c>
      <c r="CS49" s="37">
        <f t="shared" si="112"/>
        <v>5257</v>
      </c>
      <c r="CT49" s="37">
        <f t="shared" si="113"/>
        <v>5258</v>
      </c>
      <c r="CU49" s="37">
        <f t="shared" si="114"/>
        <v>5259</v>
      </c>
      <c r="CV49" s="38">
        <f t="shared" si="115"/>
        <v>5260</v>
      </c>
      <c r="CW49" s="40">
        <f t="shared" si="116"/>
        <v>5261</v>
      </c>
      <c r="CX49" s="37">
        <f t="shared" si="117"/>
        <v>5262</v>
      </c>
      <c r="CY49" s="37">
        <f t="shared" si="118"/>
        <v>5263</v>
      </c>
      <c r="CZ49" s="37">
        <f t="shared" si="119"/>
        <v>5264</v>
      </c>
      <c r="DA49" s="37">
        <f t="shared" si="120"/>
        <v>5265</v>
      </c>
      <c r="DB49" s="37">
        <f t="shared" si="121"/>
        <v>5266</v>
      </c>
      <c r="DC49" s="37">
        <f t="shared" si="122"/>
        <v>5267</v>
      </c>
      <c r="DD49" s="37">
        <f t="shared" si="123"/>
        <v>5268</v>
      </c>
      <c r="DE49" s="37">
        <f t="shared" si="124"/>
        <v>5269</v>
      </c>
      <c r="DF49" s="39">
        <f t="shared" si="125"/>
        <v>5270</v>
      </c>
      <c r="DG49" s="36">
        <f t="shared" si="126"/>
        <v>5271</v>
      </c>
      <c r="DH49" s="37">
        <f t="shared" si="127"/>
        <v>5272</v>
      </c>
      <c r="DI49" s="37">
        <f t="shared" si="128"/>
        <v>5273</v>
      </c>
      <c r="DJ49" s="37">
        <f t="shared" si="129"/>
        <v>5274</v>
      </c>
      <c r="DK49" s="37">
        <f t="shared" si="130"/>
        <v>5275</v>
      </c>
      <c r="DL49" s="37">
        <f t="shared" si="131"/>
        <v>5276</v>
      </c>
      <c r="DM49" s="37">
        <f t="shared" si="132"/>
        <v>5277</v>
      </c>
      <c r="DN49" s="37">
        <f t="shared" si="133"/>
        <v>5278</v>
      </c>
      <c r="DO49" s="37">
        <f t="shared" si="134"/>
        <v>5279</v>
      </c>
      <c r="DP49" s="38">
        <f t="shared" si="135"/>
        <v>5280</v>
      </c>
      <c r="DR49" s="1214"/>
      <c r="DS49" s="1215"/>
      <c r="DT49" s="1215"/>
      <c r="DU49" s="1216"/>
    </row>
    <row r="50" spans="1:125" ht="5.85" customHeight="1" x14ac:dyDescent="0.3">
      <c r="A50" s="36">
        <f t="shared" si="136"/>
        <v>5281</v>
      </c>
      <c r="B50" s="37">
        <f t="shared" si="17"/>
        <v>5282</v>
      </c>
      <c r="C50" s="37">
        <f t="shared" si="18"/>
        <v>5283</v>
      </c>
      <c r="D50" s="37">
        <f t="shared" si="19"/>
        <v>5284</v>
      </c>
      <c r="E50" s="37">
        <f t="shared" si="20"/>
        <v>5285</v>
      </c>
      <c r="F50" s="37">
        <f t="shared" si="21"/>
        <v>5286</v>
      </c>
      <c r="G50" s="37">
        <f t="shared" si="22"/>
        <v>5287</v>
      </c>
      <c r="H50" s="37">
        <f t="shared" si="23"/>
        <v>5288</v>
      </c>
      <c r="I50" s="37">
        <f t="shared" si="24"/>
        <v>5289</v>
      </c>
      <c r="J50" s="38">
        <f t="shared" si="25"/>
        <v>5290</v>
      </c>
      <c r="K50" s="36">
        <f t="shared" si="26"/>
        <v>5291</v>
      </c>
      <c r="L50" s="37">
        <f t="shared" si="27"/>
        <v>5292</v>
      </c>
      <c r="M50" s="37">
        <f t="shared" si="28"/>
        <v>5293</v>
      </c>
      <c r="N50" s="37">
        <f t="shared" si="29"/>
        <v>5294</v>
      </c>
      <c r="O50" s="37">
        <f t="shared" si="30"/>
        <v>5295</v>
      </c>
      <c r="P50" s="37">
        <f t="shared" si="31"/>
        <v>5296</v>
      </c>
      <c r="Q50" s="37">
        <f t="shared" si="32"/>
        <v>5297</v>
      </c>
      <c r="R50" s="37">
        <f t="shared" si="33"/>
        <v>5298</v>
      </c>
      <c r="S50" s="37">
        <f t="shared" si="34"/>
        <v>5299</v>
      </c>
      <c r="T50" s="38">
        <f t="shared" si="35"/>
        <v>5300</v>
      </c>
      <c r="U50" s="36">
        <f t="shared" si="36"/>
        <v>5301</v>
      </c>
      <c r="V50" s="37">
        <f t="shared" si="37"/>
        <v>5302</v>
      </c>
      <c r="W50" s="37">
        <f t="shared" si="38"/>
        <v>5303</v>
      </c>
      <c r="X50" s="37">
        <f t="shared" si="39"/>
        <v>5304</v>
      </c>
      <c r="Y50" s="37">
        <f t="shared" si="40"/>
        <v>5305</v>
      </c>
      <c r="Z50" s="37">
        <f t="shared" si="41"/>
        <v>5306</v>
      </c>
      <c r="AA50" s="37">
        <f t="shared" si="42"/>
        <v>5307</v>
      </c>
      <c r="AB50" s="37">
        <f t="shared" si="43"/>
        <v>5308</v>
      </c>
      <c r="AC50" s="37">
        <f t="shared" si="44"/>
        <v>5309</v>
      </c>
      <c r="AD50" s="38">
        <f t="shared" si="45"/>
        <v>5310</v>
      </c>
      <c r="AE50" s="36">
        <f t="shared" si="46"/>
        <v>5311</v>
      </c>
      <c r="AF50" s="37">
        <f t="shared" si="47"/>
        <v>5312</v>
      </c>
      <c r="AG50" s="37">
        <f t="shared" si="48"/>
        <v>5313</v>
      </c>
      <c r="AH50" s="37">
        <f t="shared" si="49"/>
        <v>5314</v>
      </c>
      <c r="AI50" s="37">
        <f t="shared" si="50"/>
        <v>5315</v>
      </c>
      <c r="AJ50" s="37">
        <f t="shared" si="51"/>
        <v>5316</v>
      </c>
      <c r="AK50" s="37">
        <f t="shared" si="52"/>
        <v>5317</v>
      </c>
      <c r="AL50" s="37">
        <f t="shared" si="53"/>
        <v>5318</v>
      </c>
      <c r="AM50" s="37">
        <f t="shared" si="54"/>
        <v>5319</v>
      </c>
      <c r="AN50" s="38">
        <f t="shared" si="55"/>
        <v>5320</v>
      </c>
      <c r="AO50" s="36">
        <f t="shared" si="56"/>
        <v>5321</v>
      </c>
      <c r="AP50" s="37">
        <f t="shared" si="57"/>
        <v>5322</v>
      </c>
      <c r="AQ50" s="37">
        <f t="shared" si="58"/>
        <v>5323</v>
      </c>
      <c r="AR50" s="37">
        <f t="shared" si="59"/>
        <v>5324</v>
      </c>
      <c r="AS50" s="37">
        <f t="shared" si="60"/>
        <v>5325</v>
      </c>
      <c r="AT50" s="37">
        <f t="shared" si="61"/>
        <v>5326</v>
      </c>
      <c r="AU50" s="37">
        <f t="shared" si="62"/>
        <v>5327</v>
      </c>
      <c r="AV50" s="37">
        <f t="shared" si="63"/>
        <v>5328</v>
      </c>
      <c r="AW50" s="37">
        <f t="shared" si="64"/>
        <v>5329</v>
      </c>
      <c r="AX50" s="38">
        <f t="shared" si="65"/>
        <v>5330</v>
      </c>
      <c r="AY50" s="36">
        <f t="shared" si="66"/>
        <v>5331</v>
      </c>
      <c r="AZ50" s="37">
        <f t="shared" si="67"/>
        <v>5332</v>
      </c>
      <c r="BA50" s="37">
        <f t="shared" si="68"/>
        <v>5333</v>
      </c>
      <c r="BB50" s="37">
        <f t="shared" si="69"/>
        <v>5334</v>
      </c>
      <c r="BC50" s="37">
        <f t="shared" si="70"/>
        <v>5335</v>
      </c>
      <c r="BD50" s="37">
        <f t="shared" si="71"/>
        <v>5336</v>
      </c>
      <c r="BE50" s="37">
        <f t="shared" si="72"/>
        <v>5337</v>
      </c>
      <c r="BF50" s="37">
        <f t="shared" si="73"/>
        <v>5338</v>
      </c>
      <c r="BG50" s="37">
        <f t="shared" si="74"/>
        <v>5339</v>
      </c>
      <c r="BH50" s="38">
        <f t="shared" si="75"/>
        <v>5340</v>
      </c>
      <c r="BI50" s="36">
        <f t="shared" si="76"/>
        <v>5341</v>
      </c>
      <c r="BJ50" s="37">
        <f t="shared" si="77"/>
        <v>5342</v>
      </c>
      <c r="BK50" s="37">
        <f t="shared" si="78"/>
        <v>5343</v>
      </c>
      <c r="BL50" s="37">
        <f t="shared" si="79"/>
        <v>5344</v>
      </c>
      <c r="BM50" s="37">
        <f t="shared" si="80"/>
        <v>5345</v>
      </c>
      <c r="BN50" s="37">
        <f t="shared" si="81"/>
        <v>5346</v>
      </c>
      <c r="BO50" s="37">
        <f t="shared" si="82"/>
        <v>5347</v>
      </c>
      <c r="BP50" s="37">
        <f t="shared" si="83"/>
        <v>5348</v>
      </c>
      <c r="BQ50" s="37">
        <f t="shared" si="84"/>
        <v>5349</v>
      </c>
      <c r="BR50" s="39">
        <f t="shared" si="85"/>
        <v>5350</v>
      </c>
      <c r="BS50" s="36">
        <f t="shared" si="86"/>
        <v>5351</v>
      </c>
      <c r="BT50" s="37">
        <f t="shared" si="87"/>
        <v>5352</v>
      </c>
      <c r="BU50" s="37">
        <f t="shared" si="88"/>
        <v>5353</v>
      </c>
      <c r="BV50" s="37">
        <f t="shared" si="89"/>
        <v>5354</v>
      </c>
      <c r="BW50" s="37">
        <f t="shared" si="90"/>
        <v>5355</v>
      </c>
      <c r="BX50" s="37">
        <f t="shared" si="91"/>
        <v>5356</v>
      </c>
      <c r="BY50" s="37">
        <f t="shared" si="92"/>
        <v>5357</v>
      </c>
      <c r="BZ50" s="37">
        <f t="shared" si="93"/>
        <v>5358</v>
      </c>
      <c r="CA50" s="37">
        <f t="shared" si="94"/>
        <v>5359</v>
      </c>
      <c r="CB50" s="38">
        <f t="shared" si="95"/>
        <v>5360</v>
      </c>
      <c r="CC50" s="40">
        <f t="shared" si="96"/>
        <v>5361</v>
      </c>
      <c r="CD50" s="37">
        <f t="shared" si="97"/>
        <v>5362</v>
      </c>
      <c r="CE50" s="37">
        <f t="shared" si="98"/>
        <v>5363</v>
      </c>
      <c r="CF50" s="37">
        <f t="shared" si="99"/>
        <v>5364</v>
      </c>
      <c r="CG50" s="37">
        <f t="shared" si="100"/>
        <v>5365</v>
      </c>
      <c r="CH50" s="37">
        <f t="shared" si="101"/>
        <v>5366</v>
      </c>
      <c r="CI50" s="37">
        <f t="shared" si="102"/>
        <v>5367</v>
      </c>
      <c r="CJ50" s="37">
        <f t="shared" si="103"/>
        <v>5368</v>
      </c>
      <c r="CK50" s="37">
        <f t="shared" si="104"/>
        <v>5369</v>
      </c>
      <c r="CL50" s="39">
        <f t="shared" si="105"/>
        <v>5370</v>
      </c>
      <c r="CM50" s="36">
        <f t="shared" si="106"/>
        <v>5371</v>
      </c>
      <c r="CN50" s="37">
        <f t="shared" si="107"/>
        <v>5372</v>
      </c>
      <c r="CO50" s="37">
        <f t="shared" si="108"/>
        <v>5373</v>
      </c>
      <c r="CP50" s="37">
        <f t="shared" si="109"/>
        <v>5374</v>
      </c>
      <c r="CQ50" s="37">
        <f t="shared" si="110"/>
        <v>5375</v>
      </c>
      <c r="CR50" s="37">
        <f t="shared" si="111"/>
        <v>5376</v>
      </c>
      <c r="CS50" s="37">
        <f t="shared" si="112"/>
        <v>5377</v>
      </c>
      <c r="CT50" s="37">
        <f t="shared" si="113"/>
        <v>5378</v>
      </c>
      <c r="CU50" s="37">
        <f t="shared" si="114"/>
        <v>5379</v>
      </c>
      <c r="CV50" s="38">
        <f t="shared" si="115"/>
        <v>5380</v>
      </c>
      <c r="CW50" s="40">
        <f t="shared" si="116"/>
        <v>5381</v>
      </c>
      <c r="CX50" s="37">
        <f t="shared" si="117"/>
        <v>5382</v>
      </c>
      <c r="CY50" s="37">
        <f t="shared" si="118"/>
        <v>5383</v>
      </c>
      <c r="CZ50" s="37">
        <f t="shared" si="119"/>
        <v>5384</v>
      </c>
      <c r="DA50" s="37">
        <f t="shared" si="120"/>
        <v>5385</v>
      </c>
      <c r="DB50" s="37">
        <f t="shared" si="121"/>
        <v>5386</v>
      </c>
      <c r="DC50" s="37">
        <f t="shared" si="122"/>
        <v>5387</v>
      </c>
      <c r="DD50" s="37">
        <f t="shared" si="123"/>
        <v>5388</v>
      </c>
      <c r="DE50" s="37">
        <f t="shared" si="124"/>
        <v>5389</v>
      </c>
      <c r="DF50" s="39">
        <f t="shared" si="125"/>
        <v>5390</v>
      </c>
      <c r="DG50" s="36">
        <f t="shared" si="126"/>
        <v>5391</v>
      </c>
      <c r="DH50" s="37">
        <f t="shared" si="127"/>
        <v>5392</v>
      </c>
      <c r="DI50" s="37">
        <f t="shared" si="128"/>
        <v>5393</v>
      </c>
      <c r="DJ50" s="37">
        <f t="shared" si="129"/>
        <v>5394</v>
      </c>
      <c r="DK50" s="37">
        <f t="shared" si="130"/>
        <v>5395</v>
      </c>
      <c r="DL50" s="37">
        <f t="shared" si="131"/>
        <v>5396</v>
      </c>
      <c r="DM50" s="37">
        <f t="shared" si="132"/>
        <v>5397</v>
      </c>
      <c r="DN50" s="37">
        <f t="shared" si="133"/>
        <v>5398</v>
      </c>
      <c r="DO50" s="37">
        <f t="shared" si="134"/>
        <v>5399</v>
      </c>
      <c r="DP50" s="38">
        <f t="shared" si="135"/>
        <v>5400</v>
      </c>
      <c r="DR50" s="1214"/>
      <c r="DS50" s="1215"/>
      <c r="DT50" s="1215"/>
      <c r="DU50" s="1216"/>
    </row>
    <row r="51" spans="1:125" ht="5.85" customHeight="1" x14ac:dyDescent="0.3">
      <c r="A51" s="36">
        <f t="shared" si="136"/>
        <v>5401</v>
      </c>
      <c r="B51" s="37">
        <f t="shared" si="17"/>
        <v>5402</v>
      </c>
      <c r="C51" s="37">
        <f t="shared" si="18"/>
        <v>5403</v>
      </c>
      <c r="D51" s="37">
        <f t="shared" si="19"/>
        <v>5404</v>
      </c>
      <c r="E51" s="37">
        <f t="shared" si="20"/>
        <v>5405</v>
      </c>
      <c r="F51" s="37">
        <f t="shared" si="21"/>
        <v>5406</v>
      </c>
      <c r="G51" s="37">
        <f t="shared" si="22"/>
        <v>5407</v>
      </c>
      <c r="H51" s="37">
        <f t="shared" si="23"/>
        <v>5408</v>
      </c>
      <c r="I51" s="37">
        <f t="shared" si="24"/>
        <v>5409</v>
      </c>
      <c r="J51" s="38">
        <f t="shared" si="25"/>
        <v>5410</v>
      </c>
      <c r="K51" s="36">
        <f t="shared" si="26"/>
        <v>5411</v>
      </c>
      <c r="L51" s="37">
        <f t="shared" si="27"/>
        <v>5412</v>
      </c>
      <c r="M51" s="37">
        <f t="shared" si="28"/>
        <v>5413</v>
      </c>
      <c r="N51" s="37">
        <f t="shared" si="29"/>
        <v>5414</v>
      </c>
      <c r="O51" s="37">
        <f t="shared" si="30"/>
        <v>5415</v>
      </c>
      <c r="P51" s="37">
        <f t="shared" si="31"/>
        <v>5416</v>
      </c>
      <c r="Q51" s="37">
        <f t="shared" si="32"/>
        <v>5417</v>
      </c>
      <c r="R51" s="37">
        <f t="shared" si="33"/>
        <v>5418</v>
      </c>
      <c r="S51" s="37">
        <f t="shared" si="34"/>
        <v>5419</v>
      </c>
      <c r="T51" s="38">
        <f t="shared" si="35"/>
        <v>5420</v>
      </c>
      <c r="U51" s="36">
        <f t="shared" si="36"/>
        <v>5421</v>
      </c>
      <c r="V51" s="37">
        <f t="shared" si="37"/>
        <v>5422</v>
      </c>
      <c r="W51" s="37">
        <f t="shared" si="38"/>
        <v>5423</v>
      </c>
      <c r="X51" s="37">
        <f t="shared" si="39"/>
        <v>5424</v>
      </c>
      <c r="Y51" s="37">
        <f t="shared" si="40"/>
        <v>5425</v>
      </c>
      <c r="Z51" s="37">
        <f t="shared" si="41"/>
        <v>5426</v>
      </c>
      <c r="AA51" s="37">
        <f t="shared" si="42"/>
        <v>5427</v>
      </c>
      <c r="AB51" s="37">
        <f t="shared" si="43"/>
        <v>5428</v>
      </c>
      <c r="AC51" s="37">
        <f t="shared" si="44"/>
        <v>5429</v>
      </c>
      <c r="AD51" s="38">
        <f t="shared" si="45"/>
        <v>5430</v>
      </c>
      <c r="AE51" s="36">
        <f t="shared" si="46"/>
        <v>5431</v>
      </c>
      <c r="AF51" s="37">
        <f t="shared" si="47"/>
        <v>5432</v>
      </c>
      <c r="AG51" s="37">
        <f t="shared" si="48"/>
        <v>5433</v>
      </c>
      <c r="AH51" s="37">
        <f t="shared" si="49"/>
        <v>5434</v>
      </c>
      <c r="AI51" s="37">
        <f t="shared" si="50"/>
        <v>5435</v>
      </c>
      <c r="AJ51" s="37">
        <f t="shared" si="51"/>
        <v>5436</v>
      </c>
      <c r="AK51" s="37">
        <f t="shared" si="52"/>
        <v>5437</v>
      </c>
      <c r="AL51" s="37">
        <f t="shared" si="53"/>
        <v>5438</v>
      </c>
      <c r="AM51" s="37">
        <f t="shared" si="54"/>
        <v>5439</v>
      </c>
      <c r="AN51" s="38">
        <f t="shared" si="55"/>
        <v>5440</v>
      </c>
      <c r="AO51" s="36">
        <f t="shared" si="56"/>
        <v>5441</v>
      </c>
      <c r="AP51" s="37">
        <f t="shared" si="57"/>
        <v>5442</v>
      </c>
      <c r="AQ51" s="37">
        <f t="shared" si="58"/>
        <v>5443</v>
      </c>
      <c r="AR51" s="37">
        <f t="shared" si="59"/>
        <v>5444</v>
      </c>
      <c r="AS51" s="37">
        <f t="shared" si="60"/>
        <v>5445</v>
      </c>
      <c r="AT51" s="37">
        <f t="shared" si="61"/>
        <v>5446</v>
      </c>
      <c r="AU51" s="37">
        <f t="shared" si="62"/>
        <v>5447</v>
      </c>
      <c r="AV51" s="37">
        <f t="shared" si="63"/>
        <v>5448</v>
      </c>
      <c r="AW51" s="37">
        <f t="shared" si="64"/>
        <v>5449</v>
      </c>
      <c r="AX51" s="38">
        <f t="shared" si="65"/>
        <v>5450</v>
      </c>
      <c r="AY51" s="36">
        <f t="shared" si="66"/>
        <v>5451</v>
      </c>
      <c r="AZ51" s="37">
        <f t="shared" si="67"/>
        <v>5452</v>
      </c>
      <c r="BA51" s="37">
        <f t="shared" si="68"/>
        <v>5453</v>
      </c>
      <c r="BB51" s="37">
        <f t="shared" si="69"/>
        <v>5454</v>
      </c>
      <c r="BC51" s="37">
        <f t="shared" si="70"/>
        <v>5455</v>
      </c>
      <c r="BD51" s="37">
        <f t="shared" si="71"/>
        <v>5456</v>
      </c>
      <c r="BE51" s="37">
        <f t="shared" si="72"/>
        <v>5457</v>
      </c>
      <c r="BF51" s="37">
        <f t="shared" si="73"/>
        <v>5458</v>
      </c>
      <c r="BG51" s="37">
        <f t="shared" si="74"/>
        <v>5459</v>
      </c>
      <c r="BH51" s="38">
        <f t="shared" si="75"/>
        <v>5460</v>
      </c>
      <c r="BI51" s="36">
        <f t="shared" si="76"/>
        <v>5461</v>
      </c>
      <c r="BJ51" s="37">
        <f t="shared" si="77"/>
        <v>5462</v>
      </c>
      <c r="BK51" s="37">
        <f t="shared" si="78"/>
        <v>5463</v>
      </c>
      <c r="BL51" s="37">
        <f t="shared" si="79"/>
        <v>5464</v>
      </c>
      <c r="BM51" s="37">
        <f t="shared" si="80"/>
        <v>5465</v>
      </c>
      <c r="BN51" s="37">
        <f t="shared" si="81"/>
        <v>5466</v>
      </c>
      <c r="BO51" s="37">
        <f t="shared" si="82"/>
        <v>5467</v>
      </c>
      <c r="BP51" s="37">
        <f t="shared" si="83"/>
        <v>5468</v>
      </c>
      <c r="BQ51" s="37">
        <f t="shared" si="84"/>
        <v>5469</v>
      </c>
      <c r="BR51" s="39">
        <f t="shared" si="85"/>
        <v>5470</v>
      </c>
      <c r="BS51" s="36">
        <f t="shared" si="86"/>
        <v>5471</v>
      </c>
      <c r="BT51" s="37">
        <f t="shared" si="87"/>
        <v>5472</v>
      </c>
      <c r="BU51" s="37">
        <f t="shared" si="88"/>
        <v>5473</v>
      </c>
      <c r="BV51" s="37">
        <f t="shared" si="89"/>
        <v>5474</v>
      </c>
      <c r="BW51" s="37">
        <f t="shared" si="90"/>
        <v>5475</v>
      </c>
      <c r="BX51" s="37">
        <f t="shared" si="91"/>
        <v>5476</v>
      </c>
      <c r="BY51" s="37">
        <f t="shared" si="92"/>
        <v>5477</v>
      </c>
      <c r="BZ51" s="37">
        <f t="shared" si="93"/>
        <v>5478</v>
      </c>
      <c r="CA51" s="37">
        <f t="shared" si="94"/>
        <v>5479</v>
      </c>
      <c r="CB51" s="38">
        <f t="shared" si="95"/>
        <v>5480</v>
      </c>
      <c r="CC51" s="40">
        <f t="shared" si="96"/>
        <v>5481</v>
      </c>
      <c r="CD51" s="37">
        <f t="shared" si="97"/>
        <v>5482</v>
      </c>
      <c r="CE51" s="37">
        <f t="shared" si="98"/>
        <v>5483</v>
      </c>
      <c r="CF51" s="37">
        <f t="shared" si="99"/>
        <v>5484</v>
      </c>
      <c r="CG51" s="37">
        <f t="shared" si="100"/>
        <v>5485</v>
      </c>
      <c r="CH51" s="37">
        <f t="shared" si="101"/>
        <v>5486</v>
      </c>
      <c r="CI51" s="37">
        <f t="shared" si="102"/>
        <v>5487</v>
      </c>
      <c r="CJ51" s="37">
        <f t="shared" si="103"/>
        <v>5488</v>
      </c>
      <c r="CK51" s="37">
        <f t="shared" si="104"/>
        <v>5489</v>
      </c>
      <c r="CL51" s="39">
        <f t="shared" si="105"/>
        <v>5490</v>
      </c>
      <c r="CM51" s="36">
        <f t="shared" si="106"/>
        <v>5491</v>
      </c>
      <c r="CN51" s="37">
        <f t="shared" si="107"/>
        <v>5492</v>
      </c>
      <c r="CO51" s="37">
        <f t="shared" si="108"/>
        <v>5493</v>
      </c>
      <c r="CP51" s="37">
        <f t="shared" si="109"/>
        <v>5494</v>
      </c>
      <c r="CQ51" s="37">
        <f t="shared" si="110"/>
        <v>5495</v>
      </c>
      <c r="CR51" s="37">
        <f t="shared" si="111"/>
        <v>5496</v>
      </c>
      <c r="CS51" s="37">
        <f t="shared" si="112"/>
        <v>5497</v>
      </c>
      <c r="CT51" s="37">
        <f t="shared" si="113"/>
        <v>5498</v>
      </c>
      <c r="CU51" s="37">
        <f t="shared" si="114"/>
        <v>5499</v>
      </c>
      <c r="CV51" s="38">
        <f t="shared" si="115"/>
        <v>5500</v>
      </c>
      <c r="CW51" s="40">
        <f t="shared" si="116"/>
        <v>5501</v>
      </c>
      <c r="CX51" s="37">
        <f t="shared" si="117"/>
        <v>5502</v>
      </c>
      <c r="CY51" s="37">
        <f t="shared" si="118"/>
        <v>5503</v>
      </c>
      <c r="CZ51" s="37">
        <f t="shared" si="119"/>
        <v>5504</v>
      </c>
      <c r="DA51" s="37">
        <f t="shared" si="120"/>
        <v>5505</v>
      </c>
      <c r="DB51" s="37">
        <f t="shared" si="121"/>
        <v>5506</v>
      </c>
      <c r="DC51" s="37">
        <f t="shared" si="122"/>
        <v>5507</v>
      </c>
      <c r="DD51" s="37">
        <f t="shared" si="123"/>
        <v>5508</v>
      </c>
      <c r="DE51" s="37">
        <f t="shared" si="124"/>
        <v>5509</v>
      </c>
      <c r="DF51" s="39">
        <f t="shared" si="125"/>
        <v>5510</v>
      </c>
      <c r="DG51" s="36">
        <f t="shared" si="126"/>
        <v>5511</v>
      </c>
      <c r="DH51" s="37">
        <f t="shared" si="127"/>
        <v>5512</v>
      </c>
      <c r="DI51" s="37">
        <f t="shared" si="128"/>
        <v>5513</v>
      </c>
      <c r="DJ51" s="37">
        <f t="shared" si="129"/>
        <v>5514</v>
      </c>
      <c r="DK51" s="37">
        <f t="shared" si="130"/>
        <v>5515</v>
      </c>
      <c r="DL51" s="37">
        <f t="shared" si="131"/>
        <v>5516</v>
      </c>
      <c r="DM51" s="37">
        <f t="shared" si="132"/>
        <v>5517</v>
      </c>
      <c r="DN51" s="37">
        <f t="shared" si="133"/>
        <v>5518</v>
      </c>
      <c r="DO51" s="37">
        <f t="shared" si="134"/>
        <v>5519</v>
      </c>
      <c r="DP51" s="38">
        <f t="shared" si="135"/>
        <v>5520</v>
      </c>
      <c r="DR51" s="1214">
        <v>50</v>
      </c>
      <c r="DS51" s="1215"/>
      <c r="DT51" s="1215"/>
      <c r="DU51" s="1216"/>
    </row>
    <row r="52" spans="1:125" ht="5.85" customHeight="1" x14ac:dyDescent="0.3">
      <c r="A52" s="36">
        <f t="shared" si="136"/>
        <v>5521</v>
      </c>
      <c r="B52" s="37">
        <f t="shared" si="17"/>
        <v>5522</v>
      </c>
      <c r="C52" s="37">
        <f t="shared" si="18"/>
        <v>5523</v>
      </c>
      <c r="D52" s="37">
        <f t="shared" si="19"/>
        <v>5524</v>
      </c>
      <c r="E52" s="37">
        <f t="shared" si="20"/>
        <v>5525</v>
      </c>
      <c r="F52" s="37">
        <f t="shared" si="21"/>
        <v>5526</v>
      </c>
      <c r="G52" s="37">
        <f t="shared" si="22"/>
        <v>5527</v>
      </c>
      <c r="H52" s="37">
        <f t="shared" si="23"/>
        <v>5528</v>
      </c>
      <c r="I52" s="37">
        <f t="shared" si="24"/>
        <v>5529</v>
      </c>
      <c r="J52" s="38">
        <f t="shared" si="25"/>
        <v>5530</v>
      </c>
      <c r="K52" s="36">
        <f t="shared" si="26"/>
        <v>5531</v>
      </c>
      <c r="L52" s="37">
        <f t="shared" si="27"/>
        <v>5532</v>
      </c>
      <c r="M52" s="37">
        <f t="shared" si="28"/>
        <v>5533</v>
      </c>
      <c r="N52" s="37">
        <f t="shared" si="29"/>
        <v>5534</v>
      </c>
      <c r="O52" s="37">
        <f t="shared" si="30"/>
        <v>5535</v>
      </c>
      <c r="P52" s="37">
        <f t="shared" si="31"/>
        <v>5536</v>
      </c>
      <c r="Q52" s="37">
        <f t="shared" si="32"/>
        <v>5537</v>
      </c>
      <c r="R52" s="37">
        <f t="shared" si="33"/>
        <v>5538</v>
      </c>
      <c r="S52" s="37">
        <f t="shared" si="34"/>
        <v>5539</v>
      </c>
      <c r="T52" s="38">
        <f t="shared" si="35"/>
        <v>5540</v>
      </c>
      <c r="U52" s="36">
        <f t="shared" si="36"/>
        <v>5541</v>
      </c>
      <c r="V52" s="37">
        <f t="shared" si="37"/>
        <v>5542</v>
      </c>
      <c r="W52" s="37">
        <f t="shared" si="38"/>
        <v>5543</v>
      </c>
      <c r="X52" s="37">
        <f t="shared" si="39"/>
        <v>5544</v>
      </c>
      <c r="Y52" s="37">
        <f t="shared" si="40"/>
        <v>5545</v>
      </c>
      <c r="Z52" s="37">
        <f t="shared" si="41"/>
        <v>5546</v>
      </c>
      <c r="AA52" s="37">
        <f t="shared" si="42"/>
        <v>5547</v>
      </c>
      <c r="AB52" s="37">
        <f t="shared" si="43"/>
        <v>5548</v>
      </c>
      <c r="AC52" s="37">
        <f t="shared" si="44"/>
        <v>5549</v>
      </c>
      <c r="AD52" s="38">
        <f t="shared" si="45"/>
        <v>5550</v>
      </c>
      <c r="AE52" s="36">
        <f t="shared" si="46"/>
        <v>5551</v>
      </c>
      <c r="AF52" s="37">
        <f t="shared" si="47"/>
        <v>5552</v>
      </c>
      <c r="AG52" s="37">
        <f t="shared" si="48"/>
        <v>5553</v>
      </c>
      <c r="AH52" s="37">
        <f t="shared" si="49"/>
        <v>5554</v>
      </c>
      <c r="AI52" s="37">
        <f t="shared" si="50"/>
        <v>5555</v>
      </c>
      <c r="AJ52" s="37">
        <f t="shared" si="51"/>
        <v>5556</v>
      </c>
      <c r="AK52" s="37">
        <f t="shared" si="52"/>
        <v>5557</v>
      </c>
      <c r="AL52" s="37">
        <f t="shared" si="53"/>
        <v>5558</v>
      </c>
      <c r="AM52" s="37">
        <f t="shared" si="54"/>
        <v>5559</v>
      </c>
      <c r="AN52" s="38">
        <f t="shared" si="55"/>
        <v>5560</v>
      </c>
      <c r="AO52" s="36">
        <f t="shared" si="56"/>
        <v>5561</v>
      </c>
      <c r="AP52" s="37">
        <f t="shared" si="57"/>
        <v>5562</v>
      </c>
      <c r="AQ52" s="37">
        <f t="shared" si="58"/>
        <v>5563</v>
      </c>
      <c r="AR52" s="37">
        <f t="shared" si="59"/>
        <v>5564</v>
      </c>
      <c r="AS52" s="37">
        <f t="shared" si="60"/>
        <v>5565</v>
      </c>
      <c r="AT52" s="37">
        <f t="shared" si="61"/>
        <v>5566</v>
      </c>
      <c r="AU52" s="37">
        <f t="shared" si="62"/>
        <v>5567</v>
      </c>
      <c r="AV52" s="37">
        <f t="shared" si="63"/>
        <v>5568</v>
      </c>
      <c r="AW52" s="37">
        <f t="shared" si="64"/>
        <v>5569</v>
      </c>
      <c r="AX52" s="38">
        <f t="shared" si="65"/>
        <v>5570</v>
      </c>
      <c r="AY52" s="36">
        <f t="shared" si="66"/>
        <v>5571</v>
      </c>
      <c r="AZ52" s="37">
        <f t="shared" si="67"/>
        <v>5572</v>
      </c>
      <c r="BA52" s="37">
        <f t="shared" si="68"/>
        <v>5573</v>
      </c>
      <c r="BB52" s="37">
        <f t="shared" si="69"/>
        <v>5574</v>
      </c>
      <c r="BC52" s="37">
        <f t="shared" si="70"/>
        <v>5575</v>
      </c>
      <c r="BD52" s="37">
        <f t="shared" si="71"/>
        <v>5576</v>
      </c>
      <c r="BE52" s="37">
        <f t="shared" si="72"/>
        <v>5577</v>
      </c>
      <c r="BF52" s="37">
        <f t="shared" si="73"/>
        <v>5578</v>
      </c>
      <c r="BG52" s="37">
        <f t="shared" si="74"/>
        <v>5579</v>
      </c>
      <c r="BH52" s="38">
        <f t="shared" si="75"/>
        <v>5580</v>
      </c>
      <c r="BI52" s="36">
        <f t="shared" si="76"/>
        <v>5581</v>
      </c>
      <c r="BJ52" s="37">
        <f t="shared" si="77"/>
        <v>5582</v>
      </c>
      <c r="BK52" s="37">
        <f t="shared" si="78"/>
        <v>5583</v>
      </c>
      <c r="BL52" s="37">
        <f t="shared" si="79"/>
        <v>5584</v>
      </c>
      <c r="BM52" s="37">
        <f t="shared" si="80"/>
        <v>5585</v>
      </c>
      <c r="BN52" s="37">
        <f t="shared" si="81"/>
        <v>5586</v>
      </c>
      <c r="BO52" s="37">
        <f t="shared" si="82"/>
        <v>5587</v>
      </c>
      <c r="BP52" s="37">
        <f t="shared" si="83"/>
        <v>5588</v>
      </c>
      <c r="BQ52" s="37">
        <f t="shared" si="84"/>
        <v>5589</v>
      </c>
      <c r="BR52" s="39">
        <f t="shared" si="85"/>
        <v>5590</v>
      </c>
      <c r="BS52" s="36">
        <f t="shared" si="86"/>
        <v>5591</v>
      </c>
      <c r="BT52" s="37">
        <f t="shared" si="87"/>
        <v>5592</v>
      </c>
      <c r="BU52" s="37">
        <f t="shared" si="88"/>
        <v>5593</v>
      </c>
      <c r="BV52" s="37">
        <f t="shared" si="89"/>
        <v>5594</v>
      </c>
      <c r="BW52" s="37">
        <f t="shared" si="90"/>
        <v>5595</v>
      </c>
      <c r="BX52" s="37">
        <f t="shared" si="91"/>
        <v>5596</v>
      </c>
      <c r="BY52" s="37">
        <f t="shared" si="92"/>
        <v>5597</v>
      </c>
      <c r="BZ52" s="37">
        <f t="shared" si="93"/>
        <v>5598</v>
      </c>
      <c r="CA52" s="37">
        <f t="shared" si="94"/>
        <v>5599</v>
      </c>
      <c r="CB52" s="38">
        <f t="shared" si="95"/>
        <v>5600</v>
      </c>
      <c r="CC52" s="40">
        <f t="shared" si="96"/>
        <v>5601</v>
      </c>
      <c r="CD52" s="37">
        <f t="shared" si="97"/>
        <v>5602</v>
      </c>
      <c r="CE52" s="37">
        <f t="shared" si="98"/>
        <v>5603</v>
      </c>
      <c r="CF52" s="37">
        <f t="shared" si="99"/>
        <v>5604</v>
      </c>
      <c r="CG52" s="37">
        <f t="shared" si="100"/>
        <v>5605</v>
      </c>
      <c r="CH52" s="37">
        <f t="shared" si="101"/>
        <v>5606</v>
      </c>
      <c r="CI52" s="37">
        <f t="shared" si="102"/>
        <v>5607</v>
      </c>
      <c r="CJ52" s="37">
        <f t="shared" si="103"/>
        <v>5608</v>
      </c>
      <c r="CK52" s="37">
        <f t="shared" si="104"/>
        <v>5609</v>
      </c>
      <c r="CL52" s="39">
        <f t="shared" si="105"/>
        <v>5610</v>
      </c>
      <c r="CM52" s="36">
        <f t="shared" si="106"/>
        <v>5611</v>
      </c>
      <c r="CN52" s="37">
        <f t="shared" si="107"/>
        <v>5612</v>
      </c>
      <c r="CO52" s="37">
        <f t="shared" si="108"/>
        <v>5613</v>
      </c>
      <c r="CP52" s="37">
        <f t="shared" si="109"/>
        <v>5614</v>
      </c>
      <c r="CQ52" s="37">
        <f t="shared" si="110"/>
        <v>5615</v>
      </c>
      <c r="CR52" s="37">
        <f t="shared" si="111"/>
        <v>5616</v>
      </c>
      <c r="CS52" s="37">
        <f t="shared" si="112"/>
        <v>5617</v>
      </c>
      <c r="CT52" s="37">
        <f t="shared" si="113"/>
        <v>5618</v>
      </c>
      <c r="CU52" s="37">
        <f t="shared" si="114"/>
        <v>5619</v>
      </c>
      <c r="CV52" s="38">
        <f t="shared" si="115"/>
        <v>5620</v>
      </c>
      <c r="CW52" s="40">
        <f t="shared" si="116"/>
        <v>5621</v>
      </c>
      <c r="CX52" s="37">
        <f t="shared" si="117"/>
        <v>5622</v>
      </c>
      <c r="CY52" s="37">
        <f t="shared" si="118"/>
        <v>5623</v>
      </c>
      <c r="CZ52" s="37">
        <f t="shared" si="119"/>
        <v>5624</v>
      </c>
      <c r="DA52" s="37">
        <f t="shared" si="120"/>
        <v>5625</v>
      </c>
      <c r="DB52" s="37">
        <f t="shared" si="121"/>
        <v>5626</v>
      </c>
      <c r="DC52" s="37">
        <f t="shared" si="122"/>
        <v>5627</v>
      </c>
      <c r="DD52" s="37">
        <f t="shared" si="123"/>
        <v>5628</v>
      </c>
      <c r="DE52" s="37">
        <f t="shared" si="124"/>
        <v>5629</v>
      </c>
      <c r="DF52" s="39">
        <f t="shared" si="125"/>
        <v>5630</v>
      </c>
      <c r="DG52" s="36">
        <f t="shared" si="126"/>
        <v>5631</v>
      </c>
      <c r="DH52" s="37">
        <f t="shared" si="127"/>
        <v>5632</v>
      </c>
      <c r="DI52" s="37">
        <f t="shared" si="128"/>
        <v>5633</v>
      </c>
      <c r="DJ52" s="37">
        <f t="shared" si="129"/>
        <v>5634</v>
      </c>
      <c r="DK52" s="37">
        <f t="shared" si="130"/>
        <v>5635</v>
      </c>
      <c r="DL52" s="37">
        <f t="shared" si="131"/>
        <v>5636</v>
      </c>
      <c r="DM52" s="37">
        <f t="shared" si="132"/>
        <v>5637</v>
      </c>
      <c r="DN52" s="37">
        <f t="shared" si="133"/>
        <v>5638</v>
      </c>
      <c r="DO52" s="37">
        <f t="shared" si="134"/>
        <v>5639</v>
      </c>
      <c r="DP52" s="38">
        <f t="shared" si="135"/>
        <v>5640</v>
      </c>
      <c r="DR52" s="1214"/>
      <c r="DS52" s="1215"/>
      <c r="DT52" s="1215"/>
      <c r="DU52" s="1216"/>
    </row>
    <row r="53" spans="1:125" ht="5.85" customHeight="1" x14ac:dyDescent="0.3">
      <c r="A53" s="36">
        <f t="shared" si="136"/>
        <v>5641</v>
      </c>
      <c r="B53" s="37">
        <f t="shared" si="17"/>
        <v>5642</v>
      </c>
      <c r="C53" s="37">
        <f t="shared" si="18"/>
        <v>5643</v>
      </c>
      <c r="D53" s="37">
        <f t="shared" si="19"/>
        <v>5644</v>
      </c>
      <c r="E53" s="37">
        <f t="shared" si="20"/>
        <v>5645</v>
      </c>
      <c r="F53" s="37">
        <f t="shared" si="21"/>
        <v>5646</v>
      </c>
      <c r="G53" s="37">
        <f t="shared" si="22"/>
        <v>5647</v>
      </c>
      <c r="H53" s="37">
        <f t="shared" si="23"/>
        <v>5648</v>
      </c>
      <c r="I53" s="37">
        <f t="shared" si="24"/>
        <v>5649</v>
      </c>
      <c r="J53" s="38">
        <f t="shared" si="25"/>
        <v>5650</v>
      </c>
      <c r="K53" s="36">
        <f t="shared" si="26"/>
        <v>5651</v>
      </c>
      <c r="L53" s="37">
        <f t="shared" si="27"/>
        <v>5652</v>
      </c>
      <c r="M53" s="37">
        <f t="shared" si="28"/>
        <v>5653</v>
      </c>
      <c r="N53" s="37">
        <f t="shared" si="29"/>
        <v>5654</v>
      </c>
      <c r="O53" s="37">
        <f t="shared" si="30"/>
        <v>5655</v>
      </c>
      <c r="P53" s="37">
        <f t="shared" si="31"/>
        <v>5656</v>
      </c>
      <c r="Q53" s="37">
        <f t="shared" si="32"/>
        <v>5657</v>
      </c>
      <c r="R53" s="37">
        <f t="shared" si="33"/>
        <v>5658</v>
      </c>
      <c r="S53" s="37">
        <f t="shared" si="34"/>
        <v>5659</v>
      </c>
      <c r="T53" s="38">
        <f t="shared" si="35"/>
        <v>5660</v>
      </c>
      <c r="U53" s="36">
        <f t="shared" si="36"/>
        <v>5661</v>
      </c>
      <c r="V53" s="37">
        <f t="shared" si="37"/>
        <v>5662</v>
      </c>
      <c r="W53" s="37">
        <f t="shared" si="38"/>
        <v>5663</v>
      </c>
      <c r="X53" s="37">
        <f t="shared" si="39"/>
        <v>5664</v>
      </c>
      <c r="Y53" s="37">
        <f t="shared" si="40"/>
        <v>5665</v>
      </c>
      <c r="Z53" s="37">
        <f t="shared" si="41"/>
        <v>5666</v>
      </c>
      <c r="AA53" s="37">
        <f t="shared" si="42"/>
        <v>5667</v>
      </c>
      <c r="AB53" s="37">
        <f t="shared" si="43"/>
        <v>5668</v>
      </c>
      <c r="AC53" s="37">
        <f t="shared" si="44"/>
        <v>5669</v>
      </c>
      <c r="AD53" s="38">
        <f t="shared" si="45"/>
        <v>5670</v>
      </c>
      <c r="AE53" s="36">
        <f t="shared" si="46"/>
        <v>5671</v>
      </c>
      <c r="AF53" s="37">
        <f t="shared" si="47"/>
        <v>5672</v>
      </c>
      <c r="AG53" s="37">
        <f t="shared" si="48"/>
        <v>5673</v>
      </c>
      <c r="AH53" s="37">
        <f t="shared" si="49"/>
        <v>5674</v>
      </c>
      <c r="AI53" s="37">
        <f t="shared" si="50"/>
        <v>5675</v>
      </c>
      <c r="AJ53" s="37">
        <f t="shared" si="51"/>
        <v>5676</v>
      </c>
      <c r="AK53" s="37">
        <f t="shared" si="52"/>
        <v>5677</v>
      </c>
      <c r="AL53" s="37">
        <f t="shared" si="53"/>
        <v>5678</v>
      </c>
      <c r="AM53" s="37">
        <f t="shared" si="54"/>
        <v>5679</v>
      </c>
      <c r="AN53" s="38">
        <f t="shared" si="55"/>
        <v>5680</v>
      </c>
      <c r="AO53" s="36">
        <f t="shared" si="56"/>
        <v>5681</v>
      </c>
      <c r="AP53" s="37">
        <f t="shared" si="57"/>
        <v>5682</v>
      </c>
      <c r="AQ53" s="37">
        <f t="shared" si="58"/>
        <v>5683</v>
      </c>
      <c r="AR53" s="37">
        <f t="shared" si="59"/>
        <v>5684</v>
      </c>
      <c r="AS53" s="37">
        <f t="shared" si="60"/>
        <v>5685</v>
      </c>
      <c r="AT53" s="37">
        <f t="shared" si="61"/>
        <v>5686</v>
      </c>
      <c r="AU53" s="37">
        <f t="shared" si="62"/>
        <v>5687</v>
      </c>
      <c r="AV53" s="37">
        <f t="shared" si="63"/>
        <v>5688</v>
      </c>
      <c r="AW53" s="37">
        <f t="shared" si="64"/>
        <v>5689</v>
      </c>
      <c r="AX53" s="38">
        <f t="shared" si="65"/>
        <v>5690</v>
      </c>
      <c r="AY53" s="36">
        <f t="shared" si="66"/>
        <v>5691</v>
      </c>
      <c r="AZ53" s="37">
        <f t="shared" si="67"/>
        <v>5692</v>
      </c>
      <c r="BA53" s="37">
        <f t="shared" si="68"/>
        <v>5693</v>
      </c>
      <c r="BB53" s="37">
        <f t="shared" si="69"/>
        <v>5694</v>
      </c>
      <c r="BC53" s="37">
        <f t="shared" si="70"/>
        <v>5695</v>
      </c>
      <c r="BD53" s="37">
        <f t="shared" si="71"/>
        <v>5696</v>
      </c>
      <c r="BE53" s="37">
        <f t="shared" si="72"/>
        <v>5697</v>
      </c>
      <c r="BF53" s="37">
        <f t="shared" si="73"/>
        <v>5698</v>
      </c>
      <c r="BG53" s="37">
        <f t="shared" si="74"/>
        <v>5699</v>
      </c>
      <c r="BH53" s="38">
        <f t="shared" si="75"/>
        <v>5700</v>
      </c>
      <c r="BI53" s="36">
        <f t="shared" si="76"/>
        <v>5701</v>
      </c>
      <c r="BJ53" s="37">
        <f t="shared" si="77"/>
        <v>5702</v>
      </c>
      <c r="BK53" s="37">
        <f t="shared" si="78"/>
        <v>5703</v>
      </c>
      <c r="BL53" s="37">
        <f t="shared" si="79"/>
        <v>5704</v>
      </c>
      <c r="BM53" s="37">
        <f t="shared" si="80"/>
        <v>5705</v>
      </c>
      <c r="BN53" s="37">
        <f t="shared" si="81"/>
        <v>5706</v>
      </c>
      <c r="BO53" s="37">
        <f t="shared" si="82"/>
        <v>5707</v>
      </c>
      <c r="BP53" s="37">
        <f t="shared" si="83"/>
        <v>5708</v>
      </c>
      <c r="BQ53" s="37">
        <f t="shared" si="84"/>
        <v>5709</v>
      </c>
      <c r="BR53" s="39">
        <f t="shared" si="85"/>
        <v>5710</v>
      </c>
      <c r="BS53" s="36">
        <f t="shared" si="86"/>
        <v>5711</v>
      </c>
      <c r="BT53" s="37">
        <f t="shared" si="87"/>
        <v>5712</v>
      </c>
      <c r="BU53" s="37">
        <f t="shared" si="88"/>
        <v>5713</v>
      </c>
      <c r="BV53" s="37">
        <f t="shared" si="89"/>
        <v>5714</v>
      </c>
      <c r="BW53" s="37">
        <f t="shared" si="90"/>
        <v>5715</v>
      </c>
      <c r="BX53" s="37">
        <f t="shared" si="91"/>
        <v>5716</v>
      </c>
      <c r="BY53" s="37">
        <f t="shared" si="92"/>
        <v>5717</v>
      </c>
      <c r="BZ53" s="37">
        <f t="shared" si="93"/>
        <v>5718</v>
      </c>
      <c r="CA53" s="37">
        <f t="shared" si="94"/>
        <v>5719</v>
      </c>
      <c r="CB53" s="38">
        <f t="shared" si="95"/>
        <v>5720</v>
      </c>
      <c r="CC53" s="40">
        <f t="shared" si="96"/>
        <v>5721</v>
      </c>
      <c r="CD53" s="37">
        <f t="shared" si="97"/>
        <v>5722</v>
      </c>
      <c r="CE53" s="37">
        <f t="shared" si="98"/>
        <v>5723</v>
      </c>
      <c r="CF53" s="37">
        <f t="shared" si="99"/>
        <v>5724</v>
      </c>
      <c r="CG53" s="37">
        <f t="shared" si="100"/>
        <v>5725</v>
      </c>
      <c r="CH53" s="37">
        <f t="shared" si="101"/>
        <v>5726</v>
      </c>
      <c r="CI53" s="37">
        <f t="shared" si="102"/>
        <v>5727</v>
      </c>
      <c r="CJ53" s="37">
        <f t="shared" si="103"/>
        <v>5728</v>
      </c>
      <c r="CK53" s="37">
        <f t="shared" si="104"/>
        <v>5729</v>
      </c>
      <c r="CL53" s="39">
        <f t="shared" si="105"/>
        <v>5730</v>
      </c>
      <c r="CM53" s="36">
        <f t="shared" si="106"/>
        <v>5731</v>
      </c>
      <c r="CN53" s="37">
        <f t="shared" si="107"/>
        <v>5732</v>
      </c>
      <c r="CO53" s="37">
        <f t="shared" si="108"/>
        <v>5733</v>
      </c>
      <c r="CP53" s="37">
        <f t="shared" si="109"/>
        <v>5734</v>
      </c>
      <c r="CQ53" s="37">
        <f t="shared" si="110"/>
        <v>5735</v>
      </c>
      <c r="CR53" s="37">
        <f t="shared" si="111"/>
        <v>5736</v>
      </c>
      <c r="CS53" s="37">
        <f t="shared" si="112"/>
        <v>5737</v>
      </c>
      <c r="CT53" s="37">
        <f t="shared" si="113"/>
        <v>5738</v>
      </c>
      <c r="CU53" s="37">
        <f t="shared" si="114"/>
        <v>5739</v>
      </c>
      <c r="CV53" s="38">
        <f t="shared" si="115"/>
        <v>5740</v>
      </c>
      <c r="CW53" s="40">
        <f t="shared" si="116"/>
        <v>5741</v>
      </c>
      <c r="CX53" s="37">
        <f t="shared" si="117"/>
        <v>5742</v>
      </c>
      <c r="CY53" s="37">
        <f t="shared" si="118"/>
        <v>5743</v>
      </c>
      <c r="CZ53" s="37">
        <f t="shared" si="119"/>
        <v>5744</v>
      </c>
      <c r="DA53" s="37">
        <f t="shared" si="120"/>
        <v>5745</v>
      </c>
      <c r="DB53" s="37">
        <f t="shared" si="121"/>
        <v>5746</v>
      </c>
      <c r="DC53" s="37">
        <f t="shared" si="122"/>
        <v>5747</v>
      </c>
      <c r="DD53" s="37">
        <f t="shared" si="123"/>
        <v>5748</v>
      </c>
      <c r="DE53" s="37">
        <f t="shared" si="124"/>
        <v>5749</v>
      </c>
      <c r="DF53" s="39">
        <f t="shared" si="125"/>
        <v>5750</v>
      </c>
      <c r="DG53" s="36">
        <f t="shared" si="126"/>
        <v>5751</v>
      </c>
      <c r="DH53" s="37">
        <f t="shared" si="127"/>
        <v>5752</v>
      </c>
      <c r="DI53" s="37">
        <f t="shared" si="128"/>
        <v>5753</v>
      </c>
      <c r="DJ53" s="37">
        <f t="shared" si="129"/>
        <v>5754</v>
      </c>
      <c r="DK53" s="37">
        <f t="shared" si="130"/>
        <v>5755</v>
      </c>
      <c r="DL53" s="37">
        <f t="shared" si="131"/>
        <v>5756</v>
      </c>
      <c r="DM53" s="37">
        <f t="shared" si="132"/>
        <v>5757</v>
      </c>
      <c r="DN53" s="37">
        <f t="shared" si="133"/>
        <v>5758</v>
      </c>
      <c r="DO53" s="37">
        <f t="shared" si="134"/>
        <v>5759</v>
      </c>
      <c r="DP53" s="38">
        <f t="shared" si="135"/>
        <v>5760</v>
      </c>
      <c r="DR53" s="1214"/>
      <c r="DS53" s="1215"/>
      <c r="DT53" s="1215"/>
      <c r="DU53" s="1216"/>
    </row>
    <row r="54" spans="1:125" ht="5.85" customHeight="1" x14ac:dyDescent="0.3">
      <c r="A54" s="36">
        <f t="shared" si="136"/>
        <v>5761</v>
      </c>
      <c r="B54" s="37">
        <f t="shared" si="17"/>
        <v>5762</v>
      </c>
      <c r="C54" s="37">
        <f t="shared" si="18"/>
        <v>5763</v>
      </c>
      <c r="D54" s="37">
        <f t="shared" si="19"/>
        <v>5764</v>
      </c>
      <c r="E54" s="37">
        <f t="shared" si="20"/>
        <v>5765</v>
      </c>
      <c r="F54" s="37">
        <f t="shared" si="21"/>
        <v>5766</v>
      </c>
      <c r="G54" s="37">
        <f t="shared" si="22"/>
        <v>5767</v>
      </c>
      <c r="H54" s="37">
        <f t="shared" si="23"/>
        <v>5768</v>
      </c>
      <c r="I54" s="37">
        <f t="shared" si="24"/>
        <v>5769</v>
      </c>
      <c r="J54" s="38">
        <f t="shared" si="25"/>
        <v>5770</v>
      </c>
      <c r="K54" s="36">
        <f t="shared" si="26"/>
        <v>5771</v>
      </c>
      <c r="L54" s="37">
        <f t="shared" si="27"/>
        <v>5772</v>
      </c>
      <c r="M54" s="37">
        <f t="shared" si="28"/>
        <v>5773</v>
      </c>
      <c r="N54" s="37">
        <f t="shared" si="29"/>
        <v>5774</v>
      </c>
      <c r="O54" s="37">
        <f t="shared" si="30"/>
        <v>5775</v>
      </c>
      <c r="P54" s="37">
        <f t="shared" si="31"/>
        <v>5776</v>
      </c>
      <c r="Q54" s="37">
        <f t="shared" si="32"/>
        <v>5777</v>
      </c>
      <c r="R54" s="37">
        <f t="shared" si="33"/>
        <v>5778</v>
      </c>
      <c r="S54" s="37">
        <f t="shared" si="34"/>
        <v>5779</v>
      </c>
      <c r="T54" s="38">
        <f t="shared" si="35"/>
        <v>5780</v>
      </c>
      <c r="U54" s="36">
        <f t="shared" si="36"/>
        <v>5781</v>
      </c>
      <c r="V54" s="37">
        <f t="shared" si="37"/>
        <v>5782</v>
      </c>
      <c r="W54" s="37">
        <f t="shared" si="38"/>
        <v>5783</v>
      </c>
      <c r="X54" s="37">
        <f t="shared" si="39"/>
        <v>5784</v>
      </c>
      <c r="Y54" s="37">
        <f t="shared" si="40"/>
        <v>5785</v>
      </c>
      <c r="Z54" s="37">
        <f t="shared" si="41"/>
        <v>5786</v>
      </c>
      <c r="AA54" s="37">
        <f t="shared" si="42"/>
        <v>5787</v>
      </c>
      <c r="AB54" s="37">
        <f t="shared" si="43"/>
        <v>5788</v>
      </c>
      <c r="AC54" s="37">
        <f t="shared" si="44"/>
        <v>5789</v>
      </c>
      <c r="AD54" s="38">
        <f t="shared" si="45"/>
        <v>5790</v>
      </c>
      <c r="AE54" s="36">
        <f t="shared" si="46"/>
        <v>5791</v>
      </c>
      <c r="AF54" s="37">
        <f t="shared" si="47"/>
        <v>5792</v>
      </c>
      <c r="AG54" s="37">
        <f t="shared" si="48"/>
        <v>5793</v>
      </c>
      <c r="AH54" s="37">
        <f t="shared" si="49"/>
        <v>5794</v>
      </c>
      <c r="AI54" s="37">
        <f t="shared" si="50"/>
        <v>5795</v>
      </c>
      <c r="AJ54" s="37">
        <f t="shared" si="51"/>
        <v>5796</v>
      </c>
      <c r="AK54" s="37">
        <f t="shared" si="52"/>
        <v>5797</v>
      </c>
      <c r="AL54" s="37">
        <f t="shared" si="53"/>
        <v>5798</v>
      </c>
      <c r="AM54" s="37">
        <f t="shared" si="54"/>
        <v>5799</v>
      </c>
      <c r="AN54" s="38">
        <f t="shared" si="55"/>
        <v>5800</v>
      </c>
      <c r="AO54" s="36">
        <f t="shared" si="56"/>
        <v>5801</v>
      </c>
      <c r="AP54" s="37">
        <f t="shared" si="57"/>
        <v>5802</v>
      </c>
      <c r="AQ54" s="37">
        <f t="shared" si="58"/>
        <v>5803</v>
      </c>
      <c r="AR54" s="37">
        <f t="shared" si="59"/>
        <v>5804</v>
      </c>
      <c r="AS54" s="37">
        <f t="shared" si="60"/>
        <v>5805</v>
      </c>
      <c r="AT54" s="37">
        <f t="shared" si="61"/>
        <v>5806</v>
      </c>
      <c r="AU54" s="37">
        <f t="shared" si="62"/>
        <v>5807</v>
      </c>
      <c r="AV54" s="37">
        <f t="shared" si="63"/>
        <v>5808</v>
      </c>
      <c r="AW54" s="37">
        <f t="shared" si="64"/>
        <v>5809</v>
      </c>
      <c r="AX54" s="38">
        <f t="shared" si="65"/>
        <v>5810</v>
      </c>
      <c r="AY54" s="36">
        <f t="shared" si="66"/>
        <v>5811</v>
      </c>
      <c r="AZ54" s="37">
        <f t="shared" si="67"/>
        <v>5812</v>
      </c>
      <c r="BA54" s="37">
        <f t="shared" si="68"/>
        <v>5813</v>
      </c>
      <c r="BB54" s="37">
        <f t="shared" si="69"/>
        <v>5814</v>
      </c>
      <c r="BC54" s="37">
        <f t="shared" si="70"/>
        <v>5815</v>
      </c>
      <c r="BD54" s="37">
        <f t="shared" si="71"/>
        <v>5816</v>
      </c>
      <c r="BE54" s="37">
        <f t="shared" si="72"/>
        <v>5817</v>
      </c>
      <c r="BF54" s="37">
        <f t="shared" si="73"/>
        <v>5818</v>
      </c>
      <c r="BG54" s="37">
        <f t="shared" si="74"/>
        <v>5819</v>
      </c>
      <c r="BH54" s="38">
        <f t="shared" si="75"/>
        <v>5820</v>
      </c>
      <c r="BI54" s="36">
        <f t="shared" si="76"/>
        <v>5821</v>
      </c>
      <c r="BJ54" s="37">
        <f t="shared" si="77"/>
        <v>5822</v>
      </c>
      <c r="BK54" s="37">
        <f t="shared" si="78"/>
        <v>5823</v>
      </c>
      <c r="BL54" s="37">
        <f t="shared" si="79"/>
        <v>5824</v>
      </c>
      <c r="BM54" s="37">
        <f t="shared" si="80"/>
        <v>5825</v>
      </c>
      <c r="BN54" s="37">
        <f t="shared" si="81"/>
        <v>5826</v>
      </c>
      <c r="BO54" s="37">
        <f t="shared" si="82"/>
        <v>5827</v>
      </c>
      <c r="BP54" s="37">
        <f t="shared" si="83"/>
        <v>5828</v>
      </c>
      <c r="BQ54" s="37">
        <f t="shared" si="84"/>
        <v>5829</v>
      </c>
      <c r="BR54" s="39">
        <f t="shared" si="85"/>
        <v>5830</v>
      </c>
      <c r="BS54" s="36">
        <f t="shared" si="86"/>
        <v>5831</v>
      </c>
      <c r="BT54" s="37">
        <f t="shared" si="87"/>
        <v>5832</v>
      </c>
      <c r="BU54" s="37">
        <f t="shared" si="88"/>
        <v>5833</v>
      </c>
      <c r="BV54" s="37">
        <f t="shared" si="89"/>
        <v>5834</v>
      </c>
      <c r="BW54" s="37">
        <f t="shared" si="90"/>
        <v>5835</v>
      </c>
      <c r="BX54" s="37">
        <f t="shared" si="91"/>
        <v>5836</v>
      </c>
      <c r="BY54" s="37">
        <f t="shared" si="92"/>
        <v>5837</v>
      </c>
      <c r="BZ54" s="37">
        <f t="shared" si="93"/>
        <v>5838</v>
      </c>
      <c r="CA54" s="37">
        <f t="shared" si="94"/>
        <v>5839</v>
      </c>
      <c r="CB54" s="38">
        <f t="shared" si="95"/>
        <v>5840</v>
      </c>
      <c r="CC54" s="40">
        <f t="shared" si="96"/>
        <v>5841</v>
      </c>
      <c r="CD54" s="37">
        <f t="shared" si="97"/>
        <v>5842</v>
      </c>
      <c r="CE54" s="37">
        <f t="shared" si="98"/>
        <v>5843</v>
      </c>
      <c r="CF54" s="37">
        <f t="shared" si="99"/>
        <v>5844</v>
      </c>
      <c r="CG54" s="37">
        <f t="shared" si="100"/>
        <v>5845</v>
      </c>
      <c r="CH54" s="37">
        <f t="shared" si="101"/>
        <v>5846</v>
      </c>
      <c r="CI54" s="37">
        <f t="shared" si="102"/>
        <v>5847</v>
      </c>
      <c r="CJ54" s="37">
        <f t="shared" si="103"/>
        <v>5848</v>
      </c>
      <c r="CK54" s="37">
        <f t="shared" si="104"/>
        <v>5849</v>
      </c>
      <c r="CL54" s="39">
        <f t="shared" si="105"/>
        <v>5850</v>
      </c>
      <c r="CM54" s="36">
        <f t="shared" si="106"/>
        <v>5851</v>
      </c>
      <c r="CN54" s="37">
        <f t="shared" si="107"/>
        <v>5852</v>
      </c>
      <c r="CO54" s="37">
        <f t="shared" si="108"/>
        <v>5853</v>
      </c>
      <c r="CP54" s="37">
        <f t="shared" si="109"/>
        <v>5854</v>
      </c>
      <c r="CQ54" s="37">
        <f t="shared" si="110"/>
        <v>5855</v>
      </c>
      <c r="CR54" s="37">
        <f t="shared" si="111"/>
        <v>5856</v>
      </c>
      <c r="CS54" s="37">
        <f t="shared" si="112"/>
        <v>5857</v>
      </c>
      <c r="CT54" s="37">
        <f t="shared" si="113"/>
        <v>5858</v>
      </c>
      <c r="CU54" s="37">
        <f t="shared" si="114"/>
        <v>5859</v>
      </c>
      <c r="CV54" s="38">
        <f t="shared" si="115"/>
        <v>5860</v>
      </c>
      <c r="CW54" s="40">
        <f t="shared" si="116"/>
        <v>5861</v>
      </c>
      <c r="CX54" s="37">
        <f t="shared" si="117"/>
        <v>5862</v>
      </c>
      <c r="CY54" s="37">
        <f t="shared" si="118"/>
        <v>5863</v>
      </c>
      <c r="CZ54" s="37">
        <f t="shared" si="119"/>
        <v>5864</v>
      </c>
      <c r="DA54" s="37">
        <f t="shared" si="120"/>
        <v>5865</v>
      </c>
      <c r="DB54" s="37">
        <f t="shared" si="121"/>
        <v>5866</v>
      </c>
      <c r="DC54" s="37">
        <f t="shared" si="122"/>
        <v>5867</v>
      </c>
      <c r="DD54" s="37">
        <f t="shared" si="123"/>
        <v>5868</v>
      </c>
      <c r="DE54" s="37">
        <f t="shared" si="124"/>
        <v>5869</v>
      </c>
      <c r="DF54" s="39">
        <f t="shared" si="125"/>
        <v>5870</v>
      </c>
      <c r="DG54" s="36">
        <f t="shared" si="126"/>
        <v>5871</v>
      </c>
      <c r="DH54" s="37">
        <f t="shared" si="127"/>
        <v>5872</v>
      </c>
      <c r="DI54" s="37">
        <f t="shared" si="128"/>
        <v>5873</v>
      </c>
      <c r="DJ54" s="37">
        <f t="shared" si="129"/>
        <v>5874</v>
      </c>
      <c r="DK54" s="37">
        <f t="shared" si="130"/>
        <v>5875</v>
      </c>
      <c r="DL54" s="37">
        <f t="shared" si="131"/>
        <v>5876</v>
      </c>
      <c r="DM54" s="37">
        <f t="shared" si="132"/>
        <v>5877</v>
      </c>
      <c r="DN54" s="37">
        <f t="shared" si="133"/>
        <v>5878</v>
      </c>
      <c r="DO54" s="37">
        <f t="shared" si="134"/>
        <v>5879</v>
      </c>
      <c r="DP54" s="38">
        <f t="shared" si="135"/>
        <v>5880</v>
      </c>
      <c r="DR54" s="1214">
        <v>60</v>
      </c>
      <c r="DS54" s="1215"/>
      <c r="DT54" s="1215"/>
      <c r="DU54" s="1216"/>
    </row>
    <row r="55" spans="1:125" ht="5.85" customHeight="1" x14ac:dyDescent="0.3">
      <c r="A55" s="36">
        <f t="shared" si="136"/>
        <v>5881</v>
      </c>
      <c r="B55" s="37">
        <f t="shared" si="17"/>
        <v>5882</v>
      </c>
      <c r="C55" s="37">
        <f t="shared" si="18"/>
        <v>5883</v>
      </c>
      <c r="D55" s="37">
        <f t="shared" si="19"/>
        <v>5884</v>
      </c>
      <c r="E55" s="37">
        <f t="shared" si="20"/>
        <v>5885</v>
      </c>
      <c r="F55" s="37">
        <f t="shared" si="21"/>
        <v>5886</v>
      </c>
      <c r="G55" s="37">
        <f t="shared" si="22"/>
        <v>5887</v>
      </c>
      <c r="H55" s="37">
        <f t="shared" si="23"/>
        <v>5888</v>
      </c>
      <c r="I55" s="37">
        <f t="shared" si="24"/>
        <v>5889</v>
      </c>
      <c r="J55" s="38">
        <f t="shared" si="25"/>
        <v>5890</v>
      </c>
      <c r="K55" s="36">
        <f t="shared" si="26"/>
        <v>5891</v>
      </c>
      <c r="L55" s="37">
        <f t="shared" si="27"/>
        <v>5892</v>
      </c>
      <c r="M55" s="37">
        <f t="shared" si="28"/>
        <v>5893</v>
      </c>
      <c r="N55" s="37">
        <f t="shared" si="29"/>
        <v>5894</v>
      </c>
      <c r="O55" s="37">
        <f t="shared" si="30"/>
        <v>5895</v>
      </c>
      <c r="P55" s="37">
        <f t="shared" si="31"/>
        <v>5896</v>
      </c>
      <c r="Q55" s="37">
        <f t="shared" si="32"/>
        <v>5897</v>
      </c>
      <c r="R55" s="37">
        <f t="shared" si="33"/>
        <v>5898</v>
      </c>
      <c r="S55" s="37">
        <f t="shared" si="34"/>
        <v>5899</v>
      </c>
      <c r="T55" s="38">
        <f t="shared" si="35"/>
        <v>5900</v>
      </c>
      <c r="U55" s="36">
        <f t="shared" si="36"/>
        <v>5901</v>
      </c>
      <c r="V55" s="37">
        <f t="shared" si="37"/>
        <v>5902</v>
      </c>
      <c r="W55" s="37">
        <f t="shared" si="38"/>
        <v>5903</v>
      </c>
      <c r="X55" s="37">
        <f t="shared" si="39"/>
        <v>5904</v>
      </c>
      <c r="Y55" s="37">
        <f t="shared" si="40"/>
        <v>5905</v>
      </c>
      <c r="Z55" s="37">
        <f t="shared" si="41"/>
        <v>5906</v>
      </c>
      <c r="AA55" s="37">
        <f t="shared" si="42"/>
        <v>5907</v>
      </c>
      <c r="AB55" s="37">
        <f t="shared" si="43"/>
        <v>5908</v>
      </c>
      <c r="AC55" s="37">
        <f t="shared" si="44"/>
        <v>5909</v>
      </c>
      <c r="AD55" s="38">
        <f t="shared" si="45"/>
        <v>5910</v>
      </c>
      <c r="AE55" s="36">
        <f t="shared" si="46"/>
        <v>5911</v>
      </c>
      <c r="AF55" s="37">
        <f t="shared" si="47"/>
        <v>5912</v>
      </c>
      <c r="AG55" s="37">
        <f t="shared" si="48"/>
        <v>5913</v>
      </c>
      <c r="AH55" s="37">
        <f t="shared" si="49"/>
        <v>5914</v>
      </c>
      <c r="AI55" s="37">
        <f t="shared" si="50"/>
        <v>5915</v>
      </c>
      <c r="AJ55" s="37">
        <f t="shared" si="51"/>
        <v>5916</v>
      </c>
      <c r="AK55" s="37">
        <f t="shared" si="52"/>
        <v>5917</v>
      </c>
      <c r="AL55" s="37">
        <f t="shared" si="53"/>
        <v>5918</v>
      </c>
      <c r="AM55" s="37">
        <f t="shared" si="54"/>
        <v>5919</v>
      </c>
      <c r="AN55" s="38">
        <f t="shared" si="55"/>
        <v>5920</v>
      </c>
      <c r="AO55" s="36">
        <f t="shared" si="56"/>
        <v>5921</v>
      </c>
      <c r="AP55" s="37">
        <f t="shared" si="57"/>
        <v>5922</v>
      </c>
      <c r="AQ55" s="37">
        <f t="shared" si="58"/>
        <v>5923</v>
      </c>
      <c r="AR55" s="37">
        <f t="shared" si="59"/>
        <v>5924</v>
      </c>
      <c r="AS55" s="37">
        <f t="shared" si="60"/>
        <v>5925</v>
      </c>
      <c r="AT55" s="37">
        <f t="shared" si="61"/>
        <v>5926</v>
      </c>
      <c r="AU55" s="37">
        <f t="shared" si="62"/>
        <v>5927</v>
      </c>
      <c r="AV55" s="37">
        <f t="shared" si="63"/>
        <v>5928</v>
      </c>
      <c r="AW55" s="37">
        <f t="shared" si="64"/>
        <v>5929</v>
      </c>
      <c r="AX55" s="38">
        <f t="shared" si="65"/>
        <v>5930</v>
      </c>
      <c r="AY55" s="36">
        <f t="shared" si="66"/>
        <v>5931</v>
      </c>
      <c r="AZ55" s="37">
        <f t="shared" si="67"/>
        <v>5932</v>
      </c>
      <c r="BA55" s="37">
        <f t="shared" si="68"/>
        <v>5933</v>
      </c>
      <c r="BB55" s="37">
        <f t="shared" si="69"/>
        <v>5934</v>
      </c>
      <c r="BC55" s="37">
        <f t="shared" si="70"/>
        <v>5935</v>
      </c>
      <c r="BD55" s="37">
        <f t="shared" si="71"/>
        <v>5936</v>
      </c>
      <c r="BE55" s="37">
        <f t="shared" si="72"/>
        <v>5937</v>
      </c>
      <c r="BF55" s="37">
        <f t="shared" si="73"/>
        <v>5938</v>
      </c>
      <c r="BG55" s="37">
        <f t="shared" si="74"/>
        <v>5939</v>
      </c>
      <c r="BH55" s="38">
        <f t="shared" si="75"/>
        <v>5940</v>
      </c>
      <c r="BI55" s="36">
        <f t="shared" si="76"/>
        <v>5941</v>
      </c>
      <c r="BJ55" s="37">
        <f t="shared" si="77"/>
        <v>5942</v>
      </c>
      <c r="BK55" s="37">
        <f t="shared" si="78"/>
        <v>5943</v>
      </c>
      <c r="BL55" s="37">
        <f t="shared" si="79"/>
        <v>5944</v>
      </c>
      <c r="BM55" s="37">
        <f t="shared" si="80"/>
        <v>5945</v>
      </c>
      <c r="BN55" s="37">
        <f t="shared" si="81"/>
        <v>5946</v>
      </c>
      <c r="BO55" s="37">
        <f t="shared" si="82"/>
        <v>5947</v>
      </c>
      <c r="BP55" s="37">
        <f t="shared" si="83"/>
        <v>5948</v>
      </c>
      <c r="BQ55" s="37">
        <f t="shared" si="84"/>
        <v>5949</v>
      </c>
      <c r="BR55" s="39">
        <f t="shared" si="85"/>
        <v>5950</v>
      </c>
      <c r="BS55" s="36">
        <f t="shared" si="86"/>
        <v>5951</v>
      </c>
      <c r="BT55" s="37">
        <f t="shared" si="87"/>
        <v>5952</v>
      </c>
      <c r="BU55" s="37">
        <f t="shared" si="88"/>
        <v>5953</v>
      </c>
      <c r="BV55" s="37">
        <f t="shared" si="89"/>
        <v>5954</v>
      </c>
      <c r="BW55" s="37">
        <f t="shared" si="90"/>
        <v>5955</v>
      </c>
      <c r="BX55" s="37">
        <f t="shared" si="91"/>
        <v>5956</v>
      </c>
      <c r="BY55" s="37">
        <f t="shared" si="92"/>
        <v>5957</v>
      </c>
      <c r="BZ55" s="37">
        <f t="shared" si="93"/>
        <v>5958</v>
      </c>
      <c r="CA55" s="37">
        <f t="shared" si="94"/>
        <v>5959</v>
      </c>
      <c r="CB55" s="38">
        <f t="shared" si="95"/>
        <v>5960</v>
      </c>
      <c r="CC55" s="40">
        <f t="shared" si="96"/>
        <v>5961</v>
      </c>
      <c r="CD55" s="37">
        <f t="shared" si="97"/>
        <v>5962</v>
      </c>
      <c r="CE55" s="37">
        <f t="shared" si="98"/>
        <v>5963</v>
      </c>
      <c r="CF55" s="37">
        <f t="shared" si="99"/>
        <v>5964</v>
      </c>
      <c r="CG55" s="37">
        <f t="shared" si="100"/>
        <v>5965</v>
      </c>
      <c r="CH55" s="37">
        <f t="shared" si="101"/>
        <v>5966</v>
      </c>
      <c r="CI55" s="37">
        <f t="shared" si="102"/>
        <v>5967</v>
      </c>
      <c r="CJ55" s="37">
        <f t="shared" si="103"/>
        <v>5968</v>
      </c>
      <c r="CK55" s="37">
        <f t="shared" si="104"/>
        <v>5969</v>
      </c>
      <c r="CL55" s="39">
        <f t="shared" si="105"/>
        <v>5970</v>
      </c>
      <c r="CM55" s="36">
        <f t="shared" si="106"/>
        <v>5971</v>
      </c>
      <c r="CN55" s="37">
        <f t="shared" si="107"/>
        <v>5972</v>
      </c>
      <c r="CO55" s="37">
        <f t="shared" si="108"/>
        <v>5973</v>
      </c>
      <c r="CP55" s="37">
        <f t="shared" si="109"/>
        <v>5974</v>
      </c>
      <c r="CQ55" s="37">
        <f t="shared" si="110"/>
        <v>5975</v>
      </c>
      <c r="CR55" s="37">
        <f t="shared" si="111"/>
        <v>5976</v>
      </c>
      <c r="CS55" s="37">
        <f t="shared" si="112"/>
        <v>5977</v>
      </c>
      <c r="CT55" s="37">
        <f t="shared" si="113"/>
        <v>5978</v>
      </c>
      <c r="CU55" s="37">
        <f t="shared" si="114"/>
        <v>5979</v>
      </c>
      <c r="CV55" s="38">
        <f t="shared" si="115"/>
        <v>5980</v>
      </c>
      <c r="CW55" s="40">
        <f t="shared" si="116"/>
        <v>5981</v>
      </c>
      <c r="CX55" s="37">
        <f t="shared" si="117"/>
        <v>5982</v>
      </c>
      <c r="CY55" s="37">
        <f t="shared" si="118"/>
        <v>5983</v>
      </c>
      <c r="CZ55" s="37">
        <f t="shared" si="119"/>
        <v>5984</v>
      </c>
      <c r="DA55" s="37">
        <f t="shared" si="120"/>
        <v>5985</v>
      </c>
      <c r="DB55" s="37">
        <f t="shared" si="121"/>
        <v>5986</v>
      </c>
      <c r="DC55" s="37">
        <f t="shared" si="122"/>
        <v>5987</v>
      </c>
      <c r="DD55" s="37">
        <f t="shared" si="123"/>
        <v>5988</v>
      </c>
      <c r="DE55" s="37">
        <f t="shared" si="124"/>
        <v>5989</v>
      </c>
      <c r="DF55" s="39">
        <f t="shared" si="125"/>
        <v>5990</v>
      </c>
      <c r="DG55" s="36">
        <f t="shared" si="126"/>
        <v>5991</v>
      </c>
      <c r="DH55" s="37">
        <f t="shared" si="127"/>
        <v>5992</v>
      </c>
      <c r="DI55" s="37">
        <f t="shared" si="128"/>
        <v>5993</v>
      </c>
      <c r="DJ55" s="37">
        <f t="shared" si="129"/>
        <v>5994</v>
      </c>
      <c r="DK55" s="37">
        <f t="shared" si="130"/>
        <v>5995</v>
      </c>
      <c r="DL55" s="37">
        <f t="shared" si="131"/>
        <v>5996</v>
      </c>
      <c r="DM55" s="37">
        <f t="shared" si="132"/>
        <v>5997</v>
      </c>
      <c r="DN55" s="37">
        <f t="shared" si="133"/>
        <v>5998</v>
      </c>
      <c r="DO55" s="37">
        <f t="shared" si="134"/>
        <v>5999</v>
      </c>
      <c r="DP55" s="38">
        <f t="shared" si="135"/>
        <v>6000</v>
      </c>
      <c r="DR55" s="1214"/>
      <c r="DS55" s="1215"/>
      <c r="DT55" s="1215"/>
      <c r="DU55" s="1216"/>
    </row>
    <row r="56" spans="1:125" ht="5.85" customHeight="1" x14ac:dyDescent="0.3">
      <c r="A56" s="36">
        <f t="shared" si="136"/>
        <v>6001</v>
      </c>
      <c r="B56" s="37">
        <f t="shared" si="17"/>
        <v>6002</v>
      </c>
      <c r="C56" s="37">
        <f t="shared" si="18"/>
        <v>6003</v>
      </c>
      <c r="D56" s="37">
        <f t="shared" si="19"/>
        <v>6004</v>
      </c>
      <c r="E56" s="37">
        <f t="shared" si="20"/>
        <v>6005</v>
      </c>
      <c r="F56" s="37">
        <f t="shared" si="21"/>
        <v>6006</v>
      </c>
      <c r="G56" s="37">
        <f t="shared" si="22"/>
        <v>6007</v>
      </c>
      <c r="H56" s="37">
        <f t="shared" si="23"/>
        <v>6008</v>
      </c>
      <c r="I56" s="37">
        <f t="shared" si="24"/>
        <v>6009</v>
      </c>
      <c r="J56" s="38">
        <f t="shared" si="25"/>
        <v>6010</v>
      </c>
      <c r="K56" s="36">
        <f t="shared" si="26"/>
        <v>6011</v>
      </c>
      <c r="L56" s="37">
        <f t="shared" si="27"/>
        <v>6012</v>
      </c>
      <c r="M56" s="37">
        <f t="shared" si="28"/>
        <v>6013</v>
      </c>
      <c r="N56" s="37">
        <f t="shared" si="29"/>
        <v>6014</v>
      </c>
      <c r="O56" s="37">
        <f t="shared" si="30"/>
        <v>6015</v>
      </c>
      <c r="P56" s="37">
        <f t="shared" si="31"/>
        <v>6016</v>
      </c>
      <c r="Q56" s="37">
        <f t="shared" si="32"/>
        <v>6017</v>
      </c>
      <c r="R56" s="37">
        <f t="shared" si="33"/>
        <v>6018</v>
      </c>
      <c r="S56" s="37">
        <f t="shared" si="34"/>
        <v>6019</v>
      </c>
      <c r="T56" s="38">
        <f t="shared" si="35"/>
        <v>6020</v>
      </c>
      <c r="U56" s="36">
        <f t="shared" si="36"/>
        <v>6021</v>
      </c>
      <c r="V56" s="37">
        <f t="shared" si="37"/>
        <v>6022</v>
      </c>
      <c r="W56" s="37">
        <f t="shared" si="38"/>
        <v>6023</v>
      </c>
      <c r="X56" s="37">
        <f t="shared" si="39"/>
        <v>6024</v>
      </c>
      <c r="Y56" s="37">
        <f t="shared" si="40"/>
        <v>6025</v>
      </c>
      <c r="Z56" s="37">
        <f t="shared" si="41"/>
        <v>6026</v>
      </c>
      <c r="AA56" s="37">
        <f t="shared" si="42"/>
        <v>6027</v>
      </c>
      <c r="AB56" s="37">
        <f t="shared" si="43"/>
        <v>6028</v>
      </c>
      <c r="AC56" s="37">
        <f t="shared" si="44"/>
        <v>6029</v>
      </c>
      <c r="AD56" s="38">
        <f t="shared" si="45"/>
        <v>6030</v>
      </c>
      <c r="AE56" s="36">
        <f t="shared" si="46"/>
        <v>6031</v>
      </c>
      <c r="AF56" s="37">
        <f t="shared" si="47"/>
        <v>6032</v>
      </c>
      <c r="AG56" s="37">
        <f t="shared" si="48"/>
        <v>6033</v>
      </c>
      <c r="AH56" s="37">
        <f t="shared" si="49"/>
        <v>6034</v>
      </c>
      <c r="AI56" s="37">
        <f t="shared" si="50"/>
        <v>6035</v>
      </c>
      <c r="AJ56" s="37">
        <f t="shared" si="51"/>
        <v>6036</v>
      </c>
      <c r="AK56" s="37">
        <f t="shared" si="52"/>
        <v>6037</v>
      </c>
      <c r="AL56" s="37">
        <f t="shared" si="53"/>
        <v>6038</v>
      </c>
      <c r="AM56" s="37">
        <f t="shared" si="54"/>
        <v>6039</v>
      </c>
      <c r="AN56" s="38">
        <f t="shared" si="55"/>
        <v>6040</v>
      </c>
      <c r="AO56" s="36">
        <f t="shared" si="56"/>
        <v>6041</v>
      </c>
      <c r="AP56" s="37">
        <f t="shared" si="57"/>
        <v>6042</v>
      </c>
      <c r="AQ56" s="37">
        <f t="shared" si="58"/>
        <v>6043</v>
      </c>
      <c r="AR56" s="37">
        <f t="shared" si="59"/>
        <v>6044</v>
      </c>
      <c r="AS56" s="37">
        <f t="shared" si="60"/>
        <v>6045</v>
      </c>
      <c r="AT56" s="37">
        <f t="shared" si="61"/>
        <v>6046</v>
      </c>
      <c r="AU56" s="37">
        <f t="shared" si="62"/>
        <v>6047</v>
      </c>
      <c r="AV56" s="37">
        <f t="shared" si="63"/>
        <v>6048</v>
      </c>
      <c r="AW56" s="37">
        <f t="shared" si="64"/>
        <v>6049</v>
      </c>
      <c r="AX56" s="38">
        <f t="shared" si="65"/>
        <v>6050</v>
      </c>
      <c r="AY56" s="36">
        <f t="shared" si="66"/>
        <v>6051</v>
      </c>
      <c r="AZ56" s="37">
        <f t="shared" si="67"/>
        <v>6052</v>
      </c>
      <c r="BA56" s="37">
        <f t="shared" si="68"/>
        <v>6053</v>
      </c>
      <c r="BB56" s="37">
        <f t="shared" si="69"/>
        <v>6054</v>
      </c>
      <c r="BC56" s="37">
        <f t="shared" si="70"/>
        <v>6055</v>
      </c>
      <c r="BD56" s="37">
        <f t="shared" si="71"/>
        <v>6056</v>
      </c>
      <c r="BE56" s="37">
        <f t="shared" si="72"/>
        <v>6057</v>
      </c>
      <c r="BF56" s="37">
        <f t="shared" si="73"/>
        <v>6058</v>
      </c>
      <c r="BG56" s="37">
        <f t="shared" si="74"/>
        <v>6059</v>
      </c>
      <c r="BH56" s="38">
        <f t="shared" si="75"/>
        <v>6060</v>
      </c>
      <c r="BI56" s="36">
        <f t="shared" si="76"/>
        <v>6061</v>
      </c>
      <c r="BJ56" s="37">
        <f t="shared" si="77"/>
        <v>6062</v>
      </c>
      <c r="BK56" s="37">
        <f t="shared" si="78"/>
        <v>6063</v>
      </c>
      <c r="BL56" s="37">
        <f t="shared" si="79"/>
        <v>6064</v>
      </c>
      <c r="BM56" s="37">
        <f t="shared" si="80"/>
        <v>6065</v>
      </c>
      <c r="BN56" s="37">
        <f t="shared" si="81"/>
        <v>6066</v>
      </c>
      <c r="BO56" s="37">
        <f t="shared" si="82"/>
        <v>6067</v>
      </c>
      <c r="BP56" s="37">
        <f t="shared" si="83"/>
        <v>6068</v>
      </c>
      <c r="BQ56" s="37">
        <f t="shared" si="84"/>
        <v>6069</v>
      </c>
      <c r="BR56" s="39">
        <f t="shared" si="85"/>
        <v>6070</v>
      </c>
      <c r="BS56" s="36">
        <f t="shared" si="86"/>
        <v>6071</v>
      </c>
      <c r="BT56" s="37">
        <f t="shared" si="87"/>
        <v>6072</v>
      </c>
      <c r="BU56" s="37">
        <f t="shared" si="88"/>
        <v>6073</v>
      </c>
      <c r="BV56" s="37">
        <f t="shared" si="89"/>
        <v>6074</v>
      </c>
      <c r="BW56" s="37">
        <f t="shared" si="90"/>
        <v>6075</v>
      </c>
      <c r="BX56" s="37">
        <f t="shared" si="91"/>
        <v>6076</v>
      </c>
      <c r="BY56" s="37">
        <f t="shared" si="92"/>
        <v>6077</v>
      </c>
      <c r="BZ56" s="37">
        <f t="shared" si="93"/>
        <v>6078</v>
      </c>
      <c r="CA56" s="37">
        <f t="shared" si="94"/>
        <v>6079</v>
      </c>
      <c r="CB56" s="38">
        <f t="shared" si="95"/>
        <v>6080</v>
      </c>
      <c r="CC56" s="40">
        <f t="shared" si="96"/>
        <v>6081</v>
      </c>
      <c r="CD56" s="37">
        <f t="shared" si="97"/>
        <v>6082</v>
      </c>
      <c r="CE56" s="37">
        <f t="shared" si="98"/>
        <v>6083</v>
      </c>
      <c r="CF56" s="37">
        <f t="shared" si="99"/>
        <v>6084</v>
      </c>
      <c r="CG56" s="37">
        <f t="shared" si="100"/>
        <v>6085</v>
      </c>
      <c r="CH56" s="37">
        <f t="shared" si="101"/>
        <v>6086</v>
      </c>
      <c r="CI56" s="37">
        <f t="shared" si="102"/>
        <v>6087</v>
      </c>
      <c r="CJ56" s="37">
        <f t="shared" si="103"/>
        <v>6088</v>
      </c>
      <c r="CK56" s="37">
        <f t="shared" si="104"/>
        <v>6089</v>
      </c>
      <c r="CL56" s="39">
        <f t="shared" si="105"/>
        <v>6090</v>
      </c>
      <c r="CM56" s="36">
        <f t="shared" si="106"/>
        <v>6091</v>
      </c>
      <c r="CN56" s="37">
        <f t="shared" si="107"/>
        <v>6092</v>
      </c>
      <c r="CO56" s="37">
        <f t="shared" si="108"/>
        <v>6093</v>
      </c>
      <c r="CP56" s="37">
        <f t="shared" si="109"/>
        <v>6094</v>
      </c>
      <c r="CQ56" s="37">
        <f t="shared" si="110"/>
        <v>6095</v>
      </c>
      <c r="CR56" s="37">
        <f t="shared" si="111"/>
        <v>6096</v>
      </c>
      <c r="CS56" s="37">
        <f t="shared" si="112"/>
        <v>6097</v>
      </c>
      <c r="CT56" s="37">
        <f t="shared" si="113"/>
        <v>6098</v>
      </c>
      <c r="CU56" s="37">
        <f t="shared" si="114"/>
        <v>6099</v>
      </c>
      <c r="CV56" s="38">
        <f t="shared" si="115"/>
        <v>6100</v>
      </c>
      <c r="CW56" s="40">
        <f t="shared" si="116"/>
        <v>6101</v>
      </c>
      <c r="CX56" s="37">
        <f t="shared" si="117"/>
        <v>6102</v>
      </c>
      <c r="CY56" s="37">
        <f t="shared" si="118"/>
        <v>6103</v>
      </c>
      <c r="CZ56" s="37">
        <f t="shared" si="119"/>
        <v>6104</v>
      </c>
      <c r="DA56" s="37">
        <f t="shared" si="120"/>
        <v>6105</v>
      </c>
      <c r="DB56" s="37">
        <f t="shared" si="121"/>
        <v>6106</v>
      </c>
      <c r="DC56" s="37">
        <f t="shared" si="122"/>
        <v>6107</v>
      </c>
      <c r="DD56" s="37">
        <f t="shared" si="123"/>
        <v>6108</v>
      </c>
      <c r="DE56" s="37">
        <f t="shared" si="124"/>
        <v>6109</v>
      </c>
      <c r="DF56" s="39">
        <f t="shared" si="125"/>
        <v>6110</v>
      </c>
      <c r="DG56" s="36">
        <f t="shared" si="126"/>
        <v>6111</v>
      </c>
      <c r="DH56" s="37">
        <f t="shared" si="127"/>
        <v>6112</v>
      </c>
      <c r="DI56" s="37">
        <f t="shared" si="128"/>
        <v>6113</v>
      </c>
      <c r="DJ56" s="37">
        <f t="shared" si="129"/>
        <v>6114</v>
      </c>
      <c r="DK56" s="37">
        <f t="shared" si="130"/>
        <v>6115</v>
      </c>
      <c r="DL56" s="37">
        <f t="shared" si="131"/>
        <v>6116</v>
      </c>
      <c r="DM56" s="37">
        <f t="shared" si="132"/>
        <v>6117</v>
      </c>
      <c r="DN56" s="37">
        <f t="shared" si="133"/>
        <v>6118</v>
      </c>
      <c r="DO56" s="37">
        <f t="shared" si="134"/>
        <v>6119</v>
      </c>
      <c r="DP56" s="38">
        <f t="shared" si="135"/>
        <v>6120</v>
      </c>
      <c r="DR56" s="1214"/>
      <c r="DS56" s="1215"/>
      <c r="DT56" s="1215"/>
      <c r="DU56" s="1216"/>
    </row>
    <row r="57" spans="1:125" ht="5.85" customHeight="1" x14ac:dyDescent="0.3">
      <c r="A57" s="36">
        <f t="shared" si="136"/>
        <v>6121</v>
      </c>
      <c r="B57" s="37">
        <f t="shared" si="17"/>
        <v>6122</v>
      </c>
      <c r="C57" s="37">
        <f t="shared" si="18"/>
        <v>6123</v>
      </c>
      <c r="D57" s="37">
        <f t="shared" si="19"/>
        <v>6124</v>
      </c>
      <c r="E57" s="37">
        <f t="shared" si="20"/>
        <v>6125</v>
      </c>
      <c r="F57" s="37">
        <f t="shared" si="21"/>
        <v>6126</v>
      </c>
      <c r="G57" s="37">
        <f t="shared" si="22"/>
        <v>6127</v>
      </c>
      <c r="H57" s="37">
        <f t="shared" si="23"/>
        <v>6128</v>
      </c>
      <c r="I57" s="37">
        <f t="shared" si="24"/>
        <v>6129</v>
      </c>
      <c r="J57" s="38">
        <f t="shared" si="25"/>
        <v>6130</v>
      </c>
      <c r="K57" s="36">
        <f t="shared" si="26"/>
        <v>6131</v>
      </c>
      <c r="L57" s="37">
        <f t="shared" si="27"/>
        <v>6132</v>
      </c>
      <c r="M57" s="37">
        <f t="shared" si="28"/>
        <v>6133</v>
      </c>
      <c r="N57" s="37">
        <f t="shared" si="29"/>
        <v>6134</v>
      </c>
      <c r="O57" s="37">
        <f t="shared" si="30"/>
        <v>6135</v>
      </c>
      <c r="P57" s="37">
        <f t="shared" si="31"/>
        <v>6136</v>
      </c>
      <c r="Q57" s="37">
        <f t="shared" si="32"/>
        <v>6137</v>
      </c>
      <c r="R57" s="37">
        <f t="shared" si="33"/>
        <v>6138</v>
      </c>
      <c r="S57" s="37">
        <f t="shared" si="34"/>
        <v>6139</v>
      </c>
      <c r="T57" s="38">
        <f t="shared" si="35"/>
        <v>6140</v>
      </c>
      <c r="U57" s="36">
        <f t="shared" si="36"/>
        <v>6141</v>
      </c>
      <c r="V57" s="37">
        <f t="shared" si="37"/>
        <v>6142</v>
      </c>
      <c r="W57" s="37">
        <f t="shared" si="38"/>
        <v>6143</v>
      </c>
      <c r="X57" s="37">
        <f t="shared" si="39"/>
        <v>6144</v>
      </c>
      <c r="Y57" s="37">
        <f t="shared" si="40"/>
        <v>6145</v>
      </c>
      <c r="Z57" s="37">
        <f t="shared" si="41"/>
        <v>6146</v>
      </c>
      <c r="AA57" s="37">
        <f t="shared" si="42"/>
        <v>6147</v>
      </c>
      <c r="AB57" s="37">
        <f t="shared" si="43"/>
        <v>6148</v>
      </c>
      <c r="AC57" s="37">
        <f t="shared" si="44"/>
        <v>6149</v>
      </c>
      <c r="AD57" s="38">
        <f t="shared" si="45"/>
        <v>6150</v>
      </c>
      <c r="AE57" s="36">
        <f t="shared" si="46"/>
        <v>6151</v>
      </c>
      <c r="AF57" s="37">
        <f t="shared" si="47"/>
        <v>6152</v>
      </c>
      <c r="AG57" s="37">
        <f t="shared" si="48"/>
        <v>6153</v>
      </c>
      <c r="AH57" s="37">
        <f t="shared" si="49"/>
        <v>6154</v>
      </c>
      <c r="AI57" s="37">
        <f t="shared" si="50"/>
        <v>6155</v>
      </c>
      <c r="AJ57" s="37">
        <f t="shared" si="51"/>
        <v>6156</v>
      </c>
      <c r="AK57" s="37">
        <f t="shared" si="52"/>
        <v>6157</v>
      </c>
      <c r="AL57" s="37">
        <f t="shared" si="53"/>
        <v>6158</v>
      </c>
      <c r="AM57" s="37">
        <f t="shared" si="54"/>
        <v>6159</v>
      </c>
      <c r="AN57" s="38">
        <f t="shared" si="55"/>
        <v>6160</v>
      </c>
      <c r="AO57" s="36">
        <f t="shared" si="56"/>
        <v>6161</v>
      </c>
      <c r="AP57" s="37">
        <f t="shared" si="57"/>
        <v>6162</v>
      </c>
      <c r="AQ57" s="37">
        <f t="shared" si="58"/>
        <v>6163</v>
      </c>
      <c r="AR57" s="37">
        <f t="shared" si="59"/>
        <v>6164</v>
      </c>
      <c r="AS57" s="37">
        <f t="shared" si="60"/>
        <v>6165</v>
      </c>
      <c r="AT57" s="37">
        <f t="shared" si="61"/>
        <v>6166</v>
      </c>
      <c r="AU57" s="37">
        <f t="shared" si="62"/>
        <v>6167</v>
      </c>
      <c r="AV57" s="37">
        <f t="shared" si="63"/>
        <v>6168</v>
      </c>
      <c r="AW57" s="37">
        <f t="shared" si="64"/>
        <v>6169</v>
      </c>
      <c r="AX57" s="38">
        <f t="shared" si="65"/>
        <v>6170</v>
      </c>
      <c r="AY57" s="36">
        <f t="shared" si="66"/>
        <v>6171</v>
      </c>
      <c r="AZ57" s="37">
        <f t="shared" si="67"/>
        <v>6172</v>
      </c>
      <c r="BA57" s="37">
        <f t="shared" si="68"/>
        <v>6173</v>
      </c>
      <c r="BB57" s="37">
        <f t="shared" si="69"/>
        <v>6174</v>
      </c>
      <c r="BC57" s="37">
        <f t="shared" si="70"/>
        <v>6175</v>
      </c>
      <c r="BD57" s="37">
        <f t="shared" si="71"/>
        <v>6176</v>
      </c>
      <c r="BE57" s="37">
        <f t="shared" si="72"/>
        <v>6177</v>
      </c>
      <c r="BF57" s="37">
        <f t="shared" si="73"/>
        <v>6178</v>
      </c>
      <c r="BG57" s="37">
        <f t="shared" si="74"/>
        <v>6179</v>
      </c>
      <c r="BH57" s="38">
        <f t="shared" si="75"/>
        <v>6180</v>
      </c>
      <c r="BI57" s="36">
        <f t="shared" si="76"/>
        <v>6181</v>
      </c>
      <c r="BJ57" s="37">
        <f t="shared" si="77"/>
        <v>6182</v>
      </c>
      <c r="BK57" s="37">
        <f t="shared" si="78"/>
        <v>6183</v>
      </c>
      <c r="BL57" s="37">
        <f t="shared" si="79"/>
        <v>6184</v>
      </c>
      <c r="BM57" s="37">
        <f t="shared" si="80"/>
        <v>6185</v>
      </c>
      <c r="BN57" s="37">
        <f t="shared" si="81"/>
        <v>6186</v>
      </c>
      <c r="BO57" s="37">
        <f t="shared" si="82"/>
        <v>6187</v>
      </c>
      <c r="BP57" s="37">
        <f t="shared" si="83"/>
        <v>6188</v>
      </c>
      <c r="BQ57" s="37">
        <f t="shared" si="84"/>
        <v>6189</v>
      </c>
      <c r="BR57" s="39">
        <f t="shared" si="85"/>
        <v>6190</v>
      </c>
      <c r="BS57" s="36">
        <f t="shared" si="86"/>
        <v>6191</v>
      </c>
      <c r="BT57" s="37">
        <f t="shared" si="87"/>
        <v>6192</v>
      </c>
      <c r="BU57" s="37">
        <f t="shared" si="88"/>
        <v>6193</v>
      </c>
      <c r="BV57" s="37">
        <f t="shared" si="89"/>
        <v>6194</v>
      </c>
      <c r="BW57" s="37">
        <f t="shared" si="90"/>
        <v>6195</v>
      </c>
      <c r="BX57" s="37">
        <f t="shared" si="91"/>
        <v>6196</v>
      </c>
      <c r="BY57" s="37">
        <f t="shared" si="92"/>
        <v>6197</v>
      </c>
      <c r="BZ57" s="37">
        <f t="shared" si="93"/>
        <v>6198</v>
      </c>
      <c r="CA57" s="37">
        <f t="shared" si="94"/>
        <v>6199</v>
      </c>
      <c r="CB57" s="38">
        <f t="shared" si="95"/>
        <v>6200</v>
      </c>
      <c r="CC57" s="40">
        <f t="shared" si="96"/>
        <v>6201</v>
      </c>
      <c r="CD57" s="37">
        <f t="shared" si="97"/>
        <v>6202</v>
      </c>
      <c r="CE57" s="37">
        <f t="shared" si="98"/>
        <v>6203</v>
      </c>
      <c r="CF57" s="37">
        <f t="shared" si="99"/>
        <v>6204</v>
      </c>
      <c r="CG57" s="37">
        <f t="shared" si="100"/>
        <v>6205</v>
      </c>
      <c r="CH57" s="37">
        <f t="shared" si="101"/>
        <v>6206</v>
      </c>
      <c r="CI57" s="37">
        <f t="shared" si="102"/>
        <v>6207</v>
      </c>
      <c r="CJ57" s="37">
        <f t="shared" si="103"/>
        <v>6208</v>
      </c>
      <c r="CK57" s="37">
        <f t="shared" si="104"/>
        <v>6209</v>
      </c>
      <c r="CL57" s="39">
        <f t="shared" si="105"/>
        <v>6210</v>
      </c>
      <c r="CM57" s="36">
        <f t="shared" si="106"/>
        <v>6211</v>
      </c>
      <c r="CN57" s="37">
        <f t="shared" si="107"/>
        <v>6212</v>
      </c>
      <c r="CO57" s="37">
        <f t="shared" si="108"/>
        <v>6213</v>
      </c>
      <c r="CP57" s="37">
        <f t="shared" si="109"/>
        <v>6214</v>
      </c>
      <c r="CQ57" s="37">
        <f t="shared" si="110"/>
        <v>6215</v>
      </c>
      <c r="CR57" s="37">
        <f t="shared" si="111"/>
        <v>6216</v>
      </c>
      <c r="CS57" s="37">
        <f t="shared" si="112"/>
        <v>6217</v>
      </c>
      <c r="CT57" s="37">
        <f t="shared" si="113"/>
        <v>6218</v>
      </c>
      <c r="CU57" s="37">
        <f t="shared" si="114"/>
        <v>6219</v>
      </c>
      <c r="CV57" s="38">
        <f t="shared" si="115"/>
        <v>6220</v>
      </c>
      <c r="CW57" s="40">
        <f t="shared" si="116"/>
        <v>6221</v>
      </c>
      <c r="CX57" s="37">
        <f t="shared" si="117"/>
        <v>6222</v>
      </c>
      <c r="CY57" s="37">
        <f t="shared" si="118"/>
        <v>6223</v>
      </c>
      <c r="CZ57" s="37">
        <f t="shared" si="119"/>
        <v>6224</v>
      </c>
      <c r="DA57" s="37">
        <f t="shared" si="120"/>
        <v>6225</v>
      </c>
      <c r="DB57" s="37">
        <f t="shared" si="121"/>
        <v>6226</v>
      </c>
      <c r="DC57" s="37">
        <f t="shared" si="122"/>
        <v>6227</v>
      </c>
      <c r="DD57" s="37">
        <f t="shared" si="123"/>
        <v>6228</v>
      </c>
      <c r="DE57" s="37">
        <f t="shared" si="124"/>
        <v>6229</v>
      </c>
      <c r="DF57" s="39">
        <f t="shared" si="125"/>
        <v>6230</v>
      </c>
      <c r="DG57" s="36">
        <f t="shared" si="126"/>
        <v>6231</v>
      </c>
      <c r="DH57" s="37">
        <f t="shared" si="127"/>
        <v>6232</v>
      </c>
      <c r="DI57" s="37">
        <f t="shared" si="128"/>
        <v>6233</v>
      </c>
      <c r="DJ57" s="37">
        <f t="shared" si="129"/>
        <v>6234</v>
      </c>
      <c r="DK57" s="37">
        <f t="shared" si="130"/>
        <v>6235</v>
      </c>
      <c r="DL57" s="37">
        <f t="shared" si="131"/>
        <v>6236</v>
      </c>
      <c r="DM57" s="37">
        <f t="shared" si="132"/>
        <v>6237</v>
      </c>
      <c r="DN57" s="37">
        <f t="shared" si="133"/>
        <v>6238</v>
      </c>
      <c r="DO57" s="37">
        <f t="shared" si="134"/>
        <v>6239</v>
      </c>
      <c r="DP57" s="38">
        <f t="shared" si="135"/>
        <v>6240</v>
      </c>
      <c r="DR57" s="1214">
        <v>70</v>
      </c>
      <c r="DS57" s="1215"/>
      <c r="DT57" s="1215"/>
      <c r="DU57" s="1216"/>
    </row>
    <row r="58" spans="1:125" ht="5.85" customHeight="1" x14ac:dyDescent="0.3">
      <c r="A58" s="36">
        <f t="shared" si="136"/>
        <v>6241</v>
      </c>
      <c r="B58" s="37">
        <f t="shared" si="17"/>
        <v>6242</v>
      </c>
      <c r="C58" s="37">
        <f t="shared" si="18"/>
        <v>6243</v>
      </c>
      <c r="D58" s="37">
        <f t="shared" si="19"/>
        <v>6244</v>
      </c>
      <c r="E58" s="37">
        <f t="shared" si="20"/>
        <v>6245</v>
      </c>
      <c r="F58" s="37">
        <f t="shared" si="21"/>
        <v>6246</v>
      </c>
      <c r="G58" s="37">
        <f t="shared" si="22"/>
        <v>6247</v>
      </c>
      <c r="H58" s="37">
        <f t="shared" si="23"/>
        <v>6248</v>
      </c>
      <c r="I58" s="37">
        <f t="shared" si="24"/>
        <v>6249</v>
      </c>
      <c r="J58" s="38">
        <f t="shared" si="25"/>
        <v>6250</v>
      </c>
      <c r="K58" s="36">
        <f t="shared" si="26"/>
        <v>6251</v>
      </c>
      <c r="L58" s="37">
        <f t="shared" si="27"/>
        <v>6252</v>
      </c>
      <c r="M58" s="37">
        <f t="shared" si="28"/>
        <v>6253</v>
      </c>
      <c r="N58" s="37">
        <f t="shared" si="29"/>
        <v>6254</v>
      </c>
      <c r="O58" s="37">
        <f t="shared" si="30"/>
        <v>6255</v>
      </c>
      <c r="P58" s="37">
        <f t="shared" si="31"/>
        <v>6256</v>
      </c>
      <c r="Q58" s="37">
        <f t="shared" si="32"/>
        <v>6257</v>
      </c>
      <c r="R58" s="37">
        <f t="shared" si="33"/>
        <v>6258</v>
      </c>
      <c r="S58" s="37">
        <f t="shared" si="34"/>
        <v>6259</v>
      </c>
      <c r="T58" s="38">
        <f t="shared" si="35"/>
        <v>6260</v>
      </c>
      <c r="U58" s="36">
        <f t="shared" si="36"/>
        <v>6261</v>
      </c>
      <c r="V58" s="37">
        <f t="shared" si="37"/>
        <v>6262</v>
      </c>
      <c r="W58" s="37">
        <f t="shared" si="38"/>
        <v>6263</v>
      </c>
      <c r="X58" s="37">
        <f t="shared" si="39"/>
        <v>6264</v>
      </c>
      <c r="Y58" s="37">
        <f t="shared" si="40"/>
        <v>6265</v>
      </c>
      <c r="Z58" s="37">
        <f t="shared" si="41"/>
        <v>6266</v>
      </c>
      <c r="AA58" s="37">
        <f t="shared" si="42"/>
        <v>6267</v>
      </c>
      <c r="AB58" s="37">
        <f t="shared" si="43"/>
        <v>6268</v>
      </c>
      <c r="AC58" s="37">
        <f t="shared" si="44"/>
        <v>6269</v>
      </c>
      <c r="AD58" s="38">
        <f t="shared" si="45"/>
        <v>6270</v>
      </c>
      <c r="AE58" s="36">
        <f t="shared" si="46"/>
        <v>6271</v>
      </c>
      <c r="AF58" s="37">
        <f t="shared" si="47"/>
        <v>6272</v>
      </c>
      <c r="AG58" s="37">
        <f t="shared" si="48"/>
        <v>6273</v>
      </c>
      <c r="AH58" s="37">
        <f t="shared" si="49"/>
        <v>6274</v>
      </c>
      <c r="AI58" s="37">
        <f t="shared" si="50"/>
        <v>6275</v>
      </c>
      <c r="AJ58" s="37">
        <f t="shared" si="51"/>
        <v>6276</v>
      </c>
      <c r="AK58" s="37">
        <f t="shared" si="52"/>
        <v>6277</v>
      </c>
      <c r="AL58" s="37">
        <f t="shared" si="53"/>
        <v>6278</v>
      </c>
      <c r="AM58" s="37">
        <f t="shared" si="54"/>
        <v>6279</v>
      </c>
      <c r="AN58" s="38">
        <f t="shared" si="55"/>
        <v>6280</v>
      </c>
      <c r="AO58" s="36">
        <f t="shared" si="56"/>
        <v>6281</v>
      </c>
      <c r="AP58" s="37">
        <f t="shared" si="57"/>
        <v>6282</v>
      </c>
      <c r="AQ58" s="37">
        <f t="shared" si="58"/>
        <v>6283</v>
      </c>
      <c r="AR58" s="37">
        <f t="shared" si="59"/>
        <v>6284</v>
      </c>
      <c r="AS58" s="37">
        <f t="shared" si="60"/>
        <v>6285</v>
      </c>
      <c r="AT58" s="37">
        <f t="shared" si="61"/>
        <v>6286</v>
      </c>
      <c r="AU58" s="37">
        <f t="shared" si="62"/>
        <v>6287</v>
      </c>
      <c r="AV58" s="37">
        <f t="shared" si="63"/>
        <v>6288</v>
      </c>
      <c r="AW58" s="37">
        <f t="shared" si="64"/>
        <v>6289</v>
      </c>
      <c r="AX58" s="38">
        <f t="shared" si="65"/>
        <v>6290</v>
      </c>
      <c r="AY58" s="36">
        <f t="shared" si="66"/>
        <v>6291</v>
      </c>
      <c r="AZ58" s="37">
        <f t="shared" si="67"/>
        <v>6292</v>
      </c>
      <c r="BA58" s="37">
        <f t="shared" si="68"/>
        <v>6293</v>
      </c>
      <c r="BB58" s="37">
        <f t="shared" si="69"/>
        <v>6294</v>
      </c>
      <c r="BC58" s="37">
        <f t="shared" si="70"/>
        <v>6295</v>
      </c>
      <c r="BD58" s="37">
        <f t="shared" si="71"/>
        <v>6296</v>
      </c>
      <c r="BE58" s="37">
        <f t="shared" si="72"/>
        <v>6297</v>
      </c>
      <c r="BF58" s="37">
        <f t="shared" si="73"/>
        <v>6298</v>
      </c>
      <c r="BG58" s="37">
        <f t="shared" si="74"/>
        <v>6299</v>
      </c>
      <c r="BH58" s="38">
        <f t="shared" si="75"/>
        <v>6300</v>
      </c>
      <c r="BI58" s="36">
        <f t="shared" si="76"/>
        <v>6301</v>
      </c>
      <c r="BJ58" s="37">
        <f t="shared" si="77"/>
        <v>6302</v>
      </c>
      <c r="BK58" s="37">
        <f t="shared" si="78"/>
        <v>6303</v>
      </c>
      <c r="BL58" s="37">
        <f t="shared" si="79"/>
        <v>6304</v>
      </c>
      <c r="BM58" s="37">
        <f t="shared" si="80"/>
        <v>6305</v>
      </c>
      <c r="BN58" s="37">
        <f t="shared" si="81"/>
        <v>6306</v>
      </c>
      <c r="BO58" s="37">
        <f t="shared" si="82"/>
        <v>6307</v>
      </c>
      <c r="BP58" s="37">
        <f t="shared" si="83"/>
        <v>6308</v>
      </c>
      <c r="BQ58" s="37">
        <f t="shared" si="84"/>
        <v>6309</v>
      </c>
      <c r="BR58" s="39">
        <f t="shared" si="85"/>
        <v>6310</v>
      </c>
      <c r="BS58" s="36">
        <f t="shared" si="86"/>
        <v>6311</v>
      </c>
      <c r="BT58" s="37">
        <f t="shared" si="87"/>
        <v>6312</v>
      </c>
      <c r="BU58" s="37">
        <f t="shared" si="88"/>
        <v>6313</v>
      </c>
      <c r="BV58" s="37">
        <f t="shared" si="89"/>
        <v>6314</v>
      </c>
      <c r="BW58" s="37">
        <f t="shared" si="90"/>
        <v>6315</v>
      </c>
      <c r="BX58" s="37">
        <f t="shared" si="91"/>
        <v>6316</v>
      </c>
      <c r="BY58" s="37">
        <f t="shared" si="92"/>
        <v>6317</v>
      </c>
      <c r="BZ58" s="37">
        <f t="shared" si="93"/>
        <v>6318</v>
      </c>
      <c r="CA58" s="37">
        <f t="shared" si="94"/>
        <v>6319</v>
      </c>
      <c r="CB58" s="38">
        <f t="shared" si="95"/>
        <v>6320</v>
      </c>
      <c r="CC58" s="40">
        <f t="shared" si="96"/>
        <v>6321</v>
      </c>
      <c r="CD58" s="37">
        <f t="shared" si="97"/>
        <v>6322</v>
      </c>
      <c r="CE58" s="37">
        <f t="shared" si="98"/>
        <v>6323</v>
      </c>
      <c r="CF58" s="37">
        <f t="shared" si="99"/>
        <v>6324</v>
      </c>
      <c r="CG58" s="37">
        <f t="shared" si="100"/>
        <v>6325</v>
      </c>
      <c r="CH58" s="37">
        <f t="shared" si="101"/>
        <v>6326</v>
      </c>
      <c r="CI58" s="37">
        <f t="shared" si="102"/>
        <v>6327</v>
      </c>
      <c r="CJ58" s="37">
        <f t="shared" si="103"/>
        <v>6328</v>
      </c>
      <c r="CK58" s="37">
        <f t="shared" si="104"/>
        <v>6329</v>
      </c>
      <c r="CL58" s="39">
        <f t="shared" si="105"/>
        <v>6330</v>
      </c>
      <c r="CM58" s="36">
        <f t="shared" si="106"/>
        <v>6331</v>
      </c>
      <c r="CN58" s="37">
        <f t="shared" si="107"/>
        <v>6332</v>
      </c>
      <c r="CO58" s="37">
        <f t="shared" si="108"/>
        <v>6333</v>
      </c>
      <c r="CP58" s="37">
        <f t="shared" si="109"/>
        <v>6334</v>
      </c>
      <c r="CQ58" s="37">
        <f t="shared" si="110"/>
        <v>6335</v>
      </c>
      <c r="CR58" s="37">
        <f t="shared" si="111"/>
        <v>6336</v>
      </c>
      <c r="CS58" s="37">
        <f t="shared" si="112"/>
        <v>6337</v>
      </c>
      <c r="CT58" s="37">
        <f t="shared" si="113"/>
        <v>6338</v>
      </c>
      <c r="CU58" s="37">
        <f t="shared" si="114"/>
        <v>6339</v>
      </c>
      <c r="CV58" s="38">
        <f t="shared" si="115"/>
        <v>6340</v>
      </c>
      <c r="CW58" s="40">
        <f t="shared" si="116"/>
        <v>6341</v>
      </c>
      <c r="CX58" s="37">
        <f t="shared" si="117"/>
        <v>6342</v>
      </c>
      <c r="CY58" s="37">
        <f t="shared" si="118"/>
        <v>6343</v>
      </c>
      <c r="CZ58" s="37">
        <f t="shared" si="119"/>
        <v>6344</v>
      </c>
      <c r="DA58" s="37">
        <f t="shared" si="120"/>
        <v>6345</v>
      </c>
      <c r="DB58" s="37">
        <f t="shared" si="121"/>
        <v>6346</v>
      </c>
      <c r="DC58" s="37">
        <f t="shared" si="122"/>
        <v>6347</v>
      </c>
      <c r="DD58" s="37">
        <f t="shared" si="123"/>
        <v>6348</v>
      </c>
      <c r="DE58" s="37">
        <f t="shared" si="124"/>
        <v>6349</v>
      </c>
      <c r="DF58" s="39">
        <f t="shared" si="125"/>
        <v>6350</v>
      </c>
      <c r="DG58" s="36">
        <f t="shared" si="126"/>
        <v>6351</v>
      </c>
      <c r="DH58" s="37">
        <f t="shared" si="127"/>
        <v>6352</v>
      </c>
      <c r="DI58" s="37">
        <f t="shared" si="128"/>
        <v>6353</v>
      </c>
      <c r="DJ58" s="37">
        <f t="shared" si="129"/>
        <v>6354</v>
      </c>
      <c r="DK58" s="37">
        <f t="shared" si="130"/>
        <v>6355</v>
      </c>
      <c r="DL58" s="37">
        <f t="shared" si="131"/>
        <v>6356</v>
      </c>
      <c r="DM58" s="37">
        <f t="shared" si="132"/>
        <v>6357</v>
      </c>
      <c r="DN58" s="37">
        <f t="shared" si="133"/>
        <v>6358</v>
      </c>
      <c r="DO58" s="37">
        <f t="shared" si="134"/>
        <v>6359</v>
      </c>
      <c r="DP58" s="38">
        <f t="shared" si="135"/>
        <v>6360</v>
      </c>
      <c r="DR58" s="1214"/>
      <c r="DS58" s="1215"/>
      <c r="DT58" s="1215"/>
      <c r="DU58" s="1216"/>
    </row>
    <row r="59" spans="1:125" ht="5.85" customHeight="1" x14ac:dyDescent="0.3">
      <c r="A59" s="36">
        <f t="shared" si="136"/>
        <v>6361</v>
      </c>
      <c r="B59" s="37">
        <f t="shared" si="17"/>
        <v>6362</v>
      </c>
      <c r="C59" s="37">
        <f t="shared" si="18"/>
        <v>6363</v>
      </c>
      <c r="D59" s="37">
        <f t="shared" si="19"/>
        <v>6364</v>
      </c>
      <c r="E59" s="37">
        <f t="shared" si="20"/>
        <v>6365</v>
      </c>
      <c r="F59" s="37">
        <f t="shared" si="21"/>
        <v>6366</v>
      </c>
      <c r="G59" s="37">
        <f t="shared" si="22"/>
        <v>6367</v>
      </c>
      <c r="H59" s="37">
        <f t="shared" si="23"/>
        <v>6368</v>
      </c>
      <c r="I59" s="37">
        <f t="shared" si="24"/>
        <v>6369</v>
      </c>
      <c r="J59" s="38">
        <f t="shared" si="25"/>
        <v>6370</v>
      </c>
      <c r="K59" s="36">
        <f t="shared" si="26"/>
        <v>6371</v>
      </c>
      <c r="L59" s="37">
        <f t="shared" si="27"/>
        <v>6372</v>
      </c>
      <c r="M59" s="37">
        <f t="shared" si="28"/>
        <v>6373</v>
      </c>
      <c r="N59" s="37">
        <f t="shared" si="29"/>
        <v>6374</v>
      </c>
      <c r="O59" s="37">
        <f t="shared" si="30"/>
        <v>6375</v>
      </c>
      <c r="P59" s="37">
        <f t="shared" si="31"/>
        <v>6376</v>
      </c>
      <c r="Q59" s="37">
        <f t="shared" si="32"/>
        <v>6377</v>
      </c>
      <c r="R59" s="37">
        <f t="shared" si="33"/>
        <v>6378</v>
      </c>
      <c r="S59" s="37">
        <f t="shared" si="34"/>
        <v>6379</v>
      </c>
      <c r="T59" s="38">
        <f t="shared" si="35"/>
        <v>6380</v>
      </c>
      <c r="U59" s="36">
        <f t="shared" si="36"/>
        <v>6381</v>
      </c>
      <c r="V59" s="37">
        <f t="shared" si="37"/>
        <v>6382</v>
      </c>
      <c r="W59" s="37">
        <f t="shared" si="38"/>
        <v>6383</v>
      </c>
      <c r="X59" s="37">
        <f t="shared" si="39"/>
        <v>6384</v>
      </c>
      <c r="Y59" s="37">
        <f t="shared" si="40"/>
        <v>6385</v>
      </c>
      <c r="Z59" s="37">
        <f t="shared" si="41"/>
        <v>6386</v>
      </c>
      <c r="AA59" s="37">
        <f t="shared" si="42"/>
        <v>6387</v>
      </c>
      <c r="AB59" s="37">
        <f t="shared" si="43"/>
        <v>6388</v>
      </c>
      <c r="AC59" s="37">
        <f t="shared" si="44"/>
        <v>6389</v>
      </c>
      <c r="AD59" s="38">
        <f t="shared" si="45"/>
        <v>6390</v>
      </c>
      <c r="AE59" s="36">
        <f t="shared" si="46"/>
        <v>6391</v>
      </c>
      <c r="AF59" s="37">
        <f t="shared" si="47"/>
        <v>6392</v>
      </c>
      <c r="AG59" s="37">
        <f t="shared" si="48"/>
        <v>6393</v>
      </c>
      <c r="AH59" s="37">
        <f t="shared" si="49"/>
        <v>6394</v>
      </c>
      <c r="AI59" s="37">
        <f t="shared" si="50"/>
        <v>6395</v>
      </c>
      <c r="AJ59" s="37">
        <f t="shared" si="51"/>
        <v>6396</v>
      </c>
      <c r="AK59" s="37">
        <f t="shared" si="52"/>
        <v>6397</v>
      </c>
      <c r="AL59" s="37">
        <f t="shared" si="53"/>
        <v>6398</v>
      </c>
      <c r="AM59" s="37">
        <f t="shared" si="54"/>
        <v>6399</v>
      </c>
      <c r="AN59" s="38">
        <f t="shared" si="55"/>
        <v>6400</v>
      </c>
      <c r="AO59" s="36">
        <f t="shared" si="56"/>
        <v>6401</v>
      </c>
      <c r="AP59" s="37">
        <f t="shared" si="57"/>
        <v>6402</v>
      </c>
      <c r="AQ59" s="37">
        <f t="shared" si="58"/>
        <v>6403</v>
      </c>
      <c r="AR59" s="37">
        <f t="shared" si="59"/>
        <v>6404</v>
      </c>
      <c r="AS59" s="37">
        <f t="shared" si="60"/>
        <v>6405</v>
      </c>
      <c r="AT59" s="37">
        <f t="shared" si="61"/>
        <v>6406</v>
      </c>
      <c r="AU59" s="37">
        <f t="shared" si="62"/>
        <v>6407</v>
      </c>
      <c r="AV59" s="37">
        <f t="shared" si="63"/>
        <v>6408</v>
      </c>
      <c r="AW59" s="37">
        <f t="shared" si="64"/>
        <v>6409</v>
      </c>
      <c r="AX59" s="38">
        <f t="shared" si="65"/>
        <v>6410</v>
      </c>
      <c r="AY59" s="36">
        <f t="shared" si="66"/>
        <v>6411</v>
      </c>
      <c r="AZ59" s="37">
        <f t="shared" si="67"/>
        <v>6412</v>
      </c>
      <c r="BA59" s="37">
        <f t="shared" si="68"/>
        <v>6413</v>
      </c>
      <c r="BB59" s="37">
        <f t="shared" si="69"/>
        <v>6414</v>
      </c>
      <c r="BC59" s="37">
        <f t="shared" si="70"/>
        <v>6415</v>
      </c>
      <c r="BD59" s="37">
        <f t="shared" si="71"/>
        <v>6416</v>
      </c>
      <c r="BE59" s="37">
        <f t="shared" si="72"/>
        <v>6417</v>
      </c>
      <c r="BF59" s="37">
        <f t="shared" si="73"/>
        <v>6418</v>
      </c>
      <c r="BG59" s="37">
        <f t="shared" si="74"/>
        <v>6419</v>
      </c>
      <c r="BH59" s="38">
        <f t="shared" si="75"/>
        <v>6420</v>
      </c>
      <c r="BI59" s="36">
        <f t="shared" si="76"/>
        <v>6421</v>
      </c>
      <c r="BJ59" s="37">
        <f t="shared" si="77"/>
        <v>6422</v>
      </c>
      <c r="BK59" s="37">
        <f t="shared" si="78"/>
        <v>6423</v>
      </c>
      <c r="BL59" s="37">
        <f t="shared" si="79"/>
        <v>6424</v>
      </c>
      <c r="BM59" s="37">
        <f t="shared" si="80"/>
        <v>6425</v>
      </c>
      <c r="BN59" s="37">
        <f t="shared" si="81"/>
        <v>6426</v>
      </c>
      <c r="BO59" s="37">
        <f t="shared" si="82"/>
        <v>6427</v>
      </c>
      <c r="BP59" s="37">
        <f t="shared" si="83"/>
        <v>6428</v>
      </c>
      <c r="BQ59" s="37">
        <f t="shared" si="84"/>
        <v>6429</v>
      </c>
      <c r="BR59" s="39">
        <f t="shared" si="85"/>
        <v>6430</v>
      </c>
      <c r="BS59" s="36">
        <f t="shared" si="86"/>
        <v>6431</v>
      </c>
      <c r="BT59" s="37">
        <f t="shared" si="87"/>
        <v>6432</v>
      </c>
      <c r="BU59" s="37">
        <f t="shared" si="88"/>
        <v>6433</v>
      </c>
      <c r="BV59" s="37">
        <f t="shared" si="89"/>
        <v>6434</v>
      </c>
      <c r="BW59" s="37">
        <f t="shared" si="90"/>
        <v>6435</v>
      </c>
      <c r="BX59" s="37">
        <f t="shared" si="91"/>
        <v>6436</v>
      </c>
      <c r="BY59" s="37">
        <f t="shared" si="92"/>
        <v>6437</v>
      </c>
      <c r="BZ59" s="37">
        <f t="shared" si="93"/>
        <v>6438</v>
      </c>
      <c r="CA59" s="37">
        <f t="shared" si="94"/>
        <v>6439</v>
      </c>
      <c r="CB59" s="38">
        <f t="shared" si="95"/>
        <v>6440</v>
      </c>
      <c r="CC59" s="40">
        <f t="shared" si="96"/>
        <v>6441</v>
      </c>
      <c r="CD59" s="37">
        <f t="shared" si="97"/>
        <v>6442</v>
      </c>
      <c r="CE59" s="37">
        <f t="shared" si="98"/>
        <v>6443</v>
      </c>
      <c r="CF59" s="37">
        <f t="shared" si="99"/>
        <v>6444</v>
      </c>
      <c r="CG59" s="37">
        <f t="shared" si="100"/>
        <v>6445</v>
      </c>
      <c r="CH59" s="37">
        <f t="shared" si="101"/>
        <v>6446</v>
      </c>
      <c r="CI59" s="37">
        <f t="shared" si="102"/>
        <v>6447</v>
      </c>
      <c r="CJ59" s="37">
        <f t="shared" si="103"/>
        <v>6448</v>
      </c>
      <c r="CK59" s="37">
        <f t="shared" si="104"/>
        <v>6449</v>
      </c>
      <c r="CL59" s="39">
        <f t="shared" si="105"/>
        <v>6450</v>
      </c>
      <c r="CM59" s="36">
        <f t="shared" si="106"/>
        <v>6451</v>
      </c>
      <c r="CN59" s="37">
        <f t="shared" si="107"/>
        <v>6452</v>
      </c>
      <c r="CO59" s="37">
        <f t="shared" si="108"/>
        <v>6453</v>
      </c>
      <c r="CP59" s="37">
        <f t="shared" si="109"/>
        <v>6454</v>
      </c>
      <c r="CQ59" s="37">
        <f t="shared" si="110"/>
        <v>6455</v>
      </c>
      <c r="CR59" s="37">
        <f t="shared" si="111"/>
        <v>6456</v>
      </c>
      <c r="CS59" s="37">
        <f t="shared" si="112"/>
        <v>6457</v>
      </c>
      <c r="CT59" s="37">
        <f t="shared" si="113"/>
        <v>6458</v>
      </c>
      <c r="CU59" s="37">
        <f t="shared" si="114"/>
        <v>6459</v>
      </c>
      <c r="CV59" s="38">
        <f t="shared" si="115"/>
        <v>6460</v>
      </c>
      <c r="CW59" s="40">
        <f t="shared" si="116"/>
        <v>6461</v>
      </c>
      <c r="CX59" s="37">
        <f t="shared" si="117"/>
        <v>6462</v>
      </c>
      <c r="CY59" s="37">
        <f t="shared" si="118"/>
        <v>6463</v>
      </c>
      <c r="CZ59" s="37">
        <f t="shared" si="119"/>
        <v>6464</v>
      </c>
      <c r="DA59" s="37">
        <f t="shared" si="120"/>
        <v>6465</v>
      </c>
      <c r="DB59" s="37">
        <f t="shared" si="121"/>
        <v>6466</v>
      </c>
      <c r="DC59" s="37">
        <f t="shared" si="122"/>
        <v>6467</v>
      </c>
      <c r="DD59" s="37">
        <f t="shared" si="123"/>
        <v>6468</v>
      </c>
      <c r="DE59" s="37">
        <f t="shared" si="124"/>
        <v>6469</v>
      </c>
      <c r="DF59" s="39">
        <f t="shared" si="125"/>
        <v>6470</v>
      </c>
      <c r="DG59" s="36">
        <f t="shared" si="126"/>
        <v>6471</v>
      </c>
      <c r="DH59" s="37">
        <f t="shared" si="127"/>
        <v>6472</v>
      </c>
      <c r="DI59" s="37">
        <f t="shared" si="128"/>
        <v>6473</v>
      </c>
      <c r="DJ59" s="37">
        <f t="shared" si="129"/>
        <v>6474</v>
      </c>
      <c r="DK59" s="37">
        <f t="shared" si="130"/>
        <v>6475</v>
      </c>
      <c r="DL59" s="37">
        <f t="shared" si="131"/>
        <v>6476</v>
      </c>
      <c r="DM59" s="37">
        <f t="shared" si="132"/>
        <v>6477</v>
      </c>
      <c r="DN59" s="37">
        <f t="shared" si="133"/>
        <v>6478</v>
      </c>
      <c r="DO59" s="37">
        <f t="shared" si="134"/>
        <v>6479</v>
      </c>
      <c r="DP59" s="38">
        <f t="shared" si="135"/>
        <v>6480</v>
      </c>
      <c r="DR59" s="1214"/>
      <c r="DS59" s="1215"/>
      <c r="DT59" s="1215"/>
      <c r="DU59" s="1216"/>
    </row>
    <row r="60" spans="1:125" ht="5.85" customHeight="1" x14ac:dyDescent="0.3">
      <c r="A60" s="36">
        <f t="shared" si="136"/>
        <v>6481</v>
      </c>
      <c r="B60" s="37">
        <f t="shared" si="17"/>
        <v>6482</v>
      </c>
      <c r="C60" s="37">
        <f t="shared" si="18"/>
        <v>6483</v>
      </c>
      <c r="D60" s="37">
        <f t="shared" si="19"/>
        <v>6484</v>
      </c>
      <c r="E60" s="37">
        <f t="shared" si="20"/>
        <v>6485</v>
      </c>
      <c r="F60" s="37">
        <f t="shared" si="21"/>
        <v>6486</v>
      </c>
      <c r="G60" s="37">
        <f t="shared" si="22"/>
        <v>6487</v>
      </c>
      <c r="H60" s="37">
        <f t="shared" si="23"/>
        <v>6488</v>
      </c>
      <c r="I60" s="37">
        <f t="shared" si="24"/>
        <v>6489</v>
      </c>
      <c r="J60" s="38">
        <f t="shared" si="25"/>
        <v>6490</v>
      </c>
      <c r="K60" s="36">
        <f t="shared" si="26"/>
        <v>6491</v>
      </c>
      <c r="L60" s="37">
        <f t="shared" si="27"/>
        <v>6492</v>
      </c>
      <c r="M60" s="37">
        <f t="shared" si="28"/>
        <v>6493</v>
      </c>
      <c r="N60" s="37">
        <f t="shared" si="29"/>
        <v>6494</v>
      </c>
      <c r="O60" s="37">
        <f t="shared" si="30"/>
        <v>6495</v>
      </c>
      <c r="P60" s="37">
        <f t="shared" si="31"/>
        <v>6496</v>
      </c>
      <c r="Q60" s="37">
        <f t="shared" si="32"/>
        <v>6497</v>
      </c>
      <c r="R60" s="37">
        <f t="shared" si="33"/>
        <v>6498</v>
      </c>
      <c r="S60" s="37">
        <f t="shared" si="34"/>
        <v>6499</v>
      </c>
      <c r="T60" s="38">
        <f t="shared" si="35"/>
        <v>6500</v>
      </c>
      <c r="U60" s="36">
        <f t="shared" si="36"/>
        <v>6501</v>
      </c>
      <c r="V60" s="37">
        <f t="shared" si="37"/>
        <v>6502</v>
      </c>
      <c r="W60" s="37">
        <f t="shared" si="38"/>
        <v>6503</v>
      </c>
      <c r="X60" s="37">
        <f t="shared" si="39"/>
        <v>6504</v>
      </c>
      <c r="Y60" s="37">
        <f t="shared" si="40"/>
        <v>6505</v>
      </c>
      <c r="Z60" s="37">
        <f t="shared" si="41"/>
        <v>6506</v>
      </c>
      <c r="AA60" s="37">
        <f t="shared" si="42"/>
        <v>6507</v>
      </c>
      <c r="AB60" s="37">
        <f t="shared" si="43"/>
        <v>6508</v>
      </c>
      <c r="AC60" s="37">
        <f t="shared" si="44"/>
        <v>6509</v>
      </c>
      <c r="AD60" s="38">
        <f t="shared" si="45"/>
        <v>6510</v>
      </c>
      <c r="AE60" s="36">
        <f t="shared" si="46"/>
        <v>6511</v>
      </c>
      <c r="AF60" s="37">
        <f t="shared" si="47"/>
        <v>6512</v>
      </c>
      <c r="AG60" s="37">
        <f t="shared" si="48"/>
        <v>6513</v>
      </c>
      <c r="AH60" s="37">
        <f t="shared" si="49"/>
        <v>6514</v>
      </c>
      <c r="AI60" s="37">
        <f t="shared" si="50"/>
        <v>6515</v>
      </c>
      <c r="AJ60" s="37">
        <f t="shared" si="51"/>
        <v>6516</v>
      </c>
      <c r="AK60" s="37">
        <f t="shared" si="52"/>
        <v>6517</v>
      </c>
      <c r="AL60" s="37">
        <f t="shared" si="53"/>
        <v>6518</v>
      </c>
      <c r="AM60" s="37">
        <f t="shared" si="54"/>
        <v>6519</v>
      </c>
      <c r="AN60" s="38">
        <f t="shared" si="55"/>
        <v>6520</v>
      </c>
      <c r="AO60" s="36">
        <f t="shared" si="56"/>
        <v>6521</v>
      </c>
      <c r="AP60" s="37">
        <f t="shared" si="57"/>
        <v>6522</v>
      </c>
      <c r="AQ60" s="37">
        <f t="shared" si="58"/>
        <v>6523</v>
      </c>
      <c r="AR60" s="37">
        <f t="shared" si="59"/>
        <v>6524</v>
      </c>
      <c r="AS60" s="37">
        <f t="shared" si="60"/>
        <v>6525</v>
      </c>
      <c r="AT60" s="37">
        <f t="shared" si="61"/>
        <v>6526</v>
      </c>
      <c r="AU60" s="37">
        <f t="shared" si="62"/>
        <v>6527</v>
      </c>
      <c r="AV60" s="37">
        <f t="shared" si="63"/>
        <v>6528</v>
      </c>
      <c r="AW60" s="37">
        <f t="shared" si="64"/>
        <v>6529</v>
      </c>
      <c r="AX60" s="38">
        <f t="shared" si="65"/>
        <v>6530</v>
      </c>
      <c r="AY60" s="36">
        <f t="shared" si="66"/>
        <v>6531</v>
      </c>
      <c r="AZ60" s="37">
        <f t="shared" si="67"/>
        <v>6532</v>
      </c>
      <c r="BA60" s="37">
        <f t="shared" si="68"/>
        <v>6533</v>
      </c>
      <c r="BB60" s="37">
        <f t="shared" si="69"/>
        <v>6534</v>
      </c>
      <c r="BC60" s="37">
        <f t="shared" si="70"/>
        <v>6535</v>
      </c>
      <c r="BD60" s="37">
        <f t="shared" si="71"/>
        <v>6536</v>
      </c>
      <c r="BE60" s="37">
        <f t="shared" si="72"/>
        <v>6537</v>
      </c>
      <c r="BF60" s="37">
        <f t="shared" si="73"/>
        <v>6538</v>
      </c>
      <c r="BG60" s="37">
        <f t="shared" si="74"/>
        <v>6539</v>
      </c>
      <c r="BH60" s="38">
        <f t="shared" si="75"/>
        <v>6540</v>
      </c>
      <c r="BI60" s="36">
        <f t="shared" si="76"/>
        <v>6541</v>
      </c>
      <c r="BJ60" s="37">
        <f t="shared" si="77"/>
        <v>6542</v>
      </c>
      <c r="BK60" s="37">
        <f t="shared" si="78"/>
        <v>6543</v>
      </c>
      <c r="BL60" s="37">
        <f t="shared" si="79"/>
        <v>6544</v>
      </c>
      <c r="BM60" s="37">
        <f t="shared" si="80"/>
        <v>6545</v>
      </c>
      <c r="BN60" s="37">
        <f t="shared" si="81"/>
        <v>6546</v>
      </c>
      <c r="BO60" s="37">
        <f t="shared" si="82"/>
        <v>6547</v>
      </c>
      <c r="BP60" s="37">
        <f t="shared" si="83"/>
        <v>6548</v>
      </c>
      <c r="BQ60" s="37">
        <f t="shared" si="84"/>
        <v>6549</v>
      </c>
      <c r="BR60" s="39">
        <f t="shared" si="85"/>
        <v>6550</v>
      </c>
      <c r="BS60" s="36">
        <f t="shared" si="86"/>
        <v>6551</v>
      </c>
      <c r="BT60" s="37">
        <f t="shared" si="87"/>
        <v>6552</v>
      </c>
      <c r="BU60" s="37">
        <f t="shared" si="88"/>
        <v>6553</v>
      </c>
      <c r="BV60" s="37">
        <f t="shared" si="89"/>
        <v>6554</v>
      </c>
      <c r="BW60" s="37">
        <f t="shared" si="90"/>
        <v>6555</v>
      </c>
      <c r="BX60" s="37">
        <f t="shared" si="91"/>
        <v>6556</v>
      </c>
      <c r="BY60" s="37">
        <f t="shared" si="92"/>
        <v>6557</v>
      </c>
      <c r="BZ60" s="37">
        <f t="shared" si="93"/>
        <v>6558</v>
      </c>
      <c r="CA60" s="37">
        <f t="shared" si="94"/>
        <v>6559</v>
      </c>
      <c r="CB60" s="38">
        <f t="shared" si="95"/>
        <v>6560</v>
      </c>
      <c r="CC60" s="40">
        <f t="shared" si="96"/>
        <v>6561</v>
      </c>
      <c r="CD60" s="37">
        <f t="shared" si="97"/>
        <v>6562</v>
      </c>
      <c r="CE60" s="37">
        <f t="shared" si="98"/>
        <v>6563</v>
      </c>
      <c r="CF60" s="37">
        <f t="shared" si="99"/>
        <v>6564</v>
      </c>
      <c r="CG60" s="37">
        <f t="shared" si="100"/>
        <v>6565</v>
      </c>
      <c r="CH60" s="37">
        <f t="shared" si="101"/>
        <v>6566</v>
      </c>
      <c r="CI60" s="37">
        <f t="shared" si="102"/>
        <v>6567</v>
      </c>
      <c r="CJ60" s="37">
        <f t="shared" si="103"/>
        <v>6568</v>
      </c>
      <c r="CK60" s="37">
        <f t="shared" si="104"/>
        <v>6569</v>
      </c>
      <c r="CL60" s="39">
        <f t="shared" si="105"/>
        <v>6570</v>
      </c>
      <c r="CM60" s="36">
        <f t="shared" si="106"/>
        <v>6571</v>
      </c>
      <c r="CN60" s="37">
        <f t="shared" si="107"/>
        <v>6572</v>
      </c>
      <c r="CO60" s="37">
        <f t="shared" si="108"/>
        <v>6573</v>
      </c>
      <c r="CP60" s="37">
        <f t="shared" si="109"/>
        <v>6574</v>
      </c>
      <c r="CQ60" s="37">
        <f t="shared" si="110"/>
        <v>6575</v>
      </c>
      <c r="CR60" s="37">
        <f t="shared" si="111"/>
        <v>6576</v>
      </c>
      <c r="CS60" s="37">
        <f t="shared" si="112"/>
        <v>6577</v>
      </c>
      <c r="CT60" s="37">
        <f t="shared" si="113"/>
        <v>6578</v>
      </c>
      <c r="CU60" s="37">
        <f t="shared" si="114"/>
        <v>6579</v>
      </c>
      <c r="CV60" s="38">
        <f t="shared" si="115"/>
        <v>6580</v>
      </c>
      <c r="CW60" s="40">
        <f t="shared" si="116"/>
        <v>6581</v>
      </c>
      <c r="CX60" s="37">
        <f t="shared" si="117"/>
        <v>6582</v>
      </c>
      <c r="CY60" s="37">
        <f t="shared" si="118"/>
        <v>6583</v>
      </c>
      <c r="CZ60" s="37">
        <f t="shared" si="119"/>
        <v>6584</v>
      </c>
      <c r="DA60" s="37">
        <f t="shared" si="120"/>
        <v>6585</v>
      </c>
      <c r="DB60" s="37">
        <f t="shared" si="121"/>
        <v>6586</v>
      </c>
      <c r="DC60" s="37">
        <f t="shared" si="122"/>
        <v>6587</v>
      </c>
      <c r="DD60" s="37">
        <f t="shared" si="123"/>
        <v>6588</v>
      </c>
      <c r="DE60" s="37">
        <f t="shared" si="124"/>
        <v>6589</v>
      </c>
      <c r="DF60" s="39">
        <f t="shared" si="125"/>
        <v>6590</v>
      </c>
      <c r="DG60" s="36">
        <f t="shared" si="126"/>
        <v>6591</v>
      </c>
      <c r="DH60" s="37">
        <f t="shared" si="127"/>
        <v>6592</v>
      </c>
      <c r="DI60" s="37">
        <f t="shared" si="128"/>
        <v>6593</v>
      </c>
      <c r="DJ60" s="37">
        <f t="shared" si="129"/>
        <v>6594</v>
      </c>
      <c r="DK60" s="37">
        <f t="shared" si="130"/>
        <v>6595</v>
      </c>
      <c r="DL60" s="37">
        <f t="shared" si="131"/>
        <v>6596</v>
      </c>
      <c r="DM60" s="37">
        <f t="shared" si="132"/>
        <v>6597</v>
      </c>
      <c r="DN60" s="37">
        <f t="shared" si="133"/>
        <v>6598</v>
      </c>
      <c r="DO60" s="37">
        <f t="shared" si="134"/>
        <v>6599</v>
      </c>
      <c r="DP60" s="38">
        <f t="shared" si="135"/>
        <v>6600</v>
      </c>
      <c r="DR60" s="1223">
        <v>80</v>
      </c>
      <c r="DS60" s="1224"/>
      <c r="DT60" s="1224"/>
      <c r="DU60" s="1225"/>
    </row>
    <row r="61" spans="1:125" ht="5.85" customHeight="1" x14ac:dyDescent="0.3">
      <c r="A61" s="36">
        <f t="shared" si="136"/>
        <v>6601</v>
      </c>
      <c r="B61" s="37">
        <f t="shared" si="17"/>
        <v>6602</v>
      </c>
      <c r="C61" s="37">
        <f t="shared" si="18"/>
        <v>6603</v>
      </c>
      <c r="D61" s="37">
        <f t="shared" si="19"/>
        <v>6604</v>
      </c>
      <c r="E61" s="37">
        <f t="shared" si="20"/>
        <v>6605</v>
      </c>
      <c r="F61" s="37">
        <f t="shared" si="21"/>
        <v>6606</v>
      </c>
      <c r="G61" s="37">
        <f t="shared" si="22"/>
        <v>6607</v>
      </c>
      <c r="H61" s="37">
        <f t="shared" si="23"/>
        <v>6608</v>
      </c>
      <c r="I61" s="37">
        <f t="shared" si="24"/>
        <v>6609</v>
      </c>
      <c r="J61" s="38">
        <f t="shared" si="25"/>
        <v>6610</v>
      </c>
      <c r="K61" s="36">
        <f t="shared" si="26"/>
        <v>6611</v>
      </c>
      <c r="L61" s="37">
        <f t="shared" si="27"/>
        <v>6612</v>
      </c>
      <c r="M61" s="37">
        <f t="shared" si="28"/>
        <v>6613</v>
      </c>
      <c r="N61" s="37">
        <f t="shared" si="29"/>
        <v>6614</v>
      </c>
      <c r="O61" s="37">
        <f t="shared" si="30"/>
        <v>6615</v>
      </c>
      <c r="P61" s="37">
        <f t="shared" si="31"/>
        <v>6616</v>
      </c>
      <c r="Q61" s="37">
        <f t="shared" si="32"/>
        <v>6617</v>
      </c>
      <c r="R61" s="37">
        <f t="shared" si="33"/>
        <v>6618</v>
      </c>
      <c r="S61" s="37">
        <f t="shared" si="34"/>
        <v>6619</v>
      </c>
      <c r="T61" s="38">
        <f t="shared" si="35"/>
        <v>6620</v>
      </c>
      <c r="U61" s="36">
        <f t="shared" si="36"/>
        <v>6621</v>
      </c>
      <c r="V61" s="37">
        <f t="shared" si="37"/>
        <v>6622</v>
      </c>
      <c r="W61" s="37">
        <f t="shared" si="38"/>
        <v>6623</v>
      </c>
      <c r="X61" s="37">
        <f t="shared" si="39"/>
        <v>6624</v>
      </c>
      <c r="Y61" s="37">
        <f t="shared" si="40"/>
        <v>6625</v>
      </c>
      <c r="Z61" s="37">
        <f t="shared" si="41"/>
        <v>6626</v>
      </c>
      <c r="AA61" s="37">
        <f t="shared" si="42"/>
        <v>6627</v>
      </c>
      <c r="AB61" s="37">
        <f t="shared" si="43"/>
        <v>6628</v>
      </c>
      <c r="AC61" s="37">
        <f t="shared" si="44"/>
        <v>6629</v>
      </c>
      <c r="AD61" s="38">
        <f t="shared" si="45"/>
        <v>6630</v>
      </c>
      <c r="AE61" s="36">
        <f t="shared" si="46"/>
        <v>6631</v>
      </c>
      <c r="AF61" s="37">
        <f t="shared" si="47"/>
        <v>6632</v>
      </c>
      <c r="AG61" s="37">
        <f t="shared" si="48"/>
        <v>6633</v>
      </c>
      <c r="AH61" s="37">
        <f t="shared" si="49"/>
        <v>6634</v>
      </c>
      <c r="AI61" s="37">
        <f t="shared" si="50"/>
        <v>6635</v>
      </c>
      <c r="AJ61" s="37">
        <f t="shared" si="51"/>
        <v>6636</v>
      </c>
      <c r="AK61" s="37">
        <f t="shared" si="52"/>
        <v>6637</v>
      </c>
      <c r="AL61" s="37">
        <f t="shared" si="53"/>
        <v>6638</v>
      </c>
      <c r="AM61" s="37">
        <f t="shared" si="54"/>
        <v>6639</v>
      </c>
      <c r="AN61" s="38">
        <f t="shared" si="55"/>
        <v>6640</v>
      </c>
      <c r="AO61" s="36">
        <f t="shared" si="56"/>
        <v>6641</v>
      </c>
      <c r="AP61" s="37">
        <f t="shared" si="57"/>
        <v>6642</v>
      </c>
      <c r="AQ61" s="37">
        <f t="shared" si="58"/>
        <v>6643</v>
      </c>
      <c r="AR61" s="37">
        <f t="shared" si="59"/>
        <v>6644</v>
      </c>
      <c r="AS61" s="37">
        <f t="shared" si="60"/>
        <v>6645</v>
      </c>
      <c r="AT61" s="37">
        <f t="shared" si="61"/>
        <v>6646</v>
      </c>
      <c r="AU61" s="37">
        <f t="shared" si="62"/>
        <v>6647</v>
      </c>
      <c r="AV61" s="37">
        <f t="shared" si="63"/>
        <v>6648</v>
      </c>
      <c r="AW61" s="37">
        <f t="shared" si="64"/>
        <v>6649</v>
      </c>
      <c r="AX61" s="38">
        <f t="shared" si="65"/>
        <v>6650</v>
      </c>
      <c r="AY61" s="36">
        <f t="shared" si="66"/>
        <v>6651</v>
      </c>
      <c r="AZ61" s="37">
        <f t="shared" si="67"/>
        <v>6652</v>
      </c>
      <c r="BA61" s="37">
        <f t="shared" si="68"/>
        <v>6653</v>
      </c>
      <c r="BB61" s="37">
        <f t="shared" si="69"/>
        <v>6654</v>
      </c>
      <c r="BC61" s="37">
        <f t="shared" si="70"/>
        <v>6655</v>
      </c>
      <c r="BD61" s="37">
        <f t="shared" si="71"/>
        <v>6656</v>
      </c>
      <c r="BE61" s="37">
        <f t="shared" si="72"/>
        <v>6657</v>
      </c>
      <c r="BF61" s="37">
        <f t="shared" si="73"/>
        <v>6658</v>
      </c>
      <c r="BG61" s="37">
        <f t="shared" si="74"/>
        <v>6659</v>
      </c>
      <c r="BH61" s="38">
        <f t="shared" si="75"/>
        <v>6660</v>
      </c>
      <c r="BI61" s="36">
        <f t="shared" si="76"/>
        <v>6661</v>
      </c>
      <c r="BJ61" s="37">
        <f t="shared" si="77"/>
        <v>6662</v>
      </c>
      <c r="BK61" s="37">
        <f t="shared" si="78"/>
        <v>6663</v>
      </c>
      <c r="BL61" s="37">
        <f t="shared" si="79"/>
        <v>6664</v>
      </c>
      <c r="BM61" s="37">
        <f t="shared" si="80"/>
        <v>6665</v>
      </c>
      <c r="BN61" s="37">
        <f t="shared" si="81"/>
        <v>6666</v>
      </c>
      <c r="BO61" s="37">
        <f t="shared" si="82"/>
        <v>6667</v>
      </c>
      <c r="BP61" s="37">
        <f t="shared" si="83"/>
        <v>6668</v>
      </c>
      <c r="BQ61" s="37">
        <f t="shared" si="84"/>
        <v>6669</v>
      </c>
      <c r="BR61" s="39">
        <f t="shared" si="85"/>
        <v>6670</v>
      </c>
      <c r="BS61" s="36">
        <f t="shared" si="86"/>
        <v>6671</v>
      </c>
      <c r="BT61" s="37">
        <f t="shared" si="87"/>
        <v>6672</v>
      </c>
      <c r="BU61" s="37">
        <f t="shared" si="88"/>
        <v>6673</v>
      </c>
      <c r="BV61" s="37">
        <f t="shared" si="89"/>
        <v>6674</v>
      </c>
      <c r="BW61" s="37">
        <f t="shared" si="90"/>
        <v>6675</v>
      </c>
      <c r="BX61" s="37">
        <f t="shared" si="91"/>
        <v>6676</v>
      </c>
      <c r="BY61" s="37">
        <f t="shared" si="92"/>
        <v>6677</v>
      </c>
      <c r="BZ61" s="37">
        <f t="shared" si="93"/>
        <v>6678</v>
      </c>
      <c r="CA61" s="37">
        <f t="shared" si="94"/>
        <v>6679</v>
      </c>
      <c r="CB61" s="38">
        <f t="shared" si="95"/>
        <v>6680</v>
      </c>
      <c r="CC61" s="40">
        <f t="shared" si="96"/>
        <v>6681</v>
      </c>
      <c r="CD61" s="37">
        <f t="shared" si="97"/>
        <v>6682</v>
      </c>
      <c r="CE61" s="37">
        <f t="shared" si="98"/>
        <v>6683</v>
      </c>
      <c r="CF61" s="37">
        <f t="shared" si="99"/>
        <v>6684</v>
      </c>
      <c r="CG61" s="37">
        <f t="shared" si="100"/>
        <v>6685</v>
      </c>
      <c r="CH61" s="37">
        <f t="shared" si="101"/>
        <v>6686</v>
      </c>
      <c r="CI61" s="37">
        <f t="shared" si="102"/>
        <v>6687</v>
      </c>
      <c r="CJ61" s="37">
        <f t="shared" si="103"/>
        <v>6688</v>
      </c>
      <c r="CK61" s="37">
        <f t="shared" si="104"/>
        <v>6689</v>
      </c>
      <c r="CL61" s="39">
        <f t="shared" si="105"/>
        <v>6690</v>
      </c>
      <c r="CM61" s="36">
        <f t="shared" si="106"/>
        <v>6691</v>
      </c>
      <c r="CN61" s="37">
        <f t="shared" si="107"/>
        <v>6692</v>
      </c>
      <c r="CO61" s="37">
        <f t="shared" si="108"/>
        <v>6693</v>
      </c>
      <c r="CP61" s="37">
        <f t="shared" si="109"/>
        <v>6694</v>
      </c>
      <c r="CQ61" s="37">
        <f t="shared" si="110"/>
        <v>6695</v>
      </c>
      <c r="CR61" s="37">
        <f t="shared" si="111"/>
        <v>6696</v>
      </c>
      <c r="CS61" s="37">
        <f t="shared" si="112"/>
        <v>6697</v>
      </c>
      <c r="CT61" s="37">
        <f t="shared" si="113"/>
        <v>6698</v>
      </c>
      <c r="CU61" s="37">
        <f t="shared" si="114"/>
        <v>6699</v>
      </c>
      <c r="CV61" s="38">
        <f t="shared" si="115"/>
        <v>6700</v>
      </c>
      <c r="CW61" s="40">
        <f t="shared" si="116"/>
        <v>6701</v>
      </c>
      <c r="CX61" s="37">
        <f t="shared" si="117"/>
        <v>6702</v>
      </c>
      <c r="CY61" s="37">
        <f t="shared" si="118"/>
        <v>6703</v>
      </c>
      <c r="CZ61" s="37">
        <f t="shared" si="119"/>
        <v>6704</v>
      </c>
      <c r="DA61" s="37">
        <f t="shared" si="120"/>
        <v>6705</v>
      </c>
      <c r="DB61" s="37">
        <f t="shared" si="121"/>
        <v>6706</v>
      </c>
      <c r="DC61" s="37">
        <f t="shared" si="122"/>
        <v>6707</v>
      </c>
      <c r="DD61" s="37">
        <f t="shared" si="123"/>
        <v>6708</v>
      </c>
      <c r="DE61" s="37">
        <f t="shared" si="124"/>
        <v>6709</v>
      </c>
      <c r="DF61" s="39">
        <f t="shared" si="125"/>
        <v>6710</v>
      </c>
      <c r="DG61" s="36">
        <f t="shared" si="126"/>
        <v>6711</v>
      </c>
      <c r="DH61" s="37">
        <f t="shared" si="127"/>
        <v>6712</v>
      </c>
      <c r="DI61" s="37">
        <f t="shared" si="128"/>
        <v>6713</v>
      </c>
      <c r="DJ61" s="37">
        <f t="shared" si="129"/>
        <v>6714</v>
      </c>
      <c r="DK61" s="37">
        <f t="shared" si="130"/>
        <v>6715</v>
      </c>
      <c r="DL61" s="37">
        <f t="shared" si="131"/>
        <v>6716</v>
      </c>
      <c r="DM61" s="37">
        <f t="shared" si="132"/>
        <v>6717</v>
      </c>
      <c r="DN61" s="37">
        <f t="shared" si="133"/>
        <v>6718</v>
      </c>
      <c r="DO61" s="37">
        <f t="shared" si="134"/>
        <v>6719</v>
      </c>
      <c r="DP61" s="38">
        <f t="shared" si="135"/>
        <v>6720</v>
      </c>
      <c r="DR61" s="1223"/>
      <c r="DS61" s="1224"/>
      <c r="DT61" s="1224"/>
      <c r="DU61" s="1225"/>
    </row>
    <row r="62" spans="1:125" ht="5.85" customHeight="1" x14ac:dyDescent="0.3">
      <c r="A62" s="36">
        <f t="shared" si="136"/>
        <v>6721</v>
      </c>
      <c r="B62" s="37">
        <f t="shared" si="17"/>
        <v>6722</v>
      </c>
      <c r="C62" s="37">
        <f t="shared" si="18"/>
        <v>6723</v>
      </c>
      <c r="D62" s="37">
        <f t="shared" si="19"/>
        <v>6724</v>
      </c>
      <c r="E62" s="37">
        <f t="shared" si="20"/>
        <v>6725</v>
      </c>
      <c r="F62" s="37">
        <f t="shared" si="21"/>
        <v>6726</v>
      </c>
      <c r="G62" s="37">
        <f t="shared" si="22"/>
        <v>6727</v>
      </c>
      <c r="H62" s="37">
        <f t="shared" si="23"/>
        <v>6728</v>
      </c>
      <c r="I62" s="37">
        <f t="shared" si="24"/>
        <v>6729</v>
      </c>
      <c r="J62" s="38">
        <f t="shared" si="25"/>
        <v>6730</v>
      </c>
      <c r="K62" s="36">
        <f t="shared" si="26"/>
        <v>6731</v>
      </c>
      <c r="L62" s="37">
        <f t="shared" si="27"/>
        <v>6732</v>
      </c>
      <c r="M62" s="37">
        <f t="shared" si="28"/>
        <v>6733</v>
      </c>
      <c r="N62" s="37">
        <f t="shared" si="29"/>
        <v>6734</v>
      </c>
      <c r="O62" s="37">
        <f t="shared" si="30"/>
        <v>6735</v>
      </c>
      <c r="P62" s="37">
        <f t="shared" si="31"/>
        <v>6736</v>
      </c>
      <c r="Q62" s="37">
        <f t="shared" si="32"/>
        <v>6737</v>
      </c>
      <c r="R62" s="37">
        <f t="shared" si="33"/>
        <v>6738</v>
      </c>
      <c r="S62" s="37">
        <f t="shared" si="34"/>
        <v>6739</v>
      </c>
      <c r="T62" s="38">
        <f t="shared" si="35"/>
        <v>6740</v>
      </c>
      <c r="U62" s="36">
        <f t="shared" si="36"/>
        <v>6741</v>
      </c>
      <c r="V62" s="37">
        <f t="shared" si="37"/>
        <v>6742</v>
      </c>
      <c r="W62" s="37">
        <f t="shared" si="38"/>
        <v>6743</v>
      </c>
      <c r="X62" s="37">
        <f t="shared" si="39"/>
        <v>6744</v>
      </c>
      <c r="Y62" s="37">
        <f t="shared" si="40"/>
        <v>6745</v>
      </c>
      <c r="Z62" s="37">
        <f t="shared" si="41"/>
        <v>6746</v>
      </c>
      <c r="AA62" s="37">
        <f t="shared" si="42"/>
        <v>6747</v>
      </c>
      <c r="AB62" s="37">
        <f t="shared" si="43"/>
        <v>6748</v>
      </c>
      <c r="AC62" s="37">
        <f t="shared" si="44"/>
        <v>6749</v>
      </c>
      <c r="AD62" s="38">
        <f t="shared" si="45"/>
        <v>6750</v>
      </c>
      <c r="AE62" s="36">
        <f t="shared" si="46"/>
        <v>6751</v>
      </c>
      <c r="AF62" s="37">
        <f t="shared" si="47"/>
        <v>6752</v>
      </c>
      <c r="AG62" s="37">
        <f t="shared" si="48"/>
        <v>6753</v>
      </c>
      <c r="AH62" s="37">
        <f t="shared" si="49"/>
        <v>6754</v>
      </c>
      <c r="AI62" s="37">
        <f t="shared" si="50"/>
        <v>6755</v>
      </c>
      <c r="AJ62" s="37">
        <f t="shared" si="51"/>
        <v>6756</v>
      </c>
      <c r="AK62" s="37">
        <f t="shared" si="52"/>
        <v>6757</v>
      </c>
      <c r="AL62" s="37">
        <f t="shared" si="53"/>
        <v>6758</v>
      </c>
      <c r="AM62" s="37">
        <f t="shared" si="54"/>
        <v>6759</v>
      </c>
      <c r="AN62" s="38">
        <f t="shared" si="55"/>
        <v>6760</v>
      </c>
      <c r="AO62" s="36">
        <f t="shared" si="56"/>
        <v>6761</v>
      </c>
      <c r="AP62" s="37">
        <f t="shared" si="57"/>
        <v>6762</v>
      </c>
      <c r="AQ62" s="37">
        <f t="shared" si="58"/>
        <v>6763</v>
      </c>
      <c r="AR62" s="37">
        <f t="shared" si="59"/>
        <v>6764</v>
      </c>
      <c r="AS62" s="37">
        <f t="shared" si="60"/>
        <v>6765</v>
      </c>
      <c r="AT62" s="37">
        <f t="shared" si="61"/>
        <v>6766</v>
      </c>
      <c r="AU62" s="37">
        <f t="shared" si="62"/>
        <v>6767</v>
      </c>
      <c r="AV62" s="37">
        <f t="shared" si="63"/>
        <v>6768</v>
      </c>
      <c r="AW62" s="37">
        <f t="shared" si="64"/>
        <v>6769</v>
      </c>
      <c r="AX62" s="38">
        <f t="shared" si="65"/>
        <v>6770</v>
      </c>
      <c r="AY62" s="36">
        <f t="shared" si="66"/>
        <v>6771</v>
      </c>
      <c r="AZ62" s="37">
        <f t="shared" si="67"/>
        <v>6772</v>
      </c>
      <c r="BA62" s="37">
        <f t="shared" si="68"/>
        <v>6773</v>
      </c>
      <c r="BB62" s="37">
        <f t="shared" si="69"/>
        <v>6774</v>
      </c>
      <c r="BC62" s="37">
        <f t="shared" si="70"/>
        <v>6775</v>
      </c>
      <c r="BD62" s="37">
        <f t="shared" si="71"/>
        <v>6776</v>
      </c>
      <c r="BE62" s="37">
        <f t="shared" si="72"/>
        <v>6777</v>
      </c>
      <c r="BF62" s="37">
        <f t="shared" si="73"/>
        <v>6778</v>
      </c>
      <c r="BG62" s="37">
        <f t="shared" si="74"/>
        <v>6779</v>
      </c>
      <c r="BH62" s="38">
        <f t="shared" si="75"/>
        <v>6780</v>
      </c>
      <c r="BI62" s="36">
        <f t="shared" si="76"/>
        <v>6781</v>
      </c>
      <c r="BJ62" s="37">
        <f t="shared" si="77"/>
        <v>6782</v>
      </c>
      <c r="BK62" s="37">
        <f t="shared" si="78"/>
        <v>6783</v>
      </c>
      <c r="BL62" s="37">
        <f t="shared" si="79"/>
        <v>6784</v>
      </c>
      <c r="BM62" s="37">
        <f t="shared" si="80"/>
        <v>6785</v>
      </c>
      <c r="BN62" s="37">
        <f t="shared" si="81"/>
        <v>6786</v>
      </c>
      <c r="BO62" s="37">
        <f t="shared" si="82"/>
        <v>6787</v>
      </c>
      <c r="BP62" s="37">
        <f t="shared" si="83"/>
        <v>6788</v>
      </c>
      <c r="BQ62" s="37">
        <f t="shared" si="84"/>
        <v>6789</v>
      </c>
      <c r="BR62" s="39">
        <f t="shared" si="85"/>
        <v>6790</v>
      </c>
      <c r="BS62" s="36">
        <f t="shared" si="86"/>
        <v>6791</v>
      </c>
      <c r="BT62" s="37">
        <f t="shared" si="87"/>
        <v>6792</v>
      </c>
      <c r="BU62" s="37">
        <f t="shared" si="88"/>
        <v>6793</v>
      </c>
      <c r="BV62" s="37">
        <f t="shared" si="89"/>
        <v>6794</v>
      </c>
      <c r="BW62" s="37">
        <f t="shared" si="90"/>
        <v>6795</v>
      </c>
      <c r="BX62" s="37">
        <f t="shared" si="91"/>
        <v>6796</v>
      </c>
      <c r="BY62" s="37">
        <f t="shared" si="92"/>
        <v>6797</v>
      </c>
      <c r="BZ62" s="37">
        <f t="shared" si="93"/>
        <v>6798</v>
      </c>
      <c r="CA62" s="37">
        <f t="shared" si="94"/>
        <v>6799</v>
      </c>
      <c r="CB62" s="38">
        <f t="shared" si="95"/>
        <v>6800</v>
      </c>
      <c r="CC62" s="40">
        <f t="shared" si="96"/>
        <v>6801</v>
      </c>
      <c r="CD62" s="37">
        <f t="shared" si="97"/>
        <v>6802</v>
      </c>
      <c r="CE62" s="37">
        <f t="shared" si="98"/>
        <v>6803</v>
      </c>
      <c r="CF62" s="37">
        <f t="shared" si="99"/>
        <v>6804</v>
      </c>
      <c r="CG62" s="37">
        <f t="shared" si="100"/>
        <v>6805</v>
      </c>
      <c r="CH62" s="37">
        <f t="shared" si="101"/>
        <v>6806</v>
      </c>
      <c r="CI62" s="37">
        <f t="shared" si="102"/>
        <v>6807</v>
      </c>
      <c r="CJ62" s="37">
        <f t="shared" si="103"/>
        <v>6808</v>
      </c>
      <c r="CK62" s="37">
        <f t="shared" si="104"/>
        <v>6809</v>
      </c>
      <c r="CL62" s="39">
        <f t="shared" si="105"/>
        <v>6810</v>
      </c>
      <c r="CM62" s="36">
        <f t="shared" si="106"/>
        <v>6811</v>
      </c>
      <c r="CN62" s="37">
        <f t="shared" si="107"/>
        <v>6812</v>
      </c>
      <c r="CO62" s="37">
        <f t="shared" si="108"/>
        <v>6813</v>
      </c>
      <c r="CP62" s="37">
        <f t="shared" si="109"/>
        <v>6814</v>
      </c>
      <c r="CQ62" s="37">
        <f t="shared" si="110"/>
        <v>6815</v>
      </c>
      <c r="CR62" s="37">
        <f t="shared" si="111"/>
        <v>6816</v>
      </c>
      <c r="CS62" s="37">
        <f t="shared" si="112"/>
        <v>6817</v>
      </c>
      <c r="CT62" s="37">
        <f t="shared" si="113"/>
        <v>6818</v>
      </c>
      <c r="CU62" s="37">
        <f t="shared" si="114"/>
        <v>6819</v>
      </c>
      <c r="CV62" s="38">
        <f t="shared" si="115"/>
        <v>6820</v>
      </c>
      <c r="CW62" s="40">
        <f t="shared" si="116"/>
        <v>6821</v>
      </c>
      <c r="CX62" s="37">
        <f t="shared" si="117"/>
        <v>6822</v>
      </c>
      <c r="CY62" s="37">
        <f t="shared" si="118"/>
        <v>6823</v>
      </c>
      <c r="CZ62" s="37">
        <f t="shared" si="119"/>
        <v>6824</v>
      </c>
      <c r="DA62" s="37">
        <f t="shared" si="120"/>
        <v>6825</v>
      </c>
      <c r="DB62" s="37">
        <f t="shared" si="121"/>
        <v>6826</v>
      </c>
      <c r="DC62" s="37">
        <f t="shared" si="122"/>
        <v>6827</v>
      </c>
      <c r="DD62" s="37">
        <f t="shared" si="123"/>
        <v>6828</v>
      </c>
      <c r="DE62" s="37">
        <f t="shared" si="124"/>
        <v>6829</v>
      </c>
      <c r="DF62" s="39">
        <f t="shared" si="125"/>
        <v>6830</v>
      </c>
      <c r="DG62" s="36">
        <f t="shared" si="126"/>
        <v>6831</v>
      </c>
      <c r="DH62" s="37">
        <f t="shared" si="127"/>
        <v>6832</v>
      </c>
      <c r="DI62" s="37">
        <f t="shared" si="128"/>
        <v>6833</v>
      </c>
      <c r="DJ62" s="37">
        <f t="shared" si="129"/>
        <v>6834</v>
      </c>
      <c r="DK62" s="37">
        <f t="shared" si="130"/>
        <v>6835</v>
      </c>
      <c r="DL62" s="37">
        <f t="shared" si="131"/>
        <v>6836</v>
      </c>
      <c r="DM62" s="37">
        <f t="shared" si="132"/>
        <v>6837</v>
      </c>
      <c r="DN62" s="37">
        <f t="shared" si="133"/>
        <v>6838</v>
      </c>
      <c r="DO62" s="37">
        <f t="shared" si="134"/>
        <v>6839</v>
      </c>
      <c r="DP62" s="38">
        <f t="shared" si="135"/>
        <v>6840</v>
      </c>
      <c r="DR62" s="1223"/>
      <c r="DS62" s="1224"/>
      <c r="DT62" s="1224"/>
      <c r="DU62" s="1225"/>
    </row>
    <row r="63" spans="1:125" ht="5.85" customHeight="1" x14ac:dyDescent="0.3">
      <c r="A63" s="36">
        <f t="shared" si="136"/>
        <v>6841</v>
      </c>
      <c r="B63" s="37">
        <f t="shared" si="17"/>
        <v>6842</v>
      </c>
      <c r="C63" s="37">
        <f t="shared" si="18"/>
        <v>6843</v>
      </c>
      <c r="D63" s="37">
        <f t="shared" si="19"/>
        <v>6844</v>
      </c>
      <c r="E63" s="37">
        <f t="shared" si="20"/>
        <v>6845</v>
      </c>
      <c r="F63" s="37">
        <f t="shared" si="21"/>
        <v>6846</v>
      </c>
      <c r="G63" s="37">
        <f t="shared" si="22"/>
        <v>6847</v>
      </c>
      <c r="H63" s="37">
        <f t="shared" si="23"/>
        <v>6848</v>
      </c>
      <c r="I63" s="37">
        <f t="shared" si="24"/>
        <v>6849</v>
      </c>
      <c r="J63" s="38">
        <f t="shared" si="25"/>
        <v>6850</v>
      </c>
      <c r="K63" s="36">
        <f t="shared" si="26"/>
        <v>6851</v>
      </c>
      <c r="L63" s="37">
        <f t="shared" si="27"/>
        <v>6852</v>
      </c>
      <c r="M63" s="37">
        <f t="shared" si="28"/>
        <v>6853</v>
      </c>
      <c r="N63" s="37">
        <f t="shared" si="29"/>
        <v>6854</v>
      </c>
      <c r="O63" s="37">
        <f t="shared" si="30"/>
        <v>6855</v>
      </c>
      <c r="P63" s="37">
        <f t="shared" si="31"/>
        <v>6856</v>
      </c>
      <c r="Q63" s="37">
        <f t="shared" si="32"/>
        <v>6857</v>
      </c>
      <c r="R63" s="37">
        <f t="shared" si="33"/>
        <v>6858</v>
      </c>
      <c r="S63" s="37">
        <f t="shared" si="34"/>
        <v>6859</v>
      </c>
      <c r="T63" s="38">
        <f t="shared" si="35"/>
        <v>6860</v>
      </c>
      <c r="U63" s="36">
        <f t="shared" si="36"/>
        <v>6861</v>
      </c>
      <c r="V63" s="37">
        <f t="shared" si="37"/>
        <v>6862</v>
      </c>
      <c r="W63" s="37">
        <f t="shared" si="38"/>
        <v>6863</v>
      </c>
      <c r="X63" s="37">
        <f t="shared" si="39"/>
        <v>6864</v>
      </c>
      <c r="Y63" s="37">
        <f t="shared" si="40"/>
        <v>6865</v>
      </c>
      <c r="Z63" s="37">
        <f t="shared" si="41"/>
        <v>6866</v>
      </c>
      <c r="AA63" s="37">
        <f t="shared" si="42"/>
        <v>6867</v>
      </c>
      <c r="AB63" s="37">
        <f t="shared" si="43"/>
        <v>6868</v>
      </c>
      <c r="AC63" s="37">
        <f t="shared" si="44"/>
        <v>6869</v>
      </c>
      <c r="AD63" s="38">
        <f t="shared" si="45"/>
        <v>6870</v>
      </c>
      <c r="AE63" s="36">
        <f t="shared" si="46"/>
        <v>6871</v>
      </c>
      <c r="AF63" s="37">
        <f t="shared" si="47"/>
        <v>6872</v>
      </c>
      <c r="AG63" s="37">
        <f t="shared" si="48"/>
        <v>6873</v>
      </c>
      <c r="AH63" s="37">
        <f t="shared" si="49"/>
        <v>6874</v>
      </c>
      <c r="AI63" s="37">
        <f t="shared" si="50"/>
        <v>6875</v>
      </c>
      <c r="AJ63" s="37">
        <f t="shared" si="51"/>
        <v>6876</v>
      </c>
      <c r="AK63" s="37">
        <f t="shared" si="52"/>
        <v>6877</v>
      </c>
      <c r="AL63" s="37">
        <f t="shared" si="53"/>
        <v>6878</v>
      </c>
      <c r="AM63" s="37">
        <f t="shared" si="54"/>
        <v>6879</v>
      </c>
      <c r="AN63" s="38">
        <f t="shared" si="55"/>
        <v>6880</v>
      </c>
      <c r="AO63" s="36">
        <f t="shared" si="56"/>
        <v>6881</v>
      </c>
      <c r="AP63" s="37">
        <f t="shared" si="57"/>
        <v>6882</v>
      </c>
      <c r="AQ63" s="37">
        <f t="shared" si="58"/>
        <v>6883</v>
      </c>
      <c r="AR63" s="37">
        <f t="shared" si="59"/>
        <v>6884</v>
      </c>
      <c r="AS63" s="37">
        <f t="shared" si="60"/>
        <v>6885</v>
      </c>
      <c r="AT63" s="37">
        <f t="shared" si="61"/>
        <v>6886</v>
      </c>
      <c r="AU63" s="37">
        <f t="shared" si="62"/>
        <v>6887</v>
      </c>
      <c r="AV63" s="37">
        <f t="shared" si="63"/>
        <v>6888</v>
      </c>
      <c r="AW63" s="37">
        <f t="shared" si="64"/>
        <v>6889</v>
      </c>
      <c r="AX63" s="38">
        <f t="shared" si="65"/>
        <v>6890</v>
      </c>
      <c r="AY63" s="36">
        <f t="shared" si="66"/>
        <v>6891</v>
      </c>
      <c r="AZ63" s="37">
        <f t="shared" si="67"/>
        <v>6892</v>
      </c>
      <c r="BA63" s="37">
        <f t="shared" si="68"/>
        <v>6893</v>
      </c>
      <c r="BB63" s="37">
        <f t="shared" si="69"/>
        <v>6894</v>
      </c>
      <c r="BC63" s="37">
        <f t="shared" si="70"/>
        <v>6895</v>
      </c>
      <c r="BD63" s="37">
        <f t="shared" si="71"/>
        <v>6896</v>
      </c>
      <c r="BE63" s="37">
        <f t="shared" si="72"/>
        <v>6897</v>
      </c>
      <c r="BF63" s="37">
        <f t="shared" si="73"/>
        <v>6898</v>
      </c>
      <c r="BG63" s="37">
        <f t="shared" si="74"/>
        <v>6899</v>
      </c>
      <c r="BH63" s="38">
        <f t="shared" si="75"/>
        <v>6900</v>
      </c>
      <c r="BI63" s="36">
        <f t="shared" si="76"/>
        <v>6901</v>
      </c>
      <c r="BJ63" s="37">
        <f t="shared" si="77"/>
        <v>6902</v>
      </c>
      <c r="BK63" s="37">
        <f t="shared" si="78"/>
        <v>6903</v>
      </c>
      <c r="BL63" s="37">
        <f t="shared" si="79"/>
        <v>6904</v>
      </c>
      <c r="BM63" s="37">
        <f t="shared" si="80"/>
        <v>6905</v>
      </c>
      <c r="BN63" s="37">
        <f t="shared" si="81"/>
        <v>6906</v>
      </c>
      <c r="BO63" s="37">
        <f t="shared" si="82"/>
        <v>6907</v>
      </c>
      <c r="BP63" s="37">
        <f t="shared" si="83"/>
        <v>6908</v>
      </c>
      <c r="BQ63" s="37">
        <f t="shared" si="84"/>
        <v>6909</v>
      </c>
      <c r="BR63" s="39">
        <f t="shared" si="85"/>
        <v>6910</v>
      </c>
      <c r="BS63" s="36">
        <f t="shared" si="86"/>
        <v>6911</v>
      </c>
      <c r="BT63" s="37">
        <f t="shared" si="87"/>
        <v>6912</v>
      </c>
      <c r="BU63" s="37">
        <f t="shared" si="88"/>
        <v>6913</v>
      </c>
      <c r="BV63" s="37">
        <f t="shared" si="89"/>
        <v>6914</v>
      </c>
      <c r="BW63" s="37">
        <f t="shared" si="90"/>
        <v>6915</v>
      </c>
      <c r="BX63" s="37">
        <f t="shared" si="91"/>
        <v>6916</v>
      </c>
      <c r="BY63" s="37">
        <f t="shared" si="92"/>
        <v>6917</v>
      </c>
      <c r="BZ63" s="37">
        <f t="shared" si="93"/>
        <v>6918</v>
      </c>
      <c r="CA63" s="37">
        <f t="shared" si="94"/>
        <v>6919</v>
      </c>
      <c r="CB63" s="38">
        <f t="shared" si="95"/>
        <v>6920</v>
      </c>
      <c r="CC63" s="40">
        <f t="shared" si="96"/>
        <v>6921</v>
      </c>
      <c r="CD63" s="37">
        <f t="shared" si="97"/>
        <v>6922</v>
      </c>
      <c r="CE63" s="37">
        <f t="shared" si="98"/>
        <v>6923</v>
      </c>
      <c r="CF63" s="37">
        <f t="shared" si="99"/>
        <v>6924</v>
      </c>
      <c r="CG63" s="37">
        <f t="shared" si="100"/>
        <v>6925</v>
      </c>
      <c r="CH63" s="37">
        <f t="shared" si="101"/>
        <v>6926</v>
      </c>
      <c r="CI63" s="37">
        <f t="shared" si="102"/>
        <v>6927</v>
      </c>
      <c r="CJ63" s="37">
        <f t="shared" si="103"/>
        <v>6928</v>
      </c>
      <c r="CK63" s="37">
        <f t="shared" si="104"/>
        <v>6929</v>
      </c>
      <c r="CL63" s="39">
        <f t="shared" si="105"/>
        <v>6930</v>
      </c>
      <c r="CM63" s="36">
        <f t="shared" si="106"/>
        <v>6931</v>
      </c>
      <c r="CN63" s="37">
        <f t="shared" si="107"/>
        <v>6932</v>
      </c>
      <c r="CO63" s="37">
        <f t="shared" si="108"/>
        <v>6933</v>
      </c>
      <c r="CP63" s="37">
        <f t="shared" si="109"/>
        <v>6934</v>
      </c>
      <c r="CQ63" s="37">
        <f t="shared" si="110"/>
        <v>6935</v>
      </c>
      <c r="CR63" s="37">
        <f t="shared" si="111"/>
        <v>6936</v>
      </c>
      <c r="CS63" s="37">
        <f t="shared" si="112"/>
        <v>6937</v>
      </c>
      <c r="CT63" s="37">
        <f t="shared" si="113"/>
        <v>6938</v>
      </c>
      <c r="CU63" s="37">
        <f t="shared" si="114"/>
        <v>6939</v>
      </c>
      <c r="CV63" s="38">
        <f t="shared" si="115"/>
        <v>6940</v>
      </c>
      <c r="CW63" s="40">
        <f t="shared" si="116"/>
        <v>6941</v>
      </c>
      <c r="CX63" s="37">
        <f t="shared" si="117"/>
        <v>6942</v>
      </c>
      <c r="CY63" s="37">
        <f t="shared" si="118"/>
        <v>6943</v>
      </c>
      <c r="CZ63" s="37">
        <f t="shared" si="119"/>
        <v>6944</v>
      </c>
      <c r="DA63" s="37">
        <f t="shared" si="120"/>
        <v>6945</v>
      </c>
      <c r="DB63" s="37">
        <f t="shared" si="121"/>
        <v>6946</v>
      </c>
      <c r="DC63" s="37">
        <f t="shared" si="122"/>
        <v>6947</v>
      </c>
      <c r="DD63" s="37">
        <f t="shared" si="123"/>
        <v>6948</v>
      </c>
      <c r="DE63" s="37">
        <f t="shared" si="124"/>
        <v>6949</v>
      </c>
      <c r="DF63" s="39">
        <f t="shared" si="125"/>
        <v>6950</v>
      </c>
      <c r="DG63" s="36">
        <f t="shared" si="126"/>
        <v>6951</v>
      </c>
      <c r="DH63" s="37">
        <f t="shared" si="127"/>
        <v>6952</v>
      </c>
      <c r="DI63" s="37">
        <f t="shared" si="128"/>
        <v>6953</v>
      </c>
      <c r="DJ63" s="37">
        <f t="shared" si="129"/>
        <v>6954</v>
      </c>
      <c r="DK63" s="37">
        <f t="shared" si="130"/>
        <v>6955</v>
      </c>
      <c r="DL63" s="37">
        <f t="shared" si="131"/>
        <v>6956</v>
      </c>
      <c r="DM63" s="37">
        <f t="shared" si="132"/>
        <v>6957</v>
      </c>
      <c r="DN63" s="37">
        <f t="shared" si="133"/>
        <v>6958</v>
      </c>
      <c r="DO63" s="37">
        <f t="shared" si="134"/>
        <v>6959</v>
      </c>
      <c r="DP63" s="38">
        <f t="shared" si="135"/>
        <v>6960</v>
      </c>
      <c r="DR63" s="1214">
        <v>90</v>
      </c>
      <c r="DS63" s="1215"/>
      <c r="DT63" s="1215"/>
      <c r="DU63" s="1216"/>
    </row>
    <row r="64" spans="1:125" ht="5.85" customHeight="1" x14ac:dyDescent="0.3">
      <c r="A64" s="36">
        <f t="shared" si="136"/>
        <v>6961</v>
      </c>
      <c r="B64" s="37">
        <f t="shared" si="17"/>
        <v>6962</v>
      </c>
      <c r="C64" s="37">
        <f t="shared" si="18"/>
        <v>6963</v>
      </c>
      <c r="D64" s="37">
        <f t="shared" si="19"/>
        <v>6964</v>
      </c>
      <c r="E64" s="37">
        <f t="shared" si="20"/>
        <v>6965</v>
      </c>
      <c r="F64" s="37">
        <f t="shared" si="21"/>
        <v>6966</v>
      </c>
      <c r="G64" s="37">
        <f t="shared" si="22"/>
        <v>6967</v>
      </c>
      <c r="H64" s="37">
        <f t="shared" si="23"/>
        <v>6968</v>
      </c>
      <c r="I64" s="37">
        <f t="shared" si="24"/>
        <v>6969</v>
      </c>
      <c r="J64" s="38">
        <f t="shared" si="25"/>
        <v>6970</v>
      </c>
      <c r="K64" s="36">
        <f t="shared" si="26"/>
        <v>6971</v>
      </c>
      <c r="L64" s="37">
        <f t="shared" si="27"/>
        <v>6972</v>
      </c>
      <c r="M64" s="37">
        <f t="shared" si="28"/>
        <v>6973</v>
      </c>
      <c r="N64" s="37">
        <f t="shared" si="29"/>
        <v>6974</v>
      </c>
      <c r="O64" s="37">
        <f t="shared" si="30"/>
        <v>6975</v>
      </c>
      <c r="P64" s="37">
        <f t="shared" si="31"/>
        <v>6976</v>
      </c>
      <c r="Q64" s="37">
        <f t="shared" si="32"/>
        <v>6977</v>
      </c>
      <c r="R64" s="37">
        <f t="shared" si="33"/>
        <v>6978</v>
      </c>
      <c r="S64" s="37">
        <f t="shared" si="34"/>
        <v>6979</v>
      </c>
      <c r="T64" s="38">
        <f t="shared" si="35"/>
        <v>6980</v>
      </c>
      <c r="U64" s="36">
        <f t="shared" si="36"/>
        <v>6981</v>
      </c>
      <c r="V64" s="37">
        <f t="shared" si="37"/>
        <v>6982</v>
      </c>
      <c r="W64" s="37">
        <f t="shared" si="38"/>
        <v>6983</v>
      </c>
      <c r="X64" s="37">
        <f t="shared" si="39"/>
        <v>6984</v>
      </c>
      <c r="Y64" s="37">
        <f t="shared" si="40"/>
        <v>6985</v>
      </c>
      <c r="Z64" s="37">
        <f t="shared" si="41"/>
        <v>6986</v>
      </c>
      <c r="AA64" s="37">
        <f t="shared" si="42"/>
        <v>6987</v>
      </c>
      <c r="AB64" s="37">
        <f t="shared" si="43"/>
        <v>6988</v>
      </c>
      <c r="AC64" s="37">
        <f t="shared" si="44"/>
        <v>6989</v>
      </c>
      <c r="AD64" s="38">
        <f t="shared" si="45"/>
        <v>6990</v>
      </c>
      <c r="AE64" s="36">
        <f t="shared" si="46"/>
        <v>6991</v>
      </c>
      <c r="AF64" s="37">
        <f t="shared" si="47"/>
        <v>6992</v>
      </c>
      <c r="AG64" s="37">
        <f t="shared" si="48"/>
        <v>6993</v>
      </c>
      <c r="AH64" s="37">
        <f t="shared" si="49"/>
        <v>6994</v>
      </c>
      <c r="AI64" s="37">
        <f t="shared" si="50"/>
        <v>6995</v>
      </c>
      <c r="AJ64" s="37">
        <f t="shared" si="51"/>
        <v>6996</v>
      </c>
      <c r="AK64" s="37">
        <f t="shared" si="52"/>
        <v>6997</v>
      </c>
      <c r="AL64" s="37">
        <f t="shared" si="53"/>
        <v>6998</v>
      </c>
      <c r="AM64" s="37">
        <f t="shared" si="54"/>
        <v>6999</v>
      </c>
      <c r="AN64" s="38">
        <f t="shared" si="55"/>
        <v>7000</v>
      </c>
      <c r="AO64" s="36">
        <f t="shared" si="56"/>
        <v>7001</v>
      </c>
      <c r="AP64" s="37">
        <f t="shared" si="57"/>
        <v>7002</v>
      </c>
      <c r="AQ64" s="37">
        <f t="shared" si="58"/>
        <v>7003</v>
      </c>
      <c r="AR64" s="37">
        <f t="shared" si="59"/>
        <v>7004</v>
      </c>
      <c r="AS64" s="37">
        <f t="shared" si="60"/>
        <v>7005</v>
      </c>
      <c r="AT64" s="37">
        <f t="shared" si="61"/>
        <v>7006</v>
      </c>
      <c r="AU64" s="37">
        <f t="shared" si="62"/>
        <v>7007</v>
      </c>
      <c r="AV64" s="37">
        <f t="shared" si="63"/>
        <v>7008</v>
      </c>
      <c r="AW64" s="37">
        <f t="shared" si="64"/>
        <v>7009</v>
      </c>
      <c r="AX64" s="38">
        <f t="shared" si="65"/>
        <v>7010</v>
      </c>
      <c r="AY64" s="36">
        <f t="shared" si="66"/>
        <v>7011</v>
      </c>
      <c r="AZ64" s="37">
        <f t="shared" si="67"/>
        <v>7012</v>
      </c>
      <c r="BA64" s="37">
        <f t="shared" si="68"/>
        <v>7013</v>
      </c>
      <c r="BB64" s="37">
        <f t="shared" si="69"/>
        <v>7014</v>
      </c>
      <c r="BC64" s="37">
        <f t="shared" si="70"/>
        <v>7015</v>
      </c>
      <c r="BD64" s="37">
        <f t="shared" si="71"/>
        <v>7016</v>
      </c>
      <c r="BE64" s="37">
        <f t="shared" si="72"/>
        <v>7017</v>
      </c>
      <c r="BF64" s="37">
        <f t="shared" si="73"/>
        <v>7018</v>
      </c>
      <c r="BG64" s="37">
        <f t="shared" si="74"/>
        <v>7019</v>
      </c>
      <c r="BH64" s="38">
        <f t="shared" si="75"/>
        <v>7020</v>
      </c>
      <c r="BI64" s="36">
        <f t="shared" si="76"/>
        <v>7021</v>
      </c>
      <c r="BJ64" s="37">
        <f t="shared" si="77"/>
        <v>7022</v>
      </c>
      <c r="BK64" s="37">
        <f t="shared" si="78"/>
        <v>7023</v>
      </c>
      <c r="BL64" s="37">
        <f t="shared" si="79"/>
        <v>7024</v>
      </c>
      <c r="BM64" s="37">
        <f t="shared" si="80"/>
        <v>7025</v>
      </c>
      <c r="BN64" s="37">
        <f t="shared" si="81"/>
        <v>7026</v>
      </c>
      <c r="BO64" s="37">
        <f t="shared" si="82"/>
        <v>7027</v>
      </c>
      <c r="BP64" s="37">
        <f t="shared" si="83"/>
        <v>7028</v>
      </c>
      <c r="BQ64" s="37">
        <f t="shared" si="84"/>
        <v>7029</v>
      </c>
      <c r="BR64" s="39">
        <f t="shared" si="85"/>
        <v>7030</v>
      </c>
      <c r="BS64" s="36">
        <f t="shared" si="86"/>
        <v>7031</v>
      </c>
      <c r="BT64" s="37">
        <f t="shared" si="87"/>
        <v>7032</v>
      </c>
      <c r="BU64" s="37">
        <f t="shared" si="88"/>
        <v>7033</v>
      </c>
      <c r="BV64" s="37">
        <f t="shared" si="89"/>
        <v>7034</v>
      </c>
      <c r="BW64" s="37">
        <f t="shared" si="90"/>
        <v>7035</v>
      </c>
      <c r="BX64" s="37">
        <f t="shared" si="91"/>
        <v>7036</v>
      </c>
      <c r="BY64" s="37">
        <f t="shared" si="92"/>
        <v>7037</v>
      </c>
      <c r="BZ64" s="37">
        <f t="shared" si="93"/>
        <v>7038</v>
      </c>
      <c r="CA64" s="37">
        <f t="shared" si="94"/>
        <v>7039</v>
      </c>
      <c r="CB64" s="38">
        <f t="shared" si="95"/>
        <v>7040</v>
      </c>
      <c r="CC64" s="40">
        <f t="shared" si="96"/>
        <v>7041</v>
      </c>
      <c r="CD64" s="37">
        <f t="shared" si="97"/>
        <v>7042</v>
      </c>
      <c r="CE64" s="37">
        <f t="shared" si="98"/>
        <v>7043</v>
      </c>
      <c r="CF64" s="37">
        <f t="shared" si="99"/>
        <v>7044</v>
      </c>
      <c r="CG64" s="37">
        <f t="shared" si="100"/>
        <v>7045</v>
      </c>
      <c r="CH64" s="37">
        <f t="shared" si="101"/>
        <v>7046</v>
      </c>
      <c r="CI64" s="37">
        <f t="shared" si="102"/>
        <v>7047</v>
      </c>
      <c r="CJ64" s="37">
        <f t="shared" si="103"/>
        <v>7048</v>
      </c>
      <c r="CK64" s="37">
        <f t="shared" si="104"/>
        <v>7049</v>
      </c>
      <c r="CL64" s="39">
        <f t="shared" si="105"/>
        <v>7050</v>
      </c>
      <c r="CM64" s="36">
        <f t="shared" si="106"/>
        <v>7051</v>
      </c>
      <c r="CN64" s="37">
        <f t="shared" si="107"/>
        <v>7052</v>
      </c>
      <c r="CO64" s="37">
        <f t="shared" si="108"/>
        <v>7053</v>
      </c>
      <c r="CP64" s="37">
        <f t="shared" si="109"/>
        <v>7054</v>
      </c>
      <c r="CQ64" s="37">
        <f t="shared" si="110"/>
        <v>7055</v>
      </c>
      <c r="CR64" s="37">
        <f t="shared" si="111"/>
        <v>7056</v>
      </c>
      <c r="CS64" s="37">
        <f t="shared" si="112"/>
        <v>7057</v>
      </c>
      <c r="CT64" s="37">
        <f t="shared" si="113"/>
        <v>7058</v>
      </c>
      <c r="CU64" s="37">
        <f t="shared" si="114"/>
        <v>7059</v>
      </c>
      <c r="CV64" s="38">
        <f t="shared" si="115"/>
        <v>7060</v>
      </c>
      <c r="CW64" s="40">
        <f t="shared" si="116"/>
        <v>7061</v>
      </c>
      <c r="CX64" s="37">
        <f t="shared" si="117"/>
        <v>7062</v>
      </c>
      <c r="CY64" s="37">
        <f t="shared" si="118"/>
        <v>7063</v>
      </c>
      <c r="CZ64" s="37">
        <f t="shared" si="119"/>
        <v>7064</v>
      </c>
      <c r="DA64" s="37">
        <f t="shared" si="120"/>
        <v>7065</v>
      </c>
      <c r="DB64" s="37">
        <f t="shared" si="121"/>
        <v>7066</v>
      </c>
      <c r="DC64" s="37">
        <f t="shared" si="122"/>
        <v>7067</v>
      </c>
      <c r="DD64" s="37">
        <f t="shared" si="123"/>
        <v>7068</v>
      </c>
      <c r="DE64" s="37">
        <f t="shared" si="124"/>
        <v>7069</v>
      </c>
      <c r="DF64" s="39">
        <f t="shared" si="125"/>
        <v>7070</v>
      </c>
      <c r="DG64" s="36">
        <f t="shared" si="126"/>
        <v>7071</v>
      </c>
      <c r="DH64" s="37">
        <f t="shared" si="127"/>
        <v>7072</v>
      </c>
      <c r="DI64" s="37">
        <f t="shared" si="128"/>
        <v>7073</v>
      </c>
      <c r="DJ64" s="37">
        <f t="shared" si="129"/>
        <v>7074</v>
      </c>
      <c r="DK64" s="37">
        <f t="shared" si="130"/>
        <v>7075</v>
      </c>
      <c r="DL64" s="37">
        <f t="shared" si="131"/>
        <v>7076</v>
      </c>
      <c r="DM64" s="37">
        <f t="shared" si="132"/>
        <v>7077</v>
      </c>
      <c r="DN64" s="37">
        <f t="shared" si="133"/>
        <v>7078</v>
      </c>
      <c r="DO64" s="37">
        <f t="shared" si="134"/>
        <v>7079</v>
      </c>
      <c r="DP64" s="38">
        <f t="shared" si="135"/>
        <v>7080</v>
      </c>
      <c r="DR64" s="1214"/>
      <c r="DS64" s="1215"/>
      <c r="DT64" s="1215"/>
      <c r="DU64" s="1216"/>
    </row>
    <row r="65" spans="1:125" ht="5.85" customHeight="1" thickBot="1" x14ac:dyDescent="0.35">
      <c r="A65" s="36">
        <f t="shared" si="136"/>
        <v>7081</v>
      </c>
      <c r="B65" s="37">
        <f t="shared" si="17"/>
        <v>7082</v>
      </c>
      <c r="C65" s="37">
        <f t="shared" si="18"/>
        <v>7083</v>
      </c>
      <c r="D65" s="37">
        <f t="shared" si="19"/>
        <v>7084</v>
      </c>
      <c r="E65" s="37">
        <f t="shared" si="20"/>
        <v>7085</v>
      </c>
      <c r="F65" s="37">
        <f t="shared" si="21"/>
        <v>7086</v>
      </c>
      <c r="G65" s="37">
        <f t="shared" si="22"/>
        <v>7087</v>
      </c>
      <c r="H65" s="37">
        <f t="shared" si="23"/>
        <v>7088</v>
      </c>
      <c r="I65" s="37">
        <f t="shared" si="24"/>
        <v>7089</v>
      </c>
      <c r="J65" s="38">
        <f t="shared" si="25"/>
        <v>7090</v>
      </c>
      <c r="K65" s="36">
        <f t="shared" si="26"/>
        <v>7091</v>
      </c>
      <c r="L65" s="37">
        <f t="shared" si="27"/>
        <v>7092</v>
      </c>
      <c r="M65" s="37">
        <f t="shared" si="28"/>
        <v>7093</v>
      </c>
      <c r="N65" s="37">
        <f t="shared" si="29"/>
        <v>7094</v>
      </c>
      <c r="O65" s="37">
        <f t="shared" si="30"/>
        <v>7095</v>
      </c>
      <c r="P65" s="37">
        <f t="shared" si="31"/>
        <v>7096</v>
      </c>
      <c r="Q65" s="37">
        <f t="shared" si="32"/>
        <v>7097</v>
      </c>
      <c r="R65" s="37">
        <f t="shared" si="33"/>
        <v>7098</v>
      </c>
      <c r="S65" s="37">
        <f t="shared" si="34"/>
        <v>7099</v>
      </c>
      <c r="T65" s="38">
        <f t="shared" si="35"/>
        <v>7100</v>
      </c>
      <c r="U65" s="36">
        <f t="shared" si="36"/>
        <v>7101</v>
      </c>
      <c r="V65" s="37">
        <f t="shared" si="37"/>
        <v>7102</v>
      </c>
      <c r="W65" s="37">
        <f t="shared" si="38"/>
        <v>7103</v>
      </c>
      <c r="X65" s="37">
        <f t="shared" si="39"/>
        <v>7104</v>
      </c>
      <c r="Y65" s="37">
        <f t="shared" si="40"/>
        <v>7105</v>
      </c>
      <c r="Z65" s="37">
        <f t="shared" si="41"/>
        <v>7106</v>
      </c>
      <c r="AA65" s="37">
        <f t="shared" si="42"/>
        <v>7107</v>
      </c>
      <c r="AB65" s="37">
        <f t="shared" si="43"/>
        <v>7108</v>
      </c>
      <c r="AC65" s="37">
        <f t="shared" si="44"/>
        <v>7109</v>
      </c>
      <c r="AD65" s="38">
        <f t="shared" si="45"/>
        <v>7110</v>
      </c>
      <c r="AE65" s="36">
        <f t="shared" si="46"/>
        <v>7111</v>
      </c>
      <c r="AF65" s="37">
        <f t="shared" si="47"/>
        <v>7112</v>
      </c>
      <c r="AG65" s="37">
        <f t="shared" si="48"/>
        <v>7113</v>
      </c>
      <c r="AH65" s="37">
        <f t="shared" si="49"/>
        <v>7114</v>
      </c>
      <c r="AI65" s="37">
        <f t="shared" si="50"/>
        <v>7115</v>
      </c>
      <c r="AJ65" s="37">
        <f t="shared" si="51"/>
        <v>7116</v>
      </c>
      <c r="AK65" s="37">
        <f t="shared" si="52"/>
        <v>7117</v>
      </c>
      <c r="AL65" s="37">
        <f t="shared" si="53"/>
        <v>7118</v>
      </c>
      <c r="AM65" s="37">
        <f t="shared" si="54"/>
        <v>7119</v>
      </c>
      <c r="AN65" s="38">
        <f t="shared" si="55"/>
        <v>7120</v>
      </c>
      <c r="AO65" s="36">
        <f t="shared" si="56"/>
        <v>7121</v>
      </c>
      <c r="AP65" s="37">
        <f t="shared" si="57"/>
        <v>7122</v>
      </c>
      <c r="AQ65" s="37">
        <f t="shared" si="58"/>
        <v>7123</v>
      </c>
      <c r="AR65" s="37">
        <f t="shared" si="59"/>
        <v>7124</v>
      </c>
      <c r="AS65" s="37">
        <f t="shared" si="60"/>
        <v>7125</v>
      </c>
      <c r="AT65" s="37">
        <f t="shared" si="61"/>
        <v>7126</v>
      </c>
      <c r="AU65" s="37">
        <f t="shared" si="62"/>
        <v>7127</v>
      </c>
      <c r="AV65" s="37">
        <f t="shared" si="63"/>
        <v>7128</v>
      </c>
      <c r="AW65" s="37">
        <f t="shared" si="64"/>
        <v>7129</v>
      </c>
      <c r="AX65" s="38">
        <f t="shared" si="65"/>
        <v>7130</v>
      </c>
      <c r="AY65" s="36">
        <f t="shared" si="66"/>
        <v>7131</v>
      </c>
      <c r="AZ65" s="37">
        <f t="shared" si="67"/>
        <v>7132</v>
      </c>
      <c r="BA65" s="37">
        <f t="shared" si="68"/>
        <v>7133</v>
      </c>
      <c r="BB65" s="37">
        <f t="shared" si="69"/>
        <v>7134</v>
      </c>
      <c r="BC65" s="37">
        <f t="shared" si="70"/>
        <v>7135</v>
      </c>
      <c r="BD65" s="37">
        <f t="shared" si="71"/>
        <v>7136</v>
      </c>
      <c r="BE65" s="37">
        <f t="shared" si="72"/>
        <v>7137</v>
      </c>
      <c r="BF65" s="37">
        <f t="shared" si="73"/>
        <v>7138</v>
      </c>
      <c r="BG65" s="37">
        <f t="shared" si="74"/>
        <v>7139</v>
      </c>
      <c r="BH65" s="38">
        <f t="shared" si="75"/>
        <v>7140</v>
      </c>
      <c r="BI65" s="36">
        <f t="shared" si="76"/>
        <v>7141</v>
      </c>
      <c r="BJ65" s="37">
        <f t="shared" si="77"/>
        <v>7142</v>
      </c>
      <c r="BK65" s="37">
        <f t="shared" si="78"/>
        <v>7143</v>
      </c>
      <c r="BL65" s="37">
        <f t="shared" si="79"/>
        <v>7144</v>
      </c>
      <c r="BM65" s="37">
        <f t="shared" si="80"/>
        <v>7145</v>
      </c>
      <c r="BN65" s="37">
        <f t="shared" si="81"/>
        <v>7146</v>
      </c>
      <c r="BO65" s="37">
        <f t="shared" si="82"/>
        <v>7147</v>
      </c>
      <c r="BP65" s="37">
        <f t="shared" si="83"/>
        <v>7148</v>
      </c>
      <c r="BQ65" s="37">
        <f t="shared" si="84"/>
        <v>7149</v>
      </c>
      <c r="BR65" s="39">
        <f t="shared" si="85"/>
        <v>7150</v>
      </c>
      <c r="BS65" s="36">
        <f t="shared" si="86"/>
        <v>7151</v>
      </c>
      <c r="BT65" s="37">
        <f t="shared" si="87"/>
        <v>7152</v>
      </c>
      <c r="BU65" s="37">
        <f t="shared" si="88"/>
        <v>7153</v>
      </c>
      <c r="BV65" s="37">
        <f t="shared" si="89"/>
        <v>7154</v>
      </c>
      <c r="BW65" s="37">
        <f t="shared" si="90"/>
        <v>7155</v>
      </c>
      <c r="BX65" s="37">
        <f t="shared" si="91"/>
        <v>7156</v>
      </c>
      <c r="BY65" s="37">
        <f t="shared" si="92"/>
        <v>7157</v>
      </c>
      <c r="BZ65" s="37">
        <f t="shared" si="93"/>
        <v>7158</v>
      </c>
      <c r="CA65" s="37">
        <f t="shared" si="94"/>
        <v>7159</v>
      </c>
      <c r="CB65" s="38">
        <f t="shared" si="95"/>
        <v>7160</v>
      </c>
      <c r="CC65" s="40">
        <f t="shared" si="96"/>
        <v>7161</v>
      </c>
      <c r="CD65" s="37">
        <f t="shared" si="97"/>
        <v>7162</v>
      </c>
      <c r="CE65" s="37">
        <f t="shared" si="98"/>
        <v>7163</v>
      </c>
      <c r="CF65" s="37">
        <f t="shared" si="99"/>
        <v>7164</v>
      </c>
      <c r="CG65" s="37">
        <f t="shared" si="100"/>
        <v>7165</v>
      </c>
      <c r="CH65" s="37">
        <f t="shared" si="101"/>
        <v>7166</v>
      </c>
      <c r="CI65" s="37">
        <f t="shared" si="102"/>
        <v>7167</v>
      </c>
      <c r="CJ65" s="37">
        <f t="shared" si="103"/>
        <v>7168</v>
      </c>
      <c r="CK65" s="37">
        <f t="shared" si="104"/>
        <v>7169</v>
      </c>
      <c r="CL65" s="39">
        <f t="shared" si="105"/>
        <v>7170</v>
      </c>
      <c r="CM65" s="36">
        <f t="shared" si="106"/>
        <v>7171</v>
      </c>
      <c r="CN65" s="37">
        <f t="shared" si="107"/>
        <v>7172</v>
      </c>
      <c r="CO65" s="37">
        <f t="shared" si="108"/>
        <v>7173</v>
      </c>
      <c r="CP65" s="37">
        <f t="shared" si="109"/>
        <v>7174</v>
      </c>
      <c r="CQ65" s="37">
        <f t="shared" si="110"/>
        <v>7175</v>
      </c>
      <c r="CR65" s="37">
        <f t="shared" si="111"/>
        <v>7176</v>
      </c>
      <c r="CS65" s="37">
        <f t="shared" si="112"/>
        <v>7177</v>
      </c>
      <c r="CT65" s="37">
        <f t="shared" si="113"/>
        <v>7178</v>
      </c>
      <c r="CU65" s="37">
        <f t="shared" si="114"/>
        <v>7179</v>
      </c>
      <c r="CV65" s="38">
        <f t="shared" si="115"/>
        <v>7180</v>
      </c>
      <c r="CW65" s="40">
        <f t="shared" si="116"/>
        <v>7181</v>
      </c>
      <c r="CX65" s="37">
        <f t="shared" si="117"/>
        <v>7182</v>
      </c>
      <c r="CY65" s="37">
        <f t="shared" si="118"/>
        <v>7183</v>
      </c>
      <c r="CZ65" s="37">
        <f t="shared" si="119"/>
        <v>7184</v>
      </c>
      <c r="DA65" s="37">
        <f t="shared" si="120"/>
        <v>7185</v>
      </c>
      <c r="DB65" s="37">
        <f t="shared" si="121"/>
        <v>7186</v>
      </c>
      <c r="DC65" s="37">
        <f t="shared" si="122"/>
        <v>7187</v>
      </c>
      <c r="DD65" s="37">
        <f t="shared" si="123"/>
        <v>7188</v>
      </c>
      <c r="DE65" s="37">
        <f t="shared" si="124"/>
        <v>7189</v>
      </c>
      <c r="DF65" s="39">
        <f t="shared" si="125"/>
        <v>7190</v>
      </c>
      <c r="DG65" s="36">
        <f t="shared" si="126"/>
        <v>7191</v>
      </c>
      <c r="DH65" s="37">
        <f t="shared" si="127"/>
        <v>7192</v>
      </c>
      <c r="DI65" s="37">
        <f t="shared" si="128"/>
        <v>7193</v>
      </c>
      <c r="DJ65" s="37">
        <f t="shared" si="129"/>
        <v>7194</v>
      </c>
      <c r="DK65" s="37">
        <f t="shared" si="130"/>
        <v>7195</v>
      </c>
      <c r="DL65" s="37">
        <f t="shared" si="131"/>
        <v>7196</v>
      </c>
      <c r="DM65" s="37">
        <f t="shared" si="132"/>
        <v>7197</v>
      </c>
      <c r="DN65" s="37">
        <f t="shared" si="133"/>
        <v>7198</v>
      </c>
      <c r="DO65" s="37">
        <f t="shared" si="134"/>
        <v>7199</v>
      </c>
      <c r="DP65" s="38">
        <f t="shared" si="135"/>
        <v>7200</v>
      </c>
      <c r="DR65" s="1217"/>
      <c r="DS65" s="1218"/>
      <c r="DT65" s="1218"/>
      <c r="DU65" s="1219"/>
    </row>
    <row r="66" spans="1:125" ht="5.85" customHeight="1" thickBot="1" x14ac:dyDescent="0.35">
      <c r="A66" s="36">
        <f t="shared" si="136"/>
        <v>7201</v>
      </c>
      <c r="B66" s="37">
        <f t="shared" si="17"/>
        <v>7202</v>
      </c>
      <c r="C66" s="37">
        <f t="shared" si="18"/>
        <v>7203</v>
      </c>
      <c r="D66" s="37">
        <f t="shared" si="19"/>
        <v>7204</v>
      </c>
      <c r="E66" s="37">
        <f t="shared" si="20"/>
        <v>7205</v>
      </c>
      <c r="F66" s="37">
        <f t="shared" si="21"/>
        <v>7206</v>
      </c>
      <c r="G66" s="37">
        <f t="shared" si="22"/>
        <v>7207</v>
      </c>
      <c r="H66" s="37">
        <f t="shared" si="23"/>
        <v>7208</v>
      </c>
      <c r="I66" s="37">
        <f t="shared" si="24"/>
        <v>7209</v>
      </c>
      <c r="J66" s="38">
        <f t="shared" si="25"/>
        <v>7210</v>
      </c>
      <c r="K66" s="36">
        <f t="shared" si="26"/>
        <v>7211</v>
      </c>
      <c r="L66" s="37">
        <f t="shared" si="27"/>
        <v>7212</v>
      </c>
      <c r="M66" s="37">
        <f t="shared" si="28"/>
        <v>7213</v>
      </c>
      <c r="N66" s="37">
        <f t="shared" si="29"/>
        <v>7214</v>
      </c>
      <c r="O66" s="37">
        <f t="shared" si="30"/>
        <v>7215</v>
      </c>
      <c r="P66" s="37">
        <f t="shared" si="31"/>
        <v>7216</v>
      </c>
      <c r="Q66" s="37">
        <f t="shared" si="32"/>
        <v>7217</v>
      </c>
      <c r="R66" s="37">
        <f t="shared" si="33"/>
        <v>7218</v>
      </c>
      <c r="S66" s="37">
        <f t="shared" si="34"/>
        <v>7219</v>
      </c>
      <c r="T66" s="38">
        <f t="shared" si="35"/>
        <v>7220</v>
      </c>
      <c r="U66" s="36">
        <f t="shared" si="36"/>
        <v>7221</v>
      </c>
      <c r="V66" s="37">
        <f t="shared" si="37"/>
        <v>7222</v>
      </c>
      <c r="W66" s="37">
        <f t="shared" si="38"/>
        <v>7223</v>
      </c>
      <c r="X66" s="37">
        <f t="shared" si="39"/>
        <v>7224</v>
      </c>
      <c r="Y66" s="37">
        <f t="shared" si="40"/>
        <v>7225</v>
      </c>
      <c r="Z66" s="37">
        <f t="shared" si="41"/>
        <v>7226</v>
      </c>
      <c r="AA66" s="37">
        <f t="shared" si="42"/>
        <v>7227</v>
      </c>
      <c r="AB66" s="37">
        <f t="shared" si="43"/>
        <v>7228</v>
      </c>
      <c r="AC66" s="37">
        <f t="shared" si="44"/>
        <v>7229</v>
      </c>
      <c r="AD66" s="38">
        <f t="shared" si="45"/>
        <v>7230</v>
      </c>
      <c r="AE66" s="36">
        <f t="shared" si="46"/>
        <v>7231</v>
      </c>
      <c r="AF66" s="37">
        <f t="shared" si="47"/>
        <v>7232</v>
      </c>
      <c r="AG66" s="37">
        <f t="shared" si="48"/>
        <v>7233</v>
      </c>
      <c r="AH66" s="37">
        <f t="shared" si="49"/>
        <v>7234</v>
      </c>
      <c r="AI66" s="37">
        <f t="shared" si="50"/>
        <v>7235</v>
      </c>
      <c r="AJ66" s="37">
        <f t="shared" si="51"/>
        <v>7236</v>
      </c>
      <c r="AK66" s="37">
        <f t="shared" si="52"/>
        <v>7237</v>
      </c>
      <c r="AL66" s="37">
        <f t="shared" si="53"/>
        <v>7238</v>
      </c>
      <c r="AM66" s="37">
        <f t="shared" si="54"/>
        <v>7239</v>
      </c>
      <c r="AN66" s="38">
        <f t="shared" si="55"/>
        <v>7240</v>
      </c>
      <c r="AO66" s="36">
        <f t="shared" si="56"/>
        <v>7241</v>
      </c>
      <c r="AP66" s="37">
        <f t="shared" si="57"/>
        <v>7242</v>
      </c>
      <c r="AQ66" s="37">
        <f t="shared" si="58"/>
        <v>7243</v>
      </c>
      <c r="AR66" s="37">
        <f t="shared" si="59"/>
        <v>7244</v>
      </c>
      <c r="AS66" s="37">
        <f t="shared" si="60"/>
        <v>7245</v>
      </c>
      <c r="AT66" s="37">
        <f t="shared" si="61"/>
        <v>7246</v>
      </c>
      <c r="AU66" s="37">
        <f t="shared" si="62"/>
        <v>7247</v>
      </c>
      <c r="AV66" s="37">
        <f t="shared" si="63"/>
        <v>7248</v>
      </c>
      <c r="AW66" s="37">
        <f t="shared" si="64"/>
        <v>7249</v>
      </c>
      <c r="AX66" s="38">
        <f t="shared" si="65"/>
        <v>7250</v>
      </c>
      <c r="AY66" s="36">
        <f t="shared" si="66"/>
        <v>7251</v>
      </c>
      <c r="AZ66" s="37">
        <f t="shared" si="67"/>
        <v>7252</v>
      </c>
      <c r="BA66" s="37">
        <f t="shared" si="68"/>
        <v>7253</v>
      </c>
      <c r="BB66" s="37">
        <f t="shared" si="69"/>
        <v>7254</v>
      </c>
      <c r="BC66" s="37">
        <f t="shared" si="70"/>
        <v>7255</v>
      </c>
      <c r="BD66" s="37">
        <f t="shared" si="71"/>
        <v>7256</v>
      </c>
      <c r="BE66" s="37">
        <f t="shared" si="72"/>
        <v>7257</v>
      </c>
      <c r="BF66" s="37">
        <f t="shared" si="73"/>
        <v>7258</v>
      </c>
      <c r="BG66" s="37">
        <f t="shared" si="74"/>
        <v>7259</v>
      </c>
      <c r="BH66" s="38">
        <f t="shared" si="75"/>
        <v>7260</v>
      </c>
      <c r="BI66" s="36">
        <f t="shared" si="76"/>
        <v>7261</v>
      </c>
      <c r="BJ66" s="37">
        <f t="shared" si="77"/>
        <v>7262</v>
      </c>
      <c r="BK66" s="37">
        <f t="shared" si="78"/>
        <v>7263</v>
      </c>
      <c r="BL66" s="37">
        <f t="shared" si="79"/>
        <v>7264</v>
      </c>
      <c r="BM66" s="37">
        <f t="shared" si="80"/>
        <v>7265</v>
      </c>
      <c r="BN66" s="37">
        <f t="shared" si="81"/>
        <v>7266</v>
      </c>
      <c r="BO66" s="37">
        <f t="shared" si="82"/>
        <v>7267</v>
      </c>
      <c r="BP66" s="37">
        <f t="shared" si="83"/>
        <v>7268</v>
      </c>
      <c r="BQ66" s="37">
        <f t="shared" si="84"/>
        <v>7269</v>
      </c>
      <c r="BR66" s="39">
        <f t="shared" si="85"/>
        <v>7270</v>
      </c>
      <c r="BS66" s="36">
        <f t="shared" si="86"/>
        <v>7271</v>
      </c>
      <c r="BT66" s="37">
        <f t="shared" si="87"/>
        <v>7272</v>
      </c>
      <c r="BU66" s="37">
        <f t="shared" si="88"/>
        <v>7273</v>
      </c>
      <c r="BV66" s="37">
        <f t="shared" si="89"/>
        <v>7274</v>
      </c>
      <c r="BW66" s="37">
        <f t="shared" si="90"/>
        <v>7275</v>
      </c>
      <c r="BX66" s="37">
        <f t="shared" si="91"/>
        <v>7276</v>
      </c>
      <c r="BY66" s="37">
        <f t="shared" si="92"/>
        <v>7277</v>
      </c>
      <c r="BZ66" s="37">
        <f t="shared" si="93"/>
        <v>7278</v>
      </c>
      <c r="CA66" s="37">
        <f t="shared" si="94"/>
        <v>7279</v>
      </c>
      <c r="CB66" s="38">
        <f t="shared" si="95"/>
        <v>7280</v>
      </c>
      <c r="CC66" s="40">
        <f t="shared" si="96"/>
        <v>7281</v>
      </c>
      <c r="CD66" s="37">
        <f t="shared" si="97"/>
        <v>7282</v>
      </c>
      <c r="CE66" s="37">
        <f t="shared" si="98"/>
        <v>7283</v>
      </c>
      <c r="CF66" s="37">
        <f t="shared" si="99"/>
        <v>7284</v>
      </c>
      <c r="CG66" s="37">
        <f t="shared" si="100"/>
        <v>7285</v>
      </c>
      <c r="CH66" s="37">
        <f t="shared" si="101"/>
        <v>7286</v>
      </c>
      <c r="CI66" s="37">
        <f t="shared" si="102"/>
        <v>7287</v>
      </c>
      <c r="CJ66" s="37">
        <f t="shared" si="103"/>
        <v>7288</v>
      </c>
      <c r="CK66" s="37">
        <f t="shared" si="104"/>
        <v>7289</v>
      </c>
      <c r="CL66" s="39">
        <f t="shared" si="105"/>
        <v>7290</v>
      </c>
      <c r="CM66" s="36">
        <f t="shared" si="106"/>
        <v>7291</v>
      </c>
      <c r="CN66" s="37">
        <f t="shared" si="107"/>
        <v>7292</v>
      </c>
      <c r="CO66" s="37">
        <f t="shared" si="108"/>
        <v>7293</v>
      </c>
      <c r="CP66" s="37">
        <f t="shared" si="109"/>
        <v>7294</v>
      </c>
      <c r="CQ66" s="37">
        <f t="shared" si="110"/>
        <v>7295</v>
      </c>
      <c r="CR66" s="37">
        <f t="shared" si="111"/>
        <v>7296</v>
      </c>
      <c r="CS66" s="37">
        <f t="shared" si="112"/>
        <v>7297</v>
      </c>
      <c r="CT66" s="37">
        <f t="shared" si="113"/>
        <v>7298</v>
      </c>
      <c r="CU66" s="37">
        <f t="shared" si="114"/>
        <v>7299</v>
      </c>
      <c r="CV66" s="38">
        <f t="shared" si="115"/>
        <v>7300</v>
      </c>
      <c r="CW66" s="40">
        <f t="shared" si="116"/>
        <v>7301</v>
      </c>
      <c r="CX66" s="37">
        <f t="shared" si="117"/>
        <v>7302</v>
      </c>
      <c r="CY66" s="37">
        <f t="shared" si="118"/>
        <v>7303</v>
      </c>
      <c r="CZ66" s="37">
        <f t="shared" si="119"/>
        <v>7304</v>
      </c>
      <c r="DA66" s="37">
        <f t="shared" si="120"/>
        <v>7305</v>
      </c>
      <c r="DB66" s="37">
        <f t="shared" si="121"/>
        <v>7306</v>
      </c>
      <c r="DC66" s="37">
        <f t="shared" si="122"/>
        <v>7307</v>
      </c>
      <c r="DD66" s="37">
        <f t="shared" si="123"/>
        <v>7308</v>
      </c>
      <c r="DE66" s="37">
        <f t="shared" si="124"/>
        <v>7309</v>
      </c>
      <c r="DF66" s="39">
        <f t="shared" si="125"/>
        <v>7310</v>
      </c>
      <c r="DG66" s="36">
        <f t="shared" si="126"/>
        <v>7311</v>
      </c>
      <c r="DH66" s="37">
        <f t="shared" si="127"/>
        <v>7312</v>
      </c>
      <c r="DI66" s="37">
        <f t="shared" si="128"/>
        <v>7313</v>
      </c>
      <c r="DJ66" s="37">
        <f t="shared" si="129"/>
        <v>7314</v>
      </c>
      <c r="DK66" s="37">
        <f t="shared" si="130"/>
        <v>7315</v>
      </c>
      <c r="DL66" s="37">
        <f t="shared" si="131"/>
        <v>7316</v>
      </c>
      <c r="DM66" s="37">
        <f t="shared" si="132"/>
        <v>7317</v>
      </c>
      <c r="DN66" s="37">
        <f t="shared" si="133"/>
        <v>7318</v>
      </c>
      <c r="DO66" s="37">
        <f t="shared" si="134"/>
        <v>7319</v>
      </c>
      <c r="DP66" s="38">
        <f t="shared" si="135"/>
        <v>7320</v>
      </c>
    </row>
    <row r="67" spans="1:125" ht="5.85" customHeight="1" x14ac:dyDescent="0.3">
      <c r="A67" s="36">
        <f t="shared" si="136"/>
        <v>7321</v>
      </c>
      <c r="B67" s="37">
        <f t="shared" si="17"/>
        <v>7322</v>
      </c>
      <c r="C67" s="37">
        <f t="shared" si="18"/>
        <v>7323</v>
      </c>
      <c r="D67" s="37">
        <f t="shared" si="19"/>
        <v>7324</v>
      </c>
      <c r="E67" s="37">
        <f t="shared" si="20"/>
        <v>7325</v>
      </c>
      <c r="F67" s="37">
        <f t="shared" si="21"/>
        <v>7326</v>
      </c>
      <c r="G67" s="37">
        <f t="shared" si="22"/>
        <v>7327</v>
      </c>
      <c r="H67" s="37">
        <f t="shared" si="23"/>
        <v>7328</v>
      </c>
      <c r="I67" s="37">
        <f t="shared" si="24"/>
        <v>7329</v>
      </c>
      <c r="J67" s="38">
        <f t="shared" si="25"/>
        <v>7330</v>
      </c>
      <c r="K67" s="36">
        <f t="shared" si="26"/>
        <v>7331</v>
      </c>
      <c r="L67" s="37">
        <f t="shared" si="27"/>
        <v>7332</v>
      </c>
      <c r="M67" s="37">
        <f t="shared" si="28"/>
        <v>7333</v>
      </c>
      <c r="N67" s="37">
        <f t="shared" si="29"/>
        <v>7334</v>
      </c>
      <c r="O67" s="37">
        <f t="shared" si="30"/>
        <v>7335</v>
      </c>
      <c r="P67" s="37">
        <f t="shared" si="31"/>
        <v>7336</v>
      </c>
      <c r="Q67" s="37">
        <f t="shared" si="32"/>
        <v>7337</v>
      </c>
      <c r="R67" s="37">
        <f t="shared" si="33"/>
        <v>7338</v>
      </c>
      <c r="S67" s="37">
        <f t="shared" si="34"/>
        <v>7339</v>
      </c>
      <c r="T67" s="38">
        <f t="shared" si="35"/>
        <v>7340</v>
      </c>
      <c r="U67" s="36">
        <f t="shared" si="36"/>
        <v>7341</v>
      </c>
      <c r="V67" s="37">
        <f t="shared" si="37"/>
        <v>7342</v>
      </c>
      <c r="W67" s="37">
        <f t="shared" si="38"/>
        <v>7343</v>
      </c>
      <c r="X67" s="37">
        <f t="shared" si="39"/>
        <v>7344</v>
      </c>
      <c r="Y67" s="37">
        <f t="shared" si="40"/>
        <v>7345</v>
      </c>
      <c r="Z67" s="37">
        <f t="shared" si="41"/>
        <v>7346</v>
      </c>
      <c r="AA67" s="37">
        <f t="shared" si="42"/>
        <v>7347</v>
      </c>
      <c r="AB67" s="37">
        <f t="shared" si="43"/>
        <v>7348</v>
      </c>
      <c r="AC67" s="37">
        <f t="shared" si="44"/>
        <v>7349</v>
      </c>
      <c r="AD67" s="38">
        <f t="shared" si="45"/>
        <v>7350</v>
      </c>
      <c r="AE67" s="36">
        <f t="shared" si="46"/>
        <v>7351</v>
      </c>
      <c r="AF67" s="37">
        <f t="shared" si="47"/>
        <v>7352</v>
      </c>
      <c r="AG67" s="37">
        <f t="shared" si="48"/>
        <v>7353</v>
      </c>
      <c r="AH67" s="37">
        <f t="shared" si="49"/>
        <v>7354</v>
      </c>
      <c r="AI67" s="37">
        <f t="shared" si="50"/>
        <v>7355</v>
      </c>
      <c r="AJ67" s="37">
        <f t="shared" si="51"/>
        <v>7356</v>
      </c>
      <c r="AK67" s="37">
        <f t="shared" si="52"/>
        <v>7357</v>
      </c>
      <c r="AL67" s="37">
        <f t="shared" si="53"/>
        <v>7358</v>
      </c>
      <c r="AM67" s="37">
        <f t="shared" si="54"/>
        <v>7359</v>
      </c>
      <c r="AN67" s="38">
        <f t="shared" si="55"/>
        <v>7360</v>
      </c>
      <c r="AO67" s="36">
        <f t="shared" si="56"/>
        <v>7361</v>
      </c>
      <c r="AP67" s="37">
        <f t="shared" si="57"/>
        <v>7362</v>
      </c>
      <c r="AQ67" s="37">
        <f t="shared" si="58"/>
        <v>7363</v>
      </c>
      <c r="AR67" s="37">
        <f t="shared" si="59"/>
        <v>7364</v>
      </c>
      <c r="AS67" s="37">
        <f t="shared" si="60"/>
        <v>7365</v>
      </c>
      <c r="AT67" s="37">
        <f t="shared" si="61"/>
        <v>7366</v>
      </c>
      <c r="AU67" s="37">
        <f t="shared" si="62"/>
        <v>7367</v>
      </c>
      <c r="AV67" s="37">
        <f t="shared" si="63"/>
        <v>7368</v>
      </c>
      <c r="AW67" s="37">
        <f t="shared" si="64"/>
        <v>7369</v>
      </c>
      <c r="AX67" s="38">
        <f t="shared" si="65"/>
        <v>7370</v>
      </c>
      <c r="AY67" s="36">
        <f t="shared" si="66"/>
        <v>7371</v>
      </c>
      <c r="AZ67" s="37">
        <f t="shared" si="67"/>
        <v>7372</v>
      </c>
      <c r="BA67" s="37">
        <f t="shared" si="68"/>
        <v>7373</v>
      </c>
      <c r="BB67" s="37">
        <f t="shared" si="69"/>
        <v>7374</v>
      </c>
      <c r="BC67" s="37">
        <f t="shared" si="70"/>
        <v>7375</v>
      </c>
      <c r="BD67" s="37">
        <f t="shared" si="71"/>
        <v>7376</v>
      </c>
      <c r="BE67" s="37">
        <f t="shared" si="72"/>
        <v>7377</v>
      </c>
      <c r="BF67" s="37">
        <f t="shared" si="73"/>
        <v>7378</v>
      </c>
      <c r="BG67" s="37">
        <f t="shared" si="74"/>
        <v>7379</v>
      </c>
      <c r="BH67" s="38">
        <f t="shared" si="75"/>
        <v>7380</v>
      </c>
      <c r="BI67" s="36">
        <f t="shared" si="76"/>
        <v>7381</v>
      </c>
      <c r="BJ67" s="37">
        <f t="shared" si="77"/>
        <v>7382</v>
      </c>
      <c r="BK67" s="37">
        <f t="shared" si="78"/>
        <v>7383</v>
      </c>
      <c r="BL67" s="37">
        <f t="shared" si="79"/>
        <v>7384</v>
      </c>
      <c r="BM67" s="37">
        <f t="shared" si="80"/>
        <v>7385</v>
      </c>
      <c r="BN67" s="37">
        <f t="shared" si="81"/>
        <v>7386</v>
      </c>
      <c r="BO67" s="37">
        <f t="shared" si="82"/>
        <v>7387</v>
      </c>
      <c r="BP67" s="37">
        <f t="shared" si="83"/>
        <v>7388</v>
      </c>
      <c r="BQ67" s="37">
        <f t="shared" si="84"/>
        <v>7389</v>
      </c>
      <c r="BR67" s="39">
        <f t="shared" si="85"/>
        <v>7390</v>
      </c>
      <c r="BS67" s="36">
        <f t="shared" si="86"/>
        <v>7391</v>
      </c>
      <c r="BT67" s="37">
        <f t="shared" si="87"/>
        <v>7392</v>
      </c>
      <c r="BU67" s="37">
        <f t="shared" si="88"/>
        <v>7393</v>
      </c>
      <c r="BV67" s="37">
        <f t="shared" si="89"/>
        <v>7394</v>
      </c>
      <c r="BW67" s="37">
        <f t="shared" si="90"/>
        <v>7395</v>
      </c>
      <c r="BX67" s="37">
        <f t="shared" si="91"/>
        <v>7396</v>
      </c>
      <c r="BY67" s="37">
        <f t="shared" si="92"/>
        <v>7397</v>
      </c>
      <c r="BZ67" s="37">
        <f t="shared" si="93"/>
        <v>7398</v>
      </c>
      <c r="CA67" s="37">
        <f t="shared" si="94"/>
        <v>7399</v>
      </c>
      <c r="CB67" s="38">
        <f t="shared" si="95"/>
        <v>7400</v>
      </c>
      <c r="CC67" s="40">
        <f t="shared" si="96"/>
        <v>7401</v>
      </c>
      <c r="CD67" s="37">
        <f t="shared" si="97"/>
        <v>7402</v>
      </c>
      <c r="CE67" s="37">
        <f t="shared" si="98"/>
        <v>7403</v>
      </c>
      <c r="CF67" s="37">
        <f t="shared" si="99"/>
        <v>7404</v>
      </c>
      <c r="CG67" s="37">
        <f t="shared" si="100"/>
        <v>7405</v>
      </c>
      <c r="CH67" s="37">
        <f t="shared" si="101"/>
        <v>7406</v>
      </c>
      <c r="CI67" s="37">
        <f t="shared" si="102"/>
        <v>7407</v>
      </c>
      <c r="CJ67" s="37">
        <f t="shared" si="103"/>
        <v>7408</v>
      </c>
      <c r="CK67" s="37">
        <f t="shared" si="104"/>
        <v>7409</v>
      </c>
      <c r="CL67" s="39">
        <f t="shared" si="105"/>
        <v>7410</v>
      </c>
      <c r="CM67" s="36">
        <f t="shared" si="106"/>
        <v>7411</v>
      </c>
      <c r="CN67" s="37">
        <f t="shared" si="107"/>
        <v>7412</v>
      </c>
      <c r="CO67" s="37">
        <f t="shared" si="108"/>
        <v>7413</v>
      </c>
      <c r="CP67" s="37">
        <f t="shared" si="109"/>
        <v>7414</v>
      </c>
      <c r="CQ67" s="37">
        <f t="shared" si="110"/>
        <v>7415</v>
      </c>
      <c r="CR67" s="37">
        <f t="shared" si="111"/>
        <v>7416</v>
      </c>
      <c r="CS67" s="37">
        <f t="shared" si="112"/>
        <v>7417</v>
      </c>
      <c r="CT67" s="37">
        <f t="shared" si="113"/>
        <v>7418</v>
      </c>
      <c r="CU67" s="37">
        <f t="shared" si="114"/>
        <v>7419</v>
      </c>
      <c r="CV67" s="38">
        <f t="shared" si="115"/>
        <v>7420</v>
      </c>
      <c r="CW67" s="40">
        <f t="shared" si="116"/>
        <v>7421</v>
      </c>
      <c r="CX67" s="37">
        <f t="shared" si="117"/>
        <v>7422</v>
      </c>
      <c r="CY67" s="37">
        <f t="shared" si="118"/>
        <v>7423</v>
      </c>
      <c r="CZ67" s="37">
        <f t="shared" si="119"/>
        <v>7424</v>
      </c>
      <c r="DA67" s="37">
        <f t="shared" si="120"/>
        <v>7425</v>
      </c>
      <c r="DB67" s="37">
        <f t="shared" si="121"/>
        <v>7426</v>
      </c>
      <c r="DC67" s="37">
        <f t="shared" si="122"/>
        <v>7427</v>
      </c>
      <c r="DD67" s="37">
        <f t="shared" si="123"/>
        <v>7428</v>
      </c>
      <c r="DE67" s="37">
        <f t="shared" si="124"/>
        <v>7429</v>
      </c>
      <c r="DF67" s="39">
        <f t="shared" si="125"/>
        <v>7430</v>
      </c>
      <c r="DG67" s="36">
        <f t="shared" si="126"/>
        <v>7431</v>
      </c>
      <c r="DH67" s="37">
        <f t="shared" si="127"/>
        <v>7432</v>
      </c>
      <c r="DI67" s="37">
        <f t="shared" si="128"/>
        <v>7433</v>
      </c>
      <c r="DJ67" s="37">
        <f t="shared" si="129"/>
        <v>7434</v>
      </c>
      <c r="DK67" s="37">
        <f t="shared" si="130"/>
        <v>7435</v>
      </c>
      <c r="DL67" s="37">
        <f t="shared" si="131"/>
        <v>7436</v>
      </c>
      <c r="DM67" s="37">
        <f t="shared" si="132"/>
        <v>7437</v>
      </c>
      <c r="DN67" s="37">
        <f t="shared" si="133"/>
        <v>7438</v>
      </c>
      <c r="DO67" s="37">
        <f t="shared" si="134"/>
        <v>7439</v>
      </c>
      <c r="DP67" s="38">
        <f t="shared" si="135"/>
        <v>7440</v>
      </c>
      <c r="DR67" s="1203">
        <v>0</v>
      </c>
      <c r="DS67" s="1204"/>
      <c r="DT67" s="1204"/>
      <c r="DU67" s="1205"/>
    </row>
    <row r="68" spans="1:125" ht="5.85" customHeight="1" x14ac:dyDescent="0.3">
      <c r="A68" s="36">
        <f t="shared" si="136"/>
        <v>7441</v>
      </c>
      <c r="B68" s="37">
        <f t="shared" si="17"/>
        <v>7442</v>
      </c>
      <c r="C68" s="37">
        <f t="shared" si="18"/>
        <v>7443</v>
      </c>
      <c r="D68" s="37">
        <f t="shared" si="19"/>
        <v>7444</v>
      </c>
      <c r="E68" s="37">
        <f t="shared" si="20"/>
        <v>7445</v>
      </c>
      <c r="F68" s="37">
        <f t="shared" si="21"/>
        <v>7446</v>
      </c>
      <c r="G68" s="37">
        <f t="shared" si="22"/>
        <v>7447</v>
      </c>
      <c r="H68" s="37">
        <f t="shared" si="23"/>
        <v>7448</v>
      </c>
      <c r="I68" s="37">
        <f t="shared" si="24"/>
        <v>7449</v>
      </c>
      <c r="J68" s="38">
        <f t="shared" si="25"/>
        <v>7450</v>
      </c>
      <c r="K68" s="36">
        <f t="shared" si="26"/>
        <v>7451</v>
      </c>
      <c r="L68" s="37">
        <f t="shared" si="27"/>
        <v>7452</v>
      </c>
      <c r="M68" s="37">
        <f t="shared" si="28"/>
        <v>7453</v>
      </c>
      <c r="N68" s="37">
        <f t="shared" si="29"/>
        <v>7454</v>
      </c>
      <c r="O68" s="37">
        <f t="shared" si="30"/>
        <v>7455</v>
      </c>
      <c r="P68" s="37">
        <f t="shared" si="31"/>
        <v>7456</v>
      </c>
      <c r="Q68" s="37">
        <f t="shared" si="32"/>
        <v>7457</v>
      </c>
      <c r="R68" s="37">
        <f t="shared" si="33"/>
        <v>7458</v>
      </c>
      <c r="S68" s="37">
        <f t="shared" si="34"/>
        <v>7459</v>
      </c>
      <c r="T68" s="38">
        <f t="shared" si="35"/>
        <v>7460</v>
      </c>
      <c r="U68" s="36">
        <f t="shared" si="36"/>
        <v>7461</v>
      </c>
      <c r="V68" s="37">
        <f t="shared" si="37"/>
        <v>7462</v>
      </c>
      <c r="W68" s="37">
        <f t="shared" si="38"/>
        <v>7463</v>
      </c>
      <c r="X68" s="37">
        <f t="shared" si="39"/>
        <v>7464</v>
      </c>
      <c r="Y68" s="37">
        <f t="shared" si="40"/>
        <v>7465</v>
      </c>
      <c r="Z68" s="37">
        <f t="shared" si="41"/>
        <v>7466</v>
      </c>
      <c r="AA68" s="37">
        <f t="shared" si="42"/>
        <v>7467</v>
      </c>
      <c r="AB68" s="37">
        <f t="shared" si="43"/>
        <v>7468</v>
      </c>
      <c r="AC68" s="37">
        <f t="shared" si="44"/>
        <v>7469</v>
      </c>
      <c r="AD68" s="38">
        <f t="shared" si="45"/>
        <v>7470</v>
      </c>
      <c r="AE68" s="36">
        <f t="shared" si="46"/>
        <v>7471</v>
      </c>
      <c r="AF68" s="37">
        <f t="shared" si="47"/>
        <v>7472</v>
      </c>
      <c r="AG68" s="37">
        <f t="shared" si="48"/>
        <v>7473</v>
      </c>
      <c r="AH68" s="37">
        <f t="shared" si="49"/>
        <v>7474</v>
      </c>
      <c r="AI68" s="37">
        <f t="shared" si="50"/>
        <v>7475</v>
      </c>
      <c r="AJ68" s="37">
        <f t="shared" si="51"/>
        <v>7476</v>
      </c>
      <c r="AK68" s="37">
        <f t="shared" si="52"/>
        <v>7477</v>
      </c>
      <c r="AL68" s="37">
        <f t="shared" si="53"/>
        <v>7478</v>
      </c>
      <c r="AM68" s="37">
        <f t="shared" si="54"/>
        <v>7479</v>
      </c>
      <c r="AN68" s="38">
        <f t="shared" si="55"/>
        <v>7480</v>
      </c>
      <c r="AO68" s="36">
        <f t="shared" si="56"/>
        <v>7481</v>
      </c>
      <c r="AP68" s="37">
        <f t="shared" si="57"/>
        <v>7482</v>
      </c>
      <c r="AQ68" s="37">
        <f t="shared" si="58"/>
        <v>7483</v>
      </c>
      <c r="AR68" s="37">
        <f t="shared" si="59"/>
        <v>7484</v>
      </c>
      <c r="AS68" s="37">
        <f t="shared" si="60"/>
        <v>7485</v>
      </c>
      <c r="AT68" s="37">
        <f t="shared" si="61"/>
        <v>7486</v>
      </c>
      <c r="AU68" s="37">
        <f t="shared" si="62"/>
        <v>7487</v>
      </c>
      <c r="AV68" s="37">
        <f t="shared" si="63"/>
        <v>7488</v>
      </c>
      <c r="AW68" s="37">
        <f t="shared" si="64"/>
        <v>7489</v>
      </c>
      <c r="AX68" s="38">
        <f t="shared" si="65"/>
        <v>7490</v>
      </c>
      <c r="AY68" s="36">
        <f t="shared" si="66"/>
        <v>7491</v>
      </c>
      <c r="AZ68" s="37">
        <f t="shared" si="67"/>
        <v>7492</v>
      </c>
      <c r="BA68" s="37">
        <f t="shared" si="68"/>
        <v>7493</v>
      </c>
      <c r="BB68" s="37">
        <f t="shared" si="69"/>
        <v>7494</v>
      </c>
      <c r="BC68" s="37">
        <f t="shared" si="70"/>
        <v>7495</v>
      </c>
      <c r="BD68" s="37">
        <f t="shared" si="71"/>
        <v>7496</v>
      </c>
      <c r="BE68" s="37">
        <f t="shared" si="72"/>
        <v>7497</v>
      </c>
      <c r="BF68" s="37">
        <f t="shared" si="73"/>
        <v>7498</v>
      </c>
      <c r="BG68" s="37">
        <f t="shared" si="74"/>
        <v>7499</v>
      </c>
      <c r="BH68" s="38">
        <f t="shared" si="75"/>
        <v>7500</v>
      </c>
      <c r="BI68" s="36">
        <f t="shared" si="76"/>
        <v>7501</v>
      </c>
      <c r="BJ68" s="37">
        <f t="shared" si="77"/>
        <v>7502</v>
      </c>
      <c r="BK68" s="37">
        <f t="shared" si="78"/>
        <v>7503</v>
      </c>
      <c r="BL68" s="37">
        <f t="shared" si="79"/>
        <v>7504</v>
      </c>
      <c r="BM68" s="37">
        <f t="shared" si="80"/>
        <v>7505</v>
      </c>
      <c r="BN68" s="37">
        <f t="shared" si="81"/>
        <v>7506</v>
      </c>
      <c r="BO68" s="37">
        <f t="shared" si="82"/>
        <v>7507</v>
      </c>
      <c r="BP68" s="37">
        <f t="shared" si="83"/>
        <v>7508</v>
      </c>
      <c r="BQ68" s="37">
        <f t="shared" si="84"/>
        <v>7509</v>
      </c>
      <c r="BR68" s="39">
        <f t="shared" si="85"/>
        <v>7510</v>
      </c>
      <c r="BS68" s="36">
        <f t="shared" si="86"/>
        <v>7511</v>
      </c>
      <c r="BT68" s="37">
        <f t="shared" si="87"/>
        <v>7512</v>
      </c>
      <c r="BU68" s="37">
        <f t="shared" si="88"/>
        <v>7513</v>
      </c>
      <c r="BV68" s="37">
        <f t="shared" si="89"/>
        <v>7514</v>
      </c>
      <c r="BW68" s="37">
        <f t="shared" si="90"/>
        <v>7515</v>
      </c>
      <c r="BX68" s="37">
        <f t="shared" si="91"/>
        <v>7516</v>
      </c>
      <c r="BY68" s="37">
        <f t="shared" si="92"/>
        <v>7517</v>
      </c>
      <c r="BZ68" s="37">
        <f t="shared" si="93"/>
        <v>7518</v>
      </c>
      <c r="CA68" s="37">
        <f t="shared" si="94"/>
        <v>7519</v>
      </c>
      <c r="CB68" s="38">
        <f t="shared" si="95"/>
        <v>7520</v>
      </c>
      <c r="CC68" s="40">
        <f t="shared" si="96"/>
        <v>7521</v>
      </c>
      <c r="CD68" s="37">
        <f t="shared" si="97"/>
        <v>7522</v>
      </c>
      <c r="CE68" s="37">
        <f t="shared" si="98"/>
        <v>7523</v>
      </c>
      <c r="CF68" s="37">
        <f t="shared" si="99"/>
        <v>7524</v>
      </c>
      <c r="CG68" s="37">
        <f t="shared" si="100"/>
        <v>7525</v>
      </c>
      <c r="CH68" s="37">
        <f t="shared" si="101"/>
        <v>7526</v>
      </c>
      <c r="CI68" s="37">
        <f t="shared" si="102"/>
        <v>7527</v>
      </c>
      <c r="CJ68" s="37">
        <f t="shared" si="103"/>
        <v>7528</v>
      </c>
      <c r="CK68" s="37">
        <f t="shared" si="104"/>
        <v>7529</v>
      </c>
      <c r="CL68" s="39">
        <f t="shared" si="105"/>
        <v>7530</v>
      </c>
      <c r="CM68" s="36">
        <f t="shared" si="106"/>
        <v>7531</v>
      </c>
      <c r="CN68" s="37">
        <f t="shared" si="107"/>
        <v>7532</v>
      </c>
      <c r="CO68" s="37">
        <f t="shared" si="108"/>
        <v>7533</v>
      </c>
      <c r="CP68" s="37">
        <f t="shared" si="109"/>
        <v>7534</v>
      </c>
      <c r="CQ68" s="37">
        <f t="shared" si="110"/>
        <v>7535</v>
      </c>
      <c r="CR68" s="37">
        <f t="shared" si="111"/>
        <v>7536</v>
      </c>
      <c r="CS68" s="37">
        <f t="shared" si="112"/>
        <v>7537</v>
      </c>
      <c r="CT68" s="37">
        <f t="shared" si="113"/>
        <v>7538</v>
      </c>
      <c r="CU68" s="37">
        <f t="shared" si="114"/>
        <v>7539</v>
      </c>
      <c r="CV68" s="38">
        <f t="shared" si="115"/>
        <v>7540</v>
      </c>
      <c r="CW68" s="40">
        <f t="shared" si="116"/>
        <v>7541</v>
      </c>
      <c r="CX68" s="37">
        <f t="shared" si="117"/>
        <v>7542</v>
      </c>
      <c r="CY68" s="37">
        <f t="shared" si="118"/>
        <v>7543</v>
      </c>
      <c r="CZ68" s="37">
        <f t="shared" si="119"/>
        <v>7544</v>
      </c>
      <c r="DA68" s="37">
        <f t="shared" si="120"/>
        <v>7545</v>
      </c>
      <c r="DB68" s="37">
        <f t="shared" si="121"/>
        <v>7546</v>
      </c>
      <c r="DC68" s="37">
        <f t="shared" si="122"/>
        <v>7547</v>
      </c>
      <c r="DD68" s="37">
        <f t="shared" si="123"/>
        <v>7548</v>
      </c>
      <c r="DE68" s="37">
        <f t="shared" si="124"/>
        <v>7549</v>
      </c>
      <c r="DF68" s="39">
        <f t="shared" si="125"/>
        <v>7550</v>
      </c>
      <c r="DG68" s="36">
        <f t="shared" si="126"/>
        <v>7551</v>
      </c>
      <c r="DH68" s="37">
        <f t="shared" si="127"/>
        <v>7552</v>
      </c>
      <c r="DI68" s="37">
        <f t="shared" si="128"/>
        <v>7553</v>
      </c>
      <c r="DJ68" s="37">
        <f t="shared" si="129"/>
        <v>7554</v>
      </c>
      <c r="DK68" s="37">
        <f t="shared" si="130"/>
        <v>7555</v>
      </c>
      <c r="DL68" s="37">
        <f t="shared" si="131"/>
        <v>7556</v>
      </c>
      <c r="DM68" s="37">
        <f t="shared" si="132"/>
        <v>7557</v>
      </c>
      <c r="DN68" s="37">
        <f t="shared" si="133"/>
        <v>7558</v>
      </c>
      <c r="DO68" s="37">
        <f t="shared" si="134"/>
        <v>7559</v>
      </c>
      <c r="DP68" s="38">
        <f t="shared" si="135"/>
        <v>7560</v>
      </c>
      <c r="DR68" s="1206"/>
      <c r="DS68" s="1207"/>
      <c r="DT68" s="1207"/>
      <c r="DU68" s="1208"/>
    </row>
    <row r="69" spans="1:125" ht="5.85" customHeight="1" x14ac:dyDescent="0.3">
      <c r="A69" s="36">
        <f t="shared" si="136"/>
        <v>7561</v>
      </c>
      <c r="B69" s="37">
        <f t="shared" si="17"/>
        <v>7562</v>
      </c>
      <c r="C69" s="37">
        <f t="shared" si="18"/>
        <v>7563</v>
      </c>
      <c r="D69" s="37">
        <f t="shared" si="19"/>
        <v>7564</v>
      </c>
      <c r="E69" s="37">
        <f t="shared" si="20"/>
        <v>7565</v>
      </c>
      <c r="F69" s="37">
        <f t="shared" si="21"/>
        <v>7566</v>
      </c>
      <c r="G69" s="37">
        <f t="shared" si="22"/>
        <v>7567</v>
      </c>
      <c r="H69" s="37">
        <f t="shared" si="23"/>
        <v>7568</v>
      </c>
      <c r="I69" s="37">
        <f t="shared" si="24"/>
        <v>7569</v>
      </c>
      <c r="J69" s="38">
        <f t="shared" si="25"/>
        <v>7570</v>
      </c>
      <c r="K69" s="36">
        <f t="shared" si="26"/>
        <v>7571</v>
      </c>
      <c r="L69" s="37">
        <f t="shared" si="27"/>
        <v>7572</v>
      </c>
      <c r="M69" s="37">
        <f t="shared" si="28"/>
        <v>7573</v>
      </c>
      <c r="N69" s="37">
        <f t="shared" si="29"/>
        <v>7574</v>
      </c>
      <c r="O69" s="37">
        <f t="shared" si="30"/>
        <v>7575</v>
      </c>
      <c r="P69" s="37">
        <f t="shared" si="31"/>
        <v>7576</v>
      </c>
      <c r="Q69" s="37">
        <f t="shared" si="32"/>
        <v>7577</v>
      </c>
      <c r="R69" s="37">
        <f t="shared" si="33"/>
        <v>7578</v>
      </c>
      <c r="S69" s="37">
        <f t="shared" si="34"/>
        <v>7579</v>
      </c>
      <c r="T69" s="38">
        <f t="shared" si="35"/>
        <v>7580</v>
      </c>
      <c r="U69" s="36">
        <f t="shared" si="36"/>
        <v>7581</v>
      </c>
      <c r="V69" s="37">
        <f t="shared" si="37"/>
        <v>7582</v>
      </c>
      <c r="W69" s="37">
        <f t="shared" si="38"/>
        <v>7583</v>
      </c>
      <c r="X69" s="37">
        <f t="shared" si="39"/>
        <v>7584</v>
      </c>
      <c r="Y69" s="37">
        <f t="shared" si="40"/>
        <v>7585</v>
      </c>
      <c r="Z69" s="37">
        <f t="shared" si="41"/>
        <v>7586</v>
      </c>
      <c r="AA69" s="37">
        <f t="shared" si="42"/>
        <v>7587</v>
      </c>
      <c r="AB69" s="37">
        <f t="shared" si="43"/>
        <v>7588</v>
      </c>
      <c r="AC69" s="37">
        <f t="shared" si="44"/>
        <v>7589</v>
      </c>
      <c r="AD69" s="38">
        <f t="shared" si="45"/>
        <v>7590</v>
      </c>
      <c r="AE69" s="36">
        <f t="shared" si="46"/>
        <v>7591</v>
      </c>
      <c r="AF69" s="37">
        <f t="shared" si="47"/>
        <v>7592</v>
      </c>
      <c r="AG69" s="37">
        <f t="shared" si="48"/>
        <v>7593</v>
      </c>
      <c r="AH69" s="37">
        <f t="shared" si="49"/>
        <v>7594</v>
      </c>
      <c r="AI69" s="37">
        <f t="shared" si="50"/>
        <v>7595</v>
      </c>
      <c r="AJ69" s="37">
        <f t="shared" si="51"/>
        <v>7596</v>
      </c>
      <c r="AK69" s="37">
        <f t="shared" si="52"/>
        <v>7597</v>
      </c>
      <c r="AL69" s="37">
        <f t="shared" si="53"/>
        <v>7598</v>
      </c>
      <c r="AM69" s="37">
        <f t="shared" si="54"/>
        <v>7599</v>
      </c>
      <c r="AN69" s="38">
        <f t="shared" si="55"/>
        <v>7600</v>
      </c>
      <c r="AO69" s="36">
        <f t="shared" si="56"/>
        <v>7601</v>
      </c>
      <c r="AP69" s="37">
        <f t="shared" si="57"/>
        <v>7602</v>
      </c>
      <c r="AQ69" s="37">
        <f t="shared" si="58"/>
        <v>7603</v>
      </c>
      <c r="AR69" s="37">
        <f t="shared" si="59"/>
        <v>7604</v>
      </c>
      <c r="AS69" s="37">
        <f t="shared" si="60"/>
        <v>7605</v>
      </c>
      <c r="AT69" s="37">
        <f t="shared" si="61"/>
        <v>7606</v>
      </c>
      <c r="AU69" s="37">
        <f t="shared" si="62"/>
        <v>7607</v>
      </c>
      <c r="AV69" s="37">
        <f t="shared" si="63"/>
        <v>7608</v>
      </c>
      <c r="AW69" s="37">
        <f t="shared" si="64"/>
        <v>7609</v>
      </c>
      <c r="AX69" s="38">
        <f t="shared" si="65"/>
        <v>7610</v>
      </c>
      <c r="AY69" s="36">
        <f t="shared" si="66"/>
        <v>7611</v>
      </c>
      <c r="AZ69" s="37">
        <f t="shared" si="67"/>
        <v>7612</v>
      </c>
      <c r="BA69" s="37">
        <f t="shared" si="68"/>
        <v>7613</v>
      </c>
      <c r="BB69" s="37">
        <f t="shared" si="69"/>
        <v>7614</v>
      </c>
      <c r="BC69" s="37">
        <f t="shared" si="70"/>
        <v>7615</v>
      </c>
      <c r="BD69" s="37">
        <f t="shared" si="71"/>
        <v>7616</v>
      </c>
      <c r="BE69" s="37">
        <f t="shared" si="72"/>
        <v>7617</v>
      </c>
      <c r="BF69" s="37">
        <f t="shared" si="73"/>
        <v>7618</v>
      </c>
      <c r="BG69" s="37">
        <f t="shared" si="74"/>
        <v>7619</v>
      </c>
      <c r="BH69" s="38">
        <f t="shared" si="75"/>
        <v>7620</v>
      </c>
      <c r="BI69" s="36">
        <f t="shared" si="76"/>
        <v>7621</v>
      </c>
      <c r="BJ69" s="37">
        <f t="shared" si="77"/>
        <v>7622</v>
      </c>
      <c r="BK69" s="37">
        <f t="shared" si="78"/>
        <v>7623</v>
      </c>
      <c r="BL69" s="37">
        <f t="shared" si="79"/>
        <v>7624</v>
      </c>
      <c r="BM69" s="37">
        <f t="shared" si="80"/>
        <v>7625</v>
      </c>
      <c r="BN69" s="37">
        <f t="shared" si="81"/>
        <v>7626</v>
      </c>
      <c r="BO69" s="37">
        <f t="shared" si="82"/>
        <v>7627</v>
      </c>
      <c r="BP69" s="37">
        <f t="shared" si="83"/>
        <v>7628</v>
      </c>
      <c r="BQ69" s="37">
        <f t="shared" si="84"/>
        <v>7629</v>
      </c>
      <c r="BR69" s="39">
        <f t="shared" si="85"/>
        <v>7630</v>
      </c>
      <c r="BS69" s="36">
        <f t="shared" si="86"/>
        <v>7631</v>
      </c>
      <c r="BT69" s="37">
        <f t="shared" si="87"/>
        <v>7632</v>
      </c>
      <c r="BU69" s="37">
        <f t="shared" si="88"/>
        <v>7633</v>
      </c>
      <c r="BV69" s="37">
        <f t="shared" si="89"/>
        <v>7634</v>
      </c>
      <c r="BW69" s="37">
        <f t="shared" si="90"/>
        <v>7635</v>
      </c>
      <c r="BX69" s="37">
        <f t="shared" si="91"/>
        <v>7636</v>
      </c>
      <c r="BY69" s="37">
        <f t="shared" si="92"/>
        <v>7637</v>
      </c>
      <c r="BZ69" s="37">
        <f t="shared" si="93"/>
        <v>7638</v>
      </c>
      <c r="CA69" s="37">
        <f t="shared" si="94"/>
        <v>7639</v>
      </c>
      <c r="CB69" s="38">
        <f t="shared" si="95"/>
        <v>7640</v>
      </c>
      <c r="CC69" s="40">
        <f t="shared" si="96"/>
        <v>7641</v>
      </c>
      <c r="CD69" s="37">
        <f t="shared" si="97"/>
        <v>7642</v>
      </c>
      <c r="CE69" s="37">
        <f t="shared" si="98"/>
        <v>7643</v>
      </c>
      <c r="CF69" s="37">
        <f t="shared" si="99"/>
        <v>7644</v>
      </c>
      <c r="CG69" s="37">
        <f t="shared" si="100"/>
        <v>7645</v>
      </c>
      <c r="CH69" s="37">
        <f t="shared" si="101"/>
        <v>7646</v>
      </c>
      <c r="CI69" s="37">
        <f t="shared" si="102"/>
        <v>7647</v>
      </c>
      <c r="CJ69" s="37">
        <f t="shared" si="103"/>
        <v>7648</v>
      </c>
      <c r="CK69" s="37">
        <f t="shared" si="104"/>
        <v>7649</v>
      </c>
      <c r="CL69" s="39">
        <f t="shared" si="105"/>
        <v>7650</v>
      </c>
      <c r="CM69" s="36">
        <f t="shared" si="106"/>
        <v>7651</v>
      </c>
      <c r="CN69" s="37">
        <f t="shared" si="107"/>
        <v>7652</v>
      </c>
      <c r="CO69" s="37">
        <f t="shared" si="108"/>
        <v>7653</v>
      </c>
      <c r="CP69" s="37">
        <f t="shared" si="109"/>
        <v>7654</v>
      </c>
      <c r="CQ69" s="37">
        <f t="shared" si="110"/>
        <v>7655</v>
      </c>
      <c r="CR69" s="37">
        <f t="shared" si="111"/>
        <v>7656</v>
      </c>
      <c r="CS69" s="37">
        <f t="shared" si="112"/>
        <v>7657</v>
      </c>
      <c r="CT69" s="37">
        <f t="shared" si="113"/>
        <v>7658</v>
      </c>
      <c r="CU69" s="37">
        <f t="shared" si="114"/>
        <v>7659</v>
      </c>
      <c r="CV69" s="38">
        <f t="shared" si="115"/>
        <v>7660</v>
      </c>
      <c r="CW69" s="40">
        <f t="shared" si="116"/>
        <v>7661</v>
      </c>
      <c r="CX69" s="37">
        <f t="shared" si="117"/>
        <v>7662</v>
      </c>
      <c r="CY69" s="37">
        <f t="shared" si="118"/>
        <v>7663</v>
      </c>
      <c r="CZ69" s="37">
        <f t="shared" si="119"/>
        <v>7664</v>
      </c>
      <c r="DA69" s="37">
        <f t="shared" si="120"/>
        <v>7665</v>
      </c>
      <c r="DB69" s="37">
        <f t="shared" si="121"/>
        <v>7666</v>
      </c>
      <c r="DC69" s="37">
        <f t="shared" si="122"/>
        <v>7667</v>
      </c>
      <c r="DD69" s="37">
        <f t="shared" si="123"/>
        <v>7668</v>
      </c>
      <c r="DE69" s="37">
        <f t="shared" si="124"/>
        <v>7669</v>
      </c>
      <c r="DF69" s="39">
        <f t="shared" si="125"/>
        <v>7670</v>
      </c>
      <c r="DG69" s="36">
        <f t="shared" si="126"/>
        <v>7671</v>
      </c>
      <c r="DH69" s="37">
        <f t="shared" si="127"/>
        <v>7672</v>
      </c>
      <c r="DI69" s="37">
        <f t="shared" si="128"/>
        <v>7673</v>
      </c>
      <c r="DJ69" s="37">
        <f t="shared" si="129"/>
        <v>7674</v>
      </c>
      <c r="DK69" s="37">
        <f t="shared" si="130"/>
        <v>7675</v>
      </c>
      <c r="DL69" s="37">
        <f t="shared" si="131"/>
        <v>7676</v>
      </c>
      <c r="DM69" s="37">
        <f t="shared" si="132"/>
        <v>7677</v>
      </c>
      <c r="DN69" s="37">
        <f t="shared" si="133"/>
        <v>7678</v>
      </c>
      <c r="DO69" s="37">
        <f t="shared" si="134"/>
        <v>7679</v>
      </c>
      <c r="DP69" s="38">
        <f t="shared" si="135"/>
        <v>7680</v>
      </c>
      <c r="DR69" s="1206"/>
      <c r="DS69" s="1207"/>
      <c r="DT69" s="1207"/>
      <c r="DU69" s="1208"/>
    </row>
    <row r="70" spans="1:125" ht="5.85" customHeight="1" x14ac:dyDescent="0.3">
      <c r="A70" s="36">
        <f t="shared" si="136"/>
        <v>7681</v>
      </c>
      <c r="B70" s="37">
        <f t="shared" si="17"/>
        <v>7682</v>
      </c>
      <c r="C70" s="37">
        <f t="shared" si="18"/>
        <v>7683</v>
      </c>
      <c r="D70" s="37">
        <f t="shared" si="19"/>
        <v>7684</v>
      </c>
      <c r="E70" s="37">
        <f t="shared" si="20"/>
        <v>7685</v>
      </c>
      <c r="F70" s="37">
        <f t="shared" si="21"/>
        <v>7686</v>
      </c>
      <c r="G70" s="37">
        <f t="shared" si="22"/>
        <v>7687</v>
      </c>
      <c r="H70" s="37">
        <f t="shared" si="23"/>
        <v>7688</v>
      </c>
      <c r="I70" s="37">
        <f t="shared" si="24"/>
        <v>7689</v>
      </c>
      <c r="J70" s="38">
        <f t="shared" si="25"/>
        <v>7690</v>
      </c>
      <c r="K70" s="36">
        <f t="shared" si="26"/>
        <v>7691</v>
      </c>
      <c r="L70" s="37">
        <f t="shared" si="27"/>
        <v>7692</v>
      </c>
      <c r="M70" s="37">
        <f t="shared" si="28"/>
        <v>7693</v>
      </c>
      <c r="N70" s="37">
        <f t="shared" si="29"/>
        <v>7694</v>
      </c>
      <c r="O70" s="37">
        <f t="shared" si="30"/>
        <v>7695</v>
      </c>
      <c r="P70" s="37">
        <f t="shared" si="31"/>
        <v>7696</v>
      </c>
      <c r="Q70" s="37">
        <f t="shared" si="32"/>
        <v>7697</v>
      </c>
      <c r="R70" s="37">
        <f t="shared" si="33"/>
        <v>7698</v>
      </c>
      <c r="S70" s="37">
        <f t="shared" si="34"/>
        <v>7699</v>
      </c>
      <c r="T70" s="38">
        <f t="shared" si="35"/>
        <v>7700</v>
      </c>
      <c r="U70" s="36">
        <f t="shared" si="36"/>
        <v>7701</v>
      </c>
      <c r="V70" s="37">
        <f t="shared" si="37"/>
        <v>7702</v>
      </c>
      <c r="W70" s="37">
        <f t="shared" si="38"/>
        <v>7703</v>
      </c>
      <c r="X70" s="37">
        <f t="shared" si="39"/>
        <v>7704</v>
      </c>
      <c r="Y70" s="37">
        <f t="shared" si="40"/>
        <v>7705</v>
      </c>
      <c r="Z70" s="37">
        <f t="shared" si="41"/>
        <v>7706</v>
      </c>
      <c r="AA70" s="37">
        <f t="shared" si="42"/>
        <v>7707</v>
      </c>
      <c r="AB70" s="37">
        <f t="shared" si="43"/>
        <v>7708</v>
      </c>
      <c r="AC70" s="37">
        <f t="shared" si="44"/>
        <v>7709</v>
      </c>
      <c r="AD70" s="38">
        <f t="shared" si="45"/>
        <v>7710</v>
      </c>
      <c r="AE70" s="36">
        <f t="shared" si="46"/>
        <v>7711</v>
      </c>
      <c r="AF70" s="37">
        <f t="shared" si="47"/>
        <v>7712</v>
      </c>
      <c r="AG70" s="37">
        <f t="shared" si="48"/>
        <v>7713</v>
      </c>
      <c r="AH70" s="37">
        <f t="shared" si="49"/>
        <v>7714</v>
      </c>
      <c r="AI70" s="37">
        <f t="shared" si="50"/>
        <v>7715</v>
      </c>
      <c r="AJ70" s="37">
        <f t="shared" si="51"/>
        <v>7716</v>
      </c>
      <c r="AK70" s="37">
        <f t="shared" si="52"/>
        <v>7717</v>
      </c>
      <c r="AL70" s="37">
        <f t="shared" si="53"/>
        <v>7718</v>
      </c>
      <c r="AM70" s="37">
        <f t="shared" si="54"/>
        <v>7719</v>
      </c>
      <c r="AN70" s="38">
        <f t="shared" si="55"/>
        <v>7720</v>
      </c>
      <c r="AO70" s="36">
        <f t="shared" si="56"/>
        <v>7721</v>
      </c>
      <c r="AP70" s="37">
        <f t="shared" si="57"/>
        <v>7722</v>
      </c>
      <c r="AQ70" s="37">
        <f t="shared" si="58"/>
        <v>7723</v>
      </c>
      <c r="AR70" s="37">
        <f t="shared" si="59"/>
        <v>7724</v>
      </c>
      <c r="AS70" s="37">
        <f t="shared" si="60"/>
        <v>7725</v>
      </c>
      <c r="AT70" s="37">
        <f t="shared" si="61"/>
        <v>7726</v>
      </c>
      <c r="AU70" s="37">
        <f t="shared" si="62"/>
        <v>7727</v>
      </c>
      <c r="AV70" s="37">
        <f t="shared" si="63"/>
        <v>7728</v>
      </c>
      <c r="AW70" s="37">
        <f t="shared" si="64"/>
        <v>7729</v>
      </c>
      <c r="AX70" s="38">
        <f t="shared" si="65"/>
        <v>7730</v>
      </c>
      <c r="AY70" s="36">
        <f t="shared" si="66"/>
        <v>7731</v>
      </c>
      <c r="AZ70" s="37">
        <f t="shared" si="67"/>
        <v>7732</v>
      </c>
      <c r="BA70" s="37">
        <f t="shared" si="68"/>
        <v>7733</v>
      </c>
      <c r="BB70" s="37">
        <f t="shared" si="69"/>
        <v>7734</v>
      </c>
      <c r="BC70" s="37">
        <f t="shared" si="70"/>
        <v>7735</v>
      </c>
      <c r="BD70" s="37">
        <f t="shared" si="71"/>
        <v>7736</v>
      </c>
      <c r="BE70" s="37">
        <f t="shared" si="72"/>
        <v>7737</v>
      </c>
      <c r="BF70" s="37">
        <f t="shared" si="73"/>
        <v>7738</v>
      </c>
      <c r="BG70" s="37">
        <f t="shared" si="74"/>
        <v>7739</v>
      </c>
      <c r="BH70" s="38">
        <f t="shared" si="75"/>
        <v>7740</v>
      </c>
      <c r="BI70" s="36">
        <f t="shared" si="76"/>
        <v>7741</v>
      </c>
      <c r="BJ70" s="37">
        <f t="shared" si="77"/>
        <v>7742</v>
      </c>
      <c r="BK70" s="37">
        <f t="shared" si="78"/>
        <v>7743</v>
      </c>
      <c r="BL70" s="37">
        <f t="shared" si="79"/>
        <v>7744</v>
      </c>
      <c r="BM70" s="37">
        <f t="shared" si="80"/>
        <v>7745</v>
      </c>
      <c r="BN70" s="37">
        <f t="shared" si="81"/>
        <v>7746</v>
      </c>
      <c r="BO70" s="37">
        <f t="shared" si="82"/>
        <v>7747</v>
      </c>
      <c r="BP70" s="37">
        <f t="shared" si="83"/>
        <v>7748</v>
      </c>
      <c r="BQ70" s="37">
        <f t="shared" si="84"/>
        <v>7749</v>
      </c>
      <c r="BR70" s="39">
        <f t="shared" si="85"/>
        <v>7750</v>
      </c>
      <c r="BS70" s="36">
        <f t="shared" si="86"/>
        <v>7751</v>
      </c>
      <c r="BT70" s="37">
        <f t="shared" si="87"/>
        <v>7752</v>
      </c>
      <c r="BU70" s="37">
        <f t="shared" si="88"/>
        <v>7753</v>
      </c>
      <c r="BV70" s="37">
        <f t="shared" si="89"/>
        <v>7754</v>
      </c>
      <c r="BW70" s="37">
        <f t="shared" si="90"/>
        <v>7755</v>
      </c>
      <c r="BX70" s="37">
        <f t="shared" si="91"/>
        <v>7756</v>
      </c>
      <c r="BY70" s="37">
        <f t="shared" si="92"/>
        <v>7757</v>
      </c>
      <c r="BZ70" s="37">
        <f t="shared" si="93"/>
        <v>7758</v>
      </c>
      <c r="CA70" s="37">
        <f t="shared" si="94"/>
        <v>7759</v>
      </c>
      <c r="CB70" s="38">
        <f t="shared" si="95"/>
        <v>7760</v>
      </c>
      <c r="CC70" s="40">
        <f t="shared" si="96"/>
        <v>7761</v>
      </c>
      <c r="CD70" s="37">
        <f t="shared" si="97"/>
        <v>7762</v>
      </c>
      <c r="CE70" s="37">
        <f t="shared" si="98"/>
        <v>7763</v>
      </c>
      <c r="CF70" s="37">
        <f t="shared" si="99"/>
        <v>7764</v>
      </c>
      <c r="CG70" s="37">
        <f t="shared" si="100"/>
        <v>7765</v>
      </c>
      <c r="CH70" s="37">
        <f t="shared" si="101"/>
        <v>7766</v>
      </c>
      <c r="CI70" s="37">
        <f t="shared" si="102"/>
        <v>7767</v>
      </c>
      <c r="CJ70" s="37">
        <f t="shared" si="103"/>
        <v>7768</v>
      </c>
      <c r="CK70" s="37">
        <f t="shared" si="104"/>
        <v>7769</v>
      </c>
      <c r="CL70" s="39">
        <f t="shared" si="105"/>
        <v>7770</v>
      </c>
      <c r="CM70" s="36">
        <f t="shared" si="106"/>
        <v>7771</v>
      </c>
      <c r="CN70" s="37">
        <f t="shared" si="107"/>
        <v>7772</v>
      </c>
      <c r="CO70" s="37">
        <f t="shared" si="108"/>
        <v>7773</v>
      </c>
      <c r="CP70" s="37">
        <f t="shared" si="109"/>
        <v>7774</v>
      </c>
      <c r="CQ70" s="37">
        <f t="shared" si="110"/>
        <v>7775</v>
      </c>
      <c r="CR70" s="37">
        <f t="shared" si="111"/>
        <v>7776</v>
      </c>
      <c r="CS70" s="37">
        <f t="shared" si="112"/>
        <v>7777</v>
      </c>
      <c r="CT70" s="37">
        <f t="shared" si="113"/>
        <v>7778</v>
      </c>
      <c r="CU70" s="37">
        <f t="shared" si="114"/>
        <v>7779</v>
      </c>
      <c r="CV70" s="38">
        <f t="shared" si="115"/>
        <v>7780</v>
      </c>
      <c r="CW70" s="40">
        <f t="shared" si="116"/>
        <v>7781</v>
      </c>
      <c r="CX70" s="37">
        <f t="shared" si="117"/>
        <v>7782</v>
      </c>
      <c r="CY70" s="37">
        <f t="shared" si="118"/>
        <v>7783</v>
      </c>
      <c r="CZ70" s="37">
        <f t="shared" si="119"/>
        <v>7784</v>
      </c>
      <c r="DA70" s="37">
        <f t="shared" si="120"/>
        <v>7785</v>
      </c>
      <c r="DB70" s="37">
        <f t="shared" si="121"/>
        <v>7786</v>
      </c>
      <c r="DC70" s="37">
        <f t="shared" si="122"/>
        <v>7787</v>
      </c>
      <c r="DD70" s="37">
        <f t="shared" si="123"/>
        <v>7788</v>
      </c>
      <c r="DE70" s="37">
        <f t="shared" si="124"/>
        <v>7789</v>
      </c>
      <c r="DF70" s="39">
        <f t="shared" si="125"/>
        <v>7790</v>
      </c>
      <c r="DG70" s="36">
        <f t="shared" si="126"/>
        <v>7791</v>
      </c>
      <c r="DH70" s="37">
        <f t="shared" si="127"/>
        <v>7792</v>
      </c>
      <c r="DI70" s="37">
        <f t="shared" si="128"/>
        <v>7793</v>
      </c>
      <c r="DJ70" s="37">
        <f t="shared" si="129"/>
        <v>7794</v>
      </c>
      <c r="DK70" s="37">
        <f t="shared" si="130"/>
        <v>7795</v>
      </c>
      <c r="DL70" s="37">
        <f t="shared" si="131"/>
        <v>7796</v>
      </c>
      <c r="DM70" s="37">
        <f t="shared" si="132"/>
        <v>7797</v>
      </c>
      <c r="DN70" s="37">
        <f t="shared" si="133"/>
        <v>7798</v>
      </c>
      <c r="DO70" s="37">
        <f t="shared" si="134"/>
        <v>7799</v>
      </c>
      <c r="DP70" s="38">
        <f t="shared" si="135"/>
        <v>7800</v>
      </c>
      <c r="DR70" s="1206">
        <v>100</v>
      </c>
      <c r="DS70" s="1207"/>
      <c r="DT70" s="1207"/>
      <c r="DU70" s="1208"/>
    </row>
    <row r="71" spans="1:125" ht="5.85" customHeight="1" x14ac:dyDescent="0.3">
      <c r="A71" s="36">
        <f t="shared" si="136"/>
        <v>7801</v>
      </c>
      <c r="B71" s="37">
        <f t="shared" si="17"/>
        <v>7802</v>
      </c>
      <c r="C71" s="37">
        <f t="shared" si="18"/>
        <v>7803</v>
      </c>
      <c r="D71" s="37">
        <f t="shared" si="19"/>
        <v>7804</v>
      </c>
      <c r="E71" s="37">
        <f t="shared" si="20"/>
        <v>7805</v>
      </c>
      <c r="F71" s="37">
        <f t="shared" si="21"/>
        <v>7806</v>
      </c>
      <c r="G71" s="37">
        <f t="shared" si="22"/>
        <v>7807</v>
      </c>
      <c r="H71" s="37">
        <f t="shared" si="23"/>
        <v>7808</v>
      </c>
      <c r="I71" s="37">
        <f t="shared" si="24"/>
        <v>7809</v>
      </c>
      <c r="J71" s="38">
        <f t="shared" si="25"/>
        <v>7810</v>
      </c>
      <c r="K71" s="36">
        <f t="shared" si="26"/>
        <v>7811</v>
      </c>
      <c r="L71" s="37">
        <f t="shared" si="27"/>
        <v>7812</v>
      </c>
      <c r="M71" s="37">
        <f t="shared" si="28"/>
        <v>7813</v>
      </c>
      <c r="N71" s="37">
        <f t="shared" si="29"/>
        <v>7814</v>
      </c>
      <c r="O71" s="37">
        <f t="shared" si="30"/>
        <v>7815</v>
      </c>
      <c r="P71" s="37">
        <f t="shared" si="31"/>
        <v>7816</v>
      </c>
      <c r="Q71" s="37">
        <f t="shared" si="32"/>
        <v>7817</v>
      </c>
      <c r="R71" s="37">
        <f t="shared" si="33"/>
        <v>7818</v>
      </c>
      <c r="S71" s="37">
        <f t="shared" si="34"/>
        <v>7819</v>
      </c>
      <c r="T71" s="38">
        <f t="shared" si="35"/>
        <v>7820</v>
      </c>
      <c r="U71" s="36">
        <f t="shared" si="36"/>
        <v>7821</v>
      </c>
      <c r="V71" s="37">
        <f t="shared" si="37"/>
        <v>7822</v>
      </c>
      <c r="W71" s="37">
        <f t="shared" si="38"/>
        <v>7823</v>
      </c>
      <c r="X71" s="37">
        <f t="shared" si="39"/>
        <v>7824</v>
      </c>
      <c r="Y71" s="37">
        <f t="shared" si="40"/>
        <v>7825</v>
      </c>
      <c r="Z71" s="37">
        <f t="shared" si="41"/>
        <v>7826</v>
      </c>
      <c r="AA71" s="37">
        <f t="shared" si="42"/>
        <v>7827</v>
      </c>
      <c r="AB71" s="37">
        <f t="shared" si="43"/>
        <v>7828</v>
      </c>
      <c r="AC71" s="37">
        <f t="shared" si="44"/>
        <v>7829</v>
      </c>
      <c r="AD71" s="38">
        <f t="shared" si="45"/>
        <v>7830</v>
      </c>
      <c r="AE71" s="36">
        <f t="shared" si="46"/>
        <v>7831</v>
      </c>
      <c r="AF71" s="37">
        <f t="shared" si="47"/>
        <v>7832</v>
      </c>
      <c r="AG71" s="37">
        <f t="shared" si="48"/>
        <v>7833</v>
      </c>
      <c r="AH71" s="37">
        <f t="shared" si="49"/>
        <v>7834</v>
      </c>
      <c r="AI71" s="37">
        <f t="shared" si="50"/>
        <v>7835</v>
      </c>
      <c r="AJ71" s="37">
        <f t="shared" si="51"/>
        <v>7836</v>
      </c>
      <c r="AK71" s="37">
        <f t="shared" si="52"/>
        <v>7837</v>
      </c>
      <c r="AL71" s="37">
        <f t="shared" si="53"/>
        <v>7838</v>
      </c>
      <c r="AM71" s="37">
        <f t="shared" si="54"/>
        <v>7839</v>
      </c>
      <c r="AN71" s="38">
        <f t="shared" si="55"/>
        <v>7840</v>
      </c>
      <c r="AO71" s="36">
        <f t="shared" si="56"/>
        <v>7841</v>
      </c>
      <c r="AP71" s="37">
        <f t="shared" si="57"/>
        <v>7842</v>
      </c>
      <c r="AQ71" s="37">
        <f t="shared" si="58"/>
        <v>7843</v>
      </c>
      <c r="AR71" s="37">
        <f t="shared" si="59"/>
        <v>7844</v>
      </c>
      <c r="AS71" s="37">
        <f t="shared" si="60"/>
        <v>7845</v>
      </c>
      <c r="AT71" s="37">
        <f t="shared" si="61"/>
        <v>7846</v>
      </c>
      <c r="AU71" s="37">
        <f t="shared" si="62"/>
        <v>7847</v>
      </c>
      <c r="AV71" s="37">
        <f t="shared" si="63"/>
        <v>7848</v>
      </c>
      <c r="AW71" s="37">
        <f t="shared" si="64"/>
        <v>7849</v>
      </c>
      <c r="AX71" s="38">
        <f t="shared" si="65"/>
        <v>7850</v>
      </c>
      <c r="AY71" s="36">
        <f t="shared" si="66"/>
        <v>7851</v>
      </c>
      <c r="AZ71" s="37">
        <f t="shared" si="67"/>
        <v>7852</v>
      </c>
      <c r="BA71" s="37">
        <f t="shared" si="68"/>
        <v>7853</v>
      </c>
      <c r="BB71" s="37">
        <f t="shared" si="69"/>
        <v>7854</v>
      </c>
      <c r="BC71" s="37">
        <f t="shared" si="70"/>
        <v>7855</v>
      </c>
      <c r="BD71" s="37">
        <f t="shared" si="71"/>
        <v>7856</v>
      </c>
      <c r="BE71" s="37">
        <f t="shared" si="72"/>
        <v>7857</v>
      </c>
      <c r="BF71" s="37">
        <f t="shared" si="73"/>
        <v>7858</v>
      </c>
      <c r="BG71" s="37">
        <f t="shared" si="74"/>
        <v>7859</v>
      </c>
      <c r="BH71" s="38">
        <f t="shared" si="75"/>
        <v>7860</v>
      </c>
      <c r="BI71" s="36">
        <f t="shared" si="76"/>
        <v>7861</v>
      </c>
      <c r="BJ71" s="37">
        <f t="shared" si="77"/>
        <v>7862</v>
      </c>
      <c r="BK71" s="37">
        <f t="shared" si="78"/>
        <v>7863</v>
      </c>
      <c r="BL71" s="37">
        <f t="shared" si="79"/>
        <v>7864</v>
      </c>
      <c r="BM71" s="37">
        <f t="shared" si="80"/>
        <v>7865</v>
      </c>
      <c r="BN71" s="37">
        <f t="shared" si="81"/>
        <v>7866</v>
      </c>
      <c r="BO71" s="37">
        <f t="shared" si="82"/>
        <v>7867</v>
      </c>
      <c r="BP71" s="37">
        <f t="shared" si="83"/>
        <v>7868</v>
      </c>
      <c r="BQ71" s="37">
        <f t="shared" si="84"/>
        <v>7869</v>
      </c>
      <c r="BR71" s="39">
        <f t="shared" si="85"/>
        <v>7870</v>
      </c>
      <c r="BS71" s="36">
        <f t="shared" si="86"/>
        <v>7871</v>
      </c>
      <c r="BT71" s="37">
        <f t="shared" si="87"/>
        <v>7872</v>
      </c>
      <c r="BU71" s="37">
        <f t="shared" si="88"/>
        <v>7873</v>
      </c>
      <c r="BV71" s="37">
        <f t="shared" si="89"/>
        <v>7874</v>
      </c>
      <c r="BW71" s="37">
        <f t="shared" si="90"/>
        <v>7875</v>
      </c>
      <c r="BX71" s="37">
        <f t="shared" si="91"/>
        <v>7876</v>
      </c>
      <c r="BY71" s="37">
        <f t="shared" si="92"/>
        <v>7877</v>
      </c>
      <c r="BZ71" s="37">
        <f t="shared" si="93"/>
        <v>7878</v>
      </c>
      <c r="CA71" s="37">
        <f t="shared" si="94"/>
        <v>7879</v>
      </c>
      <c r="CB71" s="38">
        <f t="shared" si="95"/>
        <v>7880</v>
      </c>
      <c r="CC71" s="40">
        <f t="shared" si="96"/>
        <v>7881</v>
      </c>
      <c r="CD71" s="37">
        <f t="shared" si="97"/>
        <v>7882</v>
      </c>
      <c r="CE71" s="37">
        <f t="shared" si="98"/>
        <v>7883</v>
      </c>
      <c r="CF71" s="37">
        <f t="shared" si="99"/>
        <v>7884</v>
      </c>
      <c r="CG71" s="37">
        <f t="shared" si="100"/>
        <v>7885</v>
      </c>
      <c r="CH71" s="37">
        <f t="shared" si="101"/>
        <v>7886</v>
      </c>
      <c r="CI71" s="37">
        <f t="shared" si="102"/>
        <v>7887</v>
      </c>
      <c r="CJ71" s="37">
        <f t="shared" si="103"/>
        <v>7888</v>
      </c>
      <c r="CK71" s="37">
        <f t="shared" si="104"/>
        <v>7889</v>
      </c>
      <c r="CL71" s="39">
        <f t="shared" si="105"/>
        <v>7890</v>
      </c>
      <c r="CM71" s="36">
        <f t="shared" si="106"/>
        <v>7891</v>
      </c>
      <c r="CN71" s="37">
        <f t="shared" si="107"/>
        <v>7892</v>
      </c>
      <c r="CO71" s="37">
        <f t="shared" si="108"/>
        <v>7893</v>
      </c>
      <c r="CP71" s="37">
        <f t="shared" si="109"/>
        <v>7894</v>
      </c>
      <c r="CQ71" s="37">
        <f t="shared" si="110"/>
        <v>7895</v>
      </c>
      <c r="CR71" s="37">
        <f t="shared" si="111"/>
        <v>7896</v>
      </c>
      <c r="CS71" s="37">
        <f t="shared" si="112"/>
        <v>7897</v>
      </c>
      <c r="CT71" s="37">
        <f t="shared" si="113"/>
        <v>7898</v>
      </c>
      <c r="CU71" s="37">
        <f t="shared" si="114"/>
        <v>7899</v>
      </c>
      <c r="CV71" s="38">
        <f t="shared" si="115"/>
        <v>7900</v>
      </c>
      <c r="CW71" s="40">
        <f t="shared" si="116"/>
        <v>7901</v>
      </c>
      <c r="CX71" s="37">
        <f t="shared" si="117"/>
        <v>7902</v>
      </c>
      <c r="CY71" s="37">
        <f t="shared" si="118"/>
        <v>7903</v>
      </c>
      <c r="CZ71" s="37">
        <f t="shared" si="119"/>
        <v>7904</v>
      </c>
      <c r="DA71" s="37">
        <f t="shared" si="120"/>
        <v>7905</v>
      </c>
      <c r="DB71" s="37">
        <f t="shared" si="121"/>
        <v>7906</v>
      </c>
      <c r="DC71" s="37">
        <f t="shared" si="122"/>
        <v>7907</v>
      </c>
      <c r="DD71" s="37">
        <f t="shared" si="123"/>
        <v>7908</v>
      </c>
      <c r="DE71" s="37">
        <f t="shared" si="124"/>
        <v>7909</v>
      </c>
      <c r="DF71" s="39">
        <f t="shared" si="125"/>
        <v>7910</v>
      </c>
      <c r="DG71" s="36">
        <f t="shared" si="126"/>
        <v>7911</v>
      </c>
      <c r="DH71" s="37">
        <f t="shared" si="127"/>
        <v>7912</v>
      </c>
      <c r="DI71" s="37">
        <f t="shared" si="128"/>
        <v>7913</v>
      </c>
      <c r="DJ71" s="37">
        <f t="shared" si="129"/>
        <v>7914</v>
      </c>
      <c r="DK71" s="37">
        <f t="shared" si="130"/>
        <v>7915</v>
      </c>
      <c r="DL71" s="37">
        <f t="shared" si="131"/>
        <v>7916</v>
      </c>
      <c r="DM71" s="37">
        <f t="shared" si="132"/>
        <v>7917</v>
      </c>
      <c r="DN71" s="37">
        <f t="shared" si="133"/>
        <v>7918</v>
      </c>
      <c r="DO71" s="37">
        <f t="shared" si="134"/>
        <v>7919</v>
      </c>
      <c r="DP71" s="38">
        <f t="shared" si="135"/>
        <v>7920</v>
      </c>
      <c r="DR71" s="1206"/>
      <c r="DS71" s="1207"/>
      <c r="DT71" s="1207"/>
      <c r="DU71" s="1208"/>
    </row>
    <row r="72" spans="1:125" ht="5.85" customHeight="1" x14ac:dyDescent="0.3">
      <c r="A72" s="36">
        <f t="shared" si="136"/>
        <v>7921</v>
      </c>
      <c r="B72" s="37">
        <f t="shared" si="17"/>
        <v>7922</v>
      </c>
      <c r="C72" s="37">
        <f t="shared" si="18"/>
        <v>7923</v>
      </c>
      <c r="D72" s="37">
        <f t="shared" si="19"/>
        <v>7924</v>
      </c>
      <c r="E72" s="37">
        <f t="shared" si="20"/>
        <v>7925</v>
      </c>
      <c r="F72" s="37">
        <f t="shared" si="21"/>
        <v>7926</v>
      </c>
      <c r="G72" s="37">
        <f t="shared" si="22"/>
        <v>7927</v>
      </c>
      <c r="H72" s="37">
        <f t="shared" si="23"/>
        <v>7928</v>
      </c>
      <c r="I72" s="37">
        <f t="shared" si="24"/>
        <v>7929</v>
      </c>
      <c r="J72" s="38">
        <f t="shared" si="25"/>
        <v>7930</v>
      </c>
      <c r="K72" s="36">
        <f t="shared" si="26"/>
        <v>7931</v>
      </c>
      <c r="L72" s="37">
        <f t="shared" si="27"/>
        <v>7932</v>
      </c>
      <c r="M72" s="37">
        <f t="shared" si="28"/>
        <v>7933</v>
      </c>
      <c r="N72" s="37">
        <f t="shared" si="29"/>
        <v>7934</v>
      </c>
      <c r="O72" s="37">
        <f t="shared" si="30"/>
        <v>7935</v>
      </c>
      <c r="P72" s="37">
        <f t="shared" si="31"/>
        <v>7936</v>
      </c>
      <c r="Q72" s="37">
        <f t="shared" si="32"/>
        <v>7937</v>
      </c>
      <c r="R72" s="37">
        <f t="shared" si="33"/>
        <v>7938</v>
      </c>
      <c r="S72" s="37">
        <f t="shared" si="34"/>
        <v>7939</v>
      </c>
      <c r="T72" s="38">
        <f t="shared" si="35"/>
        <v>7940</v>
      </c>
      <c r="U72" s="36">
        <f t="shared" si="36"/>
        <v>7941</v>
      </c>
      <c r="V72" s="37">
        <f t="shared" si="37"/>
        <v>7942</v>
      </c>
      <c r="W72" s="37">
        <f t="shared" si="38"/>
        <v>7943</v>
      </c>
      <c r="X72" s="37">
        <f t="shared" si="39"/>
        <v>7944</v>
      </c>
      <c r="Y72" s="37">
        <f t="shared" si="40"/>
        <v>7945</v>
      </c>
      <c r="Z72" s="37">
        <f t="shared" si="41"/>
        <v>7946</v>
      </c>
      <c r="AA72" s="37">
        <f t="shared" si="42"/>
        <v>7947</v>
      </c>
      <c r="AB72" s="37">
        <f t="shared" si="43"/>
        <v>7948</v>
      </c>
      <c r="AC72" s="37">
        <f t="shared" si="44"/>
        <v>7949</v>
      </c>
      <c r="AD72" s="38">
        <f t="shared" si="45"/>
        <v>7950</v>
      </c>
      <c r="AE72" s="36">
        <f t="shared" si="46"/>
        <v>7951</v>
      </c>
      <c r="AF72" s="37">
        <f t="shared" si="47"/>
        <v>7952</v>
      </c>
      <c r="AG72" s="37">
        <f t="shared" si="48"/>
        <v>7953</v>
      </c>
      <c r="AH72" s="37">
        <f t="shared" si="49"/>
        <v>7954</v>
      </c>
      <c r="AI72" s="37">
        <f t="shared" si="50"/>
        <v>7955</v>
      </c>
      <c r="AJ72" s="37">
        <f t="shared" si="51"/>
        <v>7956</v>
      </c>
      <c r="AK72" s="37">
        <f t="shared" si="52"/>
        <v>7957</v>
      </c>
      <c r="AL72" s="37">
        <f t="shared" si="53"/>
        <v>7958</v>
      </c>
      <c r="AM72" s="37">
        <f t="shared" si="54"/>
        <v>7959</v>
      </c>
      <c r="AN72" s="38">
        <f t="shared" si="55"/>
        <v>7960</v>
      </c>
      <c r="AO72" s="36">
        <f t="shared" si="56"/>
        <v>7961</v>
      </c>
      <c r="AP72" s="37">
        <f t="shared" si="57"/>
        <v>7962</v>
      </c>
      <c r="AQ72" s="37">
        <f t="shared" si="58"/>
        <v>7963</v>
      </c>
      <c r="AR72" s="37">
        <f t="shared" si="59"/>
        <v>7964</v>
      </c>
      <c r="AS72" s="37">
        <f t="shared" si="60"/>
        <v>7965</v>
      </c>
      <c r="AT72" s="37">
        <f t="shared" si="61"/>
        <v>7966</v>
      </c>
      <c r="AU72" s="37">
        <f t="shared" si="62"/>
        <v>7967</v>
      </c>
      <c r="AV72" s="37">
        <f t="shared" si="63"/>
        <v>7968</v>
      </c>
      <c r="AW72" s="37">
        <f t="shared" si="64"/>
        <v>7969</v>
      </c>
      <c r="AX72" s="38">
        <f t="shared" si="65"/>
        <v>7970</v>
      </c>
      <c r="AY72" s="36">
        <f t="shared" si="66"/>
        <v>7971</v>
      </c>
      <c r="AZ72" s="37">
        <f t="shared" si="67"/>
        <v>7972</v>
      </c>
      <c r="BA72" s="37">
        <f t="shared" si="68"/>
        <v>7973</v>
      </c>
      <c r="BB72" s="37">
        <f t="shared" si="69"/>
        <v>7974</v>
      </c>
      <c r="BC72" s="37">
        <f t="shared" si="70"/>
        <v>7975</v>
      </c>
      <c r="BD72" s="37">
        <f t="shared" si="71"/>
        <v>7976</v>
      </c>
      <c r="BE72" s="37">
        <f t="shared" si="72"/>
        <v>7977</v>
      </c>
      <c r="BF72" s="37">
        <f t="shared" si="73"/>
        <v>7978</v>
      </c>
      <c r="BG72" s="37">
        <f t="shared" si="74"/>
        <v>7979</v>
      </c>
      <c r="BH72" s="38">
        <f t="shared" si="75"/>
        <v>7980</v>
      </c>
      <c r="BI72" s="36">
        <f t="shared" si="76"/>
        <v>7981</v>
      </c>
      <c r="BJ72" s="37">
        <f t="shared" si="77"/>
        <v>7982</v>
      </c>
      <c r="BK72" s="37">
        <f t="shared" si="78"/>
        <v>7983</v>
      </c>
      <c r="BL72" s="37">
        <f t="shared" si="79"/>
        <v>7984</v>
      </c>
      <c r="BM72" s="37">
        <f t="shared" si="80"/>
        <v>7985</v>
      </c>
      <c r="BN72" s="37">
        <f t="shared" si="81"/>
        <v>7986</v>
      </c>
      <c r="BO72" s="37">
        <f t="shared" si="82"/>
        <v>7987</v>
      </c>
      <c r="BP72" s="37">
        <f t="shared" si="83"/>
        <v>7988</v>
      </c>
      <c r="BQ72" s="37">
        <f t="shared" si="84"/>
        <v>7989</v>
      </c>
      <c r="BR72" s="39">
        <f t="shared" si="85"/>
        <v>7990</v>
      </c>
      <c r="BS72" s="36">
        <f t="shared" si="86"/>
        <v>7991</v>
      </c>
      <c r="BT72" s="37">
        <f t="shared" si="87"/>
        <v>7992</v>
      </c>
      <c r="BU72" s="37">
        <f t="shared" si="88"/>
        <v>7993</v>
      </c>
      <c r="BV72" s="37">
        <f t="shared" si="89"/>
        <v>7994</v>
      </c>
      <c r="BW72" s="37">
        <f t="shared" si="90"/>
        <v>7995</v>
      </c>
      <c r="BX72" s="37">
        <f t="shared" si="91"/>
        <v>7996</v>
      </c>
      <c r="BY72" s="37">
        <f t="shared" si="92"/>
        <v>7997</v>
      </c>
      <c r="BZ72" s="37">
        <f t="shared" si="93"/>
        <v>7998</v>
      </c>
      <c r="CA72" s="37">
        <f t="shared" si="94"/>
        <v>7999</v>
      </c>
      <c r="CB72" s="38">
        <f t="shared" si="95"/>
        <v>8000</v>
      </c>
      <c r="CC72" s="40">
        <f t="shared" si="96"/>
        <v>8001</v>
      </c>
      <c r="CD72" s="37">
        <f t="shared" si="97"/>
        <v>8002</v>
      </c>
      <c r="CE72" s="37">
        <f t="shared" si="98"/>
        <v>8003</v>
      </c>
      <c r="CF72" s="37">
        <f t="shared" si="99"/>
        <v>8004</v>
      </c>
      <c r="CG72" s="37">
        <f t="shared" si="100"/>
        <v>8005</v>
      </c>
      <c r="CH72" s="37">
        <f t="shared" si="101"/>
        <v>8006</v>
      </c>
      <c r="CI72" s="37">
        <f t="shared" si="102"/>
        <v>8007</v>
      </c>
      <c r="CJ72" s="37">
        <f t="shared" si="103"/>
        <v>8008</v>
      </c>
      <c r="CK72" s="37">
        <f t="shared" si="104"/>
        <v>8009</v>
      </c>
      <c r="CL72" s="39">
        <f t="shared" si="105"/>
        <v>8010</v>
      </c>
      <c r="CM72" s="36">
        <f t="shared" si="106"/>
        <v>8011</v>
      </c>
      <c r="CN72" s="37">
        <f t="shared" si="107"/>
        <v>8012</v>
      </c>
      <c r="CO72" s="37">
        <f t="shared" si="108"/>
        <v>8013</v>
      </c>
      <c r="CP72" s="37">
        <f t="shared" si="109"/>
        <v>8014</v>
      </c>
      <c r="CQ72" s="37">
        <f t="shared" si="110"/>
        <v>8015</v>
      </c>
      <c r="CR72" s="37">
        <f t="shared" si="111"/>
        <v>8016</v>
      </c>
      <c r="CS72" s="37">
        <f t="shared" si="112"/>
        <v>8017</v>
      </c>
      <c r="CT72" s="37">
        <f t="shared" si="113"/>
        <v>8018</v>
      </c>
      <c r="CU72" s="37">
        <f t="shared" si="114"/>
        <v>8019</v>
      </c>
      <c r="CV72" s="38">
        <f t="shared" si="115"/>
        <v>8020</v>
      </c>
      <c r="CW72" s="40">
        <f t="shared" si="116"/>
        <v>8021</v>
      </c>
      <c r="CX72" s="37">
        <f t="shared" si="117"/>
        <v>8022</v>
      </c>
      <c r="CY72" s="37">
        <f t="shared" si="118"/>
        <v>8023</v>
      </c>
      <c r="CZ72" s="37">
        <f t="shared" si="119"/>
        <v>8024</v>
      </c>
      <c r="DA72" s="37">
        <f t="shared" si="120"/>
        <v>8025</v>
      </c>
      <c r="DB72" s="37">
        <f t="shared" si="121"/>
        <v>8026</v>
      </c>
      <c r="DC72" s="37">
        <f t="shared" si="122"/>
        <v>8027</v>
      </c>
      <c r="DD72" s="37">
        <f t="shared" si="123"/>
        <v>8028</v>
      </c>
      <c r="DE72" s="37">
        <f t="shared" si="124"/>
        <v>8029</v>
      </c>
      <c r="DF72" s="39">
        <f t="shared" si="125"/>
        <v>8030</v>
      </c>
      <c r="DG72" s="36">
        <f t="shared" si="126"/>
        <v>8031</v>
      </c>
      <c r="DH72" s="37">
        <f t="shared" si="127"/>
        <v>8032</v>
      </c>
      <c r="DI72" s="37">
        <f t="shared" si="128"/>
        <v>8033</v>
      </c>
      <c r="DJ72" s="37">
        <f t="shared" si="129"/>
        <v>8034</v>
      </c>
      <c r="DK72" s="37">
        <f t="shared" si="130"/>
        <v>8035</v>
      </c>
      <c r="DL72" s="37">
        <f t="shared" si="131"/>
        <v>8036</v>
      </c>
      <c r="DM72" s="37">
        <f t="shared" si="132"/>
        <v>8037</v>
      </c>
      <c r="DN72" s="37">
        <f t="shared" si="133"/>
        <v>8038</v>
      </c>
      <c r="DO72" s="37">
        <f t="shared" si="134"/>
        <v>8039</v>
      </c>
      <c r="DP72" s="38">
        <f t="shared" si="135"/>
        <v>8040</v>
      </c>
      <c r="DR72" s="1206"/>
      <c r="DS72" s="1207"/>
      <c r="DT72" s="1207"/>
      <c r="DU72" s="1208"/>
    </row>
    <row r="73" spans="1:125" ht="5.85" customHeight="1" x14ac:dyDescent="0.3">
      <c r="A73" s="36">
        <f t="shared" si="136"/>
        <v>8041</v>
      </c>
      <c r="B73" s="37">
        <f t="shared" si="17"/>
        <v>8042</v>
      </c>
      <c r="C73" s="37">
        <f t="shared" si="18"/>
        <v>8043</v>
      </c>
      <c r="D73" s="37">
        <f t="shared" si="19"/>
        <v>8044</v>
      </c>
      <c r="E73" s="37">
        <f t="shared" si="20"/>
        <v>8045</v>
      </c>
      <c r="F73" s="37">
        <f t="shared" si="21"/>
        <v>8046</v>
      </c>
      <c r="G73" s="37">
        <f t="shared" si="22"/>
        <v>8047</v>
      </c>
      <c r="H73" s="37">
        <f t="shared" si="23"/>
        <v>8048</v>
      </c>
      <c r="I73" s="37">
        <f t="shared" si="24"/>
        <v>8049</v>
      </c>
      <c r="J73" s="38">
        <f t="shared" si="25"/>
        <v>8050</v>
      </c>
      <c r="K73" s="36">
        <f t="shared" si="26"/>
        <v>8051</v>
      </c>
      <c r="L73" s="37">
        <f t="shared" si="27"/>
        <v>8052</v>
      </c>
      <c r="M73" s="37">
        <f t="shared" si="28"/>
        <v>8053</v>
      </c>
      <c r="N73" s="37">
        <f t="shared" si="29"/>
        <v>8054</v>
      </c>
      <c r="O73" s="37">
        <f t="shared" si="30"/>
        <v>8055</v>
      </c>
      <c r="P73" s="37">
        <f t="shared" si="31"/>
        <v>8056</v>
      </c>
      <c r="Q73" s="37">
        <f t="shared" si="32"/>
        <v>8057</v>
      </c>
      <c r="R73" s="37">
        <f t="shared" si="33"/>
        <v>8058</v>
      </c>
      <c r="S73" s="37">
        <f t="shared" si="34"/>
        <v>8059</v>
      </c>
      <c r="T73" s="38">
        <f t="shared" si="35"/>
        <v>8060</v>
      </c>
      <c r="U73" s="36">
        <f t="shared" si="36"/>
        <v>8061</v>
      </c>
      <c r="V73" s="37">
        <f t="shared" si="37"/>
        <v>8062</v>
      </c>
      <c r="W73" s="37">
        <f t="shared" si="38"/>
        <v>8063</v>
      </c>
      <c r="X73" s="37">
        <f t="shared" si="39"/>
        <v>8064</v>
      </c>
      <c r="Y73" s="37">
        <f t="shared" si="40"/>
        <v>8065</v>
      </c>
      <c r="Z73" s="37">
        <f t="shared" si="41"/>
        <v>8066</v>
      </c>
      <c r="AA73" s="37">
        <f t="shared" si="42"/>
        <v>8067</v>
      </c>
      <c r="AB73" s="37">
        <f t="shared" si="43"/>
        <v>8068</v>
      </c>
      <c r="AC73" s="37">
        <f t="shared" si="44"/>
        <v>8069</v>
      </c>
      <c r="AD73" s="38">
        <f t="shared" si="45"/>
        <v>8070</v>
      </c>
      <c r="AE73" s="36">
        <f t="shared" si="46"/>
        <v>8071</v>
      </c>
      <c r="AF73" s="37">
        <f t="shared" si="47"/>
        <v>8072</v>
      </c>
      <c r="AG73" s="37">
        <f t="shared" si="48"/>
        <v>8073</v>
      </c>
      <c r="AH73" s="37">
        <f t="shared" si="49"/>
        <v>8074</v>
      </c>
      <c r="AI73" s="37">
        <f t="shared" si="50"/>
        <v>8075</v>
      </c>
      <c r="AJ73" s="37">
        <f t="shared" si="51"/>
        <v>8076</v>
      </c>
      <c r="AK73" s="37">
        <f t="shared" si="52"/>
        <v>8077</v>
      </c>
      <c r="AL73" s="37">
        <f t="shared" si="53"/>
        <v>8078</v>
      </c>
      <c r="AM73" s="37">
        <f t="shared" si="54"/>
        <v>8079</v>
      </c>
      <c r="AN73" s="38">
        <f t="shared" si="55"/>
        <v>8080</v>
      </c>
      <c r="AO73" s="36">
        <f t="shared" si="56"/>
        <v>8081</v>
      </c>
      <c r="AP73" s="37">
        <f t="shared" si="57"/>
        <v>8082</v>
      </c>
      <c r="AQ73" s="37">
        <f t="shared" si="58"/>
        <v>8083</v>
      </c>
      <c r="AR73" s="37">
        <f t="shared" si="59"/>
        <v>8084</v>
      </c>
      <c r="AS73" s="37">
        <f t="shared" si="60"/>
        <v>8085</v>
      </c>
      <c r="AT73" s="37">
        <f t="shared" si="61"/>
        <v>8086</v>
      </c>
      <c r="AU73" s="37">
        <f t="shared" si="62"/>
        <v>8087</v>
      </c>
      <c r="AV73" s="37">
        <f t="shared" si="63"/>
        <v>8088</v>
      </c>
      <c r="AW73" s="37">
        <f t="shared" si="64"/>
        <v>8089</v>
      </c>
      <c r="AX73" s="38">
        <f t="shared" si="65"/>
        <v>8090</v>
      </c>
      <c r="AY73" s="36">
        <f t="shared" si="66"/>
        <v>8091</v>
      </c>
      <c r="AZ73" s="37">
        <f t="shared" si="67"/>
        <v>8092</v>
      </c>
      <c r="BA73" s="37">
        <f t="shared" si="68"/>
        <v>8093</v>
      </c>
      <c r="BB73" s="37">
        <f t="shared" si="69"/>
        <v>8094</v>
      </c>
      <c r="BC73" s="37">
        <f t="shared" si="70"/>
        <v>8095</v>
      </c>
      <c r="BD73" s="37">
        <f t="shared" si="71"/>
        <v>8096</v>
      </c>
      <c r="BE73" s="37">
        <f t="shared" si="72"/>
        <v>8097</v>
      </c>
      <c r="BF73" s="37">
        <f t="shared" si="73"/>
        <v>8098</v>
      </c>
      <c r="BG73" s="37">
        <f t="shared" si="74"/>
        <v>8099</v>
      </c>
      <c r="BH73" s="38">
        <f t="shared" si="75"/>
        <v>8100</v>
      </c>
      <c r="BI73" s="36">
        <f t="shared" si="76"/>
        <v>8101</v>
      </c>
      <c r="BJ73" s="37">
        <f t="shared" si="77"/>
        <v>8102</v>
      </c>
      <c r="BK73" s="37">
        <f t="shared" si="78"/>
        <v>8103</v>
      </c>
      <c r="BL73" s="37">
        <f t="shared" si="79"/>
        <v>8104</v>
      </c>
      <c r="BM73" s="37">
        <f t="shared" si="80"/>
        <v>8105</v>
      </c>
      <c r="BN73" s="37">
        <f t="shared" si="81"/>
        <v>8106</v>
      </c>
      <c r="BO73" s="37">
        <f t="shared" si="82"/>
        <v>8107</v>
      </c>
      <c r="BP73" s="37">
        <f t="shared" si="83"/>
        <v>8108</v>
      </c>
      <c r="BQ73" s="37">
        <f t="shared" si="84"/>
        <v>8109</v>
      </c>
      <c r="BR73" s="39">
        <f t="shared" si="85"/>
        <v>8110</v>
      </c>
      <c r="BS73" s="36">
        <f t="shared" si="86"/>
        <v>8111</v>
      </c>
      <c r="BT73" s="37">
        <f t="shared" si="87"/>
        <v>8112</v>
      </c>
      <c r="BU73" s="37">
        <f t="shared" si="88"/>
        <v>8113</v>
      </c>
      <c r="BV73" s="37">
        <f t="shared" si="89"/>
        <v>8114</v>
      </c>
      <c r="BW73" s="37">
        <f t="shared" si="90"/>
        <v>8115</v>
      </c>
      <c r="BX73" s="37">
        <f t="shared" si="91"/>
        <v>8116</v>
      </c>
      <c r="BY73" s="37">
        <f t="shared" si="92"/>
        <v>8117</v>
      </c>
      <c r="BZ73" s="37">
        <f t="shared" si="93"/>
        <v>8118</v>
      </c>
      <c r="CA73" s="37">
        <f t="shared" si="94"/>
        <v>8119</v>
      </c>
      <c r="CB73" s="38">
        <f t="shared" si="95"/>
        <v>8120</v>
      </c>
      <c r="CC73" s="40">
        <f t="shared" si="96"/>
        <v>8121</v>
      </c>
      <c r="CD73" s="37">
        <f t="shared" si="97"/>
        <v>8122</v>
      </c>
      <c r="CE73" s="37">
        <f t="shared" si="98"/>
        <v>8123</v>
      </c>
      <c r="CF73" s="37">
        <f t="shared" si="99"/>
        <v>8124</v>
      </c>
      <c r="CG73" s="37">
        <f t="shared" si="100"/>
        <v>8125</v>
      </c>
      <c r="CH73" s="37">
        <f t="shared" si="101"/>
        <v>8126</v>
      </c>
      <c r="CI73" s="37">
        <f t="shared" si="102"/>
        <v>8127</v>
      </c>
      <c r="CJ73" s="37">
        <f t="shared" si="103"/>
        <v>8128</v>
      </c>
      <c r="CK73" s="37">
        <f t="shared" si="104"/>
        <v>8129</v>
      </c>
      <c r="CL73" s="39">
        <f t="shared" si="105"/>
        <v>8130</v>
      </c>
      <c r="CM73" s="36">
        <f t="shared" si="106"/>
        <v>8131</v>
      </c>
      <c r="CN73" s="37">
        <f t="shared" si="107"/>
        <v>8132</v>
      </c>
      <c r="CO73" s="37">
        <f t="shared" si="108"/>
        <v>8133</v>
      </c>
      <c r="CP73" s="37">
        <f t="shared" si="109"/>
        <v>8134</v>
      </c>
      <c r="CQ73" s="37">
        <f t="shared" si="110"/>
        <v>8135</v>
      </c>
      <c r="CR73" s="37">
        <f t="shared" si="111"/>
        <v>8136</v>
      </c>
      <c r="CS73" s="37">
        <f t="shared" si="112"/>
        <v>8137</v>
      </c>
      <c r="CT73" s="37">
        <f t="shared" si="113"/>
        <v>8138</v>
      </c>
      <c r="CU73" s="37">
        <f t="shared" si="114"/>
        <v>8139</v>
      </c>
      <c r="CV73" s="38">
        <f t="shared" si="115"/>
        <v>8140</v>
      </c>
      <c r="CW73" s="40">
        <f t="shared" si="116"/>
        <v>8141</v>
      </c>
      <c r="CX73" s="37">
        <f t="shared" si="117"/>
        <v>8142</v>
      </c>
      <c r="CY73" s="37">
        <f t="shared" si="118"/>
        <v>8143</v>
      </c>
      <c r="CZ73" s="37">
        <f t="shared" si="119"/>
        <v>8144</v>
      </c>
      <c r="DA73" s="37">
        <f t="shared" si="120"/>
        <v>8145</v>
      </c>
      <c r="DB73" s="37">
        <f t="shared" si="121"/>
        <v>8146</v>
      </c>
      <c r="DC73" s="37">
        <f t="shared" si="122"/>
        <v>8147</v>
      </c>
      <c r="DD73" s="37">
        <f t="shared" si="123"/>
        <v>8148</v>
      </c>
      <c r="DE73" s="37">
        <f t="shared" si="124"/>
        <v>8149</v>
      </c>
      <c r="DF73" s="39">
        <f t="shared" si="125"/>
        <v>8150</v>
      </c>
      <c r="DG73" s="36">
        <f t="shared" si="126"/>
        <v>8151</v>
      </c>
      <c r="DH73" s="37">
        <f t="shared" si="127"/>
        <v>8152</v>
      </c>
      <c r="DI73" s="37">
        <f t="shared" si="128"/>
        <v>8153</v>
      </c>
      <c r="DJ73" s="37">
        <f t="shared" si="129"/>
        <v>8154</v>
      </c>
      <c r="DK73" s="37">
        <f t="shared" si="130"/>
        <v>8155</v>
      </c>
      <c r="DL73" s="37">
        <f t="shared" si="131"/>
        <v>8156</v>
      </c>
      <c r="DM73" s="37">
        <f t="shared" si="132"/>
        <v>8157</v>
      </c>
      <c r="DN73" s="37">
        <f t="shared" si="133"/>
        <v>8158</v>
      </c>
      <c r="DO73" s="37">
        <f t="shared" si="134"/>
        <v>8159</v>
      </c>
      <c r="DP73" s="38">
        <f t="shared" si="135"/>
        <v>8160</v>
      </c>
      <c r="DR73" s="1206">
        <v>200</v>
      </c>
      <c r="DS73" s="1207"/>
      <c r="DT73" s="1207"/>
      <c r="DU73" s="1208"/>
    </row>
    <row r="74" spans="1:125" ht="5.85" customHeight="1" x14ac:dyDescent="0.3">
      <c r="A74" s="36">
        <f t="shared" si="136"/>
        <v>8161</v>
      </c>
      <c r="B74" s="37">
        <f t="shared" si="17"/>
        <v>8162</v>
      </c>
      <c r="C74" s="37">
        <f t="shared" si="18"/>
        <v>8163</v>
      </c>
      <c r="D74" s="37">
        <f t="shared" si="19"/>
        <v>8164</v>
      </c>
      <c r="E74" s="37">
        <f t="shared" si="20"/>
        <v>8165</v>
      </c>
      <c r="F74" s="37">
        <f t="shared" si="21"/>
        <v>8166</v>
      </c>
      <c r="G74" s="37">
        <f t="shared" si="22"/>
        <v>8167</v>
      </c>
      <c r="H74" s="37">
        <f t="shared" si="23"/>
        <v>8168</v>
      </c>
      <c r="I74" s="37">
        <f t="shared" si="24"/>
        <v>8169</v>
      </c>
      <c r="J74" s="38">
        <f t="shared" si="25"/>
        <v>8170</v>
      </c>
      <c r="K74" s="36">
        <f t="shared" si="26"/>
        <v>8171</v>
      </c>
      <c r="L74" s="37">
        <f t="shared" si="27"/>
        <v>8172</v>
      </c>
      <c r="M74" s="37">
        <f t="shared" si="28"/>
        <v>8173</v>
      </c>
      <c r="N74" s="37">
        <f t="shared" si="29"/>
        <v>8174</v>
      </c>
      <c r="O74" s="37">
        <f t="shared" si="30"/>
        <v>8175</v>
      </c>
      <c r="P74" s="37">
        <f t="shared" si="31"/>
        <v>8176</v>
      </c>
      <c r="Q74" s="37">
        <f t="shared" si="32"/>
        <v>8177</v>
      </c>
      <c r="R74" s="37">
        <f t="shared" si="33"/>
        <v>8178</v>
      </c>
      <c r="S74" s="37">
        <f t="shared" si="34"/>
        <v>8179</v>
      </c>
      <c r="T74" s="38">
        <f t="shared" si="35"/>
        <v>8180</v>
      </c>
      <c r="U74" s="36">
        <f t="shared" si="36"/>
        <v>8181</v>
      </c>
      <c r="V74" s="37">
        <f t="shared" si="37"/>
        <v>8182</v>
      </c>
      <c r="W74" s="37">
        <f t="shared" si="38"/>
        <v>8183</v>
      </c>
      <c r="X74" s="37">
        <f t="shared" si="39"/>
        <v>8184</v>
      </c>
      <c r="Y74" s="37">
        <f t="shared" si="40"/>
        <v>8185</v>
      </c>
      <c r="Z74" s="37">
        <f t="shared" si="41"/>
        <v>8186</v>
      </c>
      <c r="AA74" s="37">
        <f t="shared" si="42"/>
        <v>8187</v>
      </c>
      <c r="AB74" s="37">
        <f t="shared" si="43"/>
        <v>8188</v>
      </c>
      <c r="AC74" s="37">
        <f t="shared" si="44"/>
        <v>8189</v>
      </c>
      <c r="AD74" s="38">
        <f t="shared" si="45"/>
        <v>8190</v>
      </c>
      <c r="AE74" s="36">
        <f t="shared" si="46"/>
        <v>8191</v>
      </c>
      <c r="AF74" s="37">
        <f t="shared" si="47"/>
        <v>8192</v>
      </c>
      <c r="AG74" s="37">
        <f t="shared" si="48"/>
        <v>8193</v>
      </c>
      <c r="AH74" s="37">
        <f t="shared" si="49"/>
        <v>8194</v>
      </c>
      <c r="AI74" s="37">
        <f t="shared" si="50"/>
        <v>8195</v>
      </c>
      <c r="AJ74" s="37">
        <f t="shared" si="51"/>
        <v>8196</v>
      </c>
      <c r="AK74" s="37">
        <f t="shared" si="52"/>
        <v>8197</v>
      </c>
      <c r="AL74" s="37">
        <f t="shared" si="53"/>
        <v>8198</v>
      </c>
      <c r="AM74" s="37">
        <f t="shared" si="54"/>
        <v>8199</v>
      </c>
      <c r="AN74" s="38">
        <f t="shared" si="55"/>
        <v>8200</v>
      </c>
      <c r="AO74" s="36">
        <f t="shared" si="56"/>
        <v>8201</v>
      </c>
      <c r="AP74" s="37">
        <f t="shared" si="57"/>
        <v>8202</v>
      </c>
      <c r="AQ74" s="37">
        <f t="shared" si="58"/>
        <v>8203</v>
      </c>
      <c r="AR74" s="37">
        <f t="shared" si="59"/>
        <v>8204</v>
      </c>
      <c r="AS74" s="37">
        <f t="shared" si="60"/>
        <v>8205</v>
      </c>
      <c r="AT74" s="37">
        <f t="shared" si="61"/>
        <v>8206</v>
      </c>
      <c r="AU74" s="37">
        <f t="shared" si="62"/>
        <v>8207</v>
      </c>
      <c r="AV74" s="37">
        <f t="shared" si="63"/>
        <v>8208</v>
      </c>
      <c r="AW74" s="37">
        <f t="shared" si="64"/>
        <v>8209</v>
      </c>
      <c r="AX74" s="38">
        <f t="shared" si="65"/>
        <v>8210</v>
      </c>
      <c r="AY74" s="36">
        <f t="shared" si="66"/>
        <v>8211</v>
      </c>
      <c r="AZ74" s="37">
        <f t="shared" si="67"/>
        <v>8212</v>
      </c>
      <c r="BA74" s="37">
        <f t="shared" si="68"/>
        <v>8213</v>
      </c>
      <c r="BB74" s="37">
        <f t="shared" si="69"/>
        <v>8214</v>
      </c>
      <c r="BC74" s="37">
        <f t="shared" si="70"/>
        <v>8215</v>
      </c>
      <c r="BD74" s="37">
        <f t="shared" si="71"/>
        <v>8216</v>
      </c>
      <c r="BE74" s="37">
        <f t="shared" si="72"/>
        <v>8217</v>
      </c>
      <c r="BF74" s="37">
        <f t="shared" si="73"/>
        <v>8218</v>
      </c>
      <c r="BG74" s="37">
        <f t="shared" si="74"/>
        <v>8219</v>
      </c>
      <c r="BH74" s="38">
        <f t="shared" si="75"/>
        <v>8220</v>
      </c>
      <c r="BI74" s="36">
        <f t="shared" si="76"/>
        <v>8221</v>
      </c>
      <c r="BJ74" s="37">
        <f t="shared" si="77"/>
        <v>8222</v>
      </c>
      <c r="BK74" s="37">
        <f t="shared" si="78"/>
        <v>8223</v>
      </c>
      <c r="BL74" s="37">
        <f t="shared" si="79"/>
        <v>8224</v>
      </c>
      <c r="BM74" s="37">
        <f t="shared" si="80"/>
        <v>8225</v>
      </c>
      <c r="BN74" s="37">
        <f t="shared" si="81"/>
        <v>8226</v>
      </c>
      <c r="BO74" s="37">
        <f t="shared" si="82"/>
        <v>8227</v>
      </c>
      <c r="BP74" s="37">
        <f t="shared" si="83"/>
        <v>8228</v>
      </c>
      <c r="BQ74" s="37">
        <f t="shared" si="84"/>
        <v>8229</v>
      </c>
      <c r="BR74" s="39">
        <f t="shared" si="85"/>
        <v>8230</v>
      </c>
      <c r="BS74" s="36">
        <f t="shared" si="86"/>
        <v>8231</v>
      </c>
      <c r="BT74" s="37">
        <f t="shared" si="87"/>
        <v>8232</v>
      </c>
      <c r="BU74" s="37">
        <f t="shared" si="88"/>
        <v>8233</v>
      </c>
      <c r="BV74" s="37">
        <f t="shared" si="89"/>
        <v>8234</v>
      </c>
      <c r="BW74" s="37">
        <f t="shared" si="90"/>
        <v>8235</v>
      </c>
      <c r="BX74" s="37">
        <f t="shared" si="91"/>
        <v>8236</v>
      </c>
      <c r="BY74" s="37">
        <f t="shared" si="92"/>
        <v>8237</v>
      </c>
      <c r="BZ74" s="37">
        <f t="shared" si="93"/>
        <v>8238</v>
      </c>
      <c r="CA74" s="37">
        <f t="shared" si="94"/>
        <v>8239</v>
      </c>
      <c r="CB74" s="38">
        <f t="shared" si="95"/>
        <v>8240</v>
      </c>
      <c r="CC74" s="40">
        <f t="shared" si="96"/>
        <v>8241</v>
      </c>
      <c r="CD74" s="37">
        <f t="shared" si="97"/>
        <v>8242</v>
      </c>
      <c r="CE74" s="37">
        <f t="shared" si="98"/>
        <v>8243</v>
      </c>
      <c r="CF74" s="37">
        <f t="shared" si="99"/>
        <v>8244</v>
      </c>
      <c r="CG74" s="37">
        <f t="shared" si="100"/>
        <v>8245</v>
      </c>
      <c r="CH74" s="37">
        <f t="shared" si="101"/>
        <v>8246</v>
      </c>
      <c r="CI74" s="37">
        <f t="shared" si="102"/>
        <v>8247</v>
      </c>
      <c r="CJ74" s="37">
        <f t="shared" si="103"/>
        <v>8248</v>
      </c>
      <c r="CK74" s="37">
        <f t="shared" si="104"/>
        <v>8249</v>
      </c>
      <c r="CL74" s="39">
        <f t="shared" si="105"/>
        <v>8250</v>
      </c>
      <c r="CM74" s="36">
        <f t="shared" si="106"/>
        <v>8251</v>
      </c>
      <c r="CN74" s="37">
        <f t="shared" si="107"/>
        <v>8252</v>
      </c>
      <c r="CO74" s="37">
        <f t="shared" si="108"/>
        <v>8253</v>
      </c>
      <c r="CP74" s="37">
        <f t="shared" si="109"/>
        <v>8254</v>
      </c>
      <c r="CQ74" s="37">
        <f t="shared" si="110"/>
        <v>8255</v>
      </c>
      <c r="CR74" s="37">
        <f t="shared" si="111"/>
        <v>8256</v>
      </c>
      <c r="CS74" s="37">
        <f t="shared" si="112"/>
        <v>8257</v>
      </c>
      <c r="CT74" s="37">
        <f t="shared" si="113"/>
        <v>8258</v>
      </c>
      <c r="CU74" s="37">
        <f t="shared" si="114"/>
        <v>8259</v>
      </c>
      <c r="CV74" s="38">
        <f t="shared" si="115"/>
        <v>8260</v>
      </c>
      <c r="CW74" s="40">
        <f t="shared" si="116"/>
        <v>8261</v>
      </c>
      <c r="CX74" s="37">
        <f t="shared" si="117"/>
        <v>8262</v>
      </c>
      <c r="CY74" s="37">
        <f t="shared" si="118"/>
        <v>8263</v>
      </c>
      <c r="CZ74" s="37">
        <f t="shared" si="119"/>
        <v>8264</v>
      </c>
      <c r="DA74" s="37">
        <f t="shared" si="120"/>
        <v>8265</v>
      </c>
      <c r="DB74" s="37">
        <f t="shared" si="121"/>
        <v>8266</v>
      </c>
      <c r="DC74" s="37">
        <f t="shared" si="122"/>
        <v>8267</v>
      </c>
      <c r="DD74" s="37">
        <f t="shared" si="123"/>
        <v>8268</v>
      </c>
      <c r="DE74" s="37">
        <f t="shared" si="124"/>
        <v>8269</v>
      </c>
      <c r="DF74" s="39">
        <f t="shared" si="125"/>
        <v>8270</v>
      </c>
      <c r="DG74" s="36">
        <f t="shared" si="126"/>
        <v>8271</v>
      </c>
      <c r="DH74" s="37">
        <f t="shared" si="127"/>
        <v>8272</v>
      </c>
      <c r="DI74" s="37">
        <f t="shared" si="128"/>
        <v>8273</v>
      </c>
      <c r="DJ74" s="37">
        <f t="shared" si="129"/>
        <v>8274</v>
      </c>
      <c r="DK74" s="37">
        <f t="shared" si="130"/>
        <v>8275</v>
      </c>
      <c r="DL74" s="37">
        <f t="shared" si="131"/>
        <v>8276</v>
      </c>
      <c r="DM74" s="37">
        <f t="shared" si="132"/>
        <v>8277</v>
      </c>
      <c r="DN74" s="37">
        <f t="shared" si="133"/>
        <v>8278</v>
      </c>
      <c r="DO74" s="37">
        <f t="shared" si="134"/>
        <v>8279</v>
      </c>
      <c r="DP74" s="38">
        <f t="shared" si="135"/>
        <v>8280</v>
      </c>
      <c r="DR74" s="1206"/>
      <c r="DS74" s="1207"/>
      <c r="DT74" s="1207"/>
      <c r="DU74" s="1208"/>
    </row>
    <row r="75" spans="1:125" ht="5.85" customHeight="1" x14ac:dyDescent="0.3">
      <c r="A75" s="36">
        <f t="shared" si="136"/>
        <v>8281</v>
      </c>
      <c r="B75" s="37">
        <f t="shared" si="17"/>
        <v>8282</v>
      </c>
      <c r="C75" s="37">
        <f t="shared" si="18"/>
        <v>8283</v>
      </c>
      <c r="D75" s="37">
        <f t="shared" si="19"/>
        <v>8284</v>
      </c>
      <c r="E75" s="37">
        <f t="shared" si="20"/>
        <v>8285</v>
      </c>
      <c r="F75" s="37">
        <f t="shared" si="21"/>
        <v>8286</v>
      </c>
      <c r="G75" s="37">
        <f t="shared" si="22"/>
        <v>8287</v>
      </c>
      <c r="H75" s="37">
        <f t="shared" si="23"/>
        <v>8288</v>
      </c>
      <c r="I75" s="37">
        <f t="shared" si="24"/>
        <v>8289</v>
      </c>
      <c r="J75" s="38">
        <f t="shared" si="25"/>
        <v>8290</v>
      </c>
      <c r="K75" s="36">
        <f t="shared" si="26"/>
        <v>8291</v>
      </c>
      <c r="L75" s="37">
        <f t="shared" si="27"/>
        <v>8292</v>
      </c>
      <c r="M75" s="37">
        <f t="shared" si="28"/>
        <v>8293</v>
      </c>
      <c r="N75" s="37">
        <f t="shared" si="29"/>
        <v>8294</v>
      </c>
      <c r="O75" s="37">
        <f t="shared" si="30"/>
        <v>8295</v>
      </c>
      <c r="P75" s="37">
        <f t="shared" si="31"/>
        <v>8296</v>
      </c>
      <c r="Q75" s="37">
        <f t="shared" si="32"/>
        <v>8297</v>
      </c>
      <c r="R75" s="37">
        <f t="shared" si="33"/>
        <v>8298</v>
      </c>
      <c r="S75" s="37">
        <f t="shared" si="34"/>
        <v>8299</v>
      </c>
      <c r="T75" s="38">
        <f t="shared" si="35"/>
        <v>8300</v>
      </c>
      <c r="U75" s="36">
        <f t="shared" si="36"/>
        <v>8301</v>
      </c>
      <c r="V75" s="37">
        <f t="shared" si="37"/>
        <v>8302</v>
      </c>
      <c r="W75" s="37">
        <f t="shared" si="38"/>
        <v>8303</v>
      </c>
      <c r="X75" s="37">
        <f t="shared" si="39"/>
        <v>8304</v>
      </c>
      <c r="Y75" s="37">
        <f t="shared" si="40"/>
        <v>8305</v>
      </c>
      <c r="Z75" s="37">
        <f t="shared" si="41"/>
        <v>8306</v>
      </c>
      <c r="AA75" s="37">
        <f t="shared" si="42"/>
        <v>8307</v>
      </c>
      <c r="AB75" s="37">
        <f t="shared" si="43"/>
        <v>8308</v>
      </c>
      <c r="AC75" s="37">
        <f t="shared" si="44"/>
        <v>8309</v>
      </c>
      <c r="AD75" s="38">
        <f t="shared" si="45"/>
        <v>8310</v>
      </c>
      <c r="AE75" s="36">
        <f t="shared" si="46"/>
        <v>8311</v>
      </c>
      <c r="AF75" s="37">
        <f t="shared" si="47"/>
        <v>8312</v>
      </c>
      <c r="AG75" s="37">
        <f t="shared" si="48"/>
        <v>8313</v>
      </c>
      <c r="AH75" s="37">
        <f t="shared" si="49"/>
        <v>8314</v>
      </c>
      <c r="AI75" s="37">
        <f t="shared" si="50"/>
        <v>8315</v>
      </c>
      <c r="AJ75" s="37">
        <f t="shared" si="51"/>
        <v>8316</v>
      </c>
      <c r="AK75" s="37">
        <f t="shared" si="52"/>
        <v>8317</v>
      </c>
      <c r="AL75" s="37">
        <f t="shared" si="53"/>
        <v>8318</v>
      </c>
      <c r="AM75" s="37">
        <f t="shared" si="54"/>
        <v>8319</v>
      </c>
      <c r="AN75" s="38">
        <f t="shared" si="55"/>
        <v>8320</v>
      </c>
      <c r="AO75" s="36">
        <f t="shared" si="56"/>
        <v>8321</v>
      </c>
      <c r="AP75" s="37">
        <f t="shared" si="57"/>
        <v>8322</v>
      </c>
      <c r="AQ75" s="37">
        <f t="shared" si="58"/>
        <v>8323</v>
      </c>
      <c r="AR75" s="37">
        <f t="shared" si="59"/>
        <v>8324</v>
      </c>
      <c r="AS75" s="37">
        <f t="shared" si="60"/>
        <v>8325</v>
      </c>
      <c r="AT75" s="37">
        <f t="shared" si="61"/>
        <v>8326</v>
      </c>
      <c r="AU75" s="37">
        <f t="shared" si="62"/>
        <v>8327</v>
      </c>
      <c r="AV75" s="37">
        <f t="shared" si="63"/>
        <v>8328</v>
      </c>
      <c r="AW75" s="37">
        <f t="shared" si="64"/>
        <v>8329</v>
      </c>
      <c r="AX75" s="38">
        <f t="shared" si="65"/>
        <v>8330</v>
      </c>
      <c r="AY75" s="36">
        <f t="shared" si="66"/>
        <v>8331</v>
      </c>
      <c r="AZ75" s="37">
        <f t="shared" si="67"/>
        <v>8332</v>
      </c>
      <c r="BA75" s="37">
        <f t="shared" si="68"/>
        <v>8333</v>
      </c>
      <c r="BB75" s="37">
        <f t="shared" si="69"/>
        <v>8334</v>
      </c>
      <c r="BC75" s="37">
        <f t="shared" si="70"/>
        <v>8335</v>
      </c>
      <c r="BD75" s="37">
        <f t="shared" si="71"/>
        <v>8336</v>
      </c>
      <c r="BE75" s="37">
        <f t="shared" si="72"/>
        <v>8337</v>
      </c>
      <c r="BF75" s="37">
        <f t="shared" si="73"/>
        <v>8338</v>
      </c>
      <c r="BG75" s="37">
        <f t="shared" si="74"/>
        <v>8339</v>
      </c>
      <c r="BH75" s="38">
        <f t="shared" si="75"/>
        <v>8340</v>
      </c>
      <c r="BI75" s="36">
        <f t="shared" si="76"/>
        <v>8341</v>
      </c>
      <c r="BJ75" s="37">
        <f t="shared" si="77"/>
        <v>8342</v>
      </c>
      <c r="BK75" s="37">
        <f t="shared" si="78"/>
        <v>8343</v>
      </c>
      <c r="BL75" s="37">
        <f t="shared" si="79"/>
        <v>8344</v>
      </c>
      <c r="BM75" s="37">
        <f t="shared" si="80"/>
        <v>8345</v>
      </c>
      <c r="BN75" s="37">
        <f t="shared" si="81"/>
        <v>8346</v>
      </c>
      <c r="BO75" s="37">
        <f t="shared" si="82"/>
        <v>8347</v>
      </c>
      <c r="BP75" s="37">
        <f t="shared" si="83"/>
        <v>8348</v>
      </c>
      <c r="BQ75" s="37">
        <f t="shared" si="84"/>
        <v>8349</v>
      </c>
      <c r="BR75" s="39">
        <f t="shared" si="85"/>
        <v>8350</v>
      </c>
      <c r="BS75" s="36">
        <f t="shared" si="86"/>
        <v>8351</v>
      </c>
      <c r="BT75" s="37">
        <f t="shared" si="87"/>
        <v>8352</v>
      </c>
      <c r="BU75" s="37">
        <f t="shared" si="88"/>
        <v>8353</v>
      </c>
      <c r="BV75" s="37">
        <f t="shared" si="89"/>
        <v>8354</v>
      </c>
      <c r="BW75" s="37">
        <f t="shared" si="90"/>
        <v>8355</v>
      </c>
      <c r="BX75" s="37">
        <f t="shared" si="91"/>
        <v>8356</v>
      </c>
      <c r="BY75" s="37">
        <f t="shared" si="92"/>
        <v>8357</v>
      </c>
      <c r="BZ75" s="37">
        <f t="shared" si="93"/>
        <v>8358</v>
      </c>
      <c r="CA75" s="37">
        <f t="shared" si="94"/>
        <v>8359</v>
      </c>
      <c r="CB75" s="38">
        <f t="shared" si="95"/>
        <v>8360</v>
      </c>
      <c r="CC75" s="40">
        <f t="shared" si="96"/>
        <v>8361</v>
      </c>
      <c r="CD75" s="37">
        <f t="shared" si="97"/>
        <v>8362</v>
      </c>
      <c r="CE75" s="37">
        <f t="shared" si="98"/>
        <v>8363</v>
      </c>
      <c r="CF75" s="37">
        <f t="shared" si="99"/>
        <v>8364</v>
      </c>
      <c r="CG75" s="37">
        <f t="shared" si="100"/>
        <v>8365</v>
      </c>
      <c r="CH75" s="37">
        <f t="shared" si="101"/>
        <v>8366</v>
      </c>
      <c r="CI75" s="37">
        <f t="shared" si="102"/>
        <v>8367</v>
      </c>
      <c r="CJ75" s="37">
        <f t="shared" si="103"/>
        <v>8368</v>
      </c>
      <c r="CK75" s="37">
        <f t="shared" si="104"/>
        <v>8369</v>
      </c>
      <c r="CL75" s="39">
        <f t="shared" si="105"/>
        <v>8370</v>
      </c>
      <c r="CM75" s="36">
        <f t="shared" si="106"/>
        <v>8371</v>
      </c>
      <c r="CN75" s="37">
        <f t="shared" si="107"/>
        <v>8372</v>
      </c>
      <c r="CO75" s="37">
        <f t="shared" si="108"/>
        <v>8373</v>
      </c>
      <c r="CP75" s="37">
        <f t="shared" si="109"/>
        <v>8374</v>
      </c>
      <c r="CQ75" s="37">
        <f t="shared" si="110"/>
        <v>8375</v>
      </c>
      <c r="CR75" s="37">
        <f t="shared" si="111"/>
        <v>8376</v>
      </c>
      <c r="CS75" s="37">
        <f t="shared" si="112"/>
        <v>8377</v>
      </c>
      <c r="CT75" s="37">
        <f t="shared" si="113"/>
        <v>8378</v>
      </c>
      <c r="CU75" s="37">
        <f t="shared" si="114"/>
        <v>8379</v>
      </c>
      <c r="CV75" s="38">
        <f t="shared" si="115"/>
        <v>8380</v>
      </c>
      <c r="CW75" s="40">
        <f t="shared" si="116"/>
        <v>8381</v>
      </c>
      <c r="CX75" s="37">
        <f t="shared" si="117"/>
        <v>8382</v>
      </c>
      <c r="CY75" s="37">
        <f t="shared" si="118"/>
        <v>8383</v>
      </c>
      <c r="CZ75" s="37">
        <f t="shared" si="119"/>
        <v>8384</v>
      </c>
      <c r="DA75" s="37">
        <f t="shared" si="120"/>
        <v>8385</v>
      </c>
      <c r="DB75" s="37">
        <f t="shared" si="121"/>
        <v>8386</v>
      </c>
      <c r="DC75" s="37">
        <f t="shared" si="122"/>
        <v>8387</v>
      </c>
      <c r="DD75" s="37">
        <f t="shared" si="123"/>
        <v>8388</v>
      </c>
      <c r="DE75" s="37">
        <f t="shared" si="124"/>
        <v>8389</v>
      </c>
      <c r="DF75" s="39">
        <f t="shared" si="125"/>
        <v>8390</v>
      </c>
      <c r="DG75" s="36">
        <f t="shared" si="126"/>
        <v>8391</v>
      </c>
      <c r="DH75" s="37">
        <f t="shared" si="127"/>
        <v>8392</v>
      </c>
      <c r="DI75" s="37">
        <f t="shared" si="128"/>
        <v>8393</v>
      </c>
      <c r="DJ75" s="37">
        <f t="shared" si="129"/>
        <v>8394</v>
      </c>
      <c r="DK75" s="37">
        <f t="shared" si="130"/>
        <v>8395</v>
      </c>
      <c r="DL75" s="37">
        <f t="shared" si="131"/>
        <v>8396</v>
      </c>
      <c r="DM75" s="37">
        <f t="shared" si="132"/>
        <v>8397</v>
      </c>
      <c r="DN75" s="37">
        <f t="shared" si="133"/>
        <v>8398</v>
      </c>
      <c r="DO75" s="37">
        <f t="shared" si="134"/>
        <v>8399</v>
      </c>
      <c r="DP75" s="38">
        <f t="shared" si="135"/>
        <v>8400</v>
      </c>
      <c r="DR75" s="1206"/>
      <c r="DS75" s="1207"/>
      <c r="DT75" s="1207"/>
      <c r="DU75" s="1208"/>
    </row>
    <row r="76" spans="1:125" ht="5.85" customHeight="1" x14ac:dyDescent="0.3">
      <c r="A76" s="36">
        <f t="shared" si="136"/>
        <v>8401</v>
      </c>
      <c r="B76" s="37">
        <f t="shared" si="17"/>
        <v>8402</v>
      </c>
      <c r="C76" s="37">
        <f t="shared" si="18"/>
        <v>8403</v>
      </c>
      <c r="D76" s="37">
        <f t="shared" si="19"/>
        <v>8404</v>
      </c>
      <c r="E76" s="37">
        <f t="shared" si="20"/>
        <v>8405</v>
      </c>
      <c r="F76" s="37">
        <f t="shared" si="21"/>
        <v>8406</v>
      </c>
      <c r="G76" s="37">
        <f t="shared" si="22"/>
        <v>8407</v>
      </c>
      <c r="H76" s="37">
        <f t="shared" si="23"/>
        <v>8408</v>
      </c>
      <c r="I76" s="37">
        <f t="shared" si="24"/>
        <v>8409</v>
      </c>
      <c r="J76" s="38">
        <f t="shared" si="25"/>
        <v>8410</v>
      </c>
      <c r="K76" s="36">
        <f t="shared" si="26"/>
        <v>8411</v>
      </c>
      <c r="L76" s="37">
        <f t="shared" si="27"/>
        <v>8412</v>
      </c>
      <c r="M76" s="37">
        <f t="shared" si="28"/>
        <v>8413</v>
      </c>
      <c r="N76" s="37">
        <f t="shared" si="29"/>
        <v>8414</v>
      </c>
      <c r="O76" s="37">
        <f t="shared" si="30"/>
        <v>8415</v>
      </c>
      <c r="P76" s="37">
        <f t="shared" si="31"/>
        <v>8416</v>
      </c>
      <c r="Q76" s="37">
        <f t="shared" si="32"/>
        <v>8417</v>
      </c>
      <c r="R76" s="37">
        <f t="shared" si="33"/>
        <v>8418</v>
      </c>
      <c r="S76" s="37">
        <f t="shared" si="34"/>
        <v>8419</v>
      </c>
      <c r="T76" s="38">
        <f t="shared" si="35"/>
        <v>8420</v>
      </c>
      <c r="U76" s="36">
        <f t="shared" si="36"/>
        <v>8421</v>
      </c>
      <c r="V76" s="37">
        <f t="shared" si="37"/>
        <v>8422</v>
      </c>
      <c r="W76" s="37">
        <f t="shared" si="38"/>
        <v>8423</v>
      </c>
      <c r="X76" s="37">
        <f t="shared" si="39"/>
        <v>8424</v>
      </c>
      <c r="Y76" s="37">
        <f t="shared" si="40"/>
        <v>8425</v>
      </c>
      <c r="Z76" s="37">
        <f t="shared" si="41"/>
        <v>8426</v>
      </c>
      <c r="AA76" s="37">
        <f t="shared" si="42"/>
        <v>8427</v>
      </c>
      <c r="AB76" s="37">
        <f t="shared" si="43"/>
        <v>8428</v>
      </c>
      <c r="AC76" s="37">
        <f t="shared" si="44"/>
        <v>8429</v>
      </c>
      <c r="AD76" s="38">
        <f t="shared" si="45"/>
        <v>8430</v>
      </c>
      <c r="AE76" s="36">
        <f t="shared" si="46"/>
        <v>8431</v>
      </c>
      <c r="AF76" s="37">
        <f t="shared" si="47"/>
        <v>8432</v>
      </c>
      <c r="AG76" s="37">
        <f t="shared" si="48"/>
        <v>8433</v>
      </c>
      <c r="AH76" s="37">
        <f t="shared" si="49"/>
        <v>8434</v>
      </c>
      <c r="AI76" s="37">
        <f t="shared" si="50"/>
        <v>8435</v>
      </c>
      <c r="AJ76" s="37">
        <f t="shared" si="51"/>
        <v>8436</v>
      </c>
      <c r="AK76" s="37">
        <f t="shared" si="52"/>
        <v>8437</v>
      </c>
      <c r="AL76" s="37">
        <f t="shared" si="53"/>
        <v>8438</v>
      </c>
      <c r="AM76" s="37">
        <f t="shared" si="54"/>
        <v>8439</v>
      </c>
      <c r="AN76" s="38">
        <f t="shared" si="55"/>
        <v>8440</v>
      </c>
      <c r="AO76" s="36">
        <f t="shared" si="56"/>
        <v>8441</v>
      </c>
      <c r="AP76" s="37">
        <f t="shared" si="57"/>
        <v>8442</v>
      </c>
      <c r="AQ76" s="37">
        <f t="shared" si="58"/>
        <v>8443</v>
      </c>
      <c r="AR76" s="37">
        <f t="shared" si="59"/>
        <v>8444</v>
      </c>
      <c r="AS76" s="37">
        <f t="shared" si="60"/>
        <v>8445</v>
      </c>
      <c r="AT76" s="37">
        <f t="shared" si="61"/>
        <v>8446</v>
      </c>
      <c r="AU76" s="37">
        <f t="shared" si="62"/>
        <v>8447</v>
      </c>
      <c r="AV76" s="37">
        <f t="shared" si="63"/>
        <v>8448</v>
      </c>
      <c r="AW76" s="37">
        <f t="shared" si="64"/>
        <v>8449</v>
      </c>
      <c r="AX76" s="38">
        <f t="shared" si="65"/>
        <v>8450</v>
      </c>
      <c r="AY76" s="36">
        <f t="shared" si="66"/>
        <v>8451</v>
      </c>
      <c r="AZ76" s="37">
        <f t="shared" si="67"/>
        <v>8452</v>
      </c>
      <c r="BA76" s="37">
        <f t="shared" si="68"/>
        <v>8453</v>
      </c>
      <c r="BB76" s="37">
        <f t="shared" si="69"/>
        <v>8454</v>
      </c>
      <c r="BC76" s="37">
        <f t="shared" si="70"/>
        <v>8455</v>
      </c>
      <c r="BD76" s="37">
        <f t="shared" si="71"/>
        <v>8456</v>
      </c>
      <c r="BE76" s="37">
        <f t="shared" si="72"/>
        <v>8457</v>
      </c>
      <c r="BF76" s="37">
        <f t="shared" si="73"/>
        <v>8458</v>
      </c>
      <c r="BG76" s="37">
        <f t="shared" si="74"/>
        <v>8459</v>
      </c>
      <c r="BH76" s="38">
        <f t="shared" si="75"/>
        <v>8460</v>
      </c>
      <c r="BI76" s="36">
        <f t="shared" si="76"/>
        <v>8461</v>
      </c>
      <c r="BJ76" s="37">
        <f t="shared" si="77"/>
        <v>8462</v>
      </c>
      <c r="BK76" s="37">
        <f t="shared" si="78"/>
        <v>8463</v>
      </c>
      <c r="BL76" s="37">
        <f t="shared" si="79"/>
        <v>8464</v>
      </c>
      <c r="BM76" s="37">
        <f t="shared" si="80"/>
        <v>8465</v>
      </c>
      <c r="BN76" s="37">
        <f t="shared" si="81"/>
        <v>8466</v>
      </c>
      <c r="BO76" s="37">
        <f t="shared" si="82"/>
        <v>8467</v>
      </c>
      <c r="BP76" s="37">
        <f t="shared" si="83"/>
        <v>8468</v>
      </c>
      <c r="BQ76" s="37">
        <f t="shared" si="84"/>
        <v>8469</v>
      </c>
      <c r="BR76" s="39">
        <f t="shared" si="85"/>
        <v>8470</v>
      </c>
      <c r="BS76" s="36">
        <f t="shared" si="86"/>
        <v>8471</v>
      </c>
      <c r="BT76" s="37">
        <f t="shared" si="87"/>
        <v>8472</v>
      </c>
      <c r="BU76" s="37">
        <f t="shared" si="88"/>
        <v>8473</v>
      </c>
      <c r="BV76" s="37">
        <f t="shared" si="89"/>
        <v>8474</v>
      </c>
      <c r="BW76" s="37">
        <f t="shared" si="90"/>
        <v>8475</v>
      </c>
      <c r="BX76" s="37">
        <f t="shared" si="91"/>
        <v>8476</v>
      </c>
      <c r="BY76" s="37">
        <f t="shared" si="92"/>
        <v>8477</v>
      </c>
      <c r="BZ76" s="37">
        <f t="shared" si="93"/>
        <v>8478</v>
      </c>
      <c r="CA76" s="37">
        <f t="shared" si="94"/>
        <v>8479</v>
      </c>
      <c r="CB76" s="38">
        <f t="shared" si="95"/>
        <v>8480</v>
      </c>
      <c r="CC76" s="40">
        <f t="shared" si="96"/>
        <v>8481</v>
      </c>
      <c r="CD76" s="37">
        <f t="shared" si="97"/>
        <v>8482</v>
      </c>
      <c r="CE76" s="37">
        <f t="shared" si="98"/>
        <v>8483</v>
      </c>
      <c r="CF76" s="37">
        <f t="shared" si="99"/>
        <v>8484</v>
      </c>
      <c r="CG76" s="37">
        <f t="shared" si="100"/>
        <v>8485</v>
      </c>
      <c r="CH76" s="37">
        <f t="shared" si="101"/>
        <v>8486</v>
      </c>
      <c r="CI76" s="37">
        <f t="shared" si="102"/>
        <v>8487</v>
      </c>
      <c r="CJ76" s="37">
        <f t="shared" si="103"/>
        <v>8488</v>
      </c>
      <c r="CK76" s="37">
        <f t="shared" si="104"/>
        <v>8489</v>
      </c>
      <c r="CL76" s="39">
        <f t="shared" si="105"/>
        <v>8490</v>
      </c>
      <c r="CM76" s="36">
        <f t="shared" si="106"/>
        <v>8491</v>
      </c>
      <c r="CN76" s="37">
        <f t="shared" si="107"/>
        <v>8492</v>
      </c>
      <c r="CO76" s="37">
        <f t="shared" si="108"/>
        <v>8493</v>
      </c>
      <c r="CP76" s="37">
        <f t="shared" si="109"/>
        <v>8494</v>
      </c>
      <c r="CQ76" s="37">
        <f t="shared" si="110"/>
        <v>8495</v>
      </c>
      <c r="CR76" s="37">
        <f t="shared" si="111"/>
        <v>8496</v>
      </c>
      <c r="CS76" s="37">
        <f t="shared" si="112"/>
        <v>8497</v>
      </c>
      <c r="CT76" s="37">
        <f t="shared" si="113"/>
        <v>8498</v>
      </c>
      <c r="CU76" s="37">
        <f t="shared" si="114"/>
        <v>8499</v>
      </c>
      <c r="CV76" s="38">
        <f t="shared" si="115"/>
        <v>8500</v>
      </c>
      <c r="CW76" s="40">
        <f t="shared" si="116"/>
        <v>8501</v>
      </c>
      <c r="CX76" s="37">
        <f t="shared" si="117"/>
        <v>8502</v>
      </c>
      <c r="CY76" s="37">
        <f t="shared" si="118"/>
        <v>8503</v>
      </c>
      <c r="CZ76" s="37">
        <f t="shared" si="119"/>
        <v>8504</v>
      </c>
      <c r="DA76" s="37">
        <f t="shared" si="120"/>
        <v>8505</v>
      </c>
      <c r="DB76" s="37">
        <f t="shared" si="121"/>
        <v>8506</v>
      </c>
      <c r="DC76" s="37">
        <f t="shared" si="122"/>
        <v>8507</v>
      </c>
      <c r="DD76" s="37">
        <f t="shared" si="123"/>
        <v>8508</v>
      </c>
      <c r="DE76" s="37">
        <f t="shared" si="124"/>
        <v>8509</v>
      </c>
      <c r="DF76" s="39">
        <f t="shared" si="125"/>
        <v>8510</v>
      </c>
      <c r="DG76" s="36">
        <f t="shared" si="126"/>
        <v>8511</v>
      </c>
      <c r="DH76" s="37">
        <f t="shared" si="127"/>
        <v>8512</v>
      </c>
      <c r="DI76" s="37">
        <f t="shared" si="128"/>
        <v>8513</v>
      </c>
      <c r="DJ76" s="37">
        <f t="shared" si="129"/>
        <v>8514</v>
      </c>
      <c r="DK76" s="37">
        <f t="shared" si="130"/>
        <v>8515</v>
      </c>
      <c r="DL76" s="37">
        <f t="shared" si="131"/>
        <v>8516</v>
      </c>
      <c r="DM76" s="37">
        <f t="shared" si="132"/>
        <v>8517</v>
      </c>
      <c r="DN76" s="37">
        <f t="shared" si="133"/>
        <v>8518</v>
      </c>
      <c r="DO76" s="37">
        <f t="shared" si="134"/>
        <v>8519</v>
      </c>
      <c r="DP76" s="38">
        <f t="shared" si="135"/>
        <v>8520</v>
      </c>
      <c r="DR76" s="1206">
        <v>300</v>
      </c>
      <c r="DS76" s="1207"/>
      <c r="DT76" s="1207"/>
      <c r="DU76" s="1208"/>
    </row>
    <row r="77" spans="1:125" ht="5.85" customHeight="1" x14ac:dyDescent="0.3">
      <c r="A77" s="36">
        <f t="shared" si="136"/>
        <v>8521</v>
      </c>
      <c r="B77" s="37">
        <f t="shared" si="17"/>
        <v>8522</v>
      </c>
      <c r="C77" s="37">
        <f t="shared" si="18"/>
        <v>8523</v>
      </c>
      <c r="D77" s="37">
        <f t="shared" si="19"/>
        <v>8524</v>
      </c>
      <c r="E77" s="37">
        <f t="shared" si="20"/>
        <v>8525</v>
      </c>
      <c r="F77" s="37">
        <f t="shared" si="21"/>
        <v>8526</v>
      </c>
      <c r="G77" s="37">
        <f t="shared" si="22"/>
        <v>8527</v>
      </c>
      <c r="H77" s="37">
        <f t="shared" si="23"/>
        <v>8528</v>
      </c>
      <c r="I77" s="37">
        <f t="shared" si="24"/>
        <v>8529</v>
      </c>
      <c r="J77" s="38">
        <f t="shared" si="25"/>
        <v>8530</v>
      </c>
      <c r="K77" s="36">
        <f t="shared" si="26"/>
        <v>8531</v>
      </c>
      <c r="L77" s="37">
        <f t="shared" si="27"/>
        <v>8532</v>
      </c>
      <c r="M77" s="37">
        <f t="shared" si="28"/>
        <v>8533</v>
      </c>
      <c r="N77" s="37">
        <f t="shared" si="29"/>
        <v>8534</v>
      </c>
      <c r="O77" s="37">
        <f t="shared" si="30"/>
        <v>8535</v>
      </c>
      <c r="P77" s="37">
        <f t="shared" si="31"/>
        <v>8536</v>
      </c>
      <c r="Q77" s="37">
        <f t="shared" si="32"/>
        <v>8537</v>
      </c>
      <c r="R77" s="37">
        <f t="shared" si="33"/>
        <v>8538</v>
      </c>
      <c r="S77" s="37">
        <f t="shared" si="34"/>
        <v>8539</v>
      </c>
      <c r="T77" s="38">
        <f t="shared" si="35"/>
        <v>8540</v>
      </c>
      <c r="U77" s="36">
        <f t="shared" si="36"/>
        <v>8541</v>
      </c>
      <c r="V77" s="37">
        <f t="shared" si="37"/>
        <v>8542</v>
      </c>
      <c r="W77" s="37">
        <f t="shared" si="38"/>
        <v>8543</v>
      </c>
      <c r="X77" s="37">
        <f t="shared" si="39"/>
        <v>8544</v>
      </c>
      <c r="Y77" s="37">
        <f t="shared" si="40"/>
        <v>8545</v>
      </c>
      <c r="Z77" s="37">
        <f t="shared" si="41"/>
        <v>8546</v>
      </c>
      <c r="AA77" s="37">
        <f t="shared" si="42"/>
        <v>8547</v>
      </c>
      <c r="AB77" s="37">
        <f t="shared" si="43"/>
        <v>8548</v>
      </c>
      <c r="AC77" s="37">
        <f t="shared" si="44"/>
        <v>8549</v>
      </c>
      <c r="AD77" s="38">
        <f t="shared" si="45"/>
        <v>8550</v>
      </c>
      <c r="AE77" s="36">
        <f t="shared" si="46"/>
        <v>8551</v>
      </c>
      <c r="AF77" s="37">
        <f t="shared" si="47"/>
        <v>8552</v>
      </c>
      <c r="AG77" s="37">
        <f t="shared" si="48"/>
        <v>8553</v>
      </c>
      <c r="AH77" s="37">
        <f t="shared" si="49"/>
        <v>8554</v>
      </c>
      <c r="AI77" s="37">
        <f t="shared" si="50"/>
        <v>8555</v>
      </c>
      <c r="AJ77" s="37">
        <f t="shared" si="51"/>
        <v>8556</v>
      </c>
      <c r="AK77" s="37">
        <f t="shared" si="52"/>
        <v>8557</v>
      </c>
      <c r="AL77" s="37">
        <f t="shared" si="53"/>
        <v>8558</v>
      </c>
      <c r="AM77" s="37">
        <f t="shared" si="54"/>
        <v>8559</v>
      </c>
      <c r="AN77" s="38">
        <f t="shared" si="55"/>
        <v>8560</v>
      </c>
      <c r="AO77" s="36">
        <f t="shared" si="56"/>
        <v>8561</v>
      </c>
      <c r="AP77" s="37">
        <f t="shared" si="57"/>
        <v>8562</v>
      </c>
      <c r="AQ77" s="37">
        <f t="shared" si="58"/>
        <v>8563</v>
      </c>
      <c r="AR77" s="37">
        <f t="shared" si="59"/>
        <v>8564</v>
      </c>
      <c r="AS77" s="37">
        <f t="shared" si="60"/>
        <v>8565</v>
      </c>
      <c r="AT77" s="37">
        <f t="shared" si="61"/>
        <v>8566</v>
      </c>
      <c r="AU77" s="37">
        <f t="shared" si="62"/>
        <v>8567</v>
      </c>
      <c r="AV77" s="37">
        <f t="shared" si="63"/>
        <v>8568</v>
      </c>
      <c r="AW77" s="37">
        <f t="shared" si="64"/>
        <v>8569</v>
      </c>
      <c r="AX77" s="38">
        <f t="shared" si="65"/>
        <v>8570</v>
      </c>
      <c r="AY77" s="36">
        <f t="shared" si="66"/>
        <v>8571</v>
      </c>
      <c r="AZ77" s="37">
        <f t="shared" si="67"/>
        <v>8572</v>
      </c>
      <c r="BA77" s="37">
        <f t="shared" si="68"/>
        <v>8573</v>
      </c>
      <c r="BB77" s="37">
        <f t="shared" si="69"/>
        <v>8574</v>
      </c>
      <c r="BC77" s="37">
        <f t="shared" si="70"/>
        <v>8575</v>
      </c>
      <c r="BD77" s="37">
        <f t="shared" si="71"/>
        <v>8576</v>
      </c>
      <c r="BE77" s="37">
        <f t="shared" si="72"/>
        <v>8577</v>
      </c>
      <c r="BF77" s="37">
        <f t="shared" si="73"/>
        <v>8578</v>
      </c>
      <c r="BG77" s="37">
        <f t="shared" si="74"/>
        <v>8579</v>
      </c>
      <c r="BH77" s="38">
        <f t="shared" si="75"/>
        <v>8580</v>
      </c>
      <c r="BI77" s="36">
        <f t="shared" si="76"/>
        <v>8581</v>
      </c>
      <c r="BJ77" s="37">
        <f t="shared" si="77"/>
        <v>8582</v>
      </c>
      <c r="BK77" s="37">
        <f t="shared" si="78"/>
        <v>8583</v>
      </c>
      <c r="BL77" s="37">
        <f t="shared" si="79"/>
        <v>8584</v>
      </c>
      <c r="BM77" s="37">
        <f t="shared" si="80"/>
        <v>8585</v>
      </c>
      <c r="BN77" s="37">
        <f t="shared" si="81"/>
        <v>8586</v>
      </c>
      <c r="BO77" s="37">
        <f t="shared" si="82"/>
        <v>8587</v>
      </c>
      <c r="BP77" s="37">
        <f t="shared" si="83"/>
        <v>8588</v>
      </c>
      <c r="BQ77" s="37">
        <f t="shared" si="84"/>
        <v>8589</v>
      </c>
      <c r="BR77" s="39">
        <f t="shared" si="85"/>
        <v>8590</v>
      </c>
      <c r="BS77" s="36">
        <f t="shared" si="86"/>
        <v>8591</v>
      </c>
      <c r="BT77" s="37">
        <f t="shared" si="87"/>
        <v>8592</v>
      </c>
      <c r="BU77" s="37">
        <f t="shared" si="88"/>
        <v>8593</v>
      </c>
      <c r="BV77" s="37">
        <f t="shared" si="89"/>
        <v>8594</v>
      </c>
      <c r="BW77" s="37">
        <f t="shared" si="90"/>
        <v>8595</v>
      </c>
      <c r="BX77" s="37">
        <f t="shared" si="91"/>
        <v>8596</v>
      </c>
      <c r="BY77" s="37">
        <f t="shared" si="92"/>
        <v>8597</v>
      </c>
      <c r="BZ77" s="37">
        <f t="shared" si="93"/>
        <v>8598</v>
      </c>
      <c r="CA77" s="37">
        <f t="shared" si="94"/>
        <v>8599</v>
      </c>
      <c r="CB77" s="38">
        <f t="shared" si="95"/>
        <v>8600</v>
      </c>
      <c r="CC77" s="40">
        <f t="shared" si="96"/>
        <v>8601</v>
      </c>
      <c r="CD77" s="37">
        <f t="shared" si="97"/>
        <v>8602</v>
      </c>
      <c r="CE77" s="37">
        <f t="shared" si="98"/>
        <v>8603</v>
      </c>
      <c r="CF77" s="37">
        <f t="shared" si="99"/>
        <v>8604</v>
      </c>
      <c r="CG77" s="37">
        <f t="shared" si="100"/>
        <v>8605</v>
      </c>
      <c r="CH77" s="37">
        <f t="shared" si="101"/>
        <v>8606</v>
      </c>
      <c r="CI77" s="37">
        <f t="shared" si="102"/>
        <v>8607</v>
      </c>
      <c r="CJ77" s="37">
        <f t="shared" si="103"/>
        <v>8608</v>
      </c>
      <c r="CK77" s="37">
        <f t="shared" si="104"/>
        <v>8609</v>
      </c>
      <c r="CL77" s="39">
        <f t="shared" si="105"/>
        <v>8610</v>
      </c>
      <c r="CM77" s="36">
        <f t="shared" si="106"/>
        <v>8611</v>
      </c>
      <c r="CN77" s="37">
        <f t="shared" si="107"/>
        <v>8612</v>
      </c>
      <c r="CO77" s="37">
        <f t="shared" si="108"/>
        <v>8613</v>
      </c>
      <c r="CP77" s="37">
        <f t="shared" si="109"/>
        <v>8614</v>
      </c>
      <c r="CQ77" s="37">
        <f t="shared" si="110"/>
        <v>8615</v>
      </c>
      <c r="CR77" s="37">
        <f t="shared" si="111"/>
        <v>8616</v>
      </c>
      <c r="CS77" s="37">
        <f t="shared" si="112"/>
        <v>8617</v>
      </c>
      <c r="CT77" s="37">
        <f t="shared" si="113"/>
        <v>8618</v>
      </c>
      <c r="CU77" s="37">
        <f t="shared" si="114"/>
        <v>8619</v>
      </c>
      <c r="CV77" s="38">
        <f t="shared" si="115"/>
        <v>8620</v>
      </c>
      <c r="CW77" s="40">
        <f t="shared" si="116"/>
        <v>8621</v>
      </c>
      <c r="CX77" s="37">
        <f t="shared" si="117"/>
        <v>8622</v>
      </c>
      <c r="CY77" s="37">
        <f t="shared" si="118"/>
        <v>8623</v>
      </c>
      <c r="CZ77" s="37">
        <f t="shared" si="119"/>
        <v>8624</v>
      </c>
      <c r="DA77" s="37">
        <f t="shared" si="120"/>
        <v>8625</v>
      </c>
      <c r="DB77" s="37">
        <f t="shared" si="121"/>
        <v>8626</v>
      </c>
      <c r="DC77" s="37">
        <f t="shared" si="122"/>
        <v>8627</v>
      </c>
      <c r="DD77" s="37">
        <f t="shared" si="123"/>
        <v>8628</v>
      </c>
      <c r="DE77" s="37">
        <f t="shared" si="124"/>
        <v>8629</v>
      </c>
      <c r="DF77" s="39">
        <f t="shared" si="125"/>
        <v>8630</v>
      </c>
      <c r="DG77" s="36">
        <f t="shared" si="126"/>
        <v>8631</v>
      </c>
      <c r="DH77" s="37">
        <f t="shared" si="127"/>
        <v>8632</v>
      </c>
      <c r="DI77" s="37">
        <f t="shared" si="128"/>
        <v>8633</v>
      </c>
      <c r="DJ77" s="37">
        <f t="shared" si="129"/>
        <v>8634</v>
      </c>
      <c r="DK77" s="37">
        <f t="shared" si="130"/>
        <v>8635</v>
      </c>
      <c r="DL77" s="37">
        <f t="shared" si="131"/>
        <v>8636</v>
      </c>
      <c r="DM77" s="37">
        <f t="shared" si="132"/>
        <v>8637</v>
      </c>
      <c r="DN77" s="37">
        <f t="shared" si="133"/>
        <v>8638</v>
      </c>
      <c r="DO77" s="37">
        <f t="shared" si="134"/>
        <v>8639</v>
      </c>
      <c r="DP77" s="38">
        <f t="shared" si="135"/>
        <v>8640</v>
      </c>
      <c r="DR77" s="1206"/>
      <c r="DS77" s="1207"/>
      <c r="DT77" s="1207"/>
      <c r="DU77" s="1208"/>
    </row>
    <row r="78" spans="1:125" ht="5.85" customHeight="1" x14ac:dyDescent="0.3">
      <c r="A78" s="36">
        <f t="shared" si="136"/>
        <v>8641</v>
      </c>
      <c r="B78" s="37">
        <f t="shared" si="17"/>
        <v>8642</v>
      </c>
      <c r="C78" s="37">
        <f t="shared" si="18"/>
        <v>8643</v>
      </c>
      <c r="D78" s="37">
        <f t="shared" si="19"/>
        <v>8644</v>
      </c>
      <c r="E78" s="37">
        <f t="shared" si="20"/>
        <v>8645</v>
      </c>
      <c r="F78" s="37">
        <f t="shared" si="21"/>
        <v>8646</v>
      </c>
      <c r="G78" s="37">
        <f t="shared" si="22"/>
        <v>8647</v>
      </c>
      <c r="H78" s="37">
        <f t="shared" si="23"/>
        <v>8648</v>
      </c>
      <c r="I78" s="37">
        <f t="shared" si="24"/>
        <v>8649</v>
      </c>
      <c r="J78" s="38">
        <f t="shared" si="25"/>
        <v>8650</v>
      </c>
      <c r="K78" s="36">
        <f t="shared" si="26"/>
        <v>8651</v>
      </c>
      <c r="L78" s="37">
        <f t="shared" si="27"/>
        <v>8652</v>
      </c>
      <c r="M78" s="37">
        <f t="shared" si="28"/>
        <v>8653</v>
      </c>
      <c r="N78" s="37">
        <f t="shared" si="29"/>
        <v>8654</v>
      </c>
      <c r="O78" s="37">
        <f t="shared" si="30"/>
        <v>8655</v>
      </c>
      <c r="P78" s="37">
        <f t="shared" si="31"/>
        <v>8656</v>
      </c>
      <c r="Q78" s="37">
        <f t="shared" si="32"/>
        <v>8657</v>
      </c>
      <c r="R78" s="37">
        <f t="shared" si="33"/>
        <v>8658</v>
      </c>
      <c r="S78" s="37">
        <f t="shared" si="34"/>
        <v>8659</v>
      </c>
      <c r="T78" s="38">
        <f t="shared" si="35"/>
        <v>8660</v>
      </c>
      <c r="U78" s="36">
        <f t="shared" si="36"/>
        <v>8661</v>
      </c>
      <c r="V78" s="37">
        <f t="shared" si="37"/>
        <v>8662</v>
      </c>
      <c r="W78" s="37">
        <f t="shared" si="38"/>
        <v>8663</v>
      </c>
      <c r="X78" s="37">
        <f t="shared" si="39"/>
        <v>8664</v>
      </c>
      <c r="Y78" s="37">
        <f t="shared" si="40"/>
        <v>8665</v>
      </c>
      <c r="Z78" s="37">
        <f t="shared" si="41"/>
        <v>8666</v>
      </c>
      <c r="AA78" s="37">
        <f t="shared" si="42"/>
        <v>8667</v>
      </c>
      <c r="AB78" s="37">
        <f t="shared" si="43"/>
        <v>8668</v>
      </c>
      <c r="AC78" s="37">
        <f t="shared" si="44"/>
        <v>8669</v>
      </c>
      <c r="AD78" s="38">
        <f t="shared" si="45"/>
        <v>8670</v>
      </c>
      <c r="AE78" s="36">
        <f t="shared" si="46"/>
        <v>8671</v>
      </c>
      <c r="AF78" s="37">
        <f t="shared" si="47"/>
        <v>8672</v>
      </c>
      <c r="AG78" s="37">
        <f t="shared" si="48"/>
        <v>8673</v>
      </c>
      <c r="AH78" s="37">
        <f t="shared" si="49"/>
        <v>8674</v>
      </c>
      <c r="AI78" s="37">
        <f t="shared" si="50"/>
        <v>8675</v>
      </c>
      <c r="AJ78" s="37">
        <f t="shared" si="51"/>
        <v>8676</v>
      </c>
      <c r="AK78" s="37">
        <f t="shared" si="52"/>
        <v>8677</v>
      </c>
      <c r="AL78" s="37">
        <f t="shared" si="53"/>
        <v>8678</v>
      </c>
      <c r="AM78" s="37">
        <f t="shared" si="54"/>
        <v>8679</v>
      </c>
      <c r="AN78" s="38">
        <f t="shared" si="55"/>
        <v>8680</v>
      </c>
      <c r="AO78" s="36">
        <f t="shared" si="56"/>
        <v>8681</v>
      </c>
      <c r="AP78" s="37">
        <f t="shared" si="57"/>
        <v>8682</v>
      </c>
      <c r="AQ78" s="37">
        <f t="shared" si="58"/>
        <v>8683</v>
      </c>
      <c r="AR78" s="37">
        <f t="shared" si="59"/>
        <v>8684</v>
      </c>
      <c r="AS78" s="37">
        <f t="shared" si="60"/>
        <v>8685</v>
      </c>
      <c r="AT78" s="37">
        <f t="shared" si="61"/>
        <v>8686</v>
      </c>
      <c r="AU78" s="37">
        <f t="shared" si="62"/>
        <v>8687</v>
      </c>
      <c r="AV78" s="37">
        <f t="shared" si="63"/>
        <v>8688</v>
      </c>
      <c r="AW78" s="37">
        <f t="shared" si="64"/>
        <v>8689</v>
      </c>
      <c r="AX78" s="38">
        <f t="shared" si="65"/>
        <v>8690</v>
      </c>
      <c r="AY78" s="36">
        <f t="shared" si="66"/>
        <v>8691</v>
      </c>
      <c r="AZ78" s="37">
        <f t="shared" si="67"/>
        <v>8692</v>
      </c>
      <c r="BA78" s="37">
        <f t="shared" si="68"/>
        <v>8693</v>
      </c>
      <c r="BB78" s="37">
        <f t="shared" si="69"/>
        <v>8694</v>
      </c>
      <c r="BC78" s="37">
        <f t="shared" si="70"/>
        <v>8695</v>
      </c>
      <c r="BD78" s="37">
        <f t="shared" si="71"/>
        <v>8696</v>
      </c>
      <c r="BE78" s="37">
        <f t="shared" si="72"/>
        <v>8697</v>
      </c>
      <c r="BF78" s="37">
        <f t="shared" si="73"/>
        <v>8698</v>
      </c>
      <c r="BG78" s="37">
        <f t="shared" si="74"/>
        <v>8699</v>
      </c>
      <c r="BH78" s="38">
        <f t="shared" si="75"/>
        <v>8700</v>
      </c>
      <c r="BI78" s="36">
        <f t="shared" si="76"/>
        <v>8701</v>
      </c>
      <c r="BJ78" s="37">
        <f t="shared" si="77"/>
        <v>8702</v>
      </c>
      <c r="BK78" s="37">
        <f t="shared" si="78"/>
        <v>8703</v>
      </c>
      <c r="BL78" s="37">
        <f t="shared" si="79"/>
        <v>8704</v>
      </c>
      <c r="BM78" s="37">
        <f t="shared" si="80"/>
        <v>8705</v>
      </c>
      <c r="BN78" s="37">
        <f t="shared" si="81"/>
        <v>8706</v>
      </c>
      <c r="BO78" s="37">
        <f t="shared" si="82"/>
        <v>8707</v>
      </c>
      <c r="BP78" s="37">
        <f t="shared" si="83"/>
        <v>8708</v>
      </c>
      <c r="BQ78" s="37">
        <f t="shared" si="84"/>
        <v>8709</v>
      </c>
      <c r="BR78" s="39">
        <f t="shared" si="85"/>
        <v>8710</v>
      </c>
      <c r="BS78" s="36">
        <f t="shared" si="86"/>
        <v>8711</v>
      </c>
      <c r="BT78" s="37">
        <f t="shared" si="87"/>
        <v>8712</v>
      </c>
      <c r="BU78" s="37">
        <f t="shared" si="88"/>
        <v>8713</v>
      </c>
      <c r="BV78" s="37">
        <f t="shared" si="89"/>
        <v>8714</v>
      </c>
      <c r="BW78" s="37">
        <f t="shared" si="90"/>
        <v>8715</v>
      </c>
      <c r="BX78" s="37">
        <f t="shared" si="91"/>
        <v>8716</v>
      </c>
      <c r="BY78" s="37">
        <f t="shared" si="92"/>
        <v>8717</v>
      </c>
      <c r="BZ78" s="37">
        <f t="shared" si="93"/>
        <v>8718</v>
      </c>
      <c r="CA78" s="37">
        <f t="shared" si="94"/>
        <v>8719</v>
      </c>
      <c r="CB78" s="38">
        <f t="shared" si="95"/>
        <v>8720</v>
      </c>
      <c r="CC78" s="40">
        <f t="shared" si="96"/>
        <v>8721</v>
      </c>
      <c r="CD78" s="37">
        <f t="shared" si="97"/>
        <v>8722</v>
      </c>
      <c r="CE78" s="37">
        <f t="shared" si="98"/>
        <v>8723</v>
      </c>
      <c r="CF78" s="37">
        <f t="shared" si="99"/>
        <v>8724</v>
      </c>
      <c r="CG78" s="37">
        <f t="shared" si="100"/>
        <v>8725</v>
      </c>
      <c r="CH78" s="37">
        <f t="shared" si="101"/>
        <v>8726</v>
      </c>
      <c r="CI78" s="37">
        <f t="shared" si="102"/>
        <v>8727</v>
      </c>
      <c r="CJ78" s="37">
        <f t="shared" si="103"/>
        <v>8728</v>
      </c>
      <c r="CK78" s="37">
        <f t="shared" si="104"/>
        <v>8729</v>
      </c>
      <c r="CL78" s="39">
        <f t="shared" si="105"/>
        <v>8730</v>
      </c>
      <c r="CM78" s="36">
        <f t="shared" si="106"/>
        <v>8731</v>
      </c>
      <c r="CN78" s="37">
        <f t="shared" si="107"/>
        <v>8732</v>
      </c>
      <c r="CO78" s="37">
        <f t="shared" si="108"/>
        <v>8733</v>
      </c>
      <c r="CP78" s="37">
        <f t="shared" si="109"/>
        <v>8734</v>
      </c>
      <c r="CQ78" s="37">
        <f t="shared" si="110"/>
        <v>8735</v>
      </c>
      <c r="CR78" s="37">
        <f t="shared" si="111"/>
        <v>8736</v>
      </c>
      <c r="CS78" s="37">
        <f t="shared" si="112"/>
        <v>8737</v>
      </c>
      <c r="CT78" s="37">
        <f t="shared" si="113"/>
        <v>8738</v>
      </c>
      <c r="CU78" s="37">
        <f t="shared" si="114"/>
        <v>8739</v>
      </c>
      <c r="CV78" s="38">
        <f t="shared" si="115"/>
        <v>8740</v>
      </c>
      <c r="CW78" s="40">
        <f t="shared" si="116"/>
        <v>8741</v>
      </c>
      <c r="CX78" s="37">
        <f t="shared" si="117"/>
        <v>8742</v>
      </c>
      <c r="CY78" s="37">
        <f t="shared" si="118"/>
        <v>8743</v>
      </c>
      <c r="CZ78" s="37">
        <f t="shared" si="119"/>
        <v>8744</v>
      </c>
      <c r="DA78" s="37">
        <f t="shared" si="120"/>
        <v>8745</v>
      </c>
      <c r="DB78" s="37">
        <f t="shared" si="121"/>
        <v>8746</v>
      </c>
      <c r="DC78" s="37">
        <f t="shared" si="122"/>
        <v>8747</v>
      </c>
      <c r="DD78" s="37">
        <f t="shared" si="123"/>
        <v>8748</v>
      </c>
      <c r="DE78" s="37">
        <f t="shared" si="124"/>
        <v>8749</v>
      </c>
      <c r="DF78" s="39">
        <f t="shared" si="125"/>
        <v>8750</v>
      </c>
      <c r="DG78" s="36">
        <f t="shared" si="126"/>
        <v>8751</v>
      </c>
      <c r="DH78" s="37">
        <f t="shared" si="127"/>
        <v>8752</v>
      </c>
      <c r="DI78" s="37">
        <f t="shared" si="128"/>
        <v>8753</v>
      </c>
      <c r="DJ78" s="37">
        <f t="shared" si="129"/>
        <v>8754</v>
      </c>
      <c r="DK78" s="37">
        <f t="shared" si="130"/>
        <v>8755</v>
      </c>
      <c r="DL78" s="37">
        <f t="shared" si="131"/>
        <v>8756</v>
      </c>
      <c r="DM78" s="37">
        <f t="shared" si="132"/>
        <v>8757</v>
      </c>
      <c r="DN78" s="37">
        <f t="shared" si="133"/>
        <v>8758</v>
      </c>
      <c r="DO78" s="37">
        <f t="shared" si="134"/>
        <v>8759</v>
      </c>
      <c r="DP78" s="38">
        <f t="shared" si="135"/>
        <v>8760</v>
      </c>
      <c r="DR78" s="1206"/>
      <c r="DS78" s="1207"/>
      <c r="DT78" s="1207"/>
      <c r="DU78" s="1208"/>
    </row>
    <row r="79" spans="1:125" ht="5.85" customHeight="1" x14ac:dyDescent="0.3">
      <c r="A79" s="36">
        <f t="shared" si="136"/>
        <v>8761</v>
      </c>
      <c r="B79" s="37">
        <f t="shared" si="17"/>
        <v>8762</v>
      </c>
      <c r="C79" s="37">
        <f t="shared" si="18"/>
        <v>8763</v>
      </c>
      <c r="D79" s="37">
        <f t="shared" si="19"/>
        <v>8764</v>
      </c>
      <c r="E79" s="37">
        <f t="shared" si="20"/>
        <v>8765</v>
      </c>
      <c r="F79" s="37">
        <f t="shared" si="21"/>
        <v>8766</v>
      </c>
      <c r="G79" s="37">
        <f t="shared" si="22"/>
        <v>8767</v>
      </c>
      <c r="H79" s="37">
        <f t="shared" si="23"/>
        <v>8768</v>
      </c>
      <c r="I79" s="37">
        <f t="shared" si="24"/>
        <v>8769</v>
      </c>
      <c r="J79" s="38">
        <f t="shared" si="25"/>
        <v>8770</v>
      </c>
      <c r="K79" s="36">
        <f t="shared" si="26"/>
        <v>8771</v>
      </c>
      <c r="L79" s="37">
        <f t="shared" si="27"/>
        <v>8772</v>
      </c>
      <c r="M79" s="37">
        <f t="shared" si="28"/>
        <v>8773</v>
      </c>
      <c r="N79" s="37">
        <f t="shared" si="29"/>
        <v>8774</v>
      </c>
      <c r="O79" s="37">
        <f t="shared" si="30"/>
        <v>8775</v>
      </c>
      <c r="P79" s="37">
        <f t="shared" si="31"/>
        <v>8776</v>
      </c>
      <c r="Q79" s="37">
        <f t="shared" si="32"/>
        <v>8777</v>
      </c>
      <c r="R79" s="37">
        <f t="shared" si="33"/>
        <v>8778</v>
      </c>
      <c r="S79" s="37">
        <f t="shared" si="34"/>
        <v>8779</v>
      </c>
      <c r="T79" s="38">
        <f t="shared" si="35"/>
        <v>8780</v>
      </c>
      <c r="U79" s="36">
        <f t="shared" si="36"/>
        <v>8781</v>
      </c>
      <c r="V79" s="37">
        <f t="shared" si="37"/>
        <v>8782</v>
      </c>
      <c r="W79" s="37">
        <f t="shared" si="38"/>
        <v>8783</v>
      </c>
      <c r="X79" s="37">
        <f t="shared" si="39"/>
        <v>8784</v>
      </c>
      <c r="Y79" s="37">
        <f t="shared" si="40"/>
        <v>8785</v>
      </c>
      <c r="Z79" s="37">
        <f t="shared" si="41"/>
        <v>8786</v>
      </c>
      <c r="AA79" s="37">
        <f t="shared" si="42"/>
        <v>8787</v>
      </c>
      <c r="AB79" s="37">
        <f t="shared" si="43"/>
        <v>8788</v>
      </c>
      <c r="AC79" s="37">
        <f t="shared" si="44"/>
        <v>8789</v>
      </c>
      <c r="AD79" s="38">
        <f t="shared" si="45"/>
        <v>8790</v>
      </c>
      <c r="AE79" s="36">
        <f t="shared" si="46"/>
        <v>8791</v>
      </c>
      <c r="AF79" s="37">
        <f t="shared" si="47"/>
        <v>8792</v>
      </c>
      <c r="AG79" s="37">
        <f t="shared" si="48"/>
        <v>8793</v>
      </c>
      <c r="AH79" s="37">
        <f t="shared" si="49"/>
        <v>8794</v>
      </c>
      <c r="AI79" s="37">
        <f t="shared" si="50"/>
        <v>8795</v>
      </c>
      <c r="AJ79" s="37">
        <f t="shared" si="51"/>
        <v>8796</v>
      </c>
      <c r="AK79" s="37">
        <f t="shared" si="52"/>
        <v>8797</v>
      </c>
      <c r="AL79" s="37">
        <f t="shared" si="53"/>
        <v>8798</v>
      </c>
      <c r="AM79" s="37">
        <f t="shared" si="54"/>
        <v>8799</v>
      </c>
      <c r="AN79" s="38">
        <f t="shared" si="55"/>
        <v>8800</v>
      </c>
      <c r="AO79" s="36">
        <f t="shared" si="56"/>
        <v>8801</v>
      </c>
      <c r="AP79" s="37">
        <f t="shared" si="57"/>
        <v>8802</v>
      </c>
      <c r="AQ79" s="37">
        <f t="shared" si="58"/>
        <v>8803</v>
      </c>
      <c r="AR79" s="37">
        <f t="shared" si="59"/>
        <v>8804</v>
      </c>
      <c r="AS79" s="37">
        <f t="shared" si="60"/>
        <v>8805</v>
      </c>
      <c r="AT79" s="37">
        <f t="shared" si="61"/>
        <v>8806</v>
      </c>
      <c r="AU79" s="37">
        <f t="shared" si="62"/>
        <v>8807</v>
      </c>
      <c r="AV79" s="37">
        <f t="shared" si="63"/>
        <v>8808</v>
      </c>
      <c r="AW79" s="37">
        <f t="shared" si="64"/>
        <v>8809</v>
      </c>
      <c r="AX79" s="38">
        <f t="shared" si="65"/>
        <v>8810</v>
      </c>
      <c r="AY79" s="36">
        <f t="shared" si="66"/>
        <v>8811</v>
      </c>
      <c r="AZ79" s="37">
        <f t="shared" si="67"/>
        <v>8812</v>
      </c>
      <c r="BA79" s="37">
        <f t="shared" si="68"/>
        <v>8813</v>
      </c>
      <c r="BB79" s="37">
        <f t="shared" si="69"/>
        <v>8814</v>
      </c>
      <c r="BC79" s="37">
        <f t="shared" si="70"/>
        <v>8815</v>
      </c>
      <c r="BD79" s="37">
        <f t="shared" si="71"/>
        <v>8816</v>
      </c>
      <c r="BE79" s="37">
        <f t="shared" si="72"/>
        <v>8817</v>
      </c>
      <c r="BF79" s="37">
        <f t="shared" si="73"/>
        <v>8818</v>
      </c>
      <c r="BG79" s="37">
        <f t="shared" si="74"/>
        <v>8819</v>
      </c>
      <c r="BH79" s="38">
        <f t="shared" si="75"/>
        <v>8820</v>
      </c>
      <c r="BI79" s="36">
        <f t="shared" si="76"/>
        <v>8821</v>
      </c>
      <c r="BJ79" s="37">
        <f t="shared" si="77"/>
        <v>8822</v>
      </c>
      <c r="BK79" s="37">
        <f t="shared" si="78"/>
        <v>8823</v>
      </c>
      <c r="BL79" s="37">
        <f t="shared" si="79"/>
        <v>8824</v>
      </c>
      <c r="BM79" s="37">
        <f t="shared" si="80"/>
        <v>8825</v>
      </c>
      <c r="BN79" s="37">
        <f t="shared" si="81"/>
        <v>8826</v>
      </c>
      <c r="BO79" s="37">
        <f t="shared" si="82"/>
        <v>8827</v>
      </c>
      <c r="BP79" s="37">
        <f t="shared" si="83"/>
        <v>8828</v>
      </c>
      <c r="BQ79" s="37">
        <f t="shared" si="84"/>
        <v>8829</v>
      </c>
      <c r="BR79" s="39">
        <f t="shared" si="85"/>
        <v>8830</v>
      </c>
      <c r="BS79" s="36">
        <f t="shared" si="86"/>
        <v>8831</v>
      </c>
      <c r="BT79" s="37">
        <f t="shared" si="87"/>
        <v>8832</v>
      </c>
      <c r="BU79" s="37">
        <f t="shared" si="88"/>
        <v>8833</v>
      </c>
      <c r="BV79" s="37">
        <f t="shared" si="89"/>
        <v>8834</v>
      </c>
      <c r="BW79" s="37">
        <f t="shared" si="90"/>
        <v>8835</v>
      </c>
      <c r="BX79" s="37">
        <f t="shared" si="91"/>
        <v>8836</v>
      </c>
      <c r="BY79" s="37">
        <f t="shared" si="92"/>
        <v>8837</v>
      </c>
      <c r="BZ79" s="37">
        <f t="shared" si="93"/>
        <v>8838</v>
      </c>
      <c r="CA79" s="37">
        <f t="shared" si="94"/>
        <v>8839</v>
      </c>
      <c r="CB79" s="38">
        <f t="shared" si="95"/>
        <v>8840</v>
      </c>
      <c r="CC79" s="40">
        <f t="shared" si="96"/>
        <v>8841</v>
      </c>
      <c r="CD79" s="37">
        <f t="shared" si="97"/>
        <v>8842</v>
      </c>
      <c r="CE79" s="37">
        <f t="shared" si="98"/>
        <v>8843</v>
      </c>
      <c r="CF79" s="37">
        <f t="shared" si="99"/>
        <v>8844</v>
      </c>
      <c r="CG79" s="37">
        <f t="shared" si="100"/>
        <v>8845</v>
      </c>
      <c r="CH79" s="37">
        <f t="shared" si="101"/>
        <v>8846</v>
      </c>
      <c r="CI79" s="37">
        <f t="shared" si="102"/>
        <v>8847</v>
      </c>
      <c r="CJ79" s="37">
        <f t="shared" si="103"/>
        <v>8848</v>
      </c>
      <c r="CK79" s="37">
        <f t="shared" si="104"/>
        <v>8849</v>
      </c>
      <c r="CL79" s="39">
        <f t="shared" si="105"/>
        <v>8850</v>
      </c>
      <c r="CM79" s="36">
        <f t="shared" si="106"/>
        <v>8851</v>
      </c>
      <c r="CN79" s="37">
        <f t="shared" si="107"/>
        <v>8852</v>
      </c>
      <c r="CO79" s="37">
        <f t="shared" si="108"/>
        <v>8853</v>
      </c>
      <c r="CP79" s="37">
        <f t="shared" si="109"/>
        <v>8854</v>
      </c>
      <c r="CQ79" s="37">
        <f t="shared" si="110"/>
        <v>8855</v>
      </c>
      <c r="CR79" s="37">
        <f t="shared" si="111"/>
        <v>8856</v>
      </c>
      <c r="CS79" s="37">
        <f t="shared" si="112"/>
        <v>8857</v>
      </c>
      <c r="CT79" s="37">
        <f t="shared" si="113"/>
        <v>8858</v>
      </c>
      <c r="CU79" s="37">
        <f t="shared" si="114"/>
        <v>8859</v>
      </c>
      <c r="CV79" s="38">
        <f t="shared" si="115"/>
        <v>8860</v>
      </c>
      <c r="CW79" s="40">
        <f t="shared" si="116"/>
        <v>8861</v>
      </c>
      <c r="CX79" s="37">
        <f t="shared" si="117"/>
        <v>8862</v>
      </c>
      <c r="CY79" s="37">
        <f t="shared" si="118"/>
        <v>8863</v>
      </c>
      <c r="CZ79" s="37">
        <f t="shared" si="119"/>
        <v>8864</v>
      </c>
      <c r="DA79" s="37">
        <f t="shared" si="120"/>
        <v>8865</v>
      </c>
      <c r="DB79" s="37">
        <f t="shared" si="121"/>
        <v>8866</v>
      </c>
      <c r="DC79" s="37">
        <f t="shared" si="122"/>
        <v>8867</v>
      </c>
      <c r="DD79" s="37">
        <f t="shared" si="123"/>
        <v>8868</v>
      </c>
      <c r="DE79" s="37">
        <f t="shared" si="124"/>
        <v>8869</v>
      </c>
      <c r="DF79" s="39">
        <f t="shared" si="125"/>
        <v>8870</v>
      </c>
      <c r="DG79" s="36">
        <f t="shared" si="126"/>
        <v>8871</v>
      </c>
      <c r="DH79" s="37">
        <f t="shared" si="127"/>
        <v>8872</v>
      </c>
      <c r="DI79" s="37">
        <f t="shared" si="128"/>
        <v>8873</v>
      </c>
      <c r="DJ79" s="37">
        <f t="shared" si="129"/>
        <v>8874</v>
      </c>
      <c r="DK79" s="37">
        <f t="shared" si="130"/>
        <v>8875</v>
      </c>
      <c r="DL79" s="37">
        <f t="shared" si="131"/>
        <v>8876</v>
      </c>
      <c r="DM79" s="37">
        <f t="shared" si="132"/>
        <v>8877</v>
      </c>
      <c r="DN79" s="37">
        <f t="shared" si="133"/>
        <v>8878</v>
      </c>
      <c r="DO79" s="37">
        <f t="shared" si="134"/>
        <v>8879</v>
      </c>
      <c r="DP79" s="38">
        <f t="shared" si="135"/>
        <v>8880</v>
      </c>
      <c r="DR79" s="1206">
        <v>400</v>
      </c>
      <c r="DS79" s="1207"/>
      <c r="DT79" s="1207"/>
      <c r="DU79" s="1208"/>
    </row>
    <row r="80" spans="1:125" ht="5.85" customHeight="1" x14ac:dyDescent="0.3">
      <c r="A80" s="36">
        <f t="shared" si="136"/>
        <v>8881</v>
      </c>
      <c r="B80" s="37">
        <f t="shared" si="17"/>
        <v>8882</v>
      </c>
      <c r="C80" s="37">
        <f t="shared" si="18"/>
        <v>8883</v>
      </c>
      <c r="D80" s="37">
        <f t="shared" si="19"/>
        <v>8884</v>
      </c>
      <c r="E80" s="37">
        <f t="shared" si="20"/>
        <v>8885</v>
      </c>
      <c r="F80" s="37">
        <f t="shared" si="21"/>
        <v>8886</v>
      </c>
      <c r="G80" s="37">
        <f t="shared" si="22"/>
        <v>8887</v>
      </c>
      <c r="H80" s="37">
        <f t="shared" si="23"/>
        <v>8888</v>
      </c>
      <c r="I80" s="37">
        <f t="shared" si="24"/>
        <v>8889</v>
      </c>
      <c r="J80" s="38">
        <f t="shared" si="25"/>
        <v>8890</v>
      </c>
      <c r="K80" s="36">
        <f t="shared" si="26"/>
        <v>8891</v>
      </c>
      <c r="L80" s="37">
        <f t="shared" si="27"/>
        <v>8892</v>
      </c>
      <c r="M80" s="37">
        <f t="shared" si="28"/>
        <v>8893</v>
      </c>
      <c r="N80" s="37">
        <f t="shared" si="29"/>
        <v>8894</v>
      </c>
      <c r="O80" s="37">
        <f t="shared" si="30"/>
        <v>8895</v>
      </c>
      <c r="P80" s="37">
        <f t="shared" si="31"/>
        <v>8896</v>
      </c>
      <c r="Q80" s="37">
        <f t="shared" si="32"/>
        <v>8897</v>
      </c>
      <c r="R80" s="37">
        <f t="shared" si="33"/>
        <v>8898</v>
      </c>
      <c r="S80" s="37">
        <f t="shared" si="34"/>
        <v>8899</v>
      </c>
      <c r="T80" s="38">
        <f t="shared" si="35"/>
        <v>8900</v>
      </c>
      <c r="U80" s="36">
        <f t="shared" si="36"/>
        <v>8901</v>
      </c>
      <c r="V80" s="37">
        <f t="shared" si="37"/>
        <v>8902</v>
      </c>
      <c r="W80" s="37">
        <f t="shared" si="38"/>
        <v>8903</v>
      </c>
      <c r="X80" s="37">
        <f t="shared" si="39"/>
        <v>8904</v>
      </c>
      <c r="Y80" s="37">
        <f t="shared" si="40"/>
        <v>8905</v>
      </c>
      <c r="Z80" s="37">
        <f t="shared" si="41"/>
        <v>8906</v>
      </c>
      <c r="AA80" s="37">
        <f t="shared" si="42"/>
        <v>8907</v>
      </c>
      <c r="AB80" s="37">
        <f t="shared" si="43"/>
        <v>8908</v>
      </c>
      <c r="AC80" s="37">
        <f t="shared" si="44"/>
        <v>8909</v>
      </c>
      <c r="AD80" s="38">
        <f t="shared" si="45"/>
        <v>8910</v>
      </c>
      <c r="AE80" s="36">
        <f t="shared" si="46"/>
        <v>8911</v>
      </c>
      <c r="AF80" s="37">
        <f t="shared" si="47"/>
        <v>8912</v>
      </c>
      <c r="AG80" s="37">
        <f t="shared" si="48"/>
        <v>8913</v>
      </c>
      <c r="AH80" s="37">
        <f t="shared" si="49"/>
        <v>8914</v>
      </c>
      <c r="AI80" s="37">
        <f t="shared" si="50"/>
        <v>8915</v>
      </c>
      <c r="AJ80" s="37">
        <f t="shared" si="51"/>
        <v>8916</v>
      </c>
      <c r="AK80" s="37">
        <f t="shared" si="52"/>
        <v>8917</v>
      </c>
      <c r="AL80" s="37">
        <f t="shared" si="53"/>
        <v>8918</v>
      </c>
      <c r="AM80" s="37">
        <f t="shared" si="54"/>
        <v>8919</v>
      </c>
      <c r="AN80" s="38">
        <f t="shared" si="55"/>
        <v>8920</v>
      </c>
      <c r="AO80" s="36">
        <f t="shared" si="56"/>
        <v>8921</v>
      </c>
      <c r="AP80" s="37">
        <f t="shared" si="57"/>
        <v>8922</v>
      </c>
      <c r="AQ80" s="37">
        <f t="shared" si="58"/>
        <v>8923</v>
      </c>
      <c r="AR80" s="37">
        <f t="shared" si="59"/>
        <v>8924</v>
      </c>
      <c r="AS80" s="37">
        <f t="shared" si="60"/>
        <v>8925</v>
      </c>
      <c r="AT80" s="37">
        <f t="shared" si="61"/>
        <v>8926</v>
      </c>
      <c r="AU80" s="37">
        <f t="shared" si="62"/>
        <v>8927</v>
      </c>
      <c r="AV80" s="37">
        <f t="shared" si="63"/>
        <v>8928</v>
      </c>
      <c r="AW80" s="37">
        <f t="shared" si="64"/>
        <v>8929</v>
      </c>
      <c r="AX80" s="38">
        <f t="shared" si="65"/>
        <v>8930</v>
      </c>
      <c r="AY80" s="36">
        <f t="shared" si="66"/>
        <v>8931</v>
      </c>
      <c r="AZ80" s="37">
        <f t="shared" si="67"/>
        <v>8932</v>
      </c>
      <c r="BA80" s="37">
        <f t="shared" si="68"/>
        <v>8933</v>
      </c>
      <c r="BB80" s="37">
        <f t="shared" si="69"/>
        <v>8934</v>
      </c>
      <c r="BC80" s="37">
        <f t="shared" si="70"/>
        <v>8935</v>
      </c>
      <c r="BD80" s="37">
        <f t="shared" si="71"/>
        <v>8936</v>
      </c>
      <c r="BE80" s="37">
        <f t="shared" si="72"/>
        <v>8937</v>
      </c>
      <c r="BF80" s="37">
        <f t="shared" si="73"/>
        <v>8938</v>
      </c>
      <c r="BG80" s="37">
        <f t="shared" si="74"/>
        <v>8939</v>
      </c>
      <c r="BH80" s="38">
        <f t="shared" si="75"/>
        <v>8940</v>
      </c>
      <c r="BI80" s="36">
        <f t="shared" si="76"/>
        <v>8941</v>
      </c>
      <c r="BJ80" s="37">
        <f t="shared" si="77"/>
        <v>8942</v>
      </c>
      <c r="BK80" s="37">
        <f t="shared" si="78"/>
        <v>8943</v>
      </c>
      <c r="BL80" s="37">
        <f t="shared" si="79"/>
        <v>8944</v>
      </c>
      <c r="BM80" s="37">
        <f t="shared" si="80"/>
        <v>8945</v>
      </c>
      <c r="BN80" s="37">
        <f t="shared" si="81"/>
        <v>8946</v>
      </c>
      <c r="BO80" s="37">
        <f t="shared" si="82"/>
        <v>8947</v>
      </c>
      <c r="BP80" s="37">
        <f t="shared" si="83"/>
        <v>8948</v>
      </c>
      <c r="BQ80" s="37">
        <f t="shared" si="84"/>
        <v>8949</v>
      </c>
      <c r="BR80" s="39">
        <f t="shared" si="85"/>
        <v>8950</v>
      </c>
      <c r="BS80" s="36">
        <f t="shared" si="86"/>
        <v>8951</v>
      </c>
      <c r="BT80" s="37">
        <f t="shared" si="87"/>
        <v>8952</v>
      </c>
      <c r="BU80" s="37">
        <f t="shared" si="88"/>
        <v>8953</v>
      </c>
      <c r="BV80" s="37">
        <f t="shared" si="89"/>
        <v>8954</v>
      </c>
      <c r="BW80" s="37">
        <f t="shared" si="90"/>
        <v>8955</v>
      </c>
      <c r="BX80" s="37">
        <f t="shared" si="91"/>
        <v>8956</v>
      </c>
      <c r="BY80" s="37">
        <f t="shared" si="92"/>
        <v>8957</v>
      </c>
      <c r="BZ80" s="37">
        <f t="shared" si="93"/>
        <v>8958</v>
      </c>
      <c r="CA80" s="37">
        <f t="shared" si="94"/>
        <v>8959</v>
      </c>
      <c r="CB80" s="38">
        <f t="shared" si="95"/>
        <v>8960</v>
      </c>
      <c r="CC80" s="40">
        <f t="shared" si="96"/>
        <v>8961</v>
      </c>
      <c r="CD80" s="37">
        <f t="shared" si="97"/>
        <v>8962</v>
      </c>
      <c r="CE80" s="37">
        <f t="shared" si="98"/>
        <v>8963</v>
      </c>
      <c r="CF80" s="37">
        <f t="shared" si="99"/>
        <v>8964</v>
      </c>
      <c r="CG80" s="37">
        <f t="shared" si="100"/>
        <v>8965</v>
      </c>
      <c r="CH80" s="37">
        <f t="shared" si="101"/>
        <v>8966</v>
      </c>
      <c r="CI80" s="37">
        <f t="shared" si="102"/>
        <v>8967</v>
      </c>
      <c r="CJ80" s="37">
        <f t="shared" si="103"/>
        <v>8968</v>
      </c>
      <c r="CK80" s="37">
        <f t="shared" si="104"/>
        <v>8969</v>
      </c>
      <c r="CL80" s="39">
        <f t="shared" si="105"/>
        <v>8970</v>
      </c>
      <c r="CM80" s="36">
        <f t="shared" si="106"/>
        <v>8971</v>
      </c>
      <c r="CN80" s="37">
        <f t="shared" si="107"/>
        <v>8972</v>
      </c>
      <c r="CO80" s="37">
        <f t="shared" si="108"/>
        <v>8973</v>
      </c>
      <c r="CP80" s="37">
        <f t="shared" si="109"/>
        <v>8974</v>
      </c>
      <c r="CQ80" s="37">
        <f t="shared" si="110"/>
        <v>8975</v>
      </c>
      <c r="CR80" s="37">
        <f t="shared" si="111"/>
        <v>8976</v>
      </c>
      <c r="CS80" s="37">
        <f t="shared" si="112"/>
        <v>8977</v>
      </c>
      <c r="CT80" s="37">
        <f t="shared" si="113"/>
        <v>8978</v>
      </c>
      <c r="CU80" s="37">
        <f t="shared" si="114"/>
        <v>8979</v>
      </c>
      <c r="CV80" s="38">
        <f t="shared" si="115"/>
        <v>8980</v>
      </c>
      <c r="CW80" s="40">
        <f t="shared" si="116"/>
        <v>8981</v>
      </c>
      <c r="CX80" s="37">
        <f t="shared" si="117"/>
        <v>8982</v>
      </c>
      <c r="CY80" s="37">
        <f t="shared" si="118"/>
        <v>8983</v>
      </c>
      <c r="CZ80" s="37">
        <f t="shared" si="119"/>
        <v>8984</v>
      </c>
      <c r="DA80" s="37">
        <f t="shared" si="120"/>
        <v>8985</v>
      </c>
      <c r="DB80" s="37">
        <f t="shared" si="121"/>
        <v>8986</v>
      </c>
      <c r="DC80" s="37">
        <f t="shared" si="122"/>
        <v>8987</v>
      </c>
      <c r="DD80" s="37">
        <f t="shared" si="123"/>
        <v>8988</v>
      </c>
      <c r="DE80" s="37">
        <f t="shared" si="124"/>
        <v>8989</v>
      </c>
      <c r="DF80" s="39">
        <f t="shared" si="125"/>
        <v>8990</v>
      </c>
      <c r="DG80" s="36">
        <f t="shared" si="126"/>
        <v>8991</v>
      </c>
      <c r="DH80" s="37">
        <f t="shared" si="127"/>
        <v>8992</v>
      </c>
      <c r="DI80" s="37">
        <f t="shared" si="128"/>
        <v>8993</v>
      </c>
      <c r="DJ80" s="37">
        <f t="shared" si="129"/>
        <v>8994</v>
      </c>
      <c r="DK80" s="37">
        <f t="shared" si="130"/>
        <v>8995</v>
      </c>
      <c r="DL80" s="37">
        <f t="shared" si="131"/>
        <v>8996</v>
      </c>
      <c r="DM80" s="37">
        <f t="shared" si="132"/>
        <v>8997</v>
      </c>
      <c r="DN80" s="37">
        <f t="shared" si="133"/>
        <v>8998</v>
      </c>
      <c r="DO80" s="37">
        <f t="shared" si="134"/>
        <v>8999</v>
      </c>
      <c r="DP80" s="38">
        <f t="shared" si="135"/>
        <v>9000</v>
      </c>
      <c r="DR80" s="1206"/>
      <c r="DS80" s="1207"/>
      <c r="DT80" s="1207"/>
      <c r="DU80" s="1208"/>
    </row>
    <row r="81" spans="1:125" ht="5.85" customHeight="1" x14ac:dyDescent="0.3">
      <c r="A81" s="36">
        <f t="shared" si="136"/>
        <v>9001</v>
      </c>
      <c r="B81" s="37">
        <f t="shared" si="17"/>
        <v>9002</v>
      </c>
      <c r="C81" s="37">
        <f t="shared" si="18"/>
        <v>9003</v>
      </c>
      <c r="D81" s="37">
        <f t="shared" si="19"/>
        <v>9004</v>
      </c>
      <c r="E81" s="37">
        <f t="shared" si="20"/>
        <v>9005</v>
      </c>
      <c r="F81" s="37">
        <f t="shared" si="21"/>
        <v>9006</v>
      </c>
      <c r="G81" s="37">
        <f t="shared" si="22"/>
        <v>9007</v>
      </c>
      <c r="H81" s="37">
        <f t="shared" si="23"/>
        <v>9008</v>
      </c>
      <c r="I81" s="37">
        <f t="shared" si="24"/>
        <v>9009</v>
      </c>
      <c r="J81" s="38">
        <f t="shared" si="25"/>
        <v>9010</v>
      </c>
      <c r="K81" s="36">
        <f t="shared" si="26"/>
        <v>9011</v>
      </c>
      <c r="L81" s="37">
        <f t="shared" si="27"/>
        <v>9012</v>
      </c>
      <c r="M81" s="37">
        <f t="shared" si="28"/>
        <v>9013</v>
      </c>
      <c r="N81" s="37">
        <f t="shared" si="29"/>
        <v>9014</v>
      </c>
      <c r="O81" s="37">
        <f t="shared" si="30"/>
        <v>9015</v>
      </c>
      <c r="P81" s="37">
        <f t="shared" si="31"/>
        <v>9016</v>
      </c>
      <c r="Q81" s="37">
        <f t="shared" si="32"/>
        <v>9017</v>
      </c>
      <c r="R81" s="37">
        <f t="shared" si="33"/>
        <v>9018</v>
      </c>
      <c r="S81" s="37">
        <f t="shared" si="34"/>
        <v>9019</v>
      </c>
      <c r="T81" s="38">
        <f t="shared" si="35"/>
        <v>9020</v>
      </c>
      <c r="U81" s="36">
        <f t="shared" si="36"/>
        <v>9021</v>
      </c>
      <c r="V81" s="37">
        <f t="shared" si="37"/>
        <v>9022</v>
      </c>
      <c r="W81" s="37">
        <f t="shared" si="38"/>
        <v>9023</v>
      </c>
      <c r="X81" s="37">
        <f t="shared" si="39"/>
        <v>9024</v>
      </c>
      <c r="Y81" s="37">
        <f t="shared" si="40"/>
        <v>9025</v>
      </c>
      <c r="Z81" s="37">
        <f t="shared" si="41"/>
        <v>9026</v>
      </c>
      <c r="AA81" s="37">
        <f t="shared" si="42"/>
        <v>9027</v>
      </c>
      <c r="AB81" s="37">
        <f t="shared" si="43"/>
        <v>9028</v>
      </c>
      <c r="AC81" s="37">
        <f t="shared" si="44"/>
        <v>9029</v>
      </c>
      <c r="AD81" s="38">
        <f t="shared" si="45"/>
        <v>9030</v>
      </c>
      <c r="AE81" s="36">
        <f t="shared" si="46"/>
        <v>9031</v>
      </c>
      <c r="AF81" s="37">
        <f t="shared" si="47"/>
        <v>9032</v>
      </c>
      <c r="AG81" s="37">
        <f t="shared" si="48"/>
        <v>9033</v>
      </c>
      <c r="AH81" s="37">
        <f t="shared" si="49"/>
        <v>9034</v>
      </c>
      <c r="AI81" s="37">
        <f t="shared" si="50"/>
        <v>9035</v>
      </c>
      <c r="AJ81" s="37">
        <f t="shared" si="51"/>
        <v>9036</v>
      </c>
      <c r="AK81" s="37">
        <f t="shared" si="52"/>
        <v>9037</v>
      </c>
      <c r="AL81" s="37">
        <f t="shared" si="53"/>
        <v>9038</v>
      </c>
      <c r="AM81" s="37">
        <f t="shared" si="54"/>
        <v>9039</v>
      </c>
      <c r="AN81" s="38">
        <f t="shared" si="55"/>
        <v>9040</v>
      </c>
      <c r="AO81" s="36">
        <f t="shared" si="56"/>
        <v>9041</v>
      </c>
      <c r="AP81" s="37">
        <f t="shared" si="57"/>
        <v>9042</v>
      </c>
      <c r="AQ81" s="37">
        <f t="shared" si="58"/>
        <v>9043</v>
      </c>
      <c r="AR81" s="37">
        <f t="shared" si="59"/>
        <v>9044</v>
      </c>
      <c r="AS81" s="37">
        <f t="shared" si="60"/>
        <v>9045</v>
      </c>
      <c r="AT81" s="37">
        <f t="shared" si="61"/>
        <v>9046</v>
      </c>
      <c r="AU81" s="37">
        <f t="shared" si="62"/>
        <v>9047</v>
      </c>
      <c r="AV81" s="37">
        <f t="shared" si="63"/>
        <v>9048</v>
      </c>
      <c r="AW81" s="37">
        <f t="shared" si="64"/>
        <v>9049</v>
      </c>
      <c r="AX81" s="38">
        <f t="shared" si="65"/>
        <v>9050</v>
      </c>
      <c r="AY81" s="36">
        <f t="shared" si="66"/>
        <v>9051</v>
      </c>
      <c r="AZ81" s="37">
        <f t="shared" si="67"/>
        <v>9052</v>
      </c>
      <c r="BA81" s="37">
        <f t="shared" si="68"/>
        <v>9053</v>
      </c>
      <c r="BB81" s="37">
        <f t="shared" si="69"/>
        <v>9054</v>
      </c>
      <c r="BC81" s="37">
        <f t="shared" si="70"/>
        <v>9055</v>
      </c>
      <c r="BD81" s="37">
        <f t="shared" si="71"/>
        <v>9056</v>
      </c>
      <c r="BE81" s="37">
        <f t="shared" si="72"/>
        <v>9057</v>
      </c>
      <c r="BF81" s="37">
        <f t="shared" si="73"/>
        <v>9058</v>
      </c>
      <c r="BG81" s="37">
        <f t="shared" si="74"/>
        <v>9059</v>
      </c>
      <c r="BH81" s="38">
        <f t="shared" si="75"/>
        <v>9060</v>
      </c>
      <c r="BI81" s="36">
        <f t="shared" si="76"/>
        <v>9061</v>
      </c>
      <c r="BJ81" s="37">
        <f t="shared" si="77"/>
        <v>9062</v>
      </c>
      <c r="BK81" s="37">
        <f t="shared" si="78"/>
        <v>9063</v>
      </c>
      <c r="BL81" s="37">
        <f t="shared" si="79"/>
        <v>9064</v>
      </c>
      <c r="BM81" s="37">
        <f t="shared" si="80"/>
        <v>9065</v>
      </c>
      <c r="BN81" s="37">
        <f t="shared" si="81"/>
        <v>9066</v>
      </c>
      <c r="BO81" s="37">
        <f t="shared" si="82"/>
        <v>9067</v>
      </c>
      <c r="BP81" s="37">
        <f t="shared" si="83"/>
        <v>9068</v>
      </c>
      <c r="BQ81" s="37">
        <f t="shared" si="84"/>
        <v>9069</v>
      </c>
      <c r="BR81" s="39">
        <f t="shared" si="85"/>
        <v>9070</v>
      </c>
      <c r="BS81" s="36">
        <f t="shared" si="86"/>
        <v>9071</v>
      </c>
      <c r="BT81" s="37">
        <f t="shared" si="87"/>
        <v>9072</v>
      </c>
      <c r="BU81" s="37">
        <f t="shared" si="88"/>
        <v>9073</v>
      </c>
      <c r="BV81" s="37">
        <f t="shared" si="89"/>
        <v>9074</v>
      </c>
      <c r="BW81" s="37">
        <f t="shared" si="90"/>
        <v>9075</v>
      </c>
      <c r="BX81" s="37">
        <f t="shared" si="91"/>
        <v>9076</v>
      </c>
      <c r="BY81" s="37">
        <f t="shared" si="92"/>
        <v>9077</v>
      </c>
      <c r="BZ81" s="37">
        <f t="shared" si="93"/>
        <v>9078</v>
      </c>
      <c r="CA81" s="37">
        <f t="shared" si="94"/>
        <v>9079</v>
      </c>
      <c r="CB81" s="38">
        <f t="shared" si="95"/>
        <v>9080</v>
      </c>
      <c r="CC81" s="40">
        <f t="shared" si="96"/>
        <v>9081</v>
      </c>
      <c r="CD81" s="37">
        <f t="shared" si="97"/>
        <v>9082</v>
      </c>
      <c r="CE81" s="37">
        <f t="shared" si="98"/>
        <v>9083</v>
      </c>
      <c r="CF81" s="37">
        <f t="shared" si="99"/>
        <v>9084</v>
      </c>
      <c r="CG81" s="37">
        <f t="shared" si="100"/>
        <v>9085</v>
      </c>
      <c r="CH81" s="37">
        <f t="shared" si="101"/>
        <v>9086</v>
      </c>
      <c r="CI81" s="37">
        <f t="shared" si="102"/>
        <v>9087</v>
      </c>
      <c r="CJ81" s="37">
        <f t="shared" si="103"/>
        <v>9088</v>
      </c>
      <c r="CK81" s="37">
        <f t="shared" si="104"/>
        <v>9089</v>
      </c>
      <c r="CL81" s="39">
        <f t="shared" si="105"/>
        <v>9090</v>
      </c>
      <c r="CM81" s="36">
        <f t="shared" si="106"/>
        <v>9091</v>
      </c>
      <c r="CN81" s="37">
        <f t="shared" si="107"/>
        <v>9092</v>
      </c>
      <c r="CO81" s="37">
        <f t="shared" si="108"/>
        <v>9093</v>
      </c>
      <c r="CP81" s="37">
        <f t="shared" si="109"/>
        <v>9094</v>
      </c>
      <c r="CQ81" s="37">
        <f t="shared" si="110"/>
        <v>9095</v>
      </c>
      <c r="CR81" s="37">
        <f t="shared" si="111"/>
        <v>9096</v>
      </c>
      <c r="CS81" s="37">
        <f t="shared" si="112"/>
        <v>9097</v>
      </c>
      <c r="CT81" s="37">
        <f t="shared" si="113"/>
        <v>9098</v>
      </c>
      <c r="CU81" s="37">
        <f t="shared" si="114"/>
        <v>9099</v>
      </c>
      <c r="CV81" s="38">
        <f t="shared" si="115"/>
        <v>9100</v>
      </c>
      <c r="CW81" s="40">
        <f t="shared" si="116"/>
        <v>9101</v>
      </c>
      <c r="CX81" s="37">
        <f t="shared" si="117"/>
        <v>9102</v>
      </c>
      <c r="CY81" s="37">
        <f t="shared" si="118"/>
        <v>9103</v>
      </c>
      <c r="CZ81" s="37">
        <f t="shared" si="119"/>
        <v>9104</v>
      </c>
      <c r="DA81" s="37">
        <f t="shared" si="120"/>
        <v>9105</v>
      </c>
      <c r="DB81" s="37">
        <f t="shared" si="121"/>
        <v>9106</v>
      </c>
      <c r="DC81" s="37">
        <f t="shared" si="122"/>
        <v>9107</v>
      </c>
      <c r="DD81" s="37">
        <f t="shared" si="123"/>
        <v>9108</v>
      </c>
      <c r="DE81" s="37">
        <f t="shared" si="124"/>
        <v>9109</v>
      </c>
      <c r="DF81" s="39">
        <f t="shared" si="125"/>
        <v>9110</v>
      </c>
      <c r="DG81" s="36">
        <f t="shared" si="126"/>
        <v>9111</v>
      </c>
      <c r="DH81" s="37">
        <f t="shared" si="127"/>
        <v>9112</v>
      </c>
      <c r="DI81" s="37">
        <f t="shared" si="128"/>
        <v>9113</v>
      </c>
      <c r="DJ81" s="37">
        <f t="shared" si="129"/>
        <v>9114</v>
      </c>
      <c r="DK81" s="37">
        <f t="shared" si="130"/>
        <v>9115</v>
      </c>
      <c r="DL81" s="37">
        <f t="shared" si="131"/>
        <v>9116</v>
      </c>
      <c r="DM81" s="37">
        <f t="shared" si="132"/>
        <v>9117</v>
      </c>
      <c r="DN81" s="37">
        <f t="shared" si="133"/>
        <v>9118</v>
      </c>
      <c r="DO81" s="37">
        <f t="shared" si="134"/>
        <v>9119</v>
      </c>
      <c r="DP81" s="38">
        <f t="shared" si="135"/>
        <v>9120</v>
      </c>
      <c r="DR81" s="1206"/>
      <c r="DS81" s="1207"/>
      <c r="DT81" s="1207"/>
      <c r="DU81" s="1208"/>
    </row>
    <row r="82" spans="1:125" ht="5.85" customHeight="1" x14ac:dyDescent="0.3">
      <c r="A82" s="36">
        <f t="shared" si="136"/>
        <v>9121</v>
      </c>
      <c r="B82" s="37">
        <f t="shared" si="17"/>
        <v>9122</v>
      </c>
      <c r="C82" s="37">
        <f t="shared" si="18"/>
        <v>9123</v>
      </c>
      <c r="D82" s="37">
        <f t="shared" si="19"/>
        <v>9124</v>
      </c>
      <c r="E82" s="37">
        <f t="shared" si="20"/>
        <v>9125</v>
      </c>
      <c r="F82" s="37">
        <f t="shared" si="21"/>
        <v>9126</v>
      </c>
      <c r="G82" s="37">
        <f t="shared" si="22"/>
        <v>9127</v>
      </c>
      <c r="H82" s="37">
        <f t="shared" si="23"/>
        <v>9128</v>
      </c>
      <c r="I82" s="37">
        <f t="shared" si="24"/>
        <v>9129</v>
      </c>
      <c r="J82" s="38">
        <f t="shared" si="25"/>
        <v>9130</v>
      </c>
      <c r="K82" s="36">
        <f t="shared" si="26"/>
        <v>9131</v>
      </c>
      <c r="L82" s="37">
        <f t="shared" si="27"/>
        <v>9132</v>
      </c>
      <c r="M82" s="37">
        <f t="shared" si="28"/>
        <v>9133</v>
      </c>
      <c r="N82" s="37">
        <f t="shared" si="29"/>
        <v>9134</v>
      </c>
      <c r="O82" s="37">
        <f t="shared" si="30"/>
        <v>9135</v>
      </c>
      <c r="P82" s="37">
        <f t="shared" si="31"/>
        <v>9136</v>
      </c>
      <c r="Q82" s="37">
        <f t="shared" si="32"/>
        <v>9137</v>
      </c>
      <c r="R82" s="37">
        <f t="shared" si="33"/>
        <v>9138</v>
      </c>
      <c r="S82" s="37">
        <f t="shared" si="34"/>
        <v>9139</v>
      </c>
      <c r="T82" s="38">
        <f t="shared" si="35"/>
        <v>9140</v>
      </c>
      <c r="U82" s="36">
        <f t="shared" si="36"/>
        <v>9141</v>
      </c>
      <c r="V82" s="37">
        <f t="shared" si="37"/>
        <v>9142</v>
      </c>
      <c r="W82" s="37">
        <f t="shared" si="38"/>
        <v>9143</v>
      </c>
      <c r="X82" s="37">
        <f t="shared" si="39"/>
        <v>9144</v>
      </c>
      <c r="Y82" s="37">
        <f t="shared" si="40"/>
        <v>9145</v>
      </c>
      <c r="Z82" s="37">
        <f t="shared" si="41"/>
        <v>9146</v>
      </c>
      <c r="AA82" s="37">
        <f t="shared" si="42"/>
        <v>9147</v>
      </c>
      <c r="AB82" s="37">
        <f t="shared" si="43"/>
        <v>9148</v>
      </c>
      <c r="AC82" s="37">
        <f t="shared" si="44"/>
        <v>9149</v>
      </c>
      <c r="AD82" s="38">
        <f t="shared" si="45"/>
        <v>9150</v>
      </c>
      <c r="AE82" s="36">
        <f t="shared" si="46"/>
        <v>9151</v>
      </c>
      <c r="AF82" s="37">
        <f t="shared" si="47"/>
        <v>9152</v>
      </c>
      <c r="AG82" s="37">
        <f t="shared" si="48"/>
        <v>9153</v>
      </c>
      <c r="AH82" s="37">
        <f t="shared" si="49"/>
        <v>9154</v>
      </c>
      <c r="AI82" s="37">
        <f t="shared" si="50"/>
        <v>9155</v>
      </c>
      <c r="AJ82" s="37">
        <f t="shared" si="51"/>
        <v>9156</v>
      </c>
      <c r="AK82" s="37">
        <f t="shared" si="52"/>
        <v>9157</v>
      </c>
      <c r="AL82" s="37">
        <f t="shared" si="53"/>
        <v>9158</v>
      </c>
      <c r="AM82" s="37">
        <f t="shared" si="54"/>
        <v>9159</v>
      </c>
      <c r="AN82" s="38">
        <f t="shared" si="55"/>
        <v>9160</v>
      </c>
      <c r="AO82" s="36">
        <f t="shared" si="56"/>
        <v>9161</v>
      </c>
      <c r="AP82" s="37">
        <f t="shared" si="57"/>
        <v>9162</v>
      </c>
      <c r="AQ82" s="37">
        <f t="shared" si="58"/>
        <v>9163</v>
      </c>
      <c r="AR82" s="37">
        <f t="shared" si="59"/>
        <v>9164</v>
      </c>
      <c r="AS82" s="37">
        <f t="shared" si="60"/>
        <v>9165</v>
      </c>
      <c r="AT82" s="37">
        <f t="shared" si="61"/>
        <v>9166</v>
      </c>
      <c r="AU82" s="37">
        <f t="shared" si="62"/>
        <v>9167</v>
      </c>
      <c r="AV82" s="37">
        <f t="shared" si="63"/>
        <v>9168</v>
      </c>
      <c r="AW82" s="37">
        <f t="shared" si="64"/>
        <v>9169</v>
      </c>
      <c r="AX82" s="38">
        <f t="shared" si="65"/>
        <v>9170</v>
      </c>
      <c r="AY82" s="36">
        <f t="shared" si="66"/>
        <v>9171</v>
      </c>
      <c r="AZ82" s="37">
        <f t="shared" si="67"/>
        <v>9172</v>
      </c>
      <c r="BA82" s="37">
        <f t="shared" si="68"/>
        <v>9173</v>
      </c>
      <c r="BB82" s="37">
        <f t="shared" si="69"/>
        <v>9174</v>
      </c>
      <c r="BC82" s="37">
        <f t="shared" si="70"/>
        <v>9175</v>
      </c>
      <c r="BD82" s="37">
        <f t="shared" si="71"/>
        <v>9176</v>
      </c>
      <c r="BE82" s="37">
        <f t="shared" si="72"/>
        <v>9177</v>
      </c>
      <c r="BF82" s="37">
        <f t="shared" si="73"/>
        <v>9178</v>
      </c>
      <c r="BG82" s="37">
        <f t="shared" si="74"/>
        <v>9179</v>
      </c>
      <c r="BH82" s="38">
        <f t="shared" si="75"/>
        <v>9180</v>
      </c>
      <c r="BI82" s="36">
        <f t="shared" si="76"/>
        <v>9181</v>
      </c>
      <c r="BJ82" s="37">
        <f t="shared" si="77"/>
        <v>9182</v>
      </c>
      <c r="BK82" s="37">
        <f t="shared" si="78"/>
        <v>9183</v>
      </c>
      <c r="BL82" s="37">
        <f t="shared" si="79"/>
        <v>9184</v>
      </c>
      <c r="BM82" s="37">
        <f t="shared" si="80"/>
        <v>9185</v>
      </c>
      <c r="BN82" s="37">
        <f t="shared" si="81"/>
        <v>9186</v>
      </c>
      <c r="BO82" s="37">
        <f t="shared" si="82"/>
        <v>9187</v>
      </c>
      <c r="BP82" s="37">
        <f t="shared" si="83"/>
        <v>9188</v>
      </c>
      <c r="BQ82" s="37">
        <f t="shared" si="84"/>
        <v>9189</v>
      </c>
      <c r="BR82" s="39">
        <f t="shared" si="85"/>
        <v>9190</v>
      </c>
      <c r="BS82" s="36">
        <f t="shared" si="86"/>
        <v>9191</v>
      </c>
      <c r="BT82" s="37">
        <f t="shared" si="87"/>
        <v>9192</v>
      </c>
      <c r="BU82" s="37">
        <f t="shared" si="88"/>
        <v>9193</v>
      </c>
      <c r="BV82" s="37">
        <f t="shared" si="89"/>
        <v>9194</v>
      </c>
      <c r="BW82" s="37">
        <f t="shared" si="90"/>
        <v>9195</v>
      </c>
      <c r="BX82" s="37">
        <f t="shared" si="91"/>
        <v>9196</v>
      </c>
      <c r="BY82" s="37">
        <f t="shared" si="92"/>
        <v>9197</v>
      </c>
      <c r="BZ82" s="37">
        <f t="shared" si="93"/>
        <v>9198</v>
      </c>
      <c r="CA82" s="37">
        <f t="shared" si="94"/>
        <v>9199</v>
      </c>
      <c r="CB82" s="38">
        <f t="shared" si="95"/>
        <v>9200</v>
      </c>
      <c r="CC82" s="40">
        <f t="shared" si="96"/>
        <v>9201</v>
      </c>
      <c r="CD82" s="37">
        <f t="shared" si="97"/>
        <v>9202</v>
      </c>
      <c r="CE82" s="37">
        <f t="shared" si="98"/>
        <v>9203</v>
      </c>
      <c r="CF82" s="37">
        <f t="shared" si="99"/>
        <v>9204</v>
      </c>
      <c r="CG82" s="37">
        <f t="shared" si="100"/>
        <v>9205</v>
      </c>
      <c r="CH82" s="37">
        <f t="shared" si="101"/>
        <v>9206</v>
      </c>
      <c r="CI82" s="37">
        <f t="shared" si="102"/>
        <v>9207</v>
      </c>
      <c r="CJ82" s="37">
        <f t="shared" si="103"/>
        <v>9208</v>
      </c>
      <c r="CK82" s="37">
        <f t="shared" si="104"/>
        <v>9209</v>
      </c>
      <c r="CL82" s="39">
        <f t="shared" si="105"/>
        <v>9210</v>
      </c>
      <c r="CM82" s="36">
        <f t="shared" si="106"/>
        <v>9211</v>
      </c>
      <c r="CN82" s="37">
        <f t="shared" si="107"/>
        <v>9212</v>
      </c>
      <c r="CO82" s="37">
        <f t="shared" si="108"/>
        <v>9213</v>
      </c>
      <c r="CP82" s="37">
        <f t="shared" si="109"/>
        <v>9214</v>
      </c>
      <c r="CQ82" s="37">
        <f t="shared" si="110"/>
        <v>9215</v>
      </c>
      <c r="CR82" s="37">
        <f t="shared" si="111"/>
        <v>9216</v>
      </c>
      <c r="CS82" s="37">
        <f t="shared" si="112"/>
        <v>9217</v>
      </c>
      <c r="CT82" s="37">
        <f t="shared" si="113"/>
        <v>9218</v>
      </c>
      <c r="CU82" s="37">
        <f t="shared" si="114"/>
        <v>9219</v>
      </c>
      <c r="CV82" s="38">
        <f t="shared" si="115"/>
        <v>9220</v>
      </c>
      <c r="CW82" s="40">
        <f t="shared" si="116"/>
        <v>9221</v>
      </c>
      <c r="CX82" s="37">
        <f t="shared" si="117"/>
        <v>9222</v>
      </c>
      <c r="CY82" s="37">
        <f t="shared" si="118"/>
        <v>9223</v>
      </c>
      <c r="CZ82" s="37">
        <f t="shared" si="119"/>
        <v>9224</v>
      </c>
      <c r="DA82" s="37">
        <f t="shared" si="120"/>
        <v>9225</v>
      </c>
      <c r="DB82" s="37">
        <f t="shared" si="121"/>
        <v>9226</v>
      </c>
      <c r="DC82" s="37">
        <f t="shared" si="122"/>
        <v>9227</v>
      </c>
      <c r="DD82" s="37">
        <f t="shared" si="123"/>
        <v>9228</v>
      </c>
      <c r="DE82" s="37">
        <f t="shared" si="124"/>
        <v>9229</v>
      </c>
      <c r="DF82" s="39">
        <f t="shared" si="125"/>
        <v>9230</v>
      </c>
      <c r="DG82" s="36">
        <f t="shared" si="126"/>
        <v>9231</v>
      </c>
      <c r="DH82" s="37">
        <f t="shared" si="127"/>
        <v>9232</v>
      </c>
      <c r="DI82" s="37">
        <f t="shared" si="128"/>
        <v>9233</v>
      </c>
      <c r="DJ82" s="37">
        <f t="shared" si="129"/>
        <v>9234</v>
      </c>
      <c r="DK82" s="37">
        <f t="shared" si="130"/>
        <v>9235</v>
      </c>
      <c r="DL82" s="37">
        <f t="shared" si="131"/>
        <v>9236</v>
      </c>
      <c r="DM82" s="37">
        <f t="shared" si="132"/>
        <v>9237</v>
      </c>
      <c r="DN82" s="37">
        <f t="shared" si="133"/>
        <v>9238</v>
      </c>
      <c r="DO82" s="37">
        <f t="shared" si="134"/>
        <v>9239</v>
      </c>
      <c r="DP82" s="38">
        <f t="shared" si="135"/>
        <v>9240</v>
      </c>
      <c r="DR82" s="1206">
        <v>500</v>
      </c>
      <c r="DS82" s="1207"/>
      <c r="DT82" s="1207"/>
      <c r="DU82" s="1208"/>
    </row>
    <row r="83" spans="1:125" ht="5.85" customHeight="1" x14ac:dyDescent="0.3">
      <c r="A83" s="36">
        <f t="shared" si="136"/>
        <v>9241</v>
      </c>
      <c r="B83" s="37">
        <f t="shared" si="17"/>
        <v>9242</v>
      </c>
      <c r="C83" s="37">
        <f t="shared" si="18"/>
        <v>9243</v>
      </c>
      <c r="D83" s="37">
        <f t="shared" si="19"/>
        <v>9244</v>
      </c>
      <c r="E83" s="37">
        <f t="shared" si="20"/>
        <v>9245</v>
      </c>
      <c r="F83" s="37">
        <f t="shared" si="21"/>
        <v>9246</v>
      </c>
      <c r="G83" s="37">
        <f t="shared" si="22"/>
        <v>9247</v>
      </c>
      <c r="H83" s="37">
        <f t="shared" si="23"/>
        <v>9248</v>
      </c>
      <c r="I83" s="37">
        <f t="shared" si="24"/>
        <v>9249</v>
      </c>
      <c r="J83" s="38">
        <f t="shared" si="25"/>
        <v>9250</v>
      </c>
      <c r="K83" s="36">
        <f t="shared" si="26"/>
        <v>9251</v>
      </c>
      <c r="L83" s="37">
        <f t="shared" si="27"/>
        <v>9252</v>
      </c>
      <c r="M83" s="37">
        <f t="shared" si="28"/>
        <v>9253</v>
      </c>
      <c r="N83" s="37">
        <f t="shared" si="29"/>
        <v>9254</v>
      </c>
      <c r="O83" s="37">
        <f t="shared" si="30"/>
        <v>9255</v>
      </c>
      <c r="P83" s="37">
        <f t="shared" si="31"/>
        <v>9256</v>
      </c>
      <c r="Q83" s="37">
        <f t="shared" si="32"/>
        <v>9257</v>
      </c>
      <c r="R83" s="37">
        <f t="shared" si="33"/>
        <v>9258</v>
      </c>
      <c r="S83" s="37">
        <f t="shared" si="34"/>
        <v>9259</v>
      </c>
      <c r="T83" s="38">
        <f t="shared" si="35"/>
        <v>9260</v>
      </c>
      <c r="U83" s="36">
        <f t="shared" si="36"/>
        <v>9261</v>
      </c>
      <c r="V83" s="37">
        <f t="shared" si="37"/>
        <v>9262</v>
      </c>
      <c r="W83" s="37">
        <f t="shared" si="38"/>
        <v>9263</v>
      </c>
      <c r="X83" s="37">
        <f t="shared" si="39"/>
        <v>9264</v>
      </c>
      <c r="Y83" s="37">
        <f t="shared" si="40"/>
        <v>9265</v>
      </c>
      <c r="Z83" s="37">
        <f t="shared" si="41"/>
        <v>9266</v>
      </c>
      <c r="AA83" s="37">
        <f t="shared" si="42"/>
        <v>9267</v>
      </c>
      <c r="AB83" s="37">
        <f t="shared" si="43"/>
        <v>9268</v>
      </c>
      <c r="AC83" s="37">
        <f t="shared" si="44"/>
        <v>9269</v>
      </c>
      <c r="AD83" s="38">
        <f t="shared" si="45"/>
        <v>9270</v>
      </c>
      <c r="AE83" s="36">
        <f t="shared" si="46"/>
        <v>9271</v>
      </c>
      <c r="AF83" s="37">
        <f t="shared" si="47"/>
        <v>9272</v>
      </c>
      <c r="AG83" s="37">
        <f t="shared" si="48"/>
        <v>9273</v>
      </c>
      <c r="AH83" s="37">
        <f t="shared" si="49"/>
        <v>9274</v>
      </c>
      <c r="AI83" s="37">
        <f t="shared" si="50"/>
        <v>9275</v>
      </c>
      <c r="AJ83" s="37">
        <f t="shared" si="51"/>
        <v>9276</v>
      </c>
      <c r="AK83" s="37">
        <f t="shared" si="52"/>
        <v>9277</v>
      </c>
      <c r="AL83" s="37">
        <f t="shared" si="53"/>
        <v>9278</v>
      </c>
      <c r="AM83" s="37">
        <f t="shared" si="54"/>
        <v>9279</v>
      </c>
      <c r="AN83" s="38">
        <f t="shared" si="55"/>
        <v>9280</v>
      </c>
      <c r="AO83" s="36">
        <f t="shared" si="56"/>
        <v>9281</v>
      </c>
      <c r="AP83" s="37">
        <f t="shared" si="57"/>
        <v>9282</v>
      </c>
      <c r="AQ83" s="37">
        <f t="shared" si="58"/>
        <v>9283</v>
      </c>
      <c r="AR83" s="37">
        <f t="shared" si="59"/>
        <v>9284</v>
      </c>
      <c r="AS83" s="37">
        <f t="shared" si="60"/>
        <v>9285</v>
      </c>
      <c r="AT83" s="37">
        <f t="shared" si="61"/>
        <v>9286</v>
      </c>
      <c r="AU83" s="37">
        <f t="shared" si="62"/>
        <v>9287</v>
      </c>
      <c r="AV83" s="37">
        <f t="shared" si="63"/>
        <v>9288</v>
      </c>
      <c r="AW83" s="37">
        <f t="shared" si="64"/>
        <v>9289</v>
      </c>
      <c r="AX83" s="38">
        <f t="shared" si="65"/>
        <v>9290</v>
      </c>
      <c r="AY83" s="36">
        <f t="shared" si="66"/>
        <v>9291</v>
      </c>
      <c r="AZ83" s="37">
        <f t="shared" si="67"/>
        <v>9292</v>
      </c>
      <c r="BA83" s="37">
        <f t="shared" si="68"/>
        <v>9293</v>
      </c>
      <c r="BB83" s="37">
        <f t="shared" si="69"/>
        <v>9294</v>
      </c>
      <c r="BC83" s="37">
        <f t="shared" si="70"/>
        <v>9295</v>
      </c>
      <c r="BD83" s="37">
        <f t="shared" si="71"/>
        <v>9296</v>
      </c>
      <c r="BE83" s="37">
        <f t="shared" si="72"/>
        <v>9297</v>
      </c>
      <c r="BF83" s="37">
        <f t="shared" si="73"/>
        <v>9298</v>
      </c>
      <c r="BG83" s="37">
        <f t="shared" si="74"/>
        <v>9299</v>
      </c>
      <c r="BH83" s="38">
        <f t="shared" si="75"/>
        <v>9300</v>
      </c>
      <c r="BI83" s="36">
        <f t="shared" si="76"/>
        <v>9301</v>
      </c>
      <c r="BJ83" s="37">
        <f t="shared" si="77"/>
        <v>9302</v>
      </c>
      <c r="BK83" s="37">
        <f t="shared" si="78"/>
        <v>9303</v>
      </c>
      <c r="BL83" s="37">
        <f t="shared" si="79"/>
        <v>9304</v>
      </c>
      <c r="BM83" s="37">
        <f t="shared" si="80"/>
        <v>9305</v>
      </c>
      <c r="BN83" s="37">
        <f t="shared" si="81"/>
        <v>9306</v>
      </c>
      <c r="BO83" s="37">
        <f t="shared" si="82"/>
        <v>9307</v>
      </c>
      <c r="BP83" s="37">
        <f t="shared" si="83"/>
        <v>9308</v>
      </c>
      <c r="BQ83" s="37">
        <f t="shared" si="84"/>
        <v>9309</v>
      </c>
      <c r="BR83" s="39">
        <f t="shared" si="85"/>
        <v>9310</v>
      </c>
      <c r="BS83" s="36">
        <f t="shared" si="86"/>
        <v>9311</v>
      </c>
      <c r="BT83" s="37">
        <f t="shared" si="87"/>
        <v>9312</v>
      </c>
      <c r="BU83" s="37">
        <f t="shared" si="88"/>
        <v>9313</v>
      </c>
      <c r="BV83" s="37">
        <f t="shared" si="89"/>
        <v>9314</v>
      </c>
      <c r="BW83" s="37">
        <f t="shared" si="90"/>
        <v>9315</v>
      </c>
      <c r="BX83" s="37">
        <f t="shared" si="91"/>
        <v>9316</v>
      </c>
      <c r="BY83" s="37">
        <f t="shared" si="92"/>
        <v>9317</v>
      </c>
      <c r="BZ83" s="37">
        <f t="shared" si="93"/>
        <v>9318</v>
      </c>
      <c r="CA83" s="37">
        <f t="shared" si="94"/>
        <v>9319</v>
      </c>
      <c r="CB83" s="38">
        <f t="shared" si="95"/>
        <v>9320</v>
      </c>
      <c r="CC83" s="40">
        <f t="shared" si="96"/>
        <v>9321</v>
      </c>
      <c r="CD83" s="37">
        <f t="shared" si="97"/>
        <v>9322</v>
      </c>
      <c r="CE83" s="37">
        <f t="shared" si="98"/>
        <v>9323</v>
      </c>
      <c r="CF83" s="37">
        <f t="shared" si="99"/>
        <v>9324</v>
      </c>
      <c r="CG83" s="37">
        <f t="shared" si="100"/>
        <v>9325</v>
      </c>
      <c r="CH83" s="37">
        <f t="shared" si="101"/>
        <v>9326</v>
      </c>
      <c r="CI83" s="37">
        <f t="shared" si="102"/>
        <v>9327</v>
      </c>
      <c r="CJ83" s="37">
        <f t="shared" si="103"/>
        <v>9328</v>
      </c>
      <c r="CK83" s="37">
        <f t="shared" si="104"/>
        <v>9329</v>
      </c>
      <c r="CL83" s="39">
        <f t="shared" si="105"/>
        <v>9330</v>
      </c>
      <c r="CM83" s="36">
        <f t="shared" si="106"/>
        <v>9331</v>
      </c>
      <c r="CN83" s="37">
        <f t="shared" si="107"/>
        <v>9332</v>
      </c>
      <c r="CO83" s="37">
        <f t="shared" si="108"/>
        <v>9333</v>
      </c>
      <c r="CP83" s="37">
        <f t="shared" si="109"/>
        <v>9334</v>
      </c>
      <c r="CQ83" s="37">
        <f t="shared" si="110"/>
        <v>9335</v>
      </c>
      <c r="CR83" s="37">
        <f t="shared" si="111"/>
        <v>9336</v>
      </c>
      <c r="CS83" s="37">
        <f t="shared" si="112"/>
        <v>9337</v>
      </c>
      <c r="CT83" s="37">
        <f t="shared" si="113"/>
        <v>9338</v>
      </c>
      <c r="CU83" s="37">
        <f t="shared" si="114"/>
        <v>9339</v>
      </c>
      <c r="CV83" s="38">
        <f t="shared" si="115"/>
        <v>9340</v>
      </c>
      <c r="CW83" s="40">
        <f t="shared" si="116"/>
        <v>9341</v>
      </c>
      <c r="CX83" s="37">
        <f t="shared" si="117"/>
        <v>9342</v>
      </c>
      <c r="CY83" s="37">
        <f t="shared" si="118"/>
        <v>9343</v>
      </c>
      <c r="CZ83" s="37">
        <f t="shared" si="119"/>
        <v>9344</v>
      </c>
      <c r="DA83" s="37">
        <f t="shared" si="120"/>
        <v>9345</v>
      </c>
      <c r="DB83" s="37">
        <f t="shared" si="121"/>
        <v>9346</v>
      </c>
      <c r="DC83" s="37">
        <f t="shared" si="122"/>
        <v>9347</v>
      </c>
      <c r="DD83" s="37">
        <f t="shared" si="123"/>
        <v>9348</v>
      </c>
      <c r="DE83" s="37">
        <f t="shared" si="124"/>
        <v>9349</v>
      </c>
      <c r="DF83" s="39">
        <f t="shared" si="125"/>
        <v>9350</v>
      </c>
      <c r="DG83" s="36">
        <f t="shared" si="126"/>
        <v>9351</v>
      </c>
      <c r="DH83" s="37">
        <f t="shared" si="127"/>
        <v>9352</v>
      </c>
      <c r="DI83" s="37">
        <f t="shared" si="128"/>
        <v>9353</v>
      </c>
      <c r="DJ83" s="37">
        <f t="shared" si="129"/>
        <v>9354</v>
      </c>
      <c r="DK83" s="37">
        <f t="shared" si="130"/>
        <v>9355</v>
      </c>
      <c r="DL83" s="37">
        <f t="shared" si="131"/>
        <v>9356</v>
      </c>
      <c r="DM83" s="37">
        <f t="shared" si="132"/>
        <v>9357</v>
      </c>
      <c r="DN83" s="37">
        <f t="shared" si="133"/>
        <v>9358</v>
      </c>
      <c r="DO83" s="37">
        <f t="shared" si="134"/>
        <v>9359</v>
      </c>
      <c r="DP83" s="38">
        <f t="shared" si="135"/>
        <v>9360</v>
      </c>
      <c r="DR83" s="1206"/>
      <c r="DS83" s="1207"/>
      <c r="DT83" s="1207"/>
      <c r="DU83" s="1208"/>
    </row>
    <row r="84" spans="1:125" ht="5.85" customHeight="1" x14ac:dyDescent="0.3">
      <c r="A84" s="36">
        <f t="shared" si="136"/>
        <v>9361</v>
      </c>
      <c r="B84" s="37">
        <f t="shared" si="17"/>
        <v>9362</v>
      </c>
      <c r="C84" s="37">
        <f t="shared" si="18"/>
        <v>9363</v>
      </c>
      <c r="D84" s="37">
        <f t="shared" si="19"/>
        <v>9364</v>
      </c>
      <c r="E84" s="37">
        <f t="shared" si="20"/>
        <v>9365</v>
      </c>
      <c r="F84" s="37">
        <f t="shared" si="21"/>
        <v>9366</v>
      </c>
      <c r="G84" s="37">
        <f t="shared" si="22"/>
        <v>9367</v>
      </c>
      <c r="H84" s="37">
        <f t="shared" si="23"/>
        <v>9368</v>
      </c>
      <c r="I84" s="37">
        <f t="shared" si="24"/>
        <v>9369</v>
      </c>
      <c r="J84" s="38">
        <f t="shared" si="25"/>
        <v>9370</v>
      </c>
      <c r="K84" s="36">
        <f t="shared" si="26"/>
        <v>9371</v>
      </c>
      <c r="L84" s="37">
        <f t="shared" si="27"/>
        <v>9372</v>
      </c>
      <c r="M84" s="37">
        <f t="shared" si="28"/>
        <v>9373</v>
      </c>
      <c r="N84" s="37">
        <f t="shared" si="29"/>
        <v>9374</v>
      </c>
      <c r="O84" s="37">
        <f t="shared" si="30"/>
        <v>9375</v>
      </c>
      <c r="P84" s="37">
        <f t="shared" si="31"/>
        <v>9376</v>
      </c>
      <c r="Q84" s="37">
        <f t="shared" si="32"/>
        <v>9377</v>
      </c>
      <c r="R84" s="37">
        <f t="shared" si="33"/>
        <v>9378</v>
      </c>
      <c r="S84" s="37">
        <f t="shared" si="34"/>
        <v>9379</v>
      </c>
      <c r="T84" s="38">
        <f t="shared" si="35"/>
        <v>9380</v>
      </c>
      <c r="U84" s="36">
        <f t="shared" si="36"/>
        <v>9381</v>
      </c>
      <c r="V84" s="37">
        <f t="shared" si="37"/>
        <v>9382</v>
      </c>
      <c r="W84" s="37">
        <f t="shared" si="38"/>
        <v>9383</v>
      </c>
      <c r="X84" s="37">
        <f t="shared" si="39"/>
        <v>9384</v>
      </c>
      <c r="Y84" s="37">
        <f t="shared" si="40"/>
        <v>9385</v>
      </c>
      <c r="Z84" s="37">
        <f t="shared" si="41"/>
        <v>9386</v>
      </c>
      <c r="AA84" s="37">
        <f t="shared" si="42"/>
        <v>9387</v>
      </c>
      <c r="AB84" s="37">
        <f t="shared" si="43"/>
        <v>9388</v>
      </c>
      <c r="AC84" s="37">
        <f t="shared" si="44"/>
        <v>9389</v>
      </c>
      <c r="AD84" s="38">
        <f t="shared" si="45"/>
        <v>9390</v>
      </c>
      <c r="AE84" s="36">
        <f t="shared" si="46"/>
        <v>9391</v>
      </c>
      <c r="AF84" s="37">
        <f t="shared" si="47"/>
        <v>9392</v>
      </c>
      <c r="AG84" s="37">
        <f t="shared" si="48"/>
        <v>9393</v>
      </c>
      <c r="AH84" s="37">
        <f t="shared" si="49"/>
        <v>9394</v>
      </c>
      <c r="AI84" s="37">
        <f t="shared" si="50"/>
        <v>9395</v>
      </c>
      <c r="AJ84" s="37">
        <f t="shared" si="51"/>
        <v>9396</v>
      </c>
      <c r="AK84" s="37">
        <f t="shared" si="52"/>
        <v>9397</v>
      </c>
      <c r="AL84" s="37">
        <f t="shared" si="53"/>
        <v>9398</v>
      </c>
      <c r="AM84" s="37">
        <f t="shared" si="54"/>
        <v>9399</v>
      </c>
      <c r="AN84" s="38">
        <f t="shared" si="55"/>
        <v>9400</v>
      </c>
      <c r="AO84" s="36">
        <f t="shared" si="56"/>
        <v>9401</v>
      </c>
      <c r="AP84" s="37">
        <f t="shared" si="57"/>
        <v>9402</v>
      </c>
      <c r="AQ84" s="37">
        <f t="shared" si="58"/>
        <v>9403</v>
      </c>
      <c r="AR84" s="37">
        <f t="shared" si="59"/>
        <v>9404</v>
      </c>
      <c r="AS84" s="37">
        <f t="shared" si="60"/>
        <v>9405</v>
      </c>
      <c r="AT84" s="37">
        <f t="shared" si="61"/>
        <v>9406</v>
      </c>
      <c r="AU84" s="37">
        <f t="shared" si="62"/>
        <v>9407</v>
      </c>
      <c r="AV84" s="37">
        <f t="shared" si="63"/>
        <v>9408</v>
      </c>
      <c r="AW84" s="37">
        <f t="shared" si="64"/>
        <v>9409</v>
      </c>
      <c r="AX84" s="38">
        <f t="shared" si="65"/>
        <v>9410</v>
      </c>
      <c r="AY84" s="36">
        <f t="shared" si="66"/>
        <v>9411</v>
      </c>
      <c r="AZ84" s="37">
        <f t="shared" si="67"/>
        <v>9412</v>
      </c>
      <c r="BA84" s="37">
        <f t="shared" si="68"/>
        <v>9413</v>
      </c>
      <c r="BB84" s="37">
        <f t="shared" si="69"/>
        <v>9414</v>
      </c>
      <c r="BC84" s="37">
        <f t="shared" si="70"/>
        <v>9415</v>
      </c>
      <c r="BD84" s="37">
        <f t="shared" si="71"/>
        <v>9416</v>
      </c>
      <c r="BE84" s="37">
        <f t="shared" si="72"/>
        <v>9417</v>
      </c>
      <c r="BF84" s="37">
        <f t="shared" si="73"/>
        <v>9418</v>
      </c>
      <c r="BG84" s="37">
        <f t="shared" si="74"/>
        <v>9419</v>
      </c>
      <c r="BH84" s="38">
        <f t="shared" si="75"/>
        <v>9420</v>
      </c>
      <c r="BI84" s="36">
        <f t="shared" si="76"/>
        <v>9421</v>
      </c>
      <c r="BJ84" s="37">
        <f t="shared" si="77"/>
        <v>9422</v>
      </c>
      <c r="BK84" s="37">
        <f t="shared" si="78"/>
        <v>9423</v>
      </c>
      <c r="BL84" s="37">
        <f t="shared" si="79"/>
        <v>9424</v>
      </c>
      <c r="BM84" s="37">
        <f t="shared" si="80"/>
        <v>9425</v>
      </c>
      <c r="BN84" s="37">
        <f t="shared" si="81"/>
        <v>9426</v>
      </c>
      <c r="BO84" s="37">
        <f t="shared" si="82"/>
        <v>9427</v>
      </c>
      <c r="BP84" s="37">
        <f t="shared" si="83"/>
        <v>9428</v>
      </c>
      <c r="BQ84" s="37">
        <f t="shared" si="84"/>
        <v>9429</v>
      </c>
      <c r="BR84" s="39">
        <f t="shared" si="85"/>
        <v>9430</v>
      </c>
      <c r="BS84" s="36">
        <f t="shared" si="86"/>
        <v>9431</v>
      </c>
      <c r="BT84" s="37">
        <f t="shared" si="87"/>
        <v>9432</v>
      </c>
      <c r="BU84" s="37">
        <f t="shared" si="88"/>
        <v>9433</v>
      </c>
      <c r="BV84" s="37">
        <f t="shared" si="89"/>
        <v>9434</v>
      </c>
      <c r="BW84" s="37">
        <f t="shared" si="90"/>
        <v>9435</v>
      </c>
      <c r="BX84" s="37">
        <f t="shared" si="91"/>
        <v>9436</v>
      </c>
      <c r="BY84" s="37">
        <f t="shared" si="92"/>
        <v>9437</v>
      </c>
      <c r="BZ84" s="37">
        <f t="shared" si="93"/>
        <v>9438</v>
      </c>
      <c r="CA84" s="37">
        <f t="shared" si="94"/>
        <v>9439</v>
      </c>
      <c r="CB84" s="38">
        <f t="shared" si="95"/>
        <v>9440</v>
      </c>
      <c r="CC84" s="40">
        <f t="shared" si="96"/>
        <v>9441</v>
      </c>
      <c r="CD84" s="37">
        <f t="shared" si="97"/>
        <v>9442</v>
      </c>
      <c r="CE84" s="37">
        <f t="shared" si="98"/>
        <v>9443</v>
      </c>
      <c r="CF84" s="37">
        <f t="shared" si="99"/>
        <v>9444</v>
      </c>
      <c r="CG84" s="37">
        <f t="shared" si="100"/>
        <v>9445</v>
      </c>
      <c r="CH84" s="37">
        <f t="shared" si="101"/>
        <v>9446</v>
      </c>
      <c r="CI84" s="37">
        <f t="shared" si="102"/>
        <v>9447</v>
      </c>
      <c r="CJ84" s="37">
        <f t="shared" si="103"/>
        <v>9448</v>
      </c>
      <c r="CK84" s="37">
        <f t="shared" si="104"/>
        <v>9449</v>
      </c>
      <c r="CL84" s="39">
        <f t="shared" si="105"/>
        <v>9450</v>
      </c>
      <c r="CM84" s="36">
        <f t="shared" si="106"/>
        <v>9451</v>
      </c>
      <c r="CN84" s="37">
        <f t="shared" si="107"/>
        <v>9452</v>
      </c>
      <c r="CO84" s="37">
        <f t="shared" si="108"/>
        <v>9453</v>
      </c>
      <c r="CP84" s="37">
        <f t="shared" si="109"/>
        <v>9454</v>
      </c>
      <c r="CQ84" s="37">
        <f t="shared" si="110"/>
        <v>9455</v>
      </c>
      <c r="CR84" s="37">
        <f t="shared" si="111"/>
        <v>9456</v>
      </c>
      <c r="CS84" s="37">
        <f t="shared" si="112"/>
        <v>9457</v>
      </c>
      <c r="CT84" s="37">
        <f t="shared" si="113"/>
        <v>9458</v>
      </c>
      <c r="CU84" s="37">
        <f t="shared" si="114"/>
        <v>9459</v>
      </c>
      <c r="CV84" s="38">
        <f t="shared" si="115"/>
        <v>9460</v>
      </c>
      <c r="CW84" s="40">
        <f t="shared" si="116"/>
        <v>9461</v>
      </c>
      <c r="CX84" s="37">
        <f t="shared" si="117"/>
        <v>9462</v>
      </c>
      <c r="CY84" s="37">
        <f t="shared" si="118"/>
        <v>9463</v>
      </c>
      <c r="CZ84" s="37">
        <f t="shared" si="119"/>
        <v>9464</v>
      </c>
      <c r="DA84" s="37">
        <f t="shared" si="120"/>
        <v>9465</v>
      </c>
      <c r="DB84" s="37">
        <f t="shared" si="121"/>
        <v>9466</v>
      </c>
      <c r="DC84" s="37">
        <f t="shared" si="122"/>
        <v>9467</v>
      </c>
      <c r="DD84" s="37">
        <f t="shared" si="123"/>
        <v>9468</v>
      </c>
      <c r="DE84" s="37">
        <f t="shared" si="124"/>
        <v>9469</v>
      </c>
      <c r="DF84" s="39">
        <f t="shared" si="125"/>
        <v>9470</v>
      </c>
      <c r="DG84" s="36">
        <f t="shared" si="126"/>
        <v>9471</v>
      </c>
      <c r="DH84" s="37">
        <f t="shared" si="127"/>
        <v>9472</v>
      </c>
      <c r="DI84" s="37">
        <f t="shared" si="128"/>
        <v>9473</v>
      </c>
      <c r="DJ84" s="37">
        <f t="shared" si="129"/>
        <v>9474</v>
      </c>
      <c r="DK84" s="37">
        <f t="shared" si="130"/>
        <v>9475</v>
      </c>
      <c r="DL84" s="37">
        <f t="shared" si="131"/>
        <v>9476</v>
      </c>
      <c r="DM84" s="37">
        <f t="shared" si="132"/>
        <v>9477</v>
      </c>
      <c r="DN84" s="37">
        <f t="shared" si="133"/>
        <v>9478</v>
      </c>
      <c r="DO84" s="37">
        <f t="shared" si="134"/>
        <v>9479</v>
      </c>
      <c r="DP84" s="38">
        <f t="shared" si="135"/>
        <v>9480</v>
      </c>
      <c r="DR84" s="1206"/>
      <c r="DS84" s="1207"/>
      <c r="DT84" s="1207"/>
      <c r="DU84" s="1208"/>
    </row>
    <row r="85" spans="1:125" ht="5.85" customHeight="1" x14ac:dyDescent="0.3">
      <c r="A85" s="36">
        <f t="shared" si="136"/>
        <v>9481</v>
      </c>
      <c r="B85" s="37">
        <f t="shared" si="17"/>
        <v>9482</v>
      </c>
      <c r="C85" s="37">
        <f t="shared" si="18"/>
        <v>9483</v>
      </c>
      <c r="D85" s="37">
        <f t="shared" si="19"/>
        <v>9484</v>
      </c>
      <c r="E85" s="37">
        <f t="shared" si="20"/>
        <v>9485</v>
      </c>
      <c r="F85" s="37">
        <f t="shared" si="21"/>
        <v>9486</v>
      </c>
      <c r="G85" s="37">
        <f t="shared" si="22"/>
        <v>9487</v>
      </c>
      <c r="H85" s="37">
        <f t="shared" si="23"/>
        <v>9488</v>
      </c>
      <c r="I85" s="37">
        <f t="shared" si="24"/>
        <v>9489</v>
      </c>
      <c r="J85" s="38">
        <f t="shared" si="25"/>
        <v>9490</v>
      </c>
      <c r="K85" s="36">
        <f t="shared" si="26"/>
        <v>9491</v>
      </c>
      <c r="L85" s="37">
        <f t="shared" si="27"/>
        <v>9492</v>
      </c>
      <c r="M85" s="37">
        <f t="shared" si="28"/>
        <v>9493</v>
      </c>
      <c r="N85" s="37">
        <f t="shared" si="29"/>
        <v>9494</v>
      </c>
      <c r="O85" s="37">
        <f t="shared" si="30"/>
        <v>9495</v>
      </c>
      <c r="P85" s="37">
        <f t="shared" si="31"/>
        <v>9496</v>
      </c>
      <c r="Q85" s="37">
        <f t="shared" si="32"/>
        <v>9497</v>
      </c>
      <c r="R85" s="37">
        <f t="shared" si="33"/>
        <v>9498</v>
      </c>
      <c r="S85" s="37">
        <f t="shared" si="34"/>
        <v>9499</v>
      </c>
      <c r="T85" s="38">
        <f t="shared" si="35"/>
        <v>9500</v>
      </c>
      <c r="U85" s="36">
        <f t="shared" si="36"/>
        <v>9501</v>
      </c>
      <c r="V85" s="37">
        <f t="shared" si="37"/>
        <v>9502</v>
      </c>
      <c r="W85" s="37">
        <f t="shared" si="38"/>
        <v>9503</v>
      </c>
      <c r="X85" s="37">
        <f t="shared" si="39"/>
        <v>9504</v>
      </c>
      <c r="Y85" s="37">
        <f t="shared" si="40"/>
        <v>9505</v>
      </c>
      <c r="Z85" s="37">
        <f t="shared" si="41"/>
        <v>9506</v>
      </c>
      <c r="AA85" s="37">
        <f t="shared" si="42"/>
        <v>9507</v>
      </c>
      <c r="AB85" s="37">
        <f t="shared" si="43"/>
        <v>9508</v>
      </c>
      <c r="AC85" s="37">
        <f t="shared" si="44"/>
        <v>9509</v>
      </c>
      <c r="AD85" s="38">
        <f t="shared" si="45"/>
        <v>9510</v>
      </c>
      <c r="AE85" s="36">
        <f t="shared" si="46"/>
        <v>9511</v>
      </c>
      <c r="AF85" s="37">
        <f t="shared" si="47"/>
        <v>9512</v>
      </c>
      <c r="AG85" s="37">
        <f t="shared" si="48"/>
        <v>9513</v>
      </c>
      <c r="AH85" s="37">
        <f t="shared" si="49"/>
        <v>9514</v>
      </c>
      <c r="AI85" s="37">
        <f t="shared" si="50"/>
        <v>9515</v>
      </c>
      <c r="AJ85" s="37">
        <f t="shared" si="51"/>
        <v>9516</v>
      </c>
      <c r="AK85" s="37">
        <f t="shared" si="52"/>
        <v>9517</v>
      </c>
      <c r="AL85" s="37">
        <f t="shared" si="53"/>
        <v>9518</v>
      </c>
      <c r="AM85" s="37">
        <f t="shared" si="54"/>
        <v>9519</v>
      </c>
      <c r="AN85" s="38">
        <f t="shared" si="55"/>
        <v>9520</v>
      </c>
      <c r="AO85" s="36">
        <f t="shared" si="56"/>
        <v>9521</v>
      </c>
      <c r="AP85" s="37">
        <f t="shared" si="57"/>
        <v>9522</v>
      </c>
      <c r="AQ85" s="37">
        <f t="shared" si="58"/>
        <v>9523</v>
      </c>
      <c r="AR85" s="37">
        <f t="shared" si="59"/>
        <v>9524</v>
      </c>
      <c r="AS85" s="37">
        <f t="shared" si="60"/>
        <v>9525</v>
      </c>
      <c r="AT85" s="37">
        <f t="shared" si="61"/>
        <v>9526</v>
      </c>
      <c r="AU85" s="37">
        <f t="shared" si="62"/>
        <v>9527</v>
      </c>
      <c r="AV85" s="37">
        <f t="shared" si="63"/>
        <v>9528</v>
      </c>
      <c r="AW85" s="37">
        <f t="shared" si="64"/>
        <v>9529</v>
      </c>
      <c r="AX85" s="38">
        <f t="shared" si="65"/>
        <v>9530</v>
      </c>
      <c r="AY85" s="36">
        <f t="shared" si="66"/>
        <v>9531</v>
      </c>
      <c r="AZ85" s="37">
        <f t="shared" si="67"/>
        <v>9532</v>
      </c>
      <c r="BA85" s="37">
        <f t="shared" si="68"/>
        <v>9533</v>
      </c>
      <c r="BB85" s="37">
        <f t="shared" si="69"/>
        <v>9534</v>
      </c>
      <c r="BC85" s="37">
        <f t="shared" si="70"/>
        <v>9535</v>
      </c>
      <c r="BD85" s="37">
        <f t="shared" si="71"/>
        <v>9536</v>
      </c>
      <c r="BE85" s="37">
        <f t="shared" si="72"/>
        <v>9537</v>
      </c>
      <c r="BF85" s="37">
        <f t="shared" si="73"/>
        <v>9538</v>
      </c>
      <c r="BG85" s="37">
        <f t="shared" si="74"/>
        <v>9539</v>
      </c>
      <c r="BH85" s="38">
        <f t="shared" si="75"/>
        <v>9540</v>
      </c>
      <c r="BI85" s="36">
        <f t="shared" si="76"/>
        <v>9541</v>
      </c>
      <c r="BJ85" s="37">
        <f t="shared" si="77"/>
        <v>9542</v>
      </c>
      <c r="BK85" s="37">
        <f t="shared" si="78"/>
        <v>9543</v>
      </c>
      <c r="BL85" s="37">
        <f t="shared" si="79"/>
        <v>9544</v>
      </c>
      <c r="BM85" s="37">
        <f t="shared" si="80"/>
        <v>9545</v>
      </c>
      <c r="BN85" s="37">
        <f t="shared" si="81"/>
        <v>9546</v>
      </c>
      <c r="BO85" s="37">
        <f t="shared" si="82"/>
        <v>9547</v>
      </c>
      <c r="BP85" s="37">
        <f t="shared" si="83"/>
        <v>9548</v>
      </c>
      <c r="BQ85" s="37">
        <f t="shared" si="84"/>
        <v>9549</v>
      </c>
      <c r="BR85" s="39">
        <f t="shared" si="85"/>
        <v>9550</v>
      </c>
      <c r="BS85" s="36">
        <f t="shared" si="86"/>
        <v>9551</v>
      </c>
      <c r="BT85" s="37">
        <f t="shared" si="87"/>
        <v>9552</v>
      </c>
      <c r="BU85" s="37">
        <f t="shared" si="88"/>
        <v>9553</v>
      </c>
      <c r="BV85" s="37">
        <f t="shared" si="89"/>
        <v>9554</v>
      </c>
      <c r="BW85" s="37">
        <f t="shared" si="90"/>
        <v>9555</v>
      </c>
      <c r="BX85" s="37">
        <f t="shared" si="91"/>
        <v>9556</v>
      </c>
      <c r="BY85" s="37">
        <f t="shared" si="92"/>
        <v>9557</v>
      </c>
      <c r="BZ85" s="37">
        <f t="shared" si="93"/>
        <v>9558</v>
      </c>
      <c r="CA85" s="37">
        <f t="shared" si="94"/>
        <v>9559</v>
      </c>
      <c r="CB85" s="38">
        <f t="shared" si="95"/>
        <v>9560</v>
      </c>
      <c r="CC85" s="40">
        <f t="shared" si="96"/>
        <v>9561</v>
      </c>
      <c r="CD85" s="37">
        <f t="shared" si="97"/>
        <v>9562</v>
      </c>
      <c r="CE85" s="37">
        <f t="shared" si="98"/>
        <v>9563</v>
      </c>
      <c r="CF85" s="37">
        <f t="shared" si="99"/>
        <v>9564</v>
      </c>
      <c r="CG85" s="37">
        <f t="shared" si="100"/>
        <v>9565</v>
      </c>
      <c r="CH85" s="37">
        <f t="shared" si="101"/>
        <v>9566</v>
      </c>
      <c r="CI85" s="37">
        <f t="shared" si="102"/>
        <v>9567</v>
      </c>
      <c r="CJ85" s="37">
        <f t="shared" si="103"/>
        <v>9568</v>
      </c>
      <c r="CK85" s="37">
        <f t="shared" si="104"/>
        <v>9569</v>
      </c>
      <c r="CL85" s="39">
        <f t="shared" si="105"/>
        <v>9570</v>
      </c>
      <c r="CM85" s="36">
        <f t="shared" si="106"/>
        <v>9571</v>
      </c>
      <c r="CN85" s="37">
        <f t="shared" si="107"/>
        <v>9572</v>
      </c>
      <c r="CO85" s="37">
        <f t="shared" si="108"/>
        <v>9573</v>
      </c>
      <c r="CP85" s="37">
        <f t="shared" si="109"/>
        <v>9574</v>
      </c>
      <c r="CQ85" s="37">
        <f t="shared" si="110"/>
        <v>9575</v>
      </c>
      <c r="CR85" s="37">
        <f t="shared" si="111"/>
        <v>9576</v>
      </c>
      <c r="CS85" s="37">
        <f t="shared" si="112"/>
        <v>9577</v>
      </c>
      <c r="CT85" s="37">
        <f t="shared" si="113"/>
        <v>9578</v>
      </c>
      <c r="CU85" s="37">
        <f t="shared" si="114"/>
        <v>9579</v>
      </c>
      <c r="CV85" s="38">
        <f t="shared" si="115"/>
        <v>9580</v>
      </c>
      <c r="CW85" s="40">
        <f t="shared" si="116"/>
        <v>9581</v>
      </c>
      <c r="CX85" s="37">
        <f t="shared" si="117"/>
        <v>9582</v>
      </c>
      <c r="CY85" s="37">
        <f t="shared" si="118"/>
        <v>9583</v>
      </c>
      <c r="CZ85" s="37">
        <f t="shared" si="119"/>
        <v>9584</v>
      </c>
      <c r="DA85" s="37">
        <f t="shared" si="120"/>
        <v>9585</v>
      </c>
      <c r="DB85" s="37">
        <f t="shared" si="121"/>
        <v>9586</v>
      </c>
      <c r="DC85" s="37">
        <f t="shared" si="122"/>
        <v>9587</v>
      </c>
      <c r="DD85" s="37">
        <f t="shared" si="123"/>
        <v>9588</v>
      </c>
      <c r="DE85" s="37">
        <f t="shared" si="124"/>
        <v>9589</v>
      </c>
      <c r="DF85" s="39">
        <f t="shared" si="125"/>
        <v>9590</v>
      </c>
      <c r="DG85" s="36">
        <f t="shared" si="126"/>
        <v>9591</v>
      </c>
      <c r="DH85" s="37">
        <f t="shared" si="127"/>
        <v>9592</v>
      </c>
      <c r="DI85" s="37">
        <f t="shared" si="128"/>
        <v>9593</v>
      </c>
      <c r="DJ85" s="37">
        <f t="shared" si="129"/>
        <v>9594</v>
      </c>
      <c r="DK85" s="37">
        <f t="shared" si="130"/>
        <v>9595</v>
      </c>
      <c r="DL85" s="37">
        <f t="shared" si="131"/>
        <v>9596</v>
      </c>
      <c r="DM85" s="37">
        <f t="shared" si="132"/>
        <v>9597</v>
      </c>
      <c r="DN85" s="37">
        <f t="shared" si="133"/>
        <v>9598</v>
      </c>
      <c r="DO85" s="37">
        <f t="shared" si="134"/>
        <v>9599</v>
      </c>
      <c r="DP85" s="38">
        <f t="shared" si="135"/>
        <v>9600</v>
      </c>
      <c r="DR85" s="1206">
        <v>600</v>
      </c>
      <c r="DS85" s="1207"/>
      <c r="DT85" s="1207"/>
      <c r="DU85" s="1208"/>
    </row>
    <row r="86" spans="1:125" ht="5.85" customHeight="1" x14ac:dyDescent="0.3">
      <c r="A86" s="36">
        <f t="shared" si="136"/>
        <v>9601</v>
      </c>
      <c r="B86" s="37">
        <f t="shared" si="17"/>
        <v>9602</v>
      </c>
      <c r="C86" s="37">
        <f t="shared" si="18"/>
        <v>9603</v>
      </c>
      <c r="D86" s="37">
        <f t="shared" si="19"/>
        <v>9604</v>
      </c>
      <c r="E86" s="37">
        <f t="shared" si="20"/>
        <v>9605</v>
      </c>
      <c r="F86" s="37">
        <f t="shared" si="21"/>
        <v>9606</v>
      </c>
      <c r="G86" s="37">
        <f t="shared" si="22"/>
        <v>9607</v>
      </c>
      <c r="H86" s="37">
        <f t="shared" si="23"/>
        <v>9608</v>
      </c>
      <c r="I86" s="37">
        <f t="shared" si="24"/>
        <v>9609</v>
      </c>
      <c r="J86" s="38">
        <f t="shared" si="25"/>
        <v>9610</v>
      </c>
      <c r="K86" s="36">
        <f t="shared" si="26"/>
        <v>9611</v>
      </c>
      <c r="L86" s="37">
        <f t="shared" si="27"/>
        <v>9612</v>
      </c>
      <c r="M86" s="37">
        <f t="shared" si="28"/>
        <v>9613</v>
      </c>
      <c r="N86" s="37">
        <f t="shared" si="29"/>
        <v>9614</v>
      </c>
      <c r="O86" s="37">
        <f t="shared" si="30"/>
        <v>9615</v>
      </c>
      <c r="P86" s="37">
        <f t="shared" si="31"/>
        <v>9616</v>
      </c>
      <c r="Q86" s="37">
        <f t="shared" si="32"/>
        <v>9617</v>
      </c>
      <c r="R86" s="37">
        <f t="shared" si="33"/>
        <v>9618</v>
      </c>
      <c r="S86" s="37">
        <f t="shared" si="34"/>
        <v>9619</v>
      </c>
      <c r="T86" s="38">
        <f t="shared" si="35"/>
        <v>9620</v>
      </c>
      <c r="U86" s="36">
        <f t="shared" si="36"/>
        <v>9621</v>
      </c>
      <c r="V86" s="37">
        <f t="shared" si="37"/>
        <v>9622</v>
      </c>
      <c r="W86" s="37">
        <f t="shared" si="38"/>
        <v>9623</v>
      </c>
      <c r="X86" s="37">
        <f t="shared" si="39"/>
        <v>9624</v>
      </c>
      <c r="Y86" s="37">
        <f t="shared" si="40"/>
        <v>9625</v>
      </c>
      <c r="Z86" s="37">
        <f t="shared" si="41"/>
        <v>9626</v>
      </c>
      <c r="AA86" s="37">
        <f t="shared" si="42"/>
        <v>9627</v>
      </c>
      <c r="AB86" s="37">
        <f t="shared" si="43"/>
        <v>9628</v>
      </c>
      <c r="AC86" s="37">
        <f t="shared" si="44"/>
        <v>9629</v>
      </c>
      <c r="AD86" s="38">
        <f t="shared" si="45"/>
        <v>9630</v>
      </c>
      <c r="AE86" s="36">
        <f t="shared" si="46"/>
        <v>9631</v>
      </c>
      <c r="AF86" s="37">
        <f t="shared" si="47"/>
        <v>9632</v>
      </c>
      <c r="AG86" s="37">
        <f t="shared" si="48"/>
        <v>9633</v>
      </c>
      <c r="AH86" s="37">
        <f t="shared" si="49"/>
        <v>9634</v>
      </c>
      <c r="AI86" s="37">
        <f t="shared" si="50"/>
        <v>9635</v>
      </c>
      <c r="AJ86" s="37">
        <f t="shared" si="51"/>
        <v>9636</v>
      </c>
      <c r="AK86" s="37">
        <f t="shared" si="52"/>
        <v>9637</v>
      </c>
      <c r="AL86" s="37">
        <f t="shared" si="53"/>
        <v>9638</v>
      </c>
      <c r="AM86" s="37">
        <f t="shared" si="54"/>
        <v>9639</v>
      </c>
      <c r="AN86" s="38">
        <f t="shared" si="55"/>
        <v>9640</v>
      </c>
      <c r="AO86" s="36">
        <f t="shared" si="56"/>
        <v>9641</v>
      </c>
      <c r="AP86" s="37">
        <f t="shared" si="57"/>
        <v>9642</v>
      </c>
      <c r="AQ86" s="37">
        <f t="shared" si="58"/>
        <v>9643</v>
      </c>
      <c r="AR86" s="37">
        <f t="shared" si="59"/>
        <v>9644</v>
      </c>
      <c r="AS86" s="37">
        <f t="shared" si="60"/>
        <v>9645</v>
      </c>
      <c r="AT86" s="37">
        <f t="shared" si="61"/>
        <v>9646</v>
      </c>
      <c r="AU86" s="37">
        <f t="shared" si="62"/>
        <v>9647</v>
      </c>
      <c r="AV86" s="37">
        <f t="shared" si="63"/>
        <v>9648</v>
      </c>
      <c r="AW86" s="37">
        <f t="shared" si="64"/>
        <v>9649</v>
      </c>
      <c r="AX86" s="38">
        <f t="shared" si="65"/>
        <v>9650</v>
      </c>
      <c r="AY86" s="36">
        <f t="shared" si="66"/>
        <v>9651</v>
      </c>
      <c r="AZ86" s="37">
        <f t="shared" si="67"/>
        <v>9652</v>
      </c>
      <c r="BA86" s="37">
        <f t="shared" si="68"/>
        <v>9653</v>
      </c>
      <c r="BB86" s="37">
        <f t="shared" si="69"/>
        <v>9654</v>
      </c>
      <c r="BC86" s="37">
        <f t="shared" si="70"/>
        <v>9655</v>
      </c>
      <c r="BD86" s="37">
        <f t="shared" si="71"/>
        <v>9656</v>
      </c>
      <c r="BE86" s="37">
        <f t="shared" si="72"/>
        <v>9657</v>
      </c>
      <c r="BF86" s="37">
        <f t="shared" si="73"/>
        <v>9658</v>
      </c>
      <c r="BG86" s="37">
        <f t="shared" si="74"/>
        <v>9659</v>
      </c>
      <c r="BH86" s="38">
        <f t="shared" si="75"/>
        <v>9660</v>
      </c>
      <c r="BI86" s="36">
        <f t="shared" si="76"/>
        <v>9661</v>
      </c>
      <c r="BJ86" s="37">
        <f t="shared" si="77"/>
        <v>9662</v>
      </c>
      <c r="BK86" s="37">
        <f t="shared" si="78"/>
        <v>9663</v>
      </c>
      <c r="BL86" s="37">
        <f t="shared" si="79"/>
        <v>9664</v>
      </c>
      <c r="BM86" s="37">
        <f t="shared" si="80"/>
        <v>9665</v>
      </c>
      <c r="BN86" s="37">
        <f t="shared" si="81"/>
        <v>9666</v>
      </c>
      <c r="BO86" s="37">
        <f t="shared" si="82"/>
        <v>9667</v>
      </c>
      <c r="BP86" s="37">
        <f t="shared" si="83"/>
        <v>9668</v>
      </c>
      <c r="BQ86" s="37">
        <f t="shared" si="84"/>
        <v>9669</v>
      </c>
      <c r="BR86" s="39">
        <f t="shared" si="85"/>
        <v>9670</v>
      </c>
      <c r="BS86" s="36">
        <f t="shared" si="86"/>
        <v>9671</v>
      </c>
      <c r="BT86" s="37">
        <f t="shared" si="87"/>
        <v>9672</v>
      </c>
      <c r="BU86" s="37">
        <f t="shared" si="88"/>
        <v>9673</v>
      </c>
      <c r="BV86" s="37">
        <f t="shared" si="89"/>
        <v>9674</v>
      </c>
      <c r="BW86" s="37">
        <f t="shared" si="90"/>
        <v>9675</v>
      </c>
      <c r="BX86" s="37">
        <f t="shared" si="91"/>
        <v>9676</v>
      </c>
      <c r="BY86" s="37">
        <f t="shared" si="92"/>
        <v>9677</v>
      </c>
      <c r="BZ86" s="37">
        <f t="shared" si="93"/>
        <v>9678</v>
      </c>
      <c r="CA86" s="37">
        <f t="shared" si="94"/>
        <v>9679</v>
      </c>
      <c r="CB86" s="38">
        <f t="shared" si="95"/>
        <v>9680</v>
      </c>
      <c r="CC86" s="40">
        <f t="shared" si="96"/>
        <v>9681</v>
      </c>
      <c r="CD86" s="37">
        <f t="shared" si="97"/>
        <v>9682</v>
      </c>
      <c r="CE86" s="37">
        <f t="shared" si="98"/>
        <v>9683</v>
      </c>
      <c r="CF86" s="37">
        <f t="shared" si="99"/>
        <v>9684</v>
      </c>
      <c r="CG86" s="37">
        <f t="shared" si="100"/>
        <v>9685</v>
      </c>
      <c r="CH86" s="37">
        <f t="shared" si="101"/>
        <v>9686</v>
      </c>
      <c r="CI86" s="37">
        <f t="shared" si="102"/>
        <v>9687</v>
      </c>
      <c r="CJ86" s="37">
        <f t="shared" si="103"/>
        <v>9688</v>
      </c>
      <c r="CK86" s="37">
        <f t="shared" si="104"/>
        <v>9689</v>
      </c>
      <c r="CL86" s="39">
        <f t="shared" si="105"/>
        <v>9690</v>
      </c>
      <c r="CM86" s="36">
        <f t="shared" si="106"/>
        <v>9691</v>
      </c>
      <c r="CN86" s="37">
        <f t="shared" si="107"/>
        <v>9692</v>
      </c>
      <c r="CO86" s="37">
        <f t="shared" si="108"/>
        <v>9693</v>
      </c>
      <c r="CP86" s="37">
        <f t="shared" si="109"/>
        <v>9694</v>
      </c>
      <c r="CQ86" s="37">
        <f t="shared" si="110"/>
        <v>9695</v>
      </c>
      <c r="CR86" s="37">
        <f t="shared" si="111"/>
        <v>9696</v>
      </c>
      <c r="CS86" s="37">
        <f t="shared" si="112"/>
        <v>9697</v>
      </c>
      <c r="CT86" s="37">
        <f t="shared" si="113"/>
        <v>9698</v>
      </c>
      <c r="CU86" s="37">
        <f t="shared" si="114"/>
        <v>9699</v>
      </c>
      <c r="CV86" s="38">
        <f t="shared" si="115"/>
        <v>9700</v>
      </c>
      <c r="CW86" s="40">
        <f t="shared" si="116"/>
        <v>9701</v>
      </c>
      <c r="CX86" s="37">
        <f t="shared" si="117"/>
        <v>9702</v>
      </c>
      <c r="CY86" s="37">
        <f t="shared" si="118"/>
        <v>9703</v>
      </c>
      <c r="CZ86" s="37">
        <f t="shared" si="119"/>
        <v>9704</v>
      </c>
      <c r="DA86" s="37">
        <f t="shared" si="120"/>
        <v>9705</v>
      </c>
      <c r="DB86" s="37">
        <f t="shared" si="121"/>
        <v>9706</v>
      </c>
      <c r="DC86" s="37">
        <f t="shared" si="122"/>
        <v>9707</v>
      </c>
      <c r="DD86" s="37">
        <f t="shared" si="123"/>
        <v>9708</v>
      </c>
      <c r="DE86" s="37">
        <f t="shared" si="124"/>
        <v>9709</v>
      </c>
      <c r="DF86" s="39">
        <f t="shared" si="125"/>
        <v>9710</v>
      </c>
      <c r="DG86" s="36">
        <f t="shared" si="126"/>
        <v>9711</v>
      </c>
      <c r="DH86" s="37">
        <f t="shared" si="127"/>
        <v>9712</v>
      </c>
      <c r="DI86" s="37">
        <f t="shared" si="128"/>
        <v>9713</v>
      </c>
      <c r="DJ86" s="37">
        <f t="shared" si="129"/>
        <v>9714</v>
      </c>
      <c r="DK86" s="37">
        <f t="shared" si="130"/>
        <v>9715</v>
      </c>
      <c r="DL86" s="37">
        <f t="shared" si="131"/>
        <v>9716</v>
      </c>
      <c r="DM86" s="37">
        <f t="shared" si="132"/>
        <v>9717</v>
      </c>
      <c r="DN86" s="37">
        <f t="shared" si="133"/>
        <v>9718</v>
      </c>
      <c r="DO86" s="37">
        <f t="shared" si="134"/>
        <v>9719</v>
      </c>
      <c r="DP86" s="38">
        <f t="shared" si="135"/>
        <v>9720</v>
      </c>
      <c r="DR86" s="1206"/>
      <c r="DS86" s="1207"/>
      <c r="DT86" s="1207"/>
      <c r="DU86" s="1208"/>
    </row>
    <row r="87" spans="1:125" ht="5.85" customHeight="1" x14ac:dyDescent="0.3">
      <c r="A87" s="36">
        <f t="shared" si="136"/>
        <v>9721</v>
      </c>
      <c r="B87" s="37">
        <f t="shared" si="17"/>
        <v>9722</v>
      </c>
      <c r="C87" s="37">
        <f t="shared" si="18"/>
        <v>9723</v>
      </c>
      <c r="D87" s="37">
        <f t="shared" si="19"/>
        <v>9724</v>
      </c>
      <c r="E87" s="37">
        <f t="shared" si="20"/>
        <v>9725</v>
      </c>
      <c r="F87" s="37">
        <f t="shared" si="21"/>
        <v>9726</v>
      </c>
      <c r="G87" s="37">
        <f t="shared" si="22"/>
        <v>9727</v>
      </c>
      <c r="H87" s="37">
        <f t="shared" si="23"/>
        <v>9728</v>
      </c>
      <c r="I87" s="37">
        <f t="shared" si="24"/>
        <v>9729</v>
      </c>
      <c r="J87" s="38">
        <f t="shared" si="25"/>
        <v>9730</v>
      </c>
      <c r="K87" s="36">
        <f t="shared" si="26"/>
        <v>9731</v>
      </c>
      <c r="L87" s="37">
        <f t="shared" si="27"/>
        <v>9732</v>
      </c>
      <c r="M87" s="37">
        <f t="shared" si="28"/>
        <v>9733</v>
      </c>
      <c r="N87" s="37">
        <f t="shared" si="29"/>
        <v>9734</v>
      </c>
      <c r="O87" s="37">
        <f t="shared" si="30"/>
        <v>9735</v>
      </c>
      <c r="P87" s="37">
        <f t="shared" si="31"/>
        <v>9736</v>
      </c>
      <c r="Q87" s="37">
        <f t="shared" si="32"/>
        <v>9737</v>
      </c>
      <c r="R87" s="37">
        <f t="shared" si="33"/>
        <v>9738</v>
      </c>
      <c r="S87" s="37">
        <f t="shared" si="34"/>
        <v>9739</v>
      </c>
      <c r="T87" s="38">
        <f t="shared" si="35"/>
        <v>9740</v>
      </c>
      <c r="U87" s="36">
        <f t="shared" si="36"/>
        <v>9741</v>
      </c>
      <c r="V87" s="37">
        <f t="shared" si="37"/>
        <v>9742</v>
      </c>
      <c r="W87" s="37">
        <f t="shared" si="38"/>
        <v>9743</v>
      </c>
      <c r="X87" s="37">
        <f t="shared" si="39"/>
        <v>9744</v>
      </c>
      <c r="Y87" s="37">
        <f t="shared" si="40"/>
        <v>9745</v>
      </c>
      <c r="Z87" s="37">
        <f t="shared" si="41"/>
        <v>9746</v>
      </c>
      <c r="AA87" s="37">
        <f t="shared" si="42"/>
        <v>9747</v>
      </c>
      <c r="AB87" s="37">
        <f t="shared" si="43"/>
        <v>9748</v>
      </c>
      <c r="AC87" s="37">
        <f t="shared" si="44"/>
        <v>9749</v>
      </c>
      <c r="AD87" s="38">
        <f t="shared" si="45"/>
        <v>9750</v>
      </c>
      <c r="AE87" s="36">
        <f t="shared" si="46"/>
        <v>9751</v>
      </c>
      <c r="AF87" s="37">
        <f t="shared" si="47"/>
        <v>9752</v>
      </c>
      <c r="AG87" s="37">
        <f t="shared" si="48"/>
        <v>9753</v>
      </c>
      <c r="AH87" s="37">
        <f t="shared" si="49"/>
        <v>9754</v>
      </c>
      <c r="AI87" s="37">
        <f t="shared" si="50"/>
        <v>9755</v>
      </c>
      <c r="AJ87" s="37">
        <f t="shared" si="51"/>
        <v>9756</v>
      </c>
      <c r="AK87" s="37">
        <f t="shared" si="52"/>
        <v>9757</v>
      </c>
      <c r="AL87" s="37">
        <f t="shared" si="53"/>
        <v>9758</v>
      </c>
      <c r="AM87" s="37">
        <f t="shared" si="54"/>
        <v>9759</v>
      </c>
      <c r="AN87" s="38">
        <f t="shared" si="55"/>
        <v>9760</v>
      </c>
      <c r="AO87" s="36">
        <f t="shared" si="56"/>
        <v>9761</v>
      </c>
      <c r="AP87" s="37">
        <f t="shared" si="57"/>
        <v>9762</v>
      </c>
      <c r="AQ87" s="37">
        <f t="shared" si="58"/>
        <v>9763</v>
      </c>
      <c r="AR87" s="37">
        <f t="shared" si="59"/>
        <v>9764</v>
      </c>
      <c r="AS87" s="37">
        <f t="shared" si="60"/>
        <v>9765</v>
      </c>
      <c r="AT87" s="37">
        <f t="shared" si="61"/>
        <v>9766</v>
      </c>
      <c r="AU87" s="37">
        <f t="shared" si="62"/>
        <v>9767</v>
      </c>
      <c r="AV87" s="37">
        <f t="shared" si="63"/>
        <v>9768</v>
      </c>
      <c r="AW87" s="37">
        <f t="shared" si="64"/>
        <v>9769</v>
      </c>
      <c r="AX87" s="38">
        <f t="shared" si="65"/>
        <v>9770</v>
      </c>
      <c r="AY87" s="36">
        <f t="shared" si="66"/>
        <v>9771</v>
      </c>
      <c r="AZ87" s="37">
        <f t="shared" si="67"/>
        <v>9772</v>
      </c>
      <c r="BA87" s="37">
        <f t="shared" si="68"/>
        <v>9773</v>
      </c>
      <c r="BB87" s="37">
        <f t="shared" si="69"/>
        <v>9774</v>
      </c>
      <c r="BC87" s="37">
        <f t="shared" si="70"/>
        <v>9775</v>
      </c>
      <c r="BD87" s="37">
        <f t="shared" si="71"/>
        <v>9776</v>
      </c>
      <c r="BE87" s="37">
        <f t="shared" si="72"/>
        <v>9777</v>
      </c>
      <c r="BF87" s="37">
        <f t="shared" si="73"/>
        <v>9778</v>
      </c>
      <c r="BG87" s="37">
        <f t="shared" si="74"/>
        <v>9779</v>
      </c>
      <c r="BH87" s="38">
        <f t="shared" si="75"/>
        <v>9780</v>
      </c>
      <c r="BI87" s="36">
        <f t="shared" si="76"/>
        <v>9781</v>
      </c>
      <c r="BJ87" s="37">
        <f t="shared" si="77"/>
        <v>9782</v>
      </c>
      <c r="BK87" s="37">
        <f t="shared" si="78"/>
        <v>9783</v>
      </c>
      <c r="BL87" s="37">
        <f t="shared" si="79"/>
        <v>9784</v>
      </c>
      <c r="BM87" s="37">
        <f t="shared" si="80"/>
        <v>9785</v>
      </c>
      <c r="BN87" s="37">
        <f t="shared" si="81"/>
        <v>9786</v>
      </c>
      <c r="BO87" s="37">
        <f t="shared" si="82"/>
        <v>9787</v>
      </c>
      <c r="BP87" s="37">
        <f t="shared" si="83"/>
        <v>9788</v>
      </c>
      <c r="BQ87" s="37">
        <f t="shared" si="84"/>
        <v>9789</v>
      </c>
      <c r="BR87" s="39">
        <f t="shared" si="85"/>
        <v>9790</v>
      </c>
      <c r="BS87" s="36">
        <f t="shared" si="86"/>
        <v>9791</v>
      </c>
      <c r="BT87" s="37">
        <f t="shared" si="87"/>
        <v>9792</v>
      </c>
      <c r="BU87" s="37">
        <f t="shared" si="88"/>
        <v>9793</v>
      </c>
      <c r="BV87" s="37">
        <f t="shared" si="89"/>
        <v>9794</v>
      </c>
      <c r="BW87" s="37">
        <f t="shared" si="90"/>
        <v>9795</v>
      </c>
      <c r="BX87" s="37">
        <f t="shared" si="91"/>
        <v>9796</v>
      </c>
      <c r="BY87" s="37">
        <f t="shared" si="92"/>
        <v>9797</v>
      </c>
      <c r="BZ87" s="37">
        <f t="shared" si="93"/>
        <v>9798</v>
      </c>
      <c r="CA87" s="37">
        <f t="shared" si="94"/>
        <v>9799</v>
      </c>
      <c r="CB87" s="38">
        <f t="shared" si="95"/>
        <v>9800</v>
      </c>
      <c r="CC87" s="40">
        <f t="shared" si="96"/>
        <v>9801</v>
      </c>
      <c r="CD87" s="37">
        <f t="shared" si="97"/>
        <v>9802</v>
      </c>
      <c r="CE87" s="37">
        <f t="shared" si="98"/>
        <v>9803</v>
      </c>
      <c r="CF87" s="37">
        <f t="shared" si="99"/>
        <v>9804</v>
      </c>
      <c r="CG87" s="37">
        <f t="shared" si="100"/>
        <v>9805</v>
      </c>
      <c r="CH87" s="37">
        <f t="shared" si="101"/>
        <v>9806</v>
      </c>
      <c r="CI87" s="37">
        <f t="shared" si="102"/>
        <v>9807</v>
      </c>
      <c r="CJ87" s="37">
        <f t="shared" si="103"/>
        <v>9808</v>
      </c>
      <c r="CK87" s="37">
        <f t="shared" si="104"/>
        <v>9809</v>
      </c>
      <c r="CL87" s="39">
        <f t="shared" si="105"/>
        <v>9810</v>
      </c>
      <c r="CM87" s="36">
        <f t="shared" si="106"/>
        <v>9811</v>
      </c>
      <c r="CN87" s="37">
        <f t="shared" si="107"/>
        <v>9812</v>
      </c>
      <c r="CO87" s="37">
        <f t="shared" si="108"/>
        <v>9813</v>
      </c>
      <c r="CP87" s="37">
        <f t="shared" si="109"/>
        <v>9814</v>
      </c>
      <c r="CQ87" s="37">
        <f t="shared" si="110"/>
        <v>9815</v>
      </c>
      <c r="CR87" s="37">
        <f t="shared" si="111"/>
        <v>9816</v>
      </c>
      <c r="CS87" s="37">
        <f t="shared" si="112"/>
        <v>9817</v>
      </c>
      <c r="CT87" s="37">
        <f t="shared" si="113"/>
        <v>9818</v>
      </c>
      <c r="CU87" s="37">
        <f t="shared" si="114"/>
        <v>9819</v>
      </c>
      <c r="CV87" s="38">
        <f t="shared" si="115"/>
        <v>9820</v>
      </c>
      <c r="CW87" s="40">
        <f t="shared" si="116"/>
        <v>9821</v>
      </c>
      <c r="CX87" s="37">
        <f t="shared" si="117"/>
        <v>9822</v>
      </c>
      <c r="CY87" s="37">
        <f t="shared" si="118"/>
        <v>9823</v>
      </c>
      <c r="CZ87" s="37">
        <f t="shared" si="119"/>
        <v>9824</v>
      </c>
      <c r="DA87" s="37">
        <f t="shared" si="120"/>
        <v>9825</v>
      </c>
      <c r="DB87" s="37">
        <f t="shared" si="121"/>
        <v>9826</v>
      </c>
      <c r="DC87" s="37">
        <f t="shared" si="122"/>
        <v>9827</v>
      </c>
      <c r="DD87" s="37">
        <f t="shared" si="123"/>
        <v>9828</v>
      </c>
      <c r="DE87" s="37">
        <f t="shared" si="124"/>
        <v>9829</v>
      </c>
      <c r="DF87" s="39">
        <f t="shared" si="125"/>
        <v>9830</v>
      </c>
      <c r="DG87" s="36">
        <f t="shared" si="126"/>
        <v>9831</v>
      </c>
      <c r="DH87" s="37">
        <f t="shared" si="127"/>
        <v>9832</v>
      </c>
      <c r="DI87" s="37">
        <f t="shared" si="128"/>
        <v>9833</v>
      </c>
      <c r="DJ87" s="37">
        <f t="shared" si="129"/>
        <v>9834</v>
      </c>
      <c r="DK87" s="37">
        <f t="shared" si="130"/>
        <v>9835</v>
      </c>
      <c r="DL87" s="37">
        <f t="shared" si="131"/>
        <v>9836</v>
      </c>
      <c r="DM87" s="37">
        <f t="shared" si="132"/>
        <v>9837</v>
      </c>
      <c r="DN87" s="37">
        <f t="shared" si="133"/>
        <v>9838</v>
      </c>
      <c r="DO87" s="37">
        <f t="shared" si="134"/>
        <v>9839</v>
      </c>
      <c r="DP87" s="38">
        <f t="shared" si="135"/>
        <v>9840</v>
      </c>
      <c r="DR87" s="1206"/>
      <c r="DS87" s="1207"/>
      <c r="DT87" s="1207"/>
      <c r="DU87" s="1208"/>
    </row>
    <row r="88" spans="1:125" ht="5.85" customHeight="1" x14ac:dyDescent="0.3">
      <c r="A88" s="36">
        <f t="shared" si="136"/>
        <v>9841</v>
      </c>
      <c r="B88" s="37">
        <f t="shared" si="17"/>
        <v>9842</v>
      </c>
      <c r="C88" s="37">
        <f t="shared" si="18"/>
        <v>9843</v>
      </c>
      <c r="D88" s="37">
        <f t="shared" si="19"/>
        <v>9844</v>
      </c>
      <c r="E88" s="37">
        <f t="shared" si="20"/>
        <v>9845</v>
      </c>
      <c r="F88" s="37">
        <f t="shared" si="21"/>
        <v>9846</v>
      </c>
      <c r="G88" s="37">
        <f t="shared" si="22"/>
        <v>9847</v>
      </c>
      <c r="H88" s="37">
        <f t="shared" si="23"/>
        <v>9848</v>
      </c>
      <c r="I88" s="37">
        <f t="shared" si="24"/>
        <v>9849</v>
      </c>
      <c r="J88" s="38">
        <f t="shared" si="25"/>
        <v>9850</v>
      </c>
      <c r="K88" s="36">
        <f t="shared" si="26"/>
        <v>9851</v>
      </c>
      <c r="L88" s="37">
        <f t="shared" si="27"/>
        <v>9852</v>
      </c>
      <c r="M88" s="37">
        <f t="shared" si="28"/>
        <v>9853</v>
      </c>
      <c r="N88" s="37">
        <f t="shared" si="29"/>
        <v>9854</v>
      </c>
      <c r="O88" s="37">
        <f t="shared" si="30"/>
        <v>9855</v>
      </c>
      <c r="P88" s="37">
        <f t="shared" si="31"/>
        <v>9856</v>
      </c>
      <c r="Q88" s="37">
        <f t="shared" si="32"/>
        <v>9857</v>
      </c>
      <c r="R88" s="37">
        <f t="shared" si="33"/>
        <v>9858</v>
      </c>
      <c r="S88" s="37">
        <f t="shared" si="34"/>
        <v>9859</v>
      </c>
      <c r="T88" s="38">
        <f t="shared" si="35"/>
        <v>9860</v>
      </c>
      <c r="U88" s="36">
        <f t="shared" si="36"/>
        <v>9861</v>
      </c>
      <c r="V88" s="37">
        <f t="shared" si="37"/>
        <v>9862</v>
      </c>
      <c r="W88" s="37">
        <f t="shared" si="38"/>
        <v>9863</v>
      </c>
      <c r="X88" s="37">
        <f t="shared" si="39"/>
        <v>9864</v>
      </c>
      <c r="Y88" s="37">
        <f t="shared" si="40"/>
        <v>9865</v>
      </c>
      <c r="Z88" s="37">
        <f t="shared" si="41"/>
        <v>9866</v>
      </c>
      <c r="AA88" s="37">
        <f t="shared" si="42"/>
        <v>9867</v>
      </c>
      <c r="AB88" s="37">
        <f t="shared" si="43"/>
        <v>9868</v>
      </c>
      <c r="AC88" s="37">
        <f t="shared" si="44"/>
        <v>9869</v>
      </c>
      <c r="AD88" s="38">
        <f t="shared" si="45"/>
        <v>9870</v>
      </c>
      <c r="AE88" s="36">
        <f t="shared" si="46"/>
        <v>9871</v>
      </c>
      <c r="AF88" s="37">
        <f t="shared" si="47"/>
        <v>9872</v>
      </c>
      <c r="AG88" s="37">
        <f t="shared" si="48"/>
        <v>9873</v>
      </c>
      <c r="AH88" s="37">
        <f t="shared" si="49"/>
        <v>9874</v>
      </c>
      <c r="AI88" s="37">
        <f t="shared" si="50"/>
        <v>9875</v>
      </c>
      <c r="AJ88" s="37">
        <f t="shared" si="51"/>
        <v>9876</v>
      </c>
      <c r="AK88" s="37">
        <f t="shared" si="52"/>
        <v>9877</v>
      </c>
      <c r="AL88" s="37">
        <f t="shared" si="53"/>
        <v>9878</v>
      </c>
      <c r="AM88" s="37">
        <f t="shared" si="54"/>
        <v>9879</v>
      </c>
      <c r="AN88" s="38">
        <f t="shared" si="55"/>
        <v>9880</v>
      </c>
      <c r="AO88" s="36">
        <f t="shared" si="56"/>
        <v>9881</v>
      </c>
      <c r="AP88" s="37">
        <f t="shared" si="57"/>
        <v>9882</v>
      </c>
      <c r="AQ88" s="37">
        <f t="shared" si="58"/>
        <v>9883</v>
      </c>
      <c r="AR88" s="37">
        <f t="shared" si="59"/>
        <v>9884</v>
      </c>
      <c r="AS88" s="37">
        <f t="shared" si="60"/>
        <v>9885</v>
      </c>
      <c r="AT88" s="37">
        <f t="shared" si="61"/>
        <v>9886</v>
      </c>
      <c r="AU88" s="37">
        <f t="shared" si="62"/>
        <v>9887</v>
      </c>
      <c r="AV88" s="37">
        <f t="shared" si="63"/>
        <v>9888</v>
      </c>
      <c r="AW88" s="37">
        <f t="shared" si="64"/>
        <v>9889</v>
      </c>
      <c r="AX88" s="38">
        <f t="shared" si="65"/>
        <v>9890</v>
      </c>
      <c r="AY88" s="36">
        <f t="shared" si="66"/>
        <v>9891</v>
      </c>
      <c r="AZ88" s="37">
        <f t="shared" si="67"/>
        <v>9892</v>
      </c>
      <c r="BA88" s="37">
        <f t="shared" si="68"/>
        <v>9893</v>
      </c>
      <c r="BB88" s="37">
        <f t="shared" si="69"/>
        <v>9894</v>
      </c>
      <c r="BC88" s="37">
        <f t="shared" si="70"/>
        <v>9895</v>
      </c>
      <c r="BD88" s="37">
        <f t="shared" si="71"/>
        <v>9896</v>
      </c>
      <c r="BE88" s="37">
        <f t="shared" si="72"/>
        <v>9897</v>
      </c>
      <c r="BF88" s="37">
        <f t="shared" si="73"/>
        <v>9898</v>
      </c>
      <c r="BG88" s="37">
        <f t="shared" si="74"/>
        <v>9899</v>
      </c>
      <c r="BH88" s="38">
        <f t="shared" si="75"/>
        <v>9900</v>
      </c>
      <c r="BI88" s="36">
        <f t="shared" si="76"/>
        <v>9901</v>
      </c>
      <c r="BJ88" s="37">
        <f t="shared" si="77"/>
        <v>9902</v>
      </c>
      <c r="BK88" s="37">
        <f t="shared" si="78"/>
        <v>9903</v>
      </c>
      <c r="BL88" s="37">
        <f t="shared" si="79"/>
        <v>9904</v>
      </c>
      <c r="BM88" s="37">
        <f t="shared" si="80"/>
        <v>9905</v>
      </c>
      <c r="BN88" s="37">
        <f t="shared" si="81"/>
        <v>9906</v>
      </c>
      <c r="BO88" s="37">
        <f t="shared" si="82"/>
        <v>9907</v>
      </c>
      <c r="BP88" s="37">
        <f t="shared" si="83"/>
        <v>9908</v>
      </c>
      <c r="BQ88" s="37">
        <f t="shared" si="84"/>
        <v>9909</v>
      </c>
      <c r="BR88" s="39">
        <f t="shared" si="85"/>
        <v>9910</v>
      </c>
      <c r="BS88" s="36">
        <f t="shared" si="86"/>
        <v>9911</v>
      </c>
      <c r="BT88" s="37">
        <f t="shared" si="87"/>
        <v>9912</v>
      </c>
      <c r="BU88" s="37">
        <f t="shared" si="88"/>
        <v>9913</v>
      </c>
      <c r="BV88" s="37">
        <f t="shared" si="89"/>
        <v>9914</v>
      </c>
      <c r="BW88" s="37">
        <f t="shared" si="90"/>
        <v>9915</v>
      </c>
      <c r="BX88" s="37">
        <f t="shared" si="91"/>
        <v>9916</v>
      </c>
      <c r="BY88" s="37">
        <f t="shared" si="92"/>
        <v>9917</v>
      </c>
      <c r="BZ88" s="37">
        <f t="shared" si="93"/>
        <v>9918</v>
      </c>
      <c r="CA88" s="37">
        <f t="shared" si="94"/>
        <v>9919</v>
      </c>
      <c r="CB88" s="38">
        <f t="shared" si="95"/>
        <v>9920</v>
      </c>
      <c r="CC88" s="40">
        <f t="shared" si="96"/>
        <v>9921</v>
      </c>
      <c r="CD88" s="37">
        <f t="shared" si="97"/>
        <v>9922</v>
      </c>
      <c r="CE88" s="37">
        <f t="shared" si="98"/>
        <v>9923</v>
      </c>
      <c r="CF88" s="37">
        <f t="shared" si="99"/>
        <v>9924</v>
      </c>
      <c r="CG88" s="37">
        <f t="shared" si="100"/>
        <v>9925</v>
      </c>
      <c r="CH88" s="37">
        <f t="shared" si="101"/>
        <v>9926</v>
      </c>
      <c r="CI88" s="37">
        <f t="shared" si="102"/>
        <v>9927</v>
      </c>
      <c r="CJ88" s="37">
        <f t="shared" si="103"/>
        <v>9928</v>
      </c>
      <c r="CK88" s="37">
        <f t="shared" si="104"/>
        <v>9929</v>
      </c>
      <c r="CL88" s="39">
        <f t="shared" si="105"/>
        <v>9930</v>
      </c>
      <c r="CM88" s="36">
        <f t="shared" si="106"/>
        <v>9931</v>
      </c>
      <c r="CN88" s="37">
        <f t="shared" si="107"/>
        <v>9932</v>
      </c>
      <c r="CO88" s="37">
        <f t="shared" si="108"/>
        <v>9933</v>
      </c>
      <c r="CP88" s="37">
        <f t="shared" si="109"/>
        <v>9934</v>
      </c>
      <c r="CQ88" s="37">
        <f t="shared" si="110"/>
        <v>9935</v>
      </c>
      <c r="CR88" s="37">
        <f t="shared" si="111"/>
        <v>9936</v>
      </c>
      <c r="CS88" s="37">
        <f t="shared" si="112"/>
        <v>9937</v>
      </c>
      <c r="CT88" s="37">
        <f t="shared" si="113"/>
        <v>9938</v>
      </c>
      <c r="CU88" s="37">
        <f t="shared" si="114"/>
        <v>9939</v>
      </c>
      <c r="CV88" s="38">
        <f t="shared" si="115"/>
        <v>9940</v>
      </c>
      <c r="CW88" s="40">
        <f t="shared" si="116"/>
        <v>9941</v>
      </c>
      <c r="CX88" s="37">
        <f t="shared" si="117"/>
        <v>9942</v>
      </c>
      <c r="CY88" s="37">
        <f t="shared" si="118"/>
        <v>9943</v>
      </c>
      <c r="CZ88" s="37">
        <f t="shared" si="119"/>
        <v>9944</v>
      </c>
      <c r="DA88" s="37">
        <f t="shared" si="120"/>
        <v>9945</v>
      </c>
      <c r="DB88" s="37">
        <f t="shared" si="121"/>
        <v>9946</v>
      </c>
      <c r="DC88" s="37">
        <f t="shared" si="122"/>
        <v>9947</v>
      </c>
      <c r="DD88" s="37">
        <f t="shared" si="123"/>
        <v>9948</v>
      </c>
      <c r="DE88" s="37">
        <f t="shared" si="124"/>
        <v>9949</v>
      </c>
      <c r="DF88" s="39">
        <f t="shared" si="125"/>
        <v>9950</v>
      </c>
      <c r="DG88" s="36">
        <f t="shared" si="126"/>
        <v>9951</v>
      </c>
      <c r="DH88" s="37">
        <f t="shared" si="127"/>
        <v>9952</v>
      </c>
      <c r="DI88" s="37">
        <f t="shared" si="128"/>
        <v>9953</v>
      </c>
      <c r="DJ88" s="37">
        <f t="shared" si="129"/>
        <v>9954</v>
      </c>
      <c r="DK88" s="37">
        <f t="shared" si="130"/>
        <v>9955</v>
      </c>
      <c r="DL88" s="37">
        <f t="shared" si="131"/>
        <v>9956</v>
      </c>
      <c r="DM88" s="37">
        <f t="shared" si="132"/>
        <v>9957</v>
      </c>
      <c r="DN88" s="37">
        <f t="shared" si="133"/>
        <v>9958</v>
      </c>
      <c r="DO88" s="37">
        <f t="shared" si="134"/>
        <v>9959</v>
      </c>
      <c r="DP88" s="38">
        <f t="shared" si="135"/>
        <v>9960</v>
      </c>
      <c r="DR88" s="1206">
        <v>700</v>
      </c>
      <c r="DS88" s="1207"/>
      <c r="DT88" s="1207"/>
      <c r="DU88" s="1208"/>
    </row>
    <row r="89" spans="1:125" ht="5.85" customHeight="1" x14ac:dyDescent="0.3">
      <c r="A89" s="36">
        <f t="shared" si="136"/>
        <v>9961</v>
      </c>
      <c r="B89" s="37">
        <f t="shared" si="17"/>
        <v>9962</v>
      </c>
      <c r="C89" s="37">
        <f t="shared" si="18"/>
        <v>9963</v>
      </c>
      <c r="D89" s="37">
        <f t="shared" si="19"/>
        <v>9964</v>
      </c>
      <c r="E89" s="37">
        <f t="shared" si="20"/>
        <v>9965</v>
      </c>
      <c r="F89" s="37">
        <f t="shared" si="21"/>
        <v>9966</v>
      </c>
      <c r="G89" s="37">
        <f t="shared" si="22"/>
        <v>9967</v>
      </c>
      <c r="H89" s="37">
        <f t="shared" si="23"/>
        <v>9968</v>
      </c>
      <c r="I89" s="37">
        <f t="shared" si="24"/>
        <v>9969</v>
      </c>
      <c r="J89" s="38">
        <f t="shared" si="25"/>
        <v>9970</v>
      </c>
      <c r="K89" s="36">
        <f t="shared" si="26"/>
        <v>9971</v>
      </c>
      <c r="L89" s="37">
        <f t="shared" si="27"/>
        <v>9972</v>
      </c>
      <c r="M89" s="37">
        <f t="shared" si="28"/>
        <v>9973</v>
      </c>
      <c r="N89" s="37">
        <f t="shared" si="29"/>
        <v>9974</v>
      </c>
      <c r="O89" s="37">
        <f t="shared" si="30"/>
        <v>9975</v>
      </c>
      <c r="P89" s="37">
        <f t="shared" si="31"/>
        <v>9976</v>
      </c>
      <c r="Q89" s="37">
        <f t="shared" si="32"/>
        <v>9977</v>
      </c>
      <c r="R89" s="37">
        <f t="shared" si="33"/>
        <v>9978</v>
      </c>
      <c r="S89" s="37">
        <f t="shared" si="34"/>
        <v>9979</v>
      </c>
      <c r="T89" s="38">
        <f t="shared" si="35"/>
        <v>9980</v>
      </c>
      <c r="U89" s="36">
        <f t="shared" si="36"/>
        <v>9981</v>
      </c>
      <c r="V89" s="37">
        <f t="shared" si="37"/>
        <v>9982</v>
      </c>
      <c r="W89" s="37">
        <f t="shared" si="38"/>
        <v>9983</v>
      </c>
      <c r="X89" s="37">
        <f t="shared" si="39"/>
        <v>9984</v>
      </c>
      <c r="Y89" s="37">
        <f t="shared" si="40"/>
        <v>9985</v>
      </c>
      <c r="Z89" s="37">
        <f t="shared" si="41"/>
        <v>9986</v>
      </c>
      <c r="AA89" s="37">
        <f t="shared" si="42"/>
        <v>9987</v>
      </c>
      <c r="AB89" s="37">
        <f t="shared" si="43"/>
        <v>9988</v>
      </c>
      <c r="AC89" s="37">
        <f t="shared" si="44"/>
        <v>9989</v>
      </c>
      <c r="AD89" s="38">
        <f t="shared" si="45"/>
        <v>9990</v>
      </c>
      <c r="AE89" s="36">
        <f t="shared" si="46"/>
        <v>9991</v>
      </c>
      <c r="AF89" s="37">
        <f t="shared" si="47"/>
        <v>9992</v>
      </c>
      <c r="AG89" s="37">
        <f t="shared" si="48"/>
        <v>9993</v>
      </c>
      <c r="AH89" s="37">
        <f t="shared" si="49"/>
        <v>9994</v>
      </c>
      <c r="AI89" s="37">
        <f t="shared" si="50"/>
        <v>9995</v>
      </c>
      <c r="AJ89" s="37">
        <f t="shared" si="51"/>
        <v>9996</v>
      </c>
      <c r="AK89" s="37">
        <f t="shared" si="52"/>
        <v>9997</v>
      </c>
      <c r="AL89" s="37">
        <f t="shared" si="53"/>
        <v>9998</v>
      </c>
      <c r="AM89" s="37">
        <f t="shared" si="54"/>
        <v>9999</v>
      </c>
      <c r="AN89" s="38">
        <f t="shared" si="55"/>
        <v>10000</v>
      </c>
      <c r="AO89" s="36">
        <f t="shared" si="56"/>
        <v>10001</v>
      </c>
      <c r="AP89" s="37">
        <f t="shared" si="57"/>
        <v>10002</v>
      </c>
      <c r="AQ89" s="37">
        <f t="shared" si="58"/>
        <v>10003</v>
      </c>
      <c r="AR89" s="37">
        <f t="shared" si="59"/>
        <v>10004</v>
      </c>
      <c r="AS89" s="37">
        <f t="shared" si="60"/>
        <v>10005</v>
      </c>
      <c r="AT89" s="37">
        <f t="shared" si="61"/>
        <v>10006</v>
      </c>
      <c r="AU89" s="37">
        <f t="shared" si="62"/>
        <v>10007</v>
      </c>
      <c r="AV89" s="37">
        <f t="shared" si="63"/>
        <v>10008</v>
      </c>
      <c r="AW89" s="37">
        <f t="shared" si="64"/>
        <v>10009</v>
      </c>
      <c r="AX89" s="38">
        <f t="shared" si="65"/>
        <v>10010</v>
      </c>
      <c r="AY89" s="36">
        <f t="shared" si="66"/>
        <v>10011</v>
      </c>
      <c r="AZ89" s="37">
        <f t="shared" si="67"/>
        <v>10012</v>
      </c>
      <c r="BA89" s="37">
        <f t="shared" si="68"/>
        <v>10013</v>
      </c>
      <c r="BB89" s="37">
        <f t="shared" si="69"/>
        <v>10014</v>
      </c>
      <c r="BC89" s="37">
        <f t="shared" si="70"/>
        <v>10015</v>
      </c>
      <c r="BD89" s="37">
        <f t="shared" si="71"/>
        <v>10016</v>
      </c>
      <c r="BE89" s="37">
        <f t="shared" si="72"/>
        <v>10017</v>
      </c>
      <c r="BF89" s="37">
        <f t="shared" si="73"/>
        <v>10018</v>
      </c>
      <c r="BG89" s="37">
        <f t="shared" si="74"/>
        <v>10019</v>
      </c>
      <c r="BH89" s="38">
        <f t="shared" si="75"/>
        <v>10020</v>
      </c>
      <c r="BI89" s="36">
        <f t="shared" si="76"/>
        <v>10021</v>
      </c>
      <c r="BJ89" s="37">
        <f t="shared" si="77"/>
        <v>10022</v>
      </c>
      <c r="BK89" s="37">
        <f t="shared" si="78"/>
        <v>10023</v>
      </c>
      <c r="BL89" s="37">
        <f t="shared" si="79"/>
        <v>10024</v>
      </c>
      <c r="BM89" s="37">
        <f t="shared" si="80"/>
        <v>10025</v>
      </c>
      <c r="BN89" s="37">
        <f t="shared" si="81"/>
        <v>10026</v>
      </c>
      <c r="BO89" s="37">
        <f t="shared" si="82"/>
        <v>10027</v>
      </c>
      <c r="BP89" s="37">
        <f t="shared" si="83"/>
        <v>10028</v>
      </c>
      <c r="BQ89" s="37">
        <f t="shared" si="84"/>
        <v>10029</v>
      </c>
      <c r="BR89" s="39">
        <f t="shared" si="85"/>
        <v>10030</v>
      </c>
      <c r="BS89" s="36">
        <f t="shared" si="86"/>
        <v>10031</v>
      </c>
      <c r="BT89" s="37">
        <f t="shared" si="87"/>
        <v>10032</v>
      </c>
      <c r="BU89" s="37">
        <f t="shared" si="88"/>
        <v>10033</v>
      </c>
      <c r="BV89" s="37">
        <f t="shared" si="89"/>
        <v>10034</v>
      </c>
      <c r="BW89" s="37">
        <f t="shared" si="90"/>
        <v>10035</v>
      </c>
      <c r="BX89" s="37">
        <f t="shared" si="91"/>
        <v>10036</v>
      </c>
      <c r="BY89" s="37">
        <f t="shared" si="92"/>
        <v>10037</v>
      </c>
      <c r="BZ89" s="37">
        <f t="shared" si="93"/>
        <v>10038</v>
      </c>
      <c r="CA89" s="37">
        <f t="shared" si="94"/>
        <v>10039</v>
      </c>
      <c r="CB89" s="38">
        <f t="shared" si="95"/>
        <v>10040</v>
      </c>
      <c r="CC89" s="40">
        <f t="shared" si="96"/>
        <v>10041</v>
      </c>
      <c r="CD89" s="37">
        <f t="shared" si="97"/>
        <v>10042</v>
      </c>
      <c r="CE89" s="37">
        <f t="shared" si="98"/>
        <v>10043</v>
      </c>
      <c r="CF89" s="37">
        <f t="shared" si="99"/>
        <v>10044</v>
      </c>
      <c r="CG89" s="37">
        <f t="shared" si="100"/>
        <v>10045</v>
      </c>
      <c r="CH89" s="37">
        <f t="shared" si="101"/>
        <v>10046</v>
      </c>
      <c r="CI89" s="37">
        <f t="shared" si="102"/>
        <v>10047</v>
      </c>
      <c r="CJ89" s="37">
        <f t="shared" si="103"/>
        <v>10048</v>
      </c>
      <c r="CK89" s="37">
        <f t="shared" si="104"/>
        <v>10049</v>
      </c>
      <c r="CL89" s="39">
        <f t="shared" si="105"/>
        <v>10050</v>
      </c>
      <c r="CM89" s="36">
        <f t="shared" si="106"/>
        <v>10051</v>
      </c>
      <c r="CN89" s="37">
        <f t="shared" si="107"/>
        <v>10052</v>
      </c>
      <c r="CO89" s="37">
        <f t="shared" si="108"/>
        <v>10053</v>
      </c>
      <c r="CP89" s="37">
        <f t="shared" si="109"/>
        <v>10054</v>
      </c>
      <c r="CQ89" s="37">
        <f t="shared" si="110"/>
        <v>10055</v>
      </c>
      <c r="CR89" s="37">
        <f t="shared" si="111"/>
        <v>10056</v>
      </c>
      <c r="CS89" s="37">
        <f t="shared" si="112"/>
        <v>10057</v>
      </c>
      <c r="CT89" s="37">
        <f t="shared" si="113"/>
        <v>10058</v>
      </c>
      <c r="CU89" s="37">
        <f t="shared" si="114"/>
        <v>10059</v>
      </c>
      <c r="CV89" s="38">
        <f t="shared" si="115"/>
        <v>10060</v>
      </c>
      <c r="CW89" s="40">
        <f t="shared" si="116"/>
        <v>10061</v>
      </c>
      <c r="CX89" s="37">
        <f t="shared" si="117"/>
        <v>10062</v>
      </c>
      <c r="CY89" s="37">
        <f t="shared" si="118"/>
        <v>10063</v>
      </c>
      <c r="CZ89" s="37">
        <f t="shared" si="119"/>
        <v>10064</v>
      </c>
      <c r="DA89" s="37">
        <f t="shared" si="120"/>
        <v>10065</v>
      </c>
      <c r="DB89" s="37">
        <f t="shared" si="121"/>
        <v>10066</v>
      </c>
      <c r="DC89" s="37">
        <f t="shared" si="122"/>
        <v>10067</v>
      </c>
      <c r="DD89" s="37">
        <f t="shared" si="123"/>
        <v>10068</v>
      </c>
      <c r="DE89" s="37">
        <f t="shared" si="124"/>
        <v>10069</v>
      </c>
      <c r="DF89" s="39">
        <f t="shared" si="125"/>
        <v>10070</v>
      </c>
      <c r="DG89" s="36">
        <f t="shared" si="126"/>
        <v>10071</v>
      </c>
      <c r="DH89" s="37">
        <f t="shared" si="127"/>
        <v>10072</v>
      </c>
      <c r="DI89" s="37">
        <f t="shared" si="128"/>
        <v>10073</v>
      </c>
      <c r="DJ89" s="37">
        <f t="shared" si="129"/>
        <v>10074</v>
      </c>
      <c r="DK89" s="37">
        <f t="shared" si="130"/>
        <v>10075</v>
      </c>
      <c r="DL89" s="37">
        <f t="shared" si="131"/>
        <v>10076</v>
      </c>
      <c r="DM89" s="37">
        <f t="shared" si="132"/>
        <v>10077</v>
      </c>
      <c r="DN89" s="37">
        <f t="shared" si="133"/>
        <v>10078</v>
      </c>
      <c r="DO89" s="37">
        <f t="shared" si="134"/>
        <v>10079</v>
      </c>
      <c r="DP89" s="38">
        <f t="shared" si="135"/>
        <v>10080</v>
      </c>
      <c r="DR89" s="1206"/>
      <c r="DS89" s="1207"/>
      <c r="DT89" s="1207"/>
      <c r="DU89" s="1208"/>
    </row>
    <row r="90" spans="1:125" ht="5.85" customHeight="1" x14ac:dyDescent="0.3">
      <c r="A90" s="36">
        <f t="shared" si="136"/>
        <v>10081</v>
      </c>
      <c r="B90" s="37">
        <f t="shared" si="17"/>
        <v>10082</v>
      </c>
      <c r="C90" s="37">
        <f t="shared" si="18"/>
        <v>10083</v>
      </c>
      <c r="D90" s="37">
        <f t="shared" si="19"/>
        <v>10084</v>
      </c>
      <c r="E90" s="37">
        <f t="shared" si="20"/>
        <v>10085</v>
      </c>
      <c r="F90" s="37">
        <f t="shared" si="21"/>
        <v>10086</v>
      </c>
      <c r="G90" s="37">
        <f t="shared" si="22"/>
        <v>10087</v>
      </c>
      <c r="H90" s="37">
        <f t="shared" si="23"/>
        <v>10088</v>
      </c>
      <c r="I90" s="37">
        <f t="shared" si="24"/>
        <v>10089</v>
      </c>
      <c r="J90" s="38">
        <f t="shared" si="25"/>
        <v>10090</v>
      </c>
      <c r="K90" s="36">
        <f t="shared" si="26"/>
        <v>10091</v>
      </c>
      <c r="L90" s="37">
        <f t="shared" si="27"/>
        <v>10092</v>
      </c>
      <c r="M90" s="37">
        <f t="shared" si="28"/>
        <v>10093</v>
      </c>
      <c r="N90" s="37">
        <f t="shared" si="29"/>
        <v>10094</v>
      </c>
      <c r="O90" s="37">
        <f t="shared" si="30"/>
        <v>10095</v>
      </c>
      <c r="P90" s="37">
        <f t="shared" si="31"/>
        <v>10096</v>
      </c>
      <c r="Q90" s="37">
        <f t="shared" si="32"/>
        <v>10097</v>
      </c>
      <c r="R90" s="37">
        <f t="shared" si="33"/>
        <v>10098</v>
      </c>
      <c r="S90" s="37">
        <f t="shared" si="34"/>
        <v>10099</v>
      </c>
      <c r="T90" s="38">
        <f t="shared" si="35"/>
        <v>10100</v>
      </c>
      <c r="U90" s="36">
        <f t="shared" si="36"/>
        <v>10101</v>
      </c>
      <c r="V90" s="37">
        <f t="shared" si="37"/>
        <v>10102</v>
      </c>
      <c r="W90" s="37">
        <f t="shared" si="38"/>
        <v>10103</v>
      </c>
      <c r="X90" s="37">
        <f t="shared" si="39"/>
        <v>10104</v>
      </c>
      <c r="Y90" s="37">
        <f t="shared" si="40"/>
        <v>10105</v>
      </c>
      <c r="Z90" s="37">
        <f t="shared" si="41"/>
        <v>10106</v>
      </c>
      <c r="AA90" s="37">
        <f t="shared" si="42"/>
        <v>10107</v>
      </c>
      <c r="AB90" s="37">
        <f t="shared" si="43"/>
        <v>10108</v>
      </c>
      <c r="AC90" s="37">
        <f t="shared" si="44"/>
        <v>10109</v>
      </c>
      <c r="AD90" s="38">
        <f t="shared" si="45"/>
        <v>10110</v>
      </c>
      <c r="AE90" s="36">
        <f t="shared" si="46"/>
        <v>10111</v>
      </c>
      <c r="AF90" s="37">
        <f t="shared" si="47"/>
        <v>10112</v>
      </c>
      <c r="AG90" s="37">
        <f t="shared" si="48"/>
        <v>10113</v>
      </c>
      <c r="AH90" s="37">
        <f t="shared" si="49"/>
        <v>10114</v>
      </c>
      <c r="AI90" s="37">
        <f t="shared" si="50"/>
        <v>10115</v>
      </c>
      <c r="AJ90" s="37">
        <f t="shared" si="51"/>
        <v>10116</v>
      </c>
      <c r="AK90" s="37">
        <f t="shared" si="52"/>
        <v>10117</v>
      </c>
      <c r="AL90" s="37">
        <f t="shared" si="53"/>
        <v>10118</v>
      </c>
      <c r="AM90" s="37">
        <f t="shared" si="54"/>
        <v>10119</v>
      </c>
      <c r="AN90" s="38">
        <f t="shared" si="55"/>
        <v>10120</v>
      </c>
      <c r="AO90" s="36">
        <f t="shared" si="56"/>
        <v>10121</v>
      </c>
      <c r="AP90" s="37">
        <f t="shared" si="57"/>
        <v>10122</v>
      </c>
      <c r="AQ90" s="37">
        <f t="shared" si="58"/>
        <v>10123</v>
      </c>
      <c r="AR90" s="37">
        <f t="shared" si="59"/>
        <v>10124</v>
      </c>
      <c r="AS90" s="37">
        <f t="shared" si="60"/>
        <v>10125</v>
      </c>
      <c r="AT90" s="37">
        <f t="shared" si="61"/>
        <v>10126</v>
      </c>
      <c r="AU90" s="37">
        <f t="shared" si="62"/>
        <v>10127</v>
      </c>
      <c r="AV90" s="37">
        <f t="shared" si="63"/>
        <v>10128</v>
      </c>
      <c r="AW90" s="37">
        <f t="shared" si="64"/>
        <v>10129</v>
      </c>
      <c r="AX90" s="38">
        <f t="shared" si="65"/>
        <v>10130</v>
      </c>
      <c r="AY90" s="36">
        <f t="shared" si="66"/>
        <v>10131</v>
      </c>
      <c r="AZ90" s="37">
        <f t="shared" si="67"/>
        <v>10132</v>
      </c>
      <c r="BA90" s="37">
        <f t="shared" si="68"/>
        <v>10133</v>
      </c>
      <c r="BB90" s="37">
        <f t="shared" si="69"/>
        <v>10134</v>
      </c>
      <c r="BC90" s="37">
        <f t="shared" si="70"/>
        <v>10135</v>
      </c>
      <c r="BD90" s="37">
        <f t="shared" si="71"/>
        <v>10136</v>
      </c>
      <c r="BE90" s="37">
        <f t="shared" si="72"/>
        <v>10137</v>
      </c>
      <c r="BF90" s="37">
        <f t="shared" si="73"/>
        <v>10138</v>
      </c>
      <c r="BG90" s="37">
        <f t="shared" si="74"/>
        <v>10139</v>
      </c>
      <c r="BH90" s="38">
        <f t="shared" si="75"/>
        <v>10140</v>
      </c>
      <c r="BI90" s="36">
        <f t="shared" si="76"/>
        <v>10141</v>
      </c>
      <c r="BJ90" s="37">
        <f t="shared" si="77"/>
        <v>10142</v>
      </c>
      <c r="BK90" s="37">
        <f t="shared" si="78"/>
        <v>10143</v>
      </c>
      <c r="BL90" s="37">
        <f t="shared" si="79"/>
        <v>10144</v>
      </c>
      <c r="BM90" s="37">
        <f t="shared" si="80"/>
        <v>10145</v>
      </c>
      <c r="BN90" s="37">
        <f t="shared" si="81"/>
        <v>10146</v>
      </c>
      <c r="BO90" s="37">
        <f t="shared" si="82"/>
        <v>10147</v>
      </c>
      <c r="BP90" s="37">
        <f t="shared" si="83"/>
        <v>10148</v>
      </c>
      <c r="BQ90" s="37">
        <f t="shared" si="84"/>
        <v>10149</v>
      </c>
      <c r="BR90" s="39">
        <f t="shared" si="85"/>
        <v>10150</v>
      </c>
      <c r="BS90" s="36">
        <f t="shared" si="86"/>
        <v>10151</v>
      </c>
      <c r="BT90" s="37">
        <f t="shared" si="87"/>
        <v>10152</v>
      </c>
      <c r="BU90" s="37">
        <f t="shared" si="88"/>
        <v>10153</v>
      </c>
      <c r="BV90" s="37">
        <f t="shared" si="89"/>
        <v>10154</v>
      </c>
      <c r="BW90" s="37">
        <f t="shared" si="90"/>
        <v>10155</v>
      </c>
      <c r="BX90" s="37">
        <f t="shared" si="91"/>
        <v>10156</v>
      </c>
      <c r="BY90" s="37">
        <f t="shared" si="92"/>
        <v>10157</v>
      </c>
      <c r="BZ90" s="37">
        <f t="shared" si="93"/>
        <v>10158</v>
      </c>
      <c r="CA90" s="37">
        <f t="shared" si="94"/>
        <v>10159</v>
      </c>
      <c r="CB90" s="38">
        <f t="shared" si="95"/>
        <v>10160</v>
      </c>
      <c r="CC90" s="40">
        <f t="shared" si="96"/>
        <v>10161</v>
      </c>
      <c r="CD90" s="37">
        <f t="shared" si="97"/>
        <v>10162</v>
      </c>
      <c r="CE90" s="37">
        <f t="shared" si="98"/>
        <v>10163</v>
      </c>
      <c r="CF90" s="37">
        <f t="shared" si="99"/>
        <v>10164</v>
      </c>
      <c r="CG90" s="37">
        <f t="shared" si="100"/>
        <v>10165</v>
      </c>
      <c r="CH90" s="37">
        <f t="shared" si="101"/>
        <v>10166</v>
      </c>
      <c r="CI90" s="37">
        <f t="shared" si="102"/>
        <v>10167</v>
      </c>
      <c r="CJ90" s="37">
        <f t="shared" si="103"/>
        <v>10168</v>
      </c>
      <c r="CK90" s="37">
        <f t="shared" si="104"/>
        <v>10169</v>
      </c>
      <c r="CL90" s="39">
        <f t="shared" si="105"/>
        <v>10170</v>
      </c>
      <c r="CM90" s="36">
        <f t="shared" si="106"/>
        <v>10171</v>
      </c>
      <c r="CN90" s="37">
        <f t="shared" si="107"/>
        <v>10172</v>
      </c>
      <c r="CO90" s="37">
        <f t="shared" si="108"/>
        <v>10173</v>
      </c>
      <c r="CP90" s="37">
        <f t="shared" si="109"/>
        <v>10174</v>
      </c>
      <c r="CQ90" s="37">
        <f t="shared" si="110"/>
        <v>10175</v>
      </c>
      <c r="CR90" s="37">
        <f t="shared" si="111"/>
        <v>10176</v>
      </c>
      <c r="CS90" s="37">
        <f t="shared" si="112"/>
        <v>10177</v>
      </c>
      <c r="CT90" s="37">
        <f t="shared" si="113"/>
        <v>10178</v>
      </c>
      <c r="CU90" s="37">
        <f t="shared" si="114"/>
        <v>10179</v>
      </c>
      <c r="CV90" s="38">
        <f t="shared" si="115"/>
        <v>10180</v>
      </c>
      <c r="CW90" s="40">
        <f t="shared" si="116"/>
        <v>10181</v>
      </c>
      <c r="CX90" s="37">
        <f t="shared" si="117"/>
        <v>10182</v>
      </c>
      <c r="CY90" s="37">
        <f t="shared" si="118"/>
        <v>10183</v>
      </c>
      <c r="CZ90" s="37">
        <f t="shared" si="119"/>
        <v>10184</v>
      </c>
      <c r="DA90" s="37">
        <f t="shared" si="120"/>
        <v>10185</v>
      </c>
      <c r="DB90" s="37">
        <f t="shared" si="121"/>
        <v>10186</v>
      </c>
      <c r="DC90" s="37">
        <f t="shared" si="122"/>
        <v>10187</v>
      </c>
      <c r="DD90" s="37">
        <f t="shared" si="123"/>
        <v>10188</v>
      </c>
      <c r="DE90" s="37">
        <f t="shared" si="124"/>
        <v>10189</v>
      </c>
      <c r="DF90" s="39">
        <f t="shared" si="125"/>
        <v>10190</v>
      </c>
      <c r="DG90" s="36">
        <f t="shared" si="126"/>
        <v>10191</v>
      </c>
      <c r="DH90" s="37">
        <f t="shared" si="127"/>
        <v>10192</v>
      </c>
      <c r="DI90" s="37">
        <f t="shared" si="128"/>
        <v>10193</v>
      </c>
      <c r="DJ90" s="37">
        <f t="shared" si="129"/>
        <v>10194</v>
      </c>
      <c r="DK90" s="37">
        <f t="shared" si="130"/>
        <v>10195</v>
      </c>
      <c r="DL90" s="37">
        <f t="shared" si="131"/>
        <v>10196</v>
      </c>
      <c r="DM90" s="37">
        <f t="shared" si="132"/>
        <v>10197</v>
      </c>
      <c r="DN90" s="37">
        <f t="shared" si="133"/>
        <v>10198</v>
      </c>
      <c r="DO90" s="37">
        <f t="shared" si="134"/>
        <v>10199</v>
      </c>
      <c r="DP90" s="38">
        <f t="shared" si="135"/>
        <v>10200</v>
      </c>
      <c r="DR90" s="1206"/>
      <c r="DS90" s="1207"/>
      <c r="DT90" s="1207"/>
      <c r="DU90" s="1208"/>
    </row>
    <row r="91" spans="1:125" ht="5.85" customHeight="1" x14ac:dyDescent="0.3">
      <c r="A91" s="36">
        <f t="shared" si="136"/>
        <v>10201</v>
      </c>
      <c r="B91" s="37">
        <f t="shared" si="17"/>
        <v>10202</v>
      </c>
      <c r="C91" s="37">
        <f t="shared" si="18"/>
        <v>10203</v>
      </c>
      <c r="D91" s="37">
        <f t="shared" si="19"/>
        <v>10204</v>
      </c>
      <c r="E91" s="37">
        <f t="shared" si="20"/>
        <v>10205</v>
      </c>
      <c r="F91" s="37">
        <f t="shared" si="21"/>
        <v>10206</v>
      </c>
      <c r="G91" s="37">
        <f t="shared" si="22"/>
        <v>10207</v>
      </c>
      <c r="H91" s="37">
        <f t="shared" si="23"/>
        <v>10208</v>
      </c>
      <c r="I91" s="37">
        <f t="shared" si="24"/>
        <v>10209</v>
      </c>
      <c r="J91" s="38">
        <f t="shared" si="25"/>
        <v>10210</v>
      </c>
      <c r="K91" s="36">
        <f t="shared" si="26"/>
        <v>10211</v>
      </c>
      <c r="L91" s="37">
        <f t="shared" si="27"/>
        <v>10212</v>
      </c>
      <c r="M91" s="37">
        <f t="shared" si="28"/>
        <v>10213</v>
      </c>
      <c r="N91" s="37">
        <f t="shared" si="29"/>
        <v>10214</v>
      </c>
      <c r="O91" s="37">
        <f t="shared" si="30"/>
        <v>10215</v>
      </c>
      <c r="P91" s="37">
        <f t="shared" si="31"/>
        <v>10216</v>
      </c>
      <c r="Q91" s="37">
        <f t="shared" si="32"/>
        <v>10217</v>
      </c>
      <c r="R91" s="37">
        <f t="shared" si="33"/>
        <v>10218</v>
      </c>
      <c r="S91" s="37">
        <f t="shared" si="34"/>
        <v>10219</v>
      </c>
      <c r="T91" s="38">
        <f t="shared" si="35"/>
        <v>10220</v>
      </c>
      <c r="U91" s="36">
        <f t="shared" si="36"/>
        <v>10221</v>
      </c>
      <c r="V91" s="37">
        <f t="shared" si="37"/>
        <v>10222</v>
      </c>
      <c r="W91" s="37">
        <f t="shared" si="38"/>
        <v>10223</v>
      </c>
      <c r="X91" s="37">
        <f t="shared" si="39"/>
        <v>10224</v>
      </c>
      <c r="Y91" s="37">
        <f t="shared" si="40"/>
        <v>10225</v>
      </c>
      <c r="Z91" s="37">
        <f t="shared" si="41"/>
        <v>10226</v>
      </c>
      <c r="AA91" s="37">
        <f t="shared" si="42"/>
        <v>10227</v>
      </c>
      <c r="AB91" s="37">
        <f t="shared" si="43"/>
        <v>10228</v>
      </c>
      <c r="AC91" s="37">
        <f t="shared" si="44"/>
        <v>10229</v>
      </c>
      <c r="AD91" s="38">
        <f t="shared" si="45"/>
        <v>10230</v>
      </c>
      <c r="AE91" s="36">
        <f t="shared" si="46"/>
        <v>10231</v>
      </c>
      <c r="AF91" s="37">
        <f t="shared" si="47"/>
        <v>10232</v>
      </c>
      <c r="AG91" s="37">
        <f t="shared" si="48"/>
        <v>10233</v>
      </c>
      <c r="AH91" s="37">
        <f t="shared" si="49"/>
        <v>10234</v>
      </c>
      <c r="AI91" s="37">
        <f t="shared" si="50"/>
        <v>10235</v>
      </c>
      <c r="AJ91" s="37">
        <f t="shared" si="51"/>
        <v>10236</v>
      </c>
      <c r="AK91" s="37">
        <f t="shared" si="52"/>
        <v>10237</v>
      </c>
      <c r="AL91" s="37">
        <f t="shared" si="53"/>
        <v>10238</v>
      </c>
      <c r="AM91" s="37">
        <f t="shared" si="54"/>
        <v>10239</v>
      </c>
      <c r="AN91" s="38">
        <f t="shared" si="55"/>
        <v>10240</v>
      </c>
      <c r="AO91" s="36">
        <f t="shared" si="56"/>
        <v>10241</v>
      </c>
      <c r="AP91" s="37">
        <f t="shared" si="57"/>
        <v>10242</v>
      </c>
      <c r="AQ91" s="37">
        <f t="shared" si="58"/>
        <v>10243</v>
      </c>
      <c r="AR91" s="37">
        <f t="shared" si="59"/>
        <v>10244</v>
      </c>
      <c r="AS91" s="37">
        <f t="shared" si="60"/>
        <v>10245</v>
      </c>
      <c r="AT91" s="37">
        <f t="shared" si="61"/>
        <v>10246</v>
      </c>
      <c r="AU91" s="37">
        <f t="shared" si="62"/>
        <v>10247</v>
      </c>
      <c r="AV91" s="37">
        <f t="shared" si="63"/>
        <v>10248</v>
      </c>
      <c r="AW91" s="37">
        <f t="shared" si="64"/>
        <v>10249</v>
      </c>
      <c r="AX91" s="38">
        <f t="shared" si="65"/>
        <v>10250</v>
      </c>
      <c r="AY91" s="36">
        <f t="shared" si="66"/>
        <v>10251</v>
      </c>
      <c r="AZ91" s="37">
        <f t="shared" si="67"/>
        <v>10252</v>
      </c>
      <c r="BA91" s="37">
        <f t="shared" si="68"/>
        <v>10253</v>
      </c>
      <c r="BB91" s="37">
        <f t="shared" si="69"/>
        <v>10254</v>
      </c>
      <c r="BC91" s="37">
        <f t="shared" si="70"/>
        <v>10255</v>
      </c>
      <c r="BD91" s="37">
        <f t="shared" si="71"/>
        <v>10256</v>
      </c>
      <c r="BE91" s="37">
        <f t="shared" si="72"/>
        <v>10257</v>
      </c>
      <c r="BF91" s="37">
        <f t="shared" si="73"/>
        <v>10258</v>
      </c>
      <c r="BG91" s="37">
        <f t="shared" si="74"/>
        <v>10259</v>
      </c>
      <c r="BH91" s="38">
        <f t="shared" si="75"/>
        <v>10260</v>
      </c>
      <c r="BI91" s="36">
        <f t="shared" si="76"/>
        <v>10261</v>
      </c>
      <c r="BJ91" s="37">
        <f t="shared" si="77"/>
        <v>10262</v>
      </c>
      <c r="BK91" s="37">
        <f t="shared" si="78"/>
        <v>10263</v>
      </c>
      <c r="BL91" s="37">
        <f t="shared" si="79"/>
        <v>10264</v>
      </c>
      <c r="BM91" s="37">
        <f t="shared" si="80"/>
        <v>10265</v>
      </c>
      <c r="BN91" s="37">
        <f t="shared" si="81"/>
        <v>10266</v>
      </c>
      <c r="BO91" s="37">
        <f t="shared" si="82"/>
        <v>10267</v>
      </c>
      <c r="BP91" s="37">
        <f t="shared" si="83"/>
        <v>10268</v>
      </c>
      <c r="BQ91" s="37">
        <f t="shared" si="84"/>
        <v>10269</v>
      </c>
      <c r="BR91" s="39">
        <f t="shared" si="85"/>
        <v>10270</v>
      </c>
      <c r="BS91" s="36">
        <f t="shared" si="86"/>
        <v>10271</v>
      </c>
      <c r="BT91" s="37">
        <f t="shared" si="87"/>
        <v>10272</v>
      </c>
      <c r="BU91" s="37">
        <f t="shared" si="88"/>
        <v>10273</v>
      </c>
      <c r="BV91" s="37">
        <f t="shared" si="89"/>
        <v>10274</v>
      </c>
      <c r="BW91" s="37">
        <f t="shared" si="90"/>
        <v>10275</v>
      </c>
      <c r="BX91" s="37">
        <f t="shared" si="91"/>
        <v>10276</v>
      </c>
      <c r="BY91" s="37">
        <f t="shared" si="92"/>
        <v>10277</v>
      </c>
      <c r="BZ91" s="37">
        <f t="shared" si="93"/>
        <v>10278</v>
      </c>
      <c r="CA91" s="37">
        <f t="shared" si="94"/>
        <v>10279</v>
      </c>
      <c r="CB91" s="38">
        <f t="shared" si="95"/>
        <v>10280</v>
      </c>
      <c r="CC91" s="40">
        <f t="shared" si="96"/>
        <v>10281</v>
      </c>
      <c r="CD91" s="37">
        <f t="shared" si="97"/>
        <v>10282</v>
      </c>
      <c r="CE91" s="37">
        <f t="shared" si="98"/>
        <v>10283</v>
      </c>
      <c r="CF91" s="37">
        <f t="shared" si="99"/>
        <v>10284</v>
      </c>
      <c r="CG91" s="37">
        <f t="shared" si="100"/>
        <v>10285</v>
      </c>
      <c r="CH91" s="37">
        <f t="shared" si="101"/>
        <v>10286</v>
      </c>
      <c r="CI91" s="37">
        <f t="shared" si="102"/>
        <v>10287</v>
      </c>
      <c r="CJ91" s="37">
        <f t="shared" si="103"/>
        <v>10288</v>
      </c>
      <c r="CK91" s="37">
        <f t="shared" si="104"/>
        <v>10289</v>
      </c>
      <c r="CL91" s="39">
        <f t="shared" si="105"/>
        <v>10290</v>
      </c>
      <c r="CM91" s="36">
        <f t="shared" si="106"/>
        <v>10291</v>
      </c>
      <c r="CN91" s="37">
        <f t="shared" si="107"/>
        <v>10292</v>
      </c>
      <c r="CO91" s="37">
        <f t="shared" si="108"/>
        <v>10293</v>
      </c>
      <c r="CP91" s="37">
        <f t="shared" si="109"/>
        <v>10294</v>
      </c>
      <c r="CQ91" s="37">
        <f t="shared" si="110"/>
        <v>10295</v>
      </c>
      <c r="CR91" s="37">
        <f t="shared" si="111"/>
        <v>10296</v>
      </c>
      <c r="CS91" s="37">
        <f t="shared" si="112"/>
        <v>10297</v>
      </c>
      <c r="CT91" s="37">
        <f t="shared" si="113"/>
        <v>10298</v>
      </c>
      <c r="CU91" s="37">
        <f t="shared" si="114"/>
        <v>10299</v>
      </c>
      <c r="CV91" s="38">
        <f t="shared" si="115"/>
        <v>10300</v>
      </c>
      <c r="CW91" s="40">
        <f t="shared" si="116"/>
        <v>10301</v>
      </c>
      <c r="CX91" s="37">
        <f t="shared" si="117"/>
        <v>10302</v>
      </c>
      <c r="CY91" s="37">
        <f t="shared" si="118"/>
        <v>10303</v>
      </c>
      <c r="CZ91" s="37">
        <f t="shared" si="119"/>
        <v>10304</v>
      </c>
      <c r="DA91" s="37">
        <f t="shared" si="120"/>
        <v>10305</v>
      </c>
      <c r="DB91" s="37">
        <f t="shared" si="121"/>
        <v>10306</v>
      </c>
      <c r="DC91" s="37">
        <f t="shared" si="122"/>
        <v>10307</v>
      </c>
      <c r="DD91" s="37">
        <f t="shared" si="123"/>
        <v>10308</v>
      </c>
      <c r="DE91" s="37">
        <f t="shared" si="124"/>
        <v>10309</v>
      </c>
      <c r="DF91" s="39">
        <f t="shared" si="125"/>
        <v>10310</v>
      </c>
      <c r="DG91" s="36">
        <f t="shared" si="126"/>
        <v>10311</v>
      </c>
      <c r="DH91" s="37">
        <f t="shared" si="127"/>
        <v>10312</v>
      </c>
      <c r="DI91" s="37">
        <f t="shared" si="128"/>
        <v>10313</v>
      </c>
      <c r="DJ91" s="37">
        <f t="shared" si="129"/>
        <v>10314</v>
      </c>
      <c r="DK91" s="37">
        <f t="shared" si="130"/>
        <v>10315</v>
      </c>
      <c r="DL91" s="37">
        <f t="shared" si="131"/>
        <v>10316</v>
      </c>
      <c r="DM91" s="37">
        <f t="shared" si="132"/>
        <v>10317</v>
      </c>
      <c r="DN91" s="37">
        <f t="shared" si="133"/>
        <v>10318</v>
      </c>
      <c r="DO91" s="37">
        <f t="shared" si="134"/>
        <v>10319</v>
      </c>
      <c r="DP91" s="38">
        <f t="shared" si="135"/>
        <v>10320</v>
      </c>
      <c r="DR91" s="1206">
        <v>800</v>
      </c>
      <c r="DS91" s="1207"/>
      <c r="DT91" s="1207"/>
      <c r="DU91" s="1208"/>
    </row>
    <row r="92" spans="1:125" ht="5.85" customHeight="1" x14ac:dyDescent="0.3">
      <c r="A92" s="36">
        <f t="shared" si="136"/>
        <v>10321</v>
      </c>
      <c r="B92" s="37">
        <f t="shared" si="17"/>
        <v>10322</v>
      </c>
      <c r="C92" s="37">
        <f t="shared" si="18"/>
        <v>10323</v>
      </c>
      <c r="D92" s="37">
        <f t="shared" si="19"/>
        <v>10324</v>
      </c>
      <c r="E92" s="37">
        <f t="shared" si="20"/>
        <v>10325</v>
      </c>
      <c r="F92" s="37">
        <f t="shared" si="21"/>
        <v>10326</v>
      </c>
      <c r="G92" s="37">
        <f t="shared" si="22"/>
        <v>10327</v>
      </c>
      <c r="H92" s="37">
        <f t="shared" si="23"/>
        <v>10328</v>
      </c>
      <c r="I92" s="37">
        <f t="shared" si="24"/>
        <v>10329</v>
      </c>
      <c r="J92" s="38">
        <f t="shared" si="25"/>
        <v>10330</v>
      </c>
      <c r="K92" s="36">
        <f t="shared" si="26"/>
        <v>10331</v>
      </c>
      <c r="L92" s="37">
        <f t="shared" si="27"/>
        <v>10332</v>
      </c>
      <c r="M92" s="37">
        <f t="shared" si="28"/>
        <v>10333</v>
      </c>
      <c r="N92" s="37">
        <f t="shared" si="29"/>
        <v>10334</v>
      </c>
      <c r="O92" s="37">
        <f t="shared" si="30"/>
        <v>10335</v>
      </c>
      <c r="P92" s="37">
        <f t="shared" si="31"/>
        <v>10336</v>
      </c>
      <c r="Q92" s="37">
        <f t="shared" si="32"/>
        <v>10337</v>
      </c>
      <c r="R92" s="37">
        <f t="shared" si="33"/>
        <v>10338</v>
      </c>
      <c r="S92" s="37">
        <f t="shared" si="34"/>
        <v>10339</v>
      </c>
      <c r="T92" s="38">
        <f t="shared" si="35"/>
        <v>10340</v>
      </c>
      <c r="U92" s="36">
        <f t="shared" si="36"/>
        <v>10341</v>
      </c>
      <c r="V92" s="37">
        <f t="shared" si="37"/>
        <v>10342</v>
      </c>
      <c r="W92" s="37">
        <f t="shared" si="38"/>
        <v>10343</v>
      </c>
      <c r="X92" s="37">
        <f t="shared" si="39"/>
        <v>10344</v>
      </c>
      <c r="Y92" s="37">
        <f t="shared" si="40"/>
        <v>10345</v>
      </c>
      <c r="Z92" s="37">
        <f t="shared" si="41"/>
        <v>10346</v>
      </c>
      <c r="AA92" s="37">
        <f t="shared" si="42"/>
        <v>10347</v>
      </c>
      <c r="AB92" s="37">
        <f t="shared" si="43"/>
        <v>10348</v>
      </c>
      <c r="AC92" s="37">
        <f t="shared" si="44"/>
        <v>10349</v>
      </c>
      <c r="AD92" s="38">
        <f t="shared" si="45"/>
        <v>10350</v>
      </c>
      <c r="AE92" s="36">
        <f t="shared" si="46"/>
        <v>10351</v>
      </c>
      <c r="AF92" s="37">
        <f t="shared" si="47"/>
        <v>10352</v>
      </c>
      <c r="AG92" s="37">
        <f t="shared" si="48"/>
        <v>10353</v>
      </c>
      <c r="AH92" s="37">
        <f t="shared" si="49"/>
        <v>10354</v>
      </c>
      <c r="AI92" s="37">
        <f t="shared" si="50"/>
        <v>10355</v>
      </c>
      <c r="AJ92" s="37">
        <f t="shared" si="51"/>
        <v>10356</v>
      </c>
      <c r="AK92" s="37">
        <f t="shared" si="52"/>
        <v>10357</v>
      </c>
      <c r="AL92" s="37">
        <f t="shared" si="53"/>
        <v>10358</v>
      </c>
      <c r="AM92" s="37">
        <f t="shared" si="54"/>
        <v>10359</v>
      </c>
      <c r="AN92" s="38">
        <f t="shared" si="55"/>
        <v>10360</v>
      </c>
      <c r="AO92" s="36">
        <f t="shared" si="56"/>
        <v>10361</v>
      </c>
      <c r="AP92" s="37">
        <f t="shared" si="57"/>
        <v>10362</v>
      </c>
      <c r="AQ92" s="37">
        <f t="shared" si="58"/>
        <v>10363</v>
      </c>
      <c r="AR92" s="37">
        <f t="shared" si="59"/>
        <v>10364</v>
      </c>
      <c r="AS92" s="37">
        <f t="shared" si="60"/>
        <v>10365</v>
      </c>
      <c r="AT92" s="37">
        <f t="shared" si="61"/>
        <v>10366</v>
      </c>
      <c r="AU92" s="37">
        <f t="shared" si="62"/>
        <v>10367</v>
      </c>
      <c r="AV92" s="37">
        <f t="shared" si="63"/>
        <v>10368</v>
      </c>
      <c r="AW92" s="37">
        <f t="shared" si="64"/>
        <v>10369</v>
      </c>
      <c r="AX92" s="38">
        <f t="shared" si="65"/>
        <v>10370</v>
      </c>
      <c r="AY92" s="36">
        <f t="shared" si="66"/>
        <v>10371</v>
      </c>
      <c r="AZ92" s="37">
        <f t="shared" si="67"/>
        <v>10372</v>
      </c>
      <c r="BA92" s="37">
        <f t="shared" si="68"/>
        <v>10373</v>
      </c>
      <c r="BB92" s="37">
        <f t="shared" si="69"/>
        <v>10374</v>
      </c>
      <c r="BC92" s="37">
        <f t="shared" si="70"/>
        <v>10375</v>
      </c>
      <c r="BD92" s="37">
        <f t="shared" si="71"/>
        <v>10376</v>
      </c>
      <c r="BE92" s="37">
        <f t="shared" si="72"/>
        <v>10377</v>
      </c>
      <c r="BF92" s="37">
        <f t="shared" si="73"/>
        <v>10378</v>
      </c>
      <c r="BG92" s="37">
        <f t="shared" si="74"/>
        <v>10379</v>
      </c>
      <c r="BH92" s="38">
        <f t="shared" si="75"/>
        <v>10380</v>
      </c>
      <c r="BI92" s="36">
        <f t="shared" si="76"/>
        <v>10381</v>
      </c>
      <c r="BJ92" s="37">
        <f t="shared" si="77"/>
        <v>10382</v>
      </c>
      <c r="BK92" s="37">
        <f t="shared" si="78"/>
        <v>10383</v>
      </c>
      <c r="BL92" s="37">
        <f t="shared" si="79"/>
        <v>10384</v>
      </c>
      <c r="BM92" s="37">
        <f t="shared" si="80"/>
        <v>10385</v>
      </c>
      <c r="BN92" s="37">
        <f t="shared" si="81"/>
        <v>10386</v>
      </c>
      <c r="BO92" s="37">
        <f t="shared" si="82"/>
        <v>10387</v>
      </c>
      <c r="BP92" s="37">
        <f t="shared" si="83"/>
        <v>10388</v>
      </c>
      <c r="BQ92" s="37">
        <f t="shared" si="84"/>
        <v>10389</v>
      </c>
      <c r="BR92" s="39">
        <f t="shared" si="85"/>
        <v>10390</v>
      </c>
      <c r="BS92" s="36">
        <f t="shared" si="86"/>
        <v>10391</v>
      </c>
      <c r="BT92" s="37">
        <f t="shared" si="87"/>
        <v>10392</v>
      </c>
      <c r="BU92" s="37">
        <f t="shared" si="88"/>
        <v>10393</v>
      </c>
      <c r="BV92" s="37">
        <f t="shared" si="89"/>
        <v>10394</v>
      </c>
      <c r="BW92" s="37">
        <f t="shared" si="90"/>
        <v>10395</v>
      </c>
      <c r="BX92" s="37">
        <f t="shared" si="91"/>
        <v>10396</v>
      </c>
      <c r="BY92" s="37">
        <f t="shared" si="92"/>
        <v>10397</v>
      </c>
      <c r="BZ92" s="37">
        <f t="shared" si="93"/>
        <v>10398</v>
      </c>
      <c r="CA92" s="37">
        <f t="shared" si="94"/>
        <v>10399</v>
      </c>
      <c r="CB92" s="38">
        <f t="shared" si="95"/>
        <v>10400</v>
      </c>
      <c r="CC92" s="40">
        <f t="shared" si="96"/>
        <v>10401</v>
      </c>
      <c r="CD92" s="37">
        <f t="shared" si="97"/>
        <v>10402</v>
      </c>
      <c r="CE92" s="37">
        <f t="shared" si="98"/>
        <v>10403</v>
      </c>
      <c r="CF92" s="37">
        <f t="shared" si="99"/>
        <v>10404</v>
      </c>
      <c r="CG92" s="37">
        <f t="shared" si="100"/>
        <v>10405</v>
      </c>
      <c r="CH92" s="37">
        <f t="shared" si="101"/>
        <v>10406</v>
      </c>
      <c r="CI92" s="37">
        <f t="shared" si="102"/>
        <v>10407</v>
      </c>
      <c r="CJ92" s="37">
        <f t="shared" si="103"/>
        <v>10408</v>
      </c>
      <c r="CK92" s="37">
        <f t="shared" si="104"/>
        <v>10409</v>
      </c>
      <c r="CL92" s="39">
        <f t="shared" si="105"/>
        <v>10410</v>
      </c>
      <c r="CM92" s="36">
        <f t="shared" si="106"/>
        <v>10411</v>
      </c>
      <c r="CN92" s="37">
        <f t="shared" si="107"/>
        <v>10412</v>
      </c>
      <c r="CO92" s="37">
        <f t="shared" si="108"/>
        <v>10413</v>
      </c>
      <c r="CP92" s="37">
        <f t="shared" si="109"/>
        <v>10414</v>
      </c>
      <c r="CQ92" s="37">
        <f t="shared" si="110"/>
        <v>10415</v>
      </c>
      <c r="CR92" s="37">
        <f t="shared" si="111"/>
        <v>10416</v>
      </c>
      <c r="CS92" s="37">
        <f t="shared" si="112"/>
        <v>10417</v>
      </c>
      <c r="CT92" s="37">
        <f t="shared" si="113"/>
        <v>10418</v>
      </c>
      <c r="CU92" s="37">
        <f t="shared" si="114"/>
        <v>10419</v>
      </c>
      <c r="CV92" s="38">
        <f t="shared" si="115"/>
        <v>10420</v>
      </c>
      <c r="CW92" s="40">
        <f t="shared" si="116"/>
        <v>10421</v>
      </c>
      <c r="CX92" s="37">
        <f t="shared" si="117"/>
        <v>10422</v>
      </c>
      <c r="CY92" s="37">
        <f t="shared" si="118"/>
        <v>10423</v>
      </c>
      <c r="CZ92" s="37">
        <f t="shared" si="119"/>
        <v>10424</v>
      </c>
      <c r="DA92" s="37">
        <f t="shared" si="120"/>
        <v>10425</v>
      </c>
      <c r="DB92" s="37">
        <f t="shared" si="121"/>
        <v>10426</v>
      </c>
      <c r="DC92" s="37">
        <f t="shared" si="122"/>
        <v>10427</v>
      </c>
      <c r="DD92" s="37">
        <f t="shared" si="123"/>
        <v>10428</v>
      </c>
      <c r="DE92" s="37">
        <f t="shared" si="124"/>
        <v>10429</v>
      </c>
      <c r="DF92" s="39">
        <f t="shared" si="125"/>
        <v>10430</v>
      </c>
      <c r="DG92" s="36">
        <f t="shared" si="126"/>
        <v>10431</v>
      </c>
      <c r="DH92" s="37">
        <f t="shared" si="127"/>
        <v>10432</v>
      </c>
      <c r="DI92" s="37">
        <f t="shared" si="128"/>
        <v>10433</v>
      </c>
      <c r="DJ92" s="37">
        <f t="shared" si="129"/>
        <v>10434</v>
      </c>
      <c r="DK92" s="37">
        <f t="shared" si="130"/>
        <v>10435</v>
      </c>
      <c r="DL92" s="37">
        <f t="shared" si="131"/>
        <v>10436</v>
      </c>
      <c r="DM92" s="37">
        <f t="shared" si="132"/>
        <v>10437</v>
      </c>
      <c r="DN92" s="37">
        <f t="shared" si="133"/>
        <v>10438</v>
      </c>
      <c r="DO92" s="37">
        <f t="shared" si="134"/>
        <v>10439</v>
      </c>
      <c r="DP92" s="38">
        <f t="shared" si="135"/>
        <v>10440</v>
      </c>
      <c r="DR92" s="1206"/>
      <c r="DS92" s="1207"/>
      <c r="DT92" s="1207"/>
      <c r="DU92" s="1208"/>
    </row>
    <row r="93" spans="1:125" ht="5.85" customHeight="1" thickBot="1" x14ac:dyDescent="0.35">
      <c r="A93" s="41">
        <f t="shared" si="136"/>
        <v>10441</v>
      </c>
      <c r="B93" s="42">
        <f t="shared" ref="B93" si="137">A93+1</f>
        <v>10442</v>
      </c>
      <c r="C93" s="42">
        <f t="shared" ref="C93" si="138">B93+1</f>
        <v>10443</v>
      </c>
      <c r="D93" s="42">
        <f t="shared" ref="D93" si="139">C93+1</f>
        <v>10444</v>
      </c>
      <c r="E93" s="42">
        <f t="shared" ref="E93" si="140">D93+1</f>
        <v>10445</v>
      </c>
      <c r="F93" s="42">
        <f t="shared" ref="F93" si="141">E93+1</f>
        <v>10446</v>
      </c>
      <c r="G93" s="42">
        <f t="shared" ref="G93" si="142">F93+1</f>
        <v>10447</v>
      </c>
      <c r="H93" s="42">
        <f t="shared" ref="H93" si="143">G93+1</f>
        <v>10448</v>
      </c>
      <c r="I93" s="42">
        <f t="shared" ref="I93" si="144">H93+1</f>
        <v>10449</v>
      </c>
      <c r="J93" s="65">
        <f t="shared" ref="J93" si="145">I93+1</f>
        <v>10450</v>
      </c>
      <c r="K93" s="41">
        <f t="shared" ref="K93" si="146">J93+1</f>
        <v>10451</v>
      </c>
      <c r="L93" s="42">
        <f t="shared" ref="L93" si="147">K93+1</f>
        <v>10452</v>
      </c>
      <c r="M93" s="42">
        <f t="shared" ref="M93" si="148">L93+1</f>
        <v>10453</v>
      </c>
      <c r="N93" s="42">
        <f t="shared" ref="N93" si="149">M93+1</f>
        <v>10454</v>
      </c>
      <c r="O93" s="42">
        <f t="shared" ref="O93" si="150">N93+1</f>
        <v>10455</v>
      </c>
      <c r="P93" s="42">
        <f t="shared" ref="P93" si="151">O93+1</f>
        <v>10456</v>
      </c>
      <c r="Q93" s="42">
        <f t="shared" ref="Q93" si="152">P93+1</f>
        <v>10457</v>
      </c>
      <c r="R93" s="42">
        <f t="shared" ref="R93" si="153">Q93+1</f>
        <v>10458</v>
      </c>
      <c r="S93" s="42">
        <f t="shared" ref="S93" si="154">R93+1</f>
        <v>10459</v>
      </c>
      <c r="T93" s="65">
        <f t="shared" ref="T93" si="155">S93+1</f>
        <v>10460</v>
      </c>
      <c r="U93" s="41">
        <f t="shared" ref="U93" si="156">T93+1</f>
        <v>10461</v>
      </c>
      <c r="V93" s="42">
        <f t="shared" ref="V93" si="157">U93+1</f>
        <v>10462</v>
      </c>
      <c r="W93" s="42">
        <f t="shared" ref="W93" si="158">V93+1</f>
        <v>10463</v>
      </c>
      <c r="X93" s="42">
        <f t="shared" ref="X93" si="159">W93+1</f>
        <v>10464</v>
      </c>
      <c r="Y93" s="42">
        <f t="shared" ref="Y93" si="160">X93+1</f>
        <v>10465</v>
      </c>
      <c r="Z93" s="42">
        <f t="shared" ref="Z93" si="161">Y93+1</f>
        <v>10466</v>
      </c>
      <c r="AA93" s="42">
        <f t="shared" ref="AA93" si="162">Z93+1</f>
        <v>10467</v>
      </c>
      <c r="AB93" s="42">
        <f t="shared" ref="AB93" si="163">AA93+1</f>
        <v>10468</v>
      </c>
      <c r="AC93" s="42">
        <f t="shared" ref="AC93" si="164">AB93+1</f>
        <v>10469</v>
      </c>
      <c r="AD93" s="65">
        <f t="shared" ref="AD93" si="165">AC93+1</f>
        <v>10470</v>
      </c>
      <c r="AE93" s="41">
        <f t="shared" ref="AE93" si="166">AD93+1</f>
        <v>10471</v>
      </c>
      <c r="AF93" s="42">
        <f t="shared" ref="AF93" si="167">AE93+1</f>
        <v>10472</v>
      </c>
      <c r="AG93" s="42">
        <f t="shared" ref="AG93" si="168">AF93+1</f>
        <v>10473</v>
      </c>
      <c r="AH93" s="42">
        <f t="shared" ref="AH93" si="169">AG93+1</f>
        <v>10474</v>
      </c>
      <c r="AI93" s="42">
        <f t="shared" ref="AI93" si="170">AH93+1</f>
        <v>10475</v>
      </c>
      <c r="AJ93" s="42">
        <f t="shared" ref="AJ93" si="171">AI93+1</f>
        <v>10476</v>
      </c>
      <c r="AK93" s="42">
        <f t="shared" ref="AK93" si="172">AJ93+1</f>
        <v>10477</v>
      </c>
      <c r="AL93" s="42">
        <f t="shared" ref="AL93" si="173">AK93+1</f>
        <v>10478</v>
      </c>
      <c r="AM93" s="42">
        <f t="shared" ref="AM93" si="174">AL93+1</f>
        <v>10479</v>
      </c>
      <c r="AN93" s="65">
        <f t="shared" ref="AN93" si="175">AM93+1</f>
        <v>10480</v>
      </c>
      <c r="AO93" s="41">
        <f t="shared" ref="AO93" si="176">AN93+1</f>
        <v>10481</v>
      </c>
      <c r="AP93" s="42">
        <f t="shared" ref="AP93" si="177">AO93+1</f>
        <v>10482</v>
      </c>
      <c r="AQ93" s="42">
        <f t="shared" ref="AQ93" si="178">AP93+1</f>
        <v>10483</v>
      </c>
      <c r="AR93" s="42">
        <f t="shared" ref="AR93" si="179">AQ93+1</f>
        <v>10484</v>
      </c>
      <c r="AS93" s="42">
        <f t="shared" ref="AS93" si="180">AR93+1</f>
        <v>10485</v>
      </c>
      <c r="AT93" s="42">
        <f t="shared" ref="AT93" si="181">AS93+1</f>
        <v>10486</v>
      </c>
      <c r="AU93" s="42">
        <f t="shared" ref="AU93" si="182">AT93+1</f>
        <v>10487</v>
      </c>
      <c r="AV93" s="42">
        <f t="shared" ref="AV93" si="183">AU93+1</f>
        <v>10488</v>
      </c>
      <c r="AW93" s="42">
        <f t="shared" ref="AW93" si="184">AV93+1</f>
        <v>10489</v>
      </c>
      <c r="AX93" s="65">
        <f t="shared" ref="AX93" si="185">AW93+1</f>
        <v>10490</v>
      </c>
      <c r="AY93" s="41">
        <f t="shared" ref="AY93" si="186">AX93+1</f>
        <v>10491</v>
      </c>
      <c r="AZ93" s="42">
        <f t="shared" ref="AZ93" si="187">AY93+1</f>
        <v>10492</v>
      </c>
      <c r="BA93" s="42">
        <f t="shared" ref="BA93" si="188">AZ93+1</f>
        <v>10493</v>
      </c>
      <c r="BB93" s="42">
        <f t="shared" ref="BB93" si="189">BA93+1</f>
        <v>10494</v>
      </c>
      <c r="BC93" s="42">
        <f t="shared" ref="BC93" si="190">BB93+1</f>
        <v>10495</v>
      </c>
      <c r="BD93" s="42">
        <f t="shared" ref="BD93" si="191">BC93+1</f>
        <v>10496</v>
      </c>
      <c r="BE93" s="42">
        <f t="shared" ref="BE93" si="192">BD93+1</f>
        <v>10497</v>
      </c>
      <c r="BF93" s="42">
        <f t="shared" ref="BF93" si="193">BE93+1</f>
        <v>10498</v>
      </c>
      <c r="BG93" s="42">
        <f t="shared" ref="BG93" si="194">BF93+1</f>
        <v>10499</v>
      </c>
      <c r="BH93" s="65">
        <f t="shared" ref="BH93" si="195">BG93+1</f>
        <v>10500</v>
      </c>
      <c r="BI93" s="41">
        <f t="shared" ref="BI93" si="196">BH93+1</f>
        <v>10501</v>
      </c>
      <c r="BJ93" s="42">
        <f t="shared" ref="BJ93" si="197">BI93+1</f>
        <v>10502</v>
      </c>
      <c r="BK93" s="42">
        <f t="shared" ref="BK93" si="198">BJ93+1</f>
        <v>10503</v>
      </c>
      <c r="BL93" s="42">
        <f t="shared" ref="BL93" si="199">BK93+1</f>
        <v>10504</v>
      </c>
      <c r="BM93" s="42">
        <f t="shared" ref="BM93" si="200">BL93+1</f>
        <v>10505</v>
      </c>
      <c r="BN93" s="42">
        <f t="shared" ref="BN93" si="201">BM93+1</f>
        <v>10506</v>
      </c>
      <c r="BO93" s="42">
        <f t="shared" ref="BO93" si="202">BN93+1</f>
        <v>10507</v>
      </c>
      <c r="BP93" s="42">
        <f t="shared" ref="BP93" si="203">BO93+1</f>
        <v>10508</v>
      </c>
      <c r="BQ93" s="42">
        <f t="shared" ref="BQ93" si="204">BP93+1</f>
        <v>10509</v>
      </c>
      <c r="BR93" s="43">
        <f t="shared" ref="BR93" si="205">BQ93+1</f>
        <v>10510</v>
      </c>
      <c r="BS93" s="41">
        <f t="shared" ref="BS93" si="206">BR93+1</f>
        <v>10511</v>
      </c>
      <c r="BT93" s="42">
        <f t="shared" ref="BT93" si="207">BS93+1</f>
        <v>10512</v>
      </c>
      <c r="BU93" s="42">
        <f t="shared" ref="BU93" si="208">BT93+1</f>
        <v>10513</v>
      </c>
      <c r="BV93" s="42">
        <f t="shared" ref="BV93" si="209">BU93+1</f>
        <v>10514</v>
      </c>
      <c r="BW93" s="42">
        <f t="shared" ref="BW93" si="210">BV93+1</f>
        <v>10515</v>
      </c>
      <c r="BX93" s="42">
        <f t="shared" ref="BX93" si="211">BW93+1</f>
        <v>10516</v>
      </c>
      <c r="BY93" s="42">
        <f t="shared" ref="BY93" si="212">BX93+1</f>
        <v>10517</v>
      </c>
      <c r="BZ93" s="42">
        <f t="shared" ref="BZ93" si="213">BY93+1</f>
        <v>10518</v>
      </c>
      <c r="CA93" s="42">
        <f t="shared" ref="CA93" si="214">BZ93+1</f>
        <v>10519</v>
      </c>
      <c r="CB93" s="65">
        <f t="shared" ref="CB93" si="215">CA93+1</f>
        <v>10520</v>
      </c>
      <c r="CC93" s="66">
        <f t="shared" ref="CC93" si="216">CB93+1</f>
        <v>10521</v>
      </c>
      <c r="CD93" s="42">
        <f t="shared" ref="CD93" si="217">CC93+1</f>
        <v>10522</v>
      </c>
      <c r="CE93" s="42">
        <f t="shared" ref="CE93" si="218">CD93+1</f>
        <v>10523</v>
      </c>
      <c r="CF93" s="42">
        <f t="shared" ref="CF93" si="219">CE93+1</f>
        <v>10524</v>
      </c>
      <c r="CG93" s="42">
        <f t="shared" ref="CG93" si="220">CF93+1</f>
        <v>10525</v>
      </c>
      <c r="CH93" s="42">
        <f t="shared" ref="CH93" si="221">CG93+1</f>
        <v>10526</v>
      </c>
      <c r="CI93" s="42">
        <f t="shared" ref="CI93" si="222">CH93+1</f>
        <v>10527</v>
      </c>
      <c r="CJ93" s="42">
        <f t="shared" ref="CJ93" si="223">CI93+1</f>
        <v>10528</v>
      </c>
      <c r="CK93" s="42">
        <f t="shared" ref="CK93" si="224">CJ93+1</f>
        <v>10529</v>
      </c>
      <c r="CL93" s="43">
        <f t="shared" ref="CL93" si="225">CK93+1</f>
        <v>10530</v>
      </c>
      <c r="CM93" s="41">
        <f t="shared" ref="CM93" si="226">CL93+1</f>
        <v>10531</v>
      </c>
      <c r="CN93" s="42">
        <f t="shared" ref="CN93" si="227">CM93+1</f>
        <v>10532</v>
      </c>
      <c r="CO93" s="42">
        <f t="shared" ref="CO93" si="228">CN93+1</f>
        <v>10533</v>
      </c>
      <c r="CP93" s="42">
        <f t="shared" ref="CP93" si="229">CO93+1</f>
        <v>10534</v>
      </c>
      <c r="CQ93" s="42">
        <f t="shared" ref="CQ93" si="230">CP93+1</f>
        <v>10535</v>
      </c>
      <c r="CR93" s="42">
        <f t="shared" ref="CR93" si="231">CQ93+1</f>
        <v>10536</v>
      </c>
      <c r="CS93" s="42">
        <f t="shared" ref="CS93" si="232">CR93+1</f>
        <v>10537</v>
      </c>
      <c r="CT93" s="42">
        <f t="shared" ref="CT93" si="233">CS93+1</f>
        <v>10538</v>
      </c>
      <c r="CU93" s="42">
        <f t="shared" ref="CU93" si="234">CT93+1</f>
        <v>10539</v>
      </c>
      <c r="CV93" s="65">
        <f t="shared" ref="CV93" si="235">CU93+1</f>
        <v>10540</v>
      </c>
      <c r="CW93" s="66">
        <f t="shared" ref="CW93" si="236">CV93+1</f>
        <v>10541</v>
      </c>
      <c r="CX93" s="42">
        <f t="shared" ref="CX93" si="237">CW93+1</f>
        <v>10542</v>
      </c>
      <c r="CY93" s="42">
        <f t="shared" ref="CY93" si="238">CX93+1</f>
        <v>10543</v>
      </c>
      <c r="CZ93" s="42">
        <f t="shared" ref="CZ93" si="239">CY93+1</f>
        <v>10544</v>
      </c>
      <c r="DA93" s="42">
        <f t="shared" ref="DA93" si="240">CZ93+1</f>
        <v>10545</v>
      </c>
      <c r="DB93" s="42">
        <f t="shared" ref="DB93" si="241">DA93+1</f>
        <v>10546</v>
      </c>
      <c r="DC93" s="42">
        <f t="shared" ref="DC93" si="242">DB93+1</f>
        <v>10547</v>
      </c>
      <c r="DD93" s="42">
        <f t="shared" ref="DD93" si="243">DC93+1</f>
        <v>10548</v>
      </c>
      <c r="DE93" s="42">
        <f t="shared" ref="DE93" si="244">DD93+1</f>
        <v>10549</v>
      </c>
      <c r="DF93" s="43">
        <f t="shared" ref="DF93" si="245">DE93+1</f>
        <v>10550</v>
      </c>
      <c r="DG93" s="41">
        <f t="shared" ref="DG93" si="246">DF93+1</f>
        <v>10551</v>
      </c>
      <c r="DH93" s="42">
        <f t="shared" ref="DH93" si="247">DG93+1</f>
        <v>10552</v>
      </c>
      <c r="DI93" s="42">
        <f t="shared" ref="DI93" si="248">DH93+1</f>
        <v>10553</v>
      </c>
      <c r="DJ93" s="42">
        <f t="shared" ref="DJ93" si="249">DI93+1</f>
        <v>10554</v>
      </c>
      <c r="DK93" s="42">
        <f t="shared" ref="DK93" si="250">DJ93+1</f>
        <v>10555</v>
      </c>
      <c r="DL93" s="42">
        <f t="shared" ref="DL93" si="251">DK93+1</f>
        <v>10556</v>
      </c>
      <c r="DM93" s="42">
        <f t="shared" ref="DM93" si="252">DL93+1</f>
        <v>10557</v>
      </c>
      <c r="DN93" s="42">
        <f t="shared" ref="DN93" si="253">DM93+1</f>
        <v>10558</v>
      </c>
      <c r="DO93" s="42">
        <f t="shared" ref="DO93" si="254">DN93+1</f>
        <v>10559</v>
      </c>
      <c r="DP93" s="65">
        <f t="shared" ref="DP93" si="255">DO93+1</f>
        <v>10560</v>
      </c>
      <c r="DR93" s="1206"/>
      <c r="DS93" s="1207"/>
      <c r="DT93" s="1207"/>
      <c r="DU93" s="1208"/>
    </row>
    <row r="94" spans="1:125" ht="16.2" thickBot="1" x14ac:dyDescent="0.35">
      <c r="AV94" s="1296" t="str">
        <f>IF('1-Hull'!D7&lt;10560,"",IF('1-Hull'!D7&lt;105600,"SCALE: 1 Box = 10 Damage",IF('1-Hull'!D7&lt;1056000,"SCALE: 1 Box = 100 Damage","SCALE: 1 Box = 1000 Damage")))</f>
        <v/>
      </c>
      <c r="AW94" s="1296"/>
      <c r="AX94" s="1296"/>
      <c r="AY94" s="1296"/>
      <c r="AZ94" s="1296"/>
      <c r="BA94" s="1296"/>
      <c r="BB94" s="1296"/>
      <c r="BC94" s="1296"/>
      <c r="BD94" s="1296"/>
      <c r="BE94" s="1296"/>
      <c r="BF94" s="1296"/>
      <c r="BG94" s="1296"/>
      <c r="BH94" s="1296"/>
      <c r="BI94" s="1296"/>
      <c r="BJ94" s="1296"/>
      <c r="BK94" s="1296"/>
      <c r="BL94" s="1296"/>
      <c r="BM94" s="1296"/>
      <c r="BN94" s="1296"/>
      <c r="BO94" s="1296"/>
      <c r="BP94" s="1296"/>
      <c r="BQ94" s="1296"/>
      <c r="BR94" s="1296"/>
      <c r="BS94" s="1296"/>
      <c r="BT94" s="1296"/>
      <c r="BU94" s="1296"/>
      <c r="BV94" s="1296"/>
      <c r="DR94" s="1226">
        <v>900</v>
      </c>
      <c r="DS94" s="1227"/>
      <c r="DT94" s="1227"/>
      <c r="DU94" s="1228"/>
    </row>
    <row r="95" spans="1:125" ht="18" x14ac:dyDescent="0.3">
      <c r="A95" s="947" t="str">
        <f>IF('Ship Info'!$B$4=0,"",'Ship Info'!$B$4)</f>
        <v/>
      </c>
      <c r="B95" s="947"/>
      <c r="C95" s="947"/>
      <c r="D95" s="947"/>
      <c r="E95" s="947"/>
      <c r="F95" s="947"/>
      <c r="G95" s="947"/>
      <c r="H95" s="947"/>
      <c r="I95" s="947"/>
      <c r="J95" s="947"/>
      <c r="K95" s="947"/>
      <c r="L95" s="947"/>
      <c r="M95" s="947"/>
      <c r="N95" s="947"/>
      <c r="O95" s="947"/>
      <c r="P95" s="947"/>
      <c r="Q95" s="947"/>
      <c r="R95" s="947"/>
      <c r="S95" s="947"/>
      <c r="T95" s="947"/>
      <c r="U95" s="947"/>
      <c r="V95" s="947"/>
      <c r="W95" s="947"/>
      <c r="X95" s="947"/>
      <c r="Y95" s="947"/>
      <c r="Z95" s="947"/>
      <c r="AA95" s="947"/>
      <c r="AB95" s="947"/>
      <c r="AC95" s="947"/>
      <c r="AD95" s="947"/>
      <c r="AE95" s="19"/>
      <c r="AF95" s="19"/>
      <c r="AG95" s="948" t="str">
        <f>IF('Ship Info'!$B$2=0,"",'Ship Info'!$B$2)</f>
        <v/>
      </c>
      <c r="AH95" s="948"/>
      <c r="AI95" s="948"/>
      <c r="AJ95" s="948"/>
      <c r="AK95" s="948"/>
      <c r="AL95" s="948"/>
      <c r="AM95" s="948"/>
      <c r="AN95" s="948"/>
      <c r="AO95" s="948"/>
      <c r="AP95" s="948"/>
      <c r="AQ95" s="948"/>
      <c r="AR95" s="948"/>
      <c r="AS95" s="948"/>
      <c r="AT95" s="948"/>
      <c r="AU95" s="948"/>
      <c r="AV95" s="948"/>
      <c r="AW95" s="948"/>
      <c r="AX95" s="948"/>
      <c r="AY95" s="948"/>
      <c r="AZ95" s="948"/>
      <c r="BA95" s="948"/>
      <c r="BB95" s="948"/>
      <c r="BC95" s="948"/>
      <c r="BD95" s="948"/>
      <c r="BE95" s="948"/>
      <c r="BF95" s="948"/>
      <c r="BG95" s="948"/>
      <c r="BH95" s="948"/>
      <c r="BI95" s="948"/>
      <c r="BJ95" s="948"/>
      <c r="BK95" s="948"/>
      <c r="BL95" s="948"/>
      <c r="BM95" s="948"/>
      <c r="BN95" s="948"/>
      <c r="BO95" s="948"/>
      <c r="BP95" s="948"/>
      <c r="BQ95" s="948"/>
      <c r="BR95" s="948"/>
      <c r="BS95" s="948"/>
      <c r="BT95" s="948"/>
      <c r="BU95" s="948"/>
      <c r="BV95" s="948"/>
      <c r="BW95" s="948"/>
      <c r="BX95" s="948"/>
      <c r="BY95" s="948"/>
      <c r="BZ95" s="948"/>
      <c r="CA95" s="19"/>
      <c r="CB95" s="19"/>
      <c r="CC95" s="948" t="str">
        <f>IF('Ship Info'!$B$1=0,"",'Ship Info'!$B$1)</f>
        <v/>
      </c>
      <c r="CD95" s="948"/>
      <c r="CE95" s="948"/>
      <c r="CF95" s="948"/>
      <c r="CG95" s="948"/>
      <c r="CH95" s="948"/>
      <c r="CI95" s="948"/>
      <c r="CJ95" s="948"/>
      <c r="CK95" s="948"/>
      <c r="CL95" s="948"/>
      <c r="CM95" s="948"/>
      <c r="CN95" s="948"/>
      <c r="CO95" s="948"/>
      <c r="CP95" s="948"/>
      <c r="CQ95" s="948"/>
      <c r="CR95" s="948"/>
      <c r="CS95" s="948"/>
      <c r="CT95" s="948"/>
      <c r="CU95" s="948"/>
      <c r="CV95" s="948"/>
      <c r="CW95" s="948"/>
      <c r="CX95" s="948"/>
      <c r="CY95" s="948"/>
      <c r="CZ95" s="948"/>
      <c r="DA95" s="948"/>
      <c r="DB95" s="948"/>
      <c r="DC95" s="948"/>
      <c r="DD95" s="948"/>
      <c r="DE95" s="948"/>
      <c r="DF95" s="948"/>
      <c r="DG95" s="948"/>
      <c r="DH95" s="948"/>
      <c r="DI95" s="948"/>
      <c r="DJ95" s="948"/>
      <c r="DK95" s="948"/>
      <c r="DL95" s="948"/>
      <c r="DM95" s="948"/>
      <c r="DN95" s="948"/>
      <c r="DO95" s="948"/>
      <c r="DP95" s="948"/>
      <c r="DQ95" s="948"/>
      <c r="DR95" s="948"/>
      <c r="DS95" s="948"/>
      <c r="DT95" s="948"/>
      <c r="DU95" s="948"/>
    </row>
    <row r="96" spans="1:125" x14ac:dyDescent="0.3">
      <c r="A96" s="951" t="str">
        <f>"Armor: "&amp;'1-Hull'!$D$10&amp;""&amp;IF('1-Hull'!$AC$28=TRUE,"/"&amp;'1-Hull'!$D$10+3&amp;" vs. Lasers","")</f>
        <v>Armor: 0</v>
      </c>
      <c r="B96" s="951"/>
      <c r="C96" s="951"/>
      <c r="D96" s="951"/>
      <c r="E96" s="951"/>
      <c r="F96" s="951"/>
      <c r="G96" s="951"/>
      <c r="H96" s="951"/>
      <c r="I96" s="951"/>
      <c r="J96" s="951"/>
      <c r="K96" s="951"/>
      <c r="L96" s="951"/>
      <c r="M96" s="951"/>
      <c r="N96" s="951"/>
      <c r="O96" s="951"/>
      <c r="P96" s="951"/>
      <c r="Q96" s="951"/>
      <c r="R96" s="951"/>
      <c r="S96" s="951"/>
      <c r="T96" s="951"/>
      <c r="U96" s="19"/>
      <c r="V96" s="952" t="str">
        <f>IF('1-Hull'!$AC$47=TRUE,"Rad Shields: Rads - 1000","")</f>
        <v/>
      </c>
      <c r="W96" s="952"/>
      <c r="X96" s="952"/>
      <c r="Y96" s="952"/>
      <c r="Z96" s="952"/>
      <c r="AA96" s="952"/>
      <c r="AB96" s="952"/>
      <c r="AC96" s="952"/>
      <c r="AD96" s="952"/>
      <c r="AE96" s="952"/>
      <c r="AF96" s="952"/>
      <c r="AG96" s="952"/>
      <c r="AH96" s="952"/>
      <c r="AI96" s="952"/>
      <c r="AJ96" s="952"/>
      <c r="AK96" s="952"/>
      <c r="AL96" s="952"/>
      <c r="AM96" s="952"/>
      <c r="AN96" s="952"/>
      <c r="AO96" s="19"/>
      <c r="AP96" s="951" t="str">
        <f>IF('1-Hull'!$AC$34=TRUE,"Stealth: Sensors-2",IF('1-Hull'!$AC$35=TRUE,"Stealth: Sensors-2",IF('1-Hull'!$AC$36=TRUE,"Stealth: Sensors-4",IF('1-Hull'!$AC$37=TRUE,"Stealth: Sensors-6",""))))</f>
        <v/>
      </c>
      <c r="AQ96" s="951"/>
      <c r="AR96" s="951"/>
      <c r="AS96" s="951"/>
      <c r="AT96" s="951"/>
      <c r="AU96" s="951"/>
      <c r="AV96" s="951"/>
      <c r="AW96" s="951"/>
      <c r="AX96" s="951"/>
      <c r="AY96" s="951"/>
      <c r="AZ96" s="951"/>
      <c r="BA96" s="951"/>
      <c r="BB96" s="951"/>
      <c r="BC96" s="951"/>
      <c r="BD96" s="951"/>
      <c r="BE96" s="951"/>
      <c r="BF96" s="19"/>
      <c r="BG96" s="19" t="str">
        <f>'5-Bridge'!$S$25</f>
        <v>Bridge: No Modifiers</v>
      </c>
      <c r="BH96" s="19"/>
      <c r="BI96" s="19"/>
      <c r="BJ96" s="19"/>
      <c r="BK96" s="19"/>
      <c r="BL96" s="19"/>
      <c r="BM96" s="19"/>
      <c r="BN96" s="19"/>
      <c r="BO96" s="19"/>
      <c r="BP96" s="19"/>
      <c r="BQ96" s="19"/>
      <c r="BR96" s="19"/>
      <c r="BS96" s="19"/>
      <c r="BT96" s="19"/>
      <c r="BU96" s="19"/>
      <c r="BV96" s="19"/>
      <c r="BW96" s="19"/>
      <c r="BX96" s="19"/>
      <c r="BY96" s="19"/>
      <c r="BZ96" s="952" t="str">
        <f>"TL: "&amp;Tech_Level</f>
        <v>TL: 12</v>
      </c>
      <c r="CA96" s="952"/>
      <c r="CB96" s="952"/>
      <c r="CC96" s="952"/>
      <c r="CD96" s="952"/>
      <c r="CE96" s="952"/>
      <c r="CF96" s="952"/>
      <c r="CG96" s="952"/>
      <c r="CH96" s="952"/>
      <c r="CI96" s="19"/>
      <c r="CJ96" s="19"/>
      <c r="CK96" s="19"/>
      <c r="CL96" s="951" t="str">
        <f>"Thrust: "&amp;'2-Drives'!$D$14&amp;IF('2-Drives'!$B$14='2-Drives'!$S$4,", "&amp;'4-Fuel'!$D$8&amp;" Thrust Points","")</f>
        <v>Thrust: 0</v>
      </c>
      <c r="CM96" s="951"/>
      <c r="CN96" s="951"/>
      <c r="CO96" s="951"/>
      <c r="CP96" s="951"/>
      <c r="CQ96" s="951"/>
      <c r="CR96" s="951"/>
      <c r="CS96" s="951"/>
      <c r="CT96" s="951"/>
      <c r="CU96" s="951"/>
      <c r="CV96" s="951"/>
      <c r="CW96" s="951"/>
      <c r="CX96" s="951"/>
      <c r="CY96" s="951"/>
      <c r="CZ96" s="951"/>
      <c r="DA96" s="951"/>
      <c r="DB96" s="951"/>
      <c r="DC96" s="951"/>
      <c r="DD96" s="951"/>
      <c r="DE96" s="951"/>
      <c r="DF96" s="951"/>
      <c r="DG96" s="951"/>
      <c r="DH96" s="951"/>
      <c r="DI96" s="951"/>
      <c r="DJ96" s="951"/>
      <c r="DK96" s="19"/>
      <c r="DL96" s="19" t="str">
        <f>"Jump?"&amp;IF('2-Drives'!$D$29&gt;0," Y"," N")</f>
        <v>Jump? N</v>
      </c>
      <c r="DM96" s="19"/>
      <c r="DN96" s="19"/>
      <c r="DO96" s="19"/>
      <c r="DP96" s="19"/>
      <c r="DQ96" s="19"/>
      <c r="DR96" s="19"/>
      <c r="DS96" s="19"/>
      <c r="DT96" s="19"/>
      <c r="DU96" s="19"/>
    </row>
    <row r="97" spans="1:126" ht="15" thickBot="1" x14ac:dyDescent="0.35">
      <c r="A97" s="949" t="str">
        <f>"Hull Points: "&amp;'1-Hull'!$D$7</f>
        <v>Hull Points: 40</v>
      </c>
      <c r="B97" s="949"/>
      <c r="C97" s="949"/>
      <c r="D97" s="949"/>
      <c r="E97" s="949"/>
      <c r="F97" s="949"/>
      <c r="G97" s="949"/>
      <c r="H97" s="949"/>
      <c r="I97" s="949"/>
      <c r="J97" s="949"/>
      <c r="K97" s="949"/>
      <c r="L97" s="949"/>
      <c r="M97" s="949"/>
      <c r="N97" s="949"/>
      <c r="O97" s="949"/>
      <c r="P97" s="949"/>
      <c r="Q97" s="949"/>
      <c r="R97" s="949"/>
      <c r="S97" s="949"/>
      <c r="T97" s="949"/>
      <c r="U97" s="350"/>
      <c r="V97" s="350"/>
      <c r="W97" s="350"/>
      <c r="X97" s="950" t="str">
        <f>"Hull Size: "&amp;'1-Hull'!$B$4&amp;" tons"</f>
        <v>Hull Size: 100 tons</v>
      </c>
      <c r="Y97" s="950"/>
      <c r="Z97" s="950"/>
      <c r="AA97" s="950"/>
      <c r="AB97" s="950"/>
      <c r="AC97" s="950"/>
      <c r="AD97" s="950"/>
      <c r="AE97" s="950"/>
      <c r="AF97" s="950"/>
      <c r="AG97" s="950"/>
      <c r="AH97" s="950"/>
      <c r="AI97" s="950"/>
      <c r="AJ97" s="950"/>
      <c r="AK97" s="950"/>
      <c r="AL97" s="950"/>
      <c r="AM97" s="950"/>
      <c r="AN97" s="950"/>
      <c r="AO97" s="950"/>
      <c r="AP97" s="950"/>
      <c r="AQ97" s="950"/>
      <c r="AR97" s="950"/>
      <c r="AS97" s="950"/>
      <c r="AT97" s="950"/>
      <c r="AU97" s="950"/>
      <c r="AV97" s="950"/>
      <c r="AW97" s="950"/>
      <c r="AX97" s="950"/>
      <c r="AY97" s="350"/>
      <c r="AZ97" s="950" t="str">
        <f>"Configuration: "&amp;'1-Hull'!$B$6</f>
        <v>Configuration: Standard</v>
      </c>
      <c r="BA97" s="950"/>
      <c r="BB97" s="950"/>
      <c r="BC97" s="950"/>
      <c r="BD97" s="950"/>
      <c r="BE97" s="950"/>
      <c r="BF97" s="950"/>
      <c r="BG97" s="950"/>
      <c r="BH97" s="950"/>
      <c r="BI97" s="950"/>
      <c r="BJ97" s="950"/>
      <c r="BK97" s="950"/>
      <c r="BL97" s="950"/>
      <c r="BM97" s="950"/>
      <c r="BN97" s="950"/>
      <c r="BO97" s="950"/>
      <c r="BP97" s="950"/>
      <c r="BQ97" s="950"/>
      <c r="BR97" s="950"/>
      <c r="BS97" s="950"/>
      <c r="BT97" s="950"/>
      <c r="BU97" s="950"/>
      <c r="BV97" s="950"/>
      <c r="BW97" s="950"/>
      <c r="BX97" s="350"/>
      <c r="BY97" s="950" t="str">
        <f>"Streamlining: "&amp;'1-Hull'!$B$8&amp;'1-Hull'!$T$70</f>
        <v>Streamlining: Partial</v>
      </c>
      <c r="BZ97" s="950"/>
      <c r="CA97" s="950"/>
      <c r="CB97" s="950"/>
      <c r="CC97" s="950"/>
      <c r="CD97" s="950"/>
      <c r="CE97" s="950"/>
      <c r="CF97" s="950"/>
      <c r="CG97" s="950"/>
      <c r="CH97" s="950"/>
      <c r="CI97" s="950"/>
      <c r="CJ97" s="950"/>
      <c r="CK97" s="950"/>
      <c r="CL97" s="950"/>
      <c r="CM97" s="950"/>
      <c r="CN97" s="950"/>
      <c r="CO97" s="950"/>
      <c r="CP97" s="950"/>
      <c r="CQ97" s="950"/>
      <c r="CR97" s="950"/>
      <c r="CS97" s="950"/>
      <c r="CT97" s="950"/>
      <c r="CU97" s="950"/>
      <c r="CV97" s="950"/>
      <c r="CW97" s="950"/>
      <c r="CX97" s="950"/>
      <c r="CY97" s="950"/>
      <c r="CZ97" s="950"/>
      <c r="DA97" s="950"/>
      <c r="DB97" s="350"/>
      <c r="DC97" s="953" t="s">
        <v>638</v>
      </c>
      <c r="DD97" s="953"/>
      <c r="DE97" s="953"/>
      <c r="DF97" s="953"/>
      <c r="DG97" s="953"/>
      <c r="DH97" s="953"/>
      <c r="DI97" s="953" t="str">
        <f>'10-Crew'!$E$5&amp;""&amp;IF('10-Crew'!$E$7=0,"","/"&amp;'10-Crew'!$E$7)</f>
        <v>5</v>
      </c>
      <c r="DJ97" s="953"/>
      <c r="DK97" s="953"/>
      <c r="DL97" s="953"/>
      <c r="DM97" s="953"/>
      <c r="DN97" s="953"/>
      <c r="DO97" s="953"/>
      <c r="DP97" s="953"/>
      <c r="DQ97" s="953"/>
      <c r="DR97" s="953"/>
      <c r="DS97" s="953"/>
      <c r="DT97" s="953"/>
      <c r="DU97" s="350"/>
      <c r="DV97" s="300"/>
    </row>
    <row r="98" spans="1:126" ht="18" customHeight="1" thickBot="1" x14ac:dyDescent="0.35">
      <c r="A98" s="1194" t="s">
        <v>1580</v>
      </c>
      <c r="B98" s="1194"/>
      <c r="C98" s="1194"/>
      <c r="D98" s="1194"/>
      <c r="E98" s="1194"/>
      <c r="F98" s="1194"/>
      <c r="G98" s="1194"/>
      <c r="H98" s="1194"/>
      <c r="I98" s="1194"/>
      <c r="J98" s="1194"/>
      <c r="K98" s="1194"/>
      <c r="L98" s="1194"/>
      <c r="M98" s="1194"/>
      <c r="N98" s="1194"/>
      <c r="O98" s="1194"/>
      <c r="P98" s="1194"/>
      <c r="Q98" s="1194"/>
      <c r="R98" s="1194"/>
      <c r="S98" s="1194"/>
      <c r="T98" s="1194"/>
      <c r="U98" s="1194"/>
      <c r="V98" s="1194"/>
      <c r="W98" s="1194"/>
      <c r="X98" s="1194"/>
      <c r="Y98" s="1194"/>
      <c r="Z98" s="1194"/>
      <c r="AA98" s="1194"/>
      <c r="AB98" s="1194"/>
      <c r="AC98" s="1194"/>
      <c r="AD98" s="1194"/>
      <c r="AE98" s="1194"/>
      <c r="AF98" s="1194"/>
      <c r="AG98" s="1194"/>
      <c r="AH98" s="1194"/>
      <c r="AI98" s="1194"/>
      <c r="AJ98" s="1194"/>
      <c r="AK98" s="1194"/>
      <c r="AL98" s="1194"/>
      <c r="AM98" s="1194"/>
      <c r="AN98" s="1194"/>
      <c r="AO98" s="1194"/>
      <c r="AP98" s="1194"/>
      <c r="AQ98" s="1194"/>
      <c r="AR98" s="1194"/>
      <c r="AS98" s="1194"/>
      <c r="AT98" s="1194"/>
      <c r="AU98" s="1194"/>
      <c r="AV98" s="1194"/>
      <c r="AW98" s="1194"/>
      <c r="AX98" s="1194"/>
      <c r="AY98" s="1194"/>
      <c r="AZ98" s="1194"/>
      <c r="BA98" s="1194"/>
      <c r="BB98" s="1194"/>
      <c r="BC98" s="1194"/>
      <c r="BD98" s="1194"/>
      <c r="BE98" s="1194"/>
      <c r="BF98" s="1194"/>
      <c r="BG98" s="1194"/>
      <c r="BH98" s="1194"/>
      <c r="BI98" s="1194"/>
      <c r="BJ98" s="1194"/>
      <c r="BK98" s="1194"/>
      <c r="BL98" s="1194"/>
      <c r="BM98" s="1194"/>
      <c r="BN98" s="1194"/>
      <c r="BO98" s="1194"/>
      <c r="BP98" s="1194"/>
      <c r="BQ98" s="1194"/>
      <c r="BR98" s="1194"/>
      <c r="BS98" s="1194"/>
      <c r="BT98" s="1194"/>
      <c r="BU98" s="1194"/>
      <c r="BV98" s="1194"/>
      <c r="BW98" s="1194"/>
      <c r="BX98" s="1194"/>
      <c r="BY98" s="1194"/>
      <c r="BZ98" s="1194"/>
      <c r="CA98" s="1194"/>
      <c r="CB98" s="1194"/>
      <c r="CC98" s="1194"/>
      <c r="CD98" s="1194"/>
      <c r="CE98" s="1194"/>
      <c r="CF98" s="1194"/>
      <c r="CG98" s="1194"/>
      <c r="CH98" s="1194"/>
      <c r="CI98" s="1194"/>
      <c r="CJ98" s="1194"/>
      <c r="CK98" s="1194"/>
      <c r="CL98" s="1194"/>
      <c r="CM98" s="1194"/>
      <c r="CN98" s="1194"/>
      <c r="CO98" s="1194"/>
      <c r="CP98" s="1194"/>
      <c r="CQ98" s="1194"/>
      <c r="CR98" s="1194"/>
      <c r="CS98" s="1194"/>
      <c r="CT98" s="1194"/>
      <c r="CU98" s="1194"/>
      <c r="CV98" s="1194"/>
      <c r="CW98" s="1194"/>
      <c r="CX98" s="1194"/>
      <c r="CY98" s="1194"/>
      <c r="CZ98" s="1194"/>
      <c r="DA98" s="1194"/>
      <c r="DB98" s="1194"/>
      <c r="DC98" s="1194"/>
      <c r="DD98" s="1194"/>
      <c r="DE98" s="1194"/>
      <c r="DF98" s="1194"/>
      <c r="DG98" s="1194"/>
      <c r="DH98" s="1194"/>
      <c r="DI98" s="1194"/>
      <c r="DJ98" s="1194"/>
      <c r="DK98" s="1194"/>
      <c r="DL98" s="1194"/>
      <c r="DM98" s="1194"/>
      <c r="DN98" s="1194"/>
      <c r="DO98" s="1194"/>
      <c r="DP98" s="1194"/>
      <c r="DQ98" s="1194"/>
      <c r="DR98" s="1194"/>
      <c r="DS98" s="1194"/>
      <c r="DT98" s="1194"/>
      <c r="DU98" s="1194"/>
    </row>
    <row r="99" spans="1:126" s="351" customFormat="1" ht="16.2" thickBot="1" x14ac:dyDescent="0.35">
      <c r="A99" s="1198" t="s">
        <v>295</v>
      </c>
      <c r="B99" s="1198"/>
      <c r="C99" s="1198"/>
      <c r="D99" s="1198"/>
      <c r="E99" s="1198"/>
      <c r="F99" s="1198"/>
      <c r="G99" s="1198"/>
      <c r="H99" s="1198"/>
      <c r="I99" s="1198"/>
      <c r="J99" s="1198"/>
      <c r="K99" s="1198"/>
      <c r="L99" s="1198"/>
      <c r="M99" s="1198"/>
      <c r="N99" s="1198"/>
      <c r="O99" s="1198"/>
      <c r="P99" s="1198"/>
      <c r="Q99" s="1198"/>
      <c r="R99" s="1198"/>
      <c r="S99" s="1198"/>
      <c r="T99" s="1198"/>
      <c r="U99" s="1198"/>
      <c r="V99" s="1198"/>
      <c r="W99" s="1198"/>
      <c r="X99" s="1198"/>
      <c r="Y99" s="1198"/>
      <c r="Z99" s="1198"/>
      <c r="AA99" s="1198"/>
      <c r="AB99" s="1198"/>
      <c r="AC99" s="1198"/>
      <c r="AD99" s="1198"/>
      <c r="AE99" s="1198"/>
      <c r="AF99" s="1198"/>
      <c r="AG99" s="1198"/>
      <c r="AH99" s="1198"/>
      <c r="AI99" s="1198"/>
      <c r="AJ99" s="1198"/>
      <c r="AK99" s="1198"/>
      <c r="AL99" s="1198"/>
      <c r="AM99" s="1198"/>
      <c r="AN99" s="1198"/>
      <c r="AO99" s="1198"/>
      <c r="AP99" s="1198"/>
      <c r="AQ99" s="1198"/>
      <c r="AR99" s="1198"/>
      <c r="AS99" s="1198"/>
      <c r="AT99" s="1198"/>
      <c r="AU99" s="1198"/>
      <c r="AV99" s="1200" t="s">
        <v>314</v>
      </c>
      <c r="AW99" s="1200"/>
      <c r="AX99" s="1200"/>
      <c r="AY99" s="1200"/>
      <c r="AZ99" s="1200"/>
      <c r="BA99" s="1200"/>
      <c r="BB99" s="1200"/>
      <c r="BC99" s="1200"/>
      <c r="BD99" s="1200"/>
      <c r="BE99" s="1200"/>
      <c r="BF99" s="1200"/>
      <c r="BG99" s="1200"/>
      <c r="BH99" s="1200" t="s">
        <v>378</v>
      </c>
      <c r="BI99" s="1200"/>
      <c r="BJ99" s="1200"/>
      <c r="BK99" s="1200"/>
      <c r="BL99" s="1200"/>
      <c r="BM99" s="1200"/>
      <c r="BN99" s="1200"/>
      <c r="BO99" s="1200"/>
      <c r="BP99" s="1200"/>
      <c r="BQ99" s="1200"/>
      <c r="BR99" s="1200"/>
      <c r="BS99" s="1200" t="s">
        <v>684</v>
      </c>
      <c r="BT99" s="1200"/>
      <c r="BU99" s="1200"/>
      <c r="BV99" s="1200"/>
      <c r="BW99" s="1200"/>
      <c r="BX99" s="1200"/>
      <c r="BY99" s="1200"/>
      <c r="BZ99" s="1200"/>
      <c r="CA99" s="1200"/>
      <c r="CB99" s="1200"/>
      <c r="CC99" s="1200"/>
      <c r="CD99" s="1200"/>
      <c r="CE99" s="1200"/>
      <c r="CF99" s="1200"/>
      <c r="CG99" s="1200"/>
      <c r="CH99" s="1200"/>
      <c r="CI99" s="1200"/>
      <c r="CJ99" s="1200"/>
      <c r="CK99" s="1200"/>
      <c r="CL99" s="1200"/>
      <c r="CM99" s="1200"/>
      <c r="CN99" s="1200"/>
      <c r="CO99" s="1200"/>
      <c r="CP99" s="1200"/>
      <c r="CQ99" s="1200"/>
      <c r="CR99" s="1200"/>
      <c r="CS99" s="1200"/>
      <c r="CT99" s="1200"/>
      <c r="CU99" s="1200"/>
      <c r="CV99" s="1200"/>
      <c r="CW99" s="1200"/>
      <c r="CX99" s="1200"/>
      <c r="CY99" s="1200"/>
      <c r="CZ99" s="1200"/>
      <c r="DA99" s="1200"/>
      <c r="DB99" s="1200"/>
      <c r="DC99" s="1200"/>
      <c r="DD99" s="1200"/>
      <c r="DE99" s="1200"/>
      <c r="DF99" s="1200"/>
      <c r="DG99" s="1200"/>
      <c r="DH99" s="1200"/>
      <c r="DI99" s="1200"/>
      <c r="DJ99" s="1200"/>
      <c r="DK99" s="1200"/>
      <c r="DL99" s="1200"/>
      <c r="DM99" s="1200"/>
      <c r="DN99" s="1200"/>
      <c r="DO99" s="1200"/>
      <c r="DP99" s="1200"/>
      <c r="DQ99" s="1200"/>
      <c r="DR99" s="1200"/>
      <c r="DS99" s="1200"/>
      <c r="DT99" s="1200"/>
      <c r="DU99" s="1200"/>
    </row>
    <row r="100" spans="1:126" ht="23.1" customHeight="1" x14ac:dyDescent="0.4">
      <c r="A100" s="1199" t="str">
        <f>'8a-Weapons'!AS113</f>
        <v/>
      </c>
      <c r="B100" s="1199"/>
      <c r="C100" s="1199"/>
      <c r="D100" s="1199"/>
      <c r="E100" s="1199"/>
      <c r="F100" s="1199"/>
      <c r="G100" s="1199"/>
      <c r="H100" s="1199"/>
      <c r="I100" s="1199"/>
      <c r="J100" s="1199"/>
      <c r="K100" s="1199"/>
      <c r="L100" s="1199"/>
      <c r="M100" s="1199"/>
      <c r="N100" s="1199"/>
      <c r="O100" s="1199"/>
      <c r="P100" s="1199"/>
      <c r="Q100" s="1199"/>
      <c r="R100" s="1199"/>
      <c r="S100" s="1199"/>
      <c r="T100" s="1199"/>
      <c r="U100" s="1199"/>
      <c r="V100" s="1199"/>
      <c r="W100" s="1199"/>
      <c r="X100" s="1199"/>
      <c r="Y100" s="1199"/>
      <c r="Z100" s="1199"/>
      <c r="AA100" s="1199"/>
      <c r="AB100" s="1199"/>
      <c r="AC100" s="1199"/>
      <c r="AD100" s="1199"/>
      <c r="AE100" s="1199"/>
      <c r="AF100" s="1199"/>
      <c r="AG100" s="1199"/>
      <c r="AH100" s="1199"/>
      <c r="AI100" s="1199"/>
      <c r="AJ100" s="1199"/>
      <c r="AK100" s="1199"/>
      <c r="AL100" s="1199"/>
      <c r="AM100" s="1199"/>
      <c r="AN100" s="1199"/>
      <c r="AO100" s="1199"/>
      <c r="AP100" s="1199"/>
      <c r="AQ100" s="1199"/>
      <c r="AR100" s="1199"/>
      <c r="AS100" s="1199"/>
      <c r="AT100" s="1199"/>
      <c r="AU100" s="1199"/>
      <c r="AV100" s="1201" t="str">
        <f>'8a-Weapons'!AQ28</f>
        <v/>
      </c>
      <c r="AW100" s="1201"/>
      <c r="AX100" s="1201"/>
      <c r="AY100" s="1201"/>
      <c r="AZ100" s="1201"/>
      <c r="BA100" s="1201"/>
      <c r="BB100" s="1201"/>
      <c r="BC100" s="1201"/>
      <c r="BD100" s="1201"/>
      <c r="BE100" s="1201"/>
      <c r="BF100" s="1201"/>
      <c r="BG100" s="1201"/>
      <c r="BH100" s="1210" t="str">
        <f>'8a-Weapons'!AR28</f>
        <v/>
      </c>
      <c r="BI100" s="1210"/>
      <c r="BJ100" s="1210"/>
      <c r="BK100" s="1210"/>
      <c r="BL100" s="1210"/>
      <c r="BM100" s="1210"/>
      <c r="BN100" s="1210"/>
      <c r="BO100" s="1210"/>
      <c r="BP100" s="1210"/>
      <c r="BQ100" s="1210"/>
      <c r="BR100" s="1210"/>
      <c r="BS100" s="1209" t="str">
        <f>'8a-Weapons'!AU113</f>
        <v/>
      </c>
      <c r="BT100" s="1209"/>
      <c r="BU100" s="1209"/>
      <c r="BV100" s="1209"/>
      <c r="BW100" s="1209"/>
      <c r="BX100" s="1209"/>
      <c r="BY100" s="1209"/>
      <c r="BZ100" s="1209"/>
      <c r="CA100" s="1209"/>
      <c r="CB100" s="1209"/>
      <c r="CC100" s="1209"/>
      <c r="CD100" s="1209"/>
      <c r="CE100" s="1209"/>
      <c r="CF100" s="1209"/>
      <c r="CG100" s="1209"/>
      <c r="CH100" s="1209"/>
      <c r="CI100" s="1209"/>
      <c r="CJ100" s="1209"/>
      <c r="CK100" s="1209"/>
      <c r="CL100" s="1209"/>
      <c r="CM100" s="1209"/>
      <c r="CN100" s="1209"/>
      <c r="CO100" s="1209"/>
      <c r="CP100" s="1209"/>
      <c r="CQ100" s="1209"/>
      <c r="CR100" s="1209"/>
      <c r="CS100" s="1209"/>
      <c r="CT100" s="1209"/>
      <c r="CU100" s="1209"/>
      <c r="CV100" s="1209"/>
      <c r="CW100" s="1209"/>
      <c r="CX100" s="1209"/>
      <c r="CY100" s="1209"/>
      <c r="CZ100" s="1209"/>
      <c r="DA100" s="1209"/>
      <c r="DB100" s="1209"/>
      <c r="DC100" s="1209"/>
      <c r="DD100" s="1209"/>
      <c r="DE100" s="1209"/>
      <c r="DF100" s="1209"/>
      <c r="DG100" s="1209"/>
      <c r="DH100" s="1209"/>
      <c r="DI100" s="1209"/>
      <c r="DJ100" s="1209"/>
      <c r="DK100" s="1209"/>
      <c r="DL100" s="1209"/>
      <c r="DM100" s="1209"/>
      <c r="DN100" s="1209"/>
      <c r="DO100" s="1209"/>
      <c r="DP100" s="1209"/>
      <c r="DQ100" s="1209"/>
      <c r="DR100" s="1209"/>
      <c r="DS100" s="1209"/>
      <c r="DT100" s="1209"/>
      <c r="DU100" s="1209"/>
    </row>
    <row r="101" spans="1:126" ht="23.1" customHeight="1" x14ac:dyDescent="0.4">
      <c r="A101" s="1186" t="str">
        <f>'8a-Weapons'!AS114</f>
        <v/>
      </c>
      <c r="B101" s="1186"/>
      <c r="C101" s="1186"/>
      <c r="D101" s="1186"/>
      <c r="E101" s="1186"/>
      <c r="F101" s="1186"/>
      <c r="G101" s="1186"/>
      <c r="H101" s="1186"/>
      <c r="I101" s="1186"/>
      <c r="J101" s="1186"/>
      <c r="K101" s="1186"/>
      <c r="L101" s="1186"/>
      <c r="M101" s="1186"/>
      <c r="N101" s="1186"/>
      <c r="O101" s="1186"/>
      <c r="P101" s="1186"/>
      <c r="Q101" s="1186"/>
      <c r="R101" s="1186"/>
      <c r="S101" s="1186"/>
      <c r="T101" s="1186"/>
      <c r="U101" s="1186"/>
      <c r="V101" s="1186"/>
      <c r="W101" s="1186"/>
      <c r="X101" s="1186"/>
      <c r="Y101" s="1186"/>
      <c r="Z101" s="1186"/>
      <c r="AA101" s="1186"/>
      <c r="AB101" s="1186"/>
      <c r="AC101" s="1186"/>
      <c r="AD101" s="1186"/>
      <c r="AE101" s="1186"/>
      <c r="AF101" s="1186"/>
      <c r="AG101" s="1186"/>
      <c r="AH101" s="1186"/>
      <c r="AI101" s="1186"/>
      <c r="AJ101" s="1186"/>
      <c r="AK101" s="1186"/>
      <c r="AL101" s="1186"/>
      <c r="AM101" s="1186"/>
      <c r="AN101" s="1186"/>
      <c r="AO101" s="1186"/>
      <c r="AP101" s="1186"/>
      <c r="AQ101" s="1186"/>
      <c r="AR101" s="1186"/>
      <c r="AS101" s="1186"/>
      <c r="AT101" s="1186"/>
      <c r="AU101" s="1186"/>
      <c r="AV101" s="1188" t="str">
        <f>'8a-Weapons'!AQ29</f>
        <v/>
      </c>
      <c r="AW101" s="1188"/>
      <c r="AX101" s="1188"/>
      <c r="AY101" s="1188"/>
      <c r="AZ101" s="1188"/>
      <c r="BA101" s="1188"/>
      <c r="BB101" s="1188"/>
      <c r="BC101" s="1188"/>
      <c r="BD101" s="1188"/>
      <c r="BE101" s="1188"/>
      <c r="BF101" s="1188"/>
      <c r="BG101" s="1188"/>
      <c r="BH101" s="1211" t="str">
        <f>'8a-Weapons'!AR29</f>
        <v/>
      </c>
      <c r="BI101" s="1212"/>
      <c r="BJ101" s="1212"/>
      <c r="BK101" s="1212"/>
      <c r="BL101" s="1212"/>
      <c r="BM101" s="1212"/>
      <c r="BN101" s="1212"/>
      <c r="BO101" s="1212"/>
      <c r="BP101" s="1212"/>
      <c r="BQ101" s="1212"/>
      <c r="BR101" s="1213"/>
      <c r="BS101" s="1196" t="str">
        <f>'8a-Weapons'!AU114</f>
        <v/>
      </c>
      <c r="BT101" s="1196"/>
      <c r="BU101" s="1196"/>
      <c r="BV101" s="1196"/>
      <c r="BW101" s="1196"/>
      <c r="BX101" s="1196"/>
      <c r="BY101" s="1196"/>
      <c r="BZ101" s="1196"/>
      <c r="CA101" s="1196"/>
      <c r="CB101" s="1196"/>
      <c r="CC101" s="1196"/>
      <c r="CD101" s="1196"/>
      <c r="CE101" s="1196"/>
      <c r="CF101" s="1196"/>
      <c r="CG101" s="1196"/>
      <c r="CH101" s="1196"/>
      <c r="CI101" s="1196"/>
      <c r="CJ101" s="1196"/>
      <c r="CK101" s="1196"/>
      <c r="CL101" s="1196"/>
      <c r="CM101" s="1196"/>
      <c r="CN101" s="1196"/>
      <c r="CO101" s="1196"/>
      <c r="CP101" s="1196"/>
      <c r="CQ101" s="1196"/>
      <c r="CR101" s="1196"/>
      <c r="CS101" s="1196"/>
      <c r="CT101" s="1196"/>
      <c r="CU101" s="1196"/>
      <c r="CV101" s="1196"/>
      <c r="CW101" s="1196"/>
      <c r="CX101" s="1196"/>
      <c r="CY101" s="1196"/>
      <c r="CZ101" s="1196"/>
      <c r="DA101" s="1196"/>
      <c r="DB101" s="1196"/>
      <c r="DC101" s="1196"/>
      <c r="DD101" s="1196"/>
      <c r="DE101" s="1196"/>
      <c r="DF101" s="1196"/>
      <c r="DG101" s="1196"/>
      <c r="DH101" s="1196"/>
      <c r="DI101" s="1196"/>
      <c r="DJ101" s="1196"/>
      <c r="DK101" s="1196"/>
      <c r="DL101" s="1196"/>
      <c r="DM101" s="1196"/>
      <c r="DN101" s="1196"/>
      <c r="DO101" s="1196"/>
      <c r="DP101" s="1196"/>
      <c r="DQ101" s="1196"/>
      <c r="DR101" s="1196"/>
      <c r="DS101" s="1196"/>
      <c r="DT101" s="1196"/>
      <c r="DU101" s="1196"/>
    </row>
    <row r="102" spans="1:126" ht="23.1" customHeight="1" x14ac:dyDescent="0.4">
      <c r="A102" s="1185" t="str">
        <f>'8a-Weapons'!AS115</f>
        <v/>
      </c>
      <c r="B102" s="1185"/>
      <c r="C102" s="1185"/>
      <c r="D102" s="1185"/>
      <c r="E102" s="1185"/>
      <c r="F102" s="1185"/>
      <c r="G102" s="1185"/>
      <c r="H102" s="1185"/>
      <c r="I102" s="1185"/>
      <c r="J102" s="1185"/>
      <c r="K102" s="1185"/>
      <c r="L102" s="1185"/>
      <c r="M102" s="1185"/>
      <c r="N102" s="1185"/>
      <c r="O102" s="1185"/>
      <c r="P102" s="1185"/>
      <c r="Q102" s="1185"/>
      <c r="R102" s="1185"/>
      <c r="S102" s="1185"/>
      <c r="T102" s="1185"/>
      <c r="U102" s="1185"/>
      <c r="V102" s="1185"/>
      <c r="W102" s="1185"/>
      <c r="X102" s="1185"/>
      <c r="Y102" s="1185"/>
      <c r="Z102" s="1185"/>
      <c r="AA102" s="1185"/>
      <c r="AB102" s="1185"/>
      <c r="AC102" s="1185"/>
      <c r="AD102" s="1185"/>
      <c r="AE102" s="1185"/>
      <c r="AF102" s="1185"/>
      <c r="AG102" s="1185"/>
      <c r="AH102" s="1185"/>
      <c r="AI102" s="1185"/>
      <c r="AJ102" s="1185"/>
      <c r="AK102" s="1185"/>
      <c r="AL102" s="1185"/>
      <c r="AM102" s="1185"/>
      <c r="AN102" s="1185"/>
      <c r="AO102" s="1185"/>
      <c r="AP102" s="1185"/>
      <c r="AQ102" s="1185"/>
      <c r="AR102" s="1185"/>
      <c r="AS102" s="1185"/>
      <c r="AT102" s="1185"/>
      <c r="AU102" s="1185"/>
      <c r="AV102" s="1187" t="str">
        <f>'8a-Weapons'!AQ30</f>
        <v/>
      </c>
      <c r="AW102" s="1187"/>
      <c r="AX102" s="1187"/>
      <c r="AY102" s="1187"/>
      <c r="AZ102" s="1187"/>
      <c r="BA102" s="1187"/>
      <c r="BB102" s="1187"/>
      <c r="BC102" s="1187"/>
      <c r="BD102" s="1187"/>
      <c r="BE102" s="1187"/>
      <c r="BF102" s="1187"/>
      <c r="BG102" s="1187"/>
      <c r="BH102" s="1202" t="str">
        <f>'8a-Weapons'!AR30</f>
        <v/>
      </c>
      <c r="BI102" s="1202"/>
      <c r="BJ102" s="1202"/>
      <c r="BK102" s="1202"/>
      <c r="BL102" s="1202"/>
      <c r="BM102" s="1202"/>
      <c r="BN102" s="1202"/>
      <c r="BO102" s="1202"/>
      <c r="BP102" s="1202"/>
      <c r="BQ102" s="1202"/>
      <c r="BR102" s="1202"/>
      <c r="BS102" s="1195" t="str">
        <f>'8a-Weapons'!AU115</f>
        <v/>
      </c>
      <c r="BT102" s="1195"/>
      <c r="BU102" s="1195"/>
      <c r="BV102" s="1195"/>
      <c r="BW102" s="1195"/>
      <c r="BX102" s="1195"/>
      <c r="BY102" s="1195"/>
      <c r="BZ102" s="1195"/>
      <c r="CA102" s="1195"/>
      <c r="CB102" s="1195"/>
      <c r="CC102" s="1195"/>
      <c r="CD102" s="1195"/>
      <c r="CE102" s="1195"/>
      <c r="CF102" s="1195"/>
      <c r="CG102" s="1195"/>
      <c r="CH102" s="1195"/>
      <c r="CI102" s="1195"/>
      <c r="CJ102" s="1195"/>
      <c r="CK102" s="1195"/>
      <c r="CL102" s="1195"/>
      <c r="CM102" s="1195"/>
      <c r="CN102" s="1195"/>
      <c r="CO102" s="1195"/>
      <c r="CP102" s="1195"/>
      <c r="CQ102" s="1195"/>
      <c r="CR102" s="1195"/>
      <c r="CS102" s="1195"/>
      <c r="CT102" s="1195"/>
      <c r="CU102" s="1195"/>
      <c r="CV102" s="1195"/>
      <c r="CW102" s="1195"/>
      <c r="CX102" s="1195"/>
      <c r="CY102" s="1195"/>
      <c r="CZ102" s="1195"/>
      <c r="DA102" s="1195"/>
      <c r="DB102" s="1195"/>
      <c r="DC102" s="1195"/>
      <c r="DD102" s="1195"/>
      <c r="DE102" s="1195"/>
      <c r="DF102" s="1195"/>
      <c r="DG102" s="1195"/>
      <c r="DH102" s="1195"/>
      <c r="DI102" s="1195"/>
      <c r="DJ102" s="1195"/>
      <c r="DK102" s="1195"/>
      <c r="DL102" s="1195"/>
      <c r="DM102" s="1195"/>
      <c r="DN102" s="1195"/>
      <c r="DO102" s="1195"/>
      <c r="DP102" s="1195"/>
      <c r="DQ102" s="1195"/>
      <c r="DR102" s="1195"/>
      <c r="DS102" s="1195"/>
      <c r="DT102" s="1195"/>
      <c r="DU102" s="1195"/>
    </row>
    <row r="103" spans="1:126" ht="23.1" customHeight="1" x14ac:dyDescent="0.4">
      <c r="A103" s="1186" t="str">
        <f>'8a-Weapons'!AS116</f>
        <v/>
      </c>
      <c r="B103" s="1186"/>
      <c r="C103" s="1186"/>
      <c r="D103" s="1186"/>
      <c r="E103" s="1186"/>
      <c r="F103" s="1186"/>
      <c r="G103" s="1186"/>
      <c r="H103" s="1186"/>
      <c r="I103" s="1186"/>
      <c r="J103" s="1186"/>
      <c r="K103" s="1186"/>
      <c r="L103" s="1186"/>
      <c r="M103" s="1186"/>
      <c r="N103" s="1186"/>
      <c r="O103" s="1186"/>
      <c r="P103" s="1186"/>
      <c r="Q103" s="1186"/>
      <c r="R103" s="1186"/>
      <c r="S103" s="1186"/>
      <c r="T103" s="1186"/>
      <c r="U103" s="1186"/>
      <c r="V103" s="1186"/>
      <c r="W103" s="1186"/>
      <c r="X103" s="1186"/>
      <c r="Y103" s="1186"/>
      <c r="Z103" s="1186"/>
      <c r="AA103" s="1186"/>
      <c r="AB103" s="1186"/>
      <c r="AC103" s="1186"/>
      <c r="AD103" s="1186"/>
      <c r="AE103" s="1186"/>
      <c r="AF103" s="1186"/>
      <c r="AG103" s="1186"/>
      <c r="AH103" s="1186"/>
      <c r="AI103" s="1186"/>
      <c r="AJ103" s="1186"/>
      <c r="AK103" s="1186"/>
      <c r="AL103" s="1186"/>
      <c r="AM103" s="1186"/>
      <c r="AN103" s="1186"/>
      <c r="AO103" s="1186"/>
      <c r="AP103" s="1186"/>
      <c r="AQ103" s="1186"/>
      <c r="AR103" s="1186"/>
      <c r="AS103" s="1186"/>
      <c r="AT103" s="1186"/>
      <c r="AU103" s="1186"/>
      <c r="AV103" s="1188" t="str">
        <f>'8a-Weapons'!AQ31</f>
        <v/>
      </c>
      <c r="AW103" s="1188"/>
      <c r="AX103" s="1188"/>
      <c r="AY103" s="1188"/>
      <c r="AZ103" s="1188"/>
      <c r="BA103" s="1188"/>
      <c r="BB103" s="1188"/>
      <c r="BC103" s="1188"/>
      <c r="BD103" s="1188"/>
      <c r="BE103" s="1188"/>
      <c r="BF103" s="1188"/>
      <c r="BG103" s="1188"/>
      <c r="BH103" s="1197" t="str">
        <f>'8a-Weapons'!AR31</f>
        <v/>
      </c>
      <c r="BI103" s="1197"/>
      <c r="BJ103" s="1197"/>
      <c r="BK103" s="1197"/>
      <c r="BL103" s="1197"/>
      <c r="BM103" s="1197"/>
      <c r="BN103" s="1197"/>
      <c r="BO103" s="1197"/>
      <c r="BP103" s="1197"/>
      <c r="BQ103" s="1197"/>
      <c r="BR103" s="1197"/>
      <c r="BS103" s="1196" t="str">
        <f>'8a-Weapons'!AU116</f>
        <v/>
      </c>
      <c r="BT103" s="1196"/>
      <c r="BU103" s="1196"/>
      <c r="BV103" s="1196"/>
      <c r="BW103" s="1196"/>
      <c r="BX103" s="1196"/>
      <c r="BY103" s="1196"/>
      <c r="BZ103" s="1196"/>
      <c r="CA103" s="1196"/>
      <c r="CB103" s="1196"/>
      <c r="CC103" s="1196"/>
      <c r="CD103" s="1196"/>
      <c r="CE103" s="1196"/>
      <c r="CF103" s="1196"/>
      <c r="CG103" s="1196"/>
      <c r="CH103" s="1196"/>
      <c r="CI103" s="1196"/>
      <c r="CJ103" s="1196"/>
      <c r="CK103" s="1196"/>
      <c r="CL103" s="1196"/>
      <c r="CM103" s="1196"/>
      <c r="CN103" s="1196"/>
      <c r="CO103" s="1196"/>
      <c r="CP103" s="1196"/>
      <c r="CQ103" s="1196"/>
      <c r="CR103" s="1196"/>
      <c r="CS103" s="1196"/>
      <c r="CT103" s="1196"/>
      <c r="CU103" s="1196"/>
      <c r="CV103" s="1196"/>
      <c r="CW103" s="1196"/>
      <c r="CX103" s="1196"/>
      <c r="CY103" s="1196"/>
      <c r="CZ103" s="1196"/>
      <c r="DA103" s="1196"/>
      <c r="DB103" s="1196"/>
      <c r="DC103" s="1196"/>
      <c r="DD103" s="1196"/>
      <c r="DE103" s="1196"/>
      <c r="DF103" s="1196"/>
      <c r="DG103" s="1196"/>
      <c r="DH103" s="1196"/>
      <c r="DI103" s="1196"/>
      <c r="DJ103" s="1196"/>
      <c r="DK103" s="1196"/>
      <c r="DL103" s="1196"/>
      <c r="DM103" s="1196"/>
      <c r="DN103" s="1196"/>
      <c r="DO103" s="1196"/>
      <c r="DP103" s="1196"/>
      <c r="DQ103" s="1196"/>
      <c r="DR103" s="1196"/>
      <c r="DS103" s="1196"/>
      <c r="DT103" s="1196"/>
      <c r="DU103" s="1196"/>
    </row>
    <row r="104" spans="1:126" ht="23.1" customHeight="1" x14ac:dyDescent="0.4">
      <c r="A104" s="1185" t="str">
        <f>'8a-Weapons'!AS117</f>
        <v/>
      </c>
      <c r="B104" s="1185"/>
      <c r="C104" s="1185"/>
      <c r="D104" s="1185"/>
      <c r="E104" s="1185"/>
      <c r="F104" s="1185"/>
      <c r="G104" s="1185"/>
      <c r="H104" s="1185"/>
      <c r="I104" s="1185"/>
      <c r="J104" s="1185"/>
      <c r="K104" s="1185"/>
      <c r="L104" s="1185"/>
      <c r="M104" s="1185"/>
      <c r="N104" s="1185"/>
      <c r="O104" s="1185"/>
      <c r="P104" s="1185"/>
      <c r="Q104" s="1185"/>
      <c r="R104" s="1185"/>
      <c r="S104" s="1185"/>
      <c r="T104" s="1185"/>
      <c r="U104" s="1185"/>
      <c r="V104" s="1185"/>
      <c r="W104" s="1185"/>
      <c r="X104" s="1185"/>
      <c r="Y104" s="1185"/>
      <c r="Z104" s="1185"/>
      <c r="AA104" s="1185"/>
      <c r="AB104" s="1185"/>
      <c r="AC104" s="1185"/>
      <c r="AD104" s="1185"/>
      <c r="AE104" s="1185"/>
      <c r="AF104" s="1185"/>
      <c r="AG104" s="1185"/>
      <c r="AH104" s="1185"/>
      <c r="AI104" s="1185"/>
      <c r="AJ104" s="1185"/>
      <c r="AK104" s="1185"/>
      <c r="AL104" s="1185"/>
      <c r="AM104" s="1185"/>
      <c r="AN104" s="1185"/>
      <c r="AO104" s="1185"/>
      <c r="AP104" s="1185"/>
      <c r="AQ104" s="1185"/>
      <c r="AR104" s="1185"/>
      <c r="AS104" s="1185"/>
      <c r="AT104" s="1185"/>
      <c r="AU104" s="1185"/>
      <c r="AV104" s="1187" t="str">
        <f>'8a-Weapons'!AQ32</f>
        <v/>
      </c>
      <c r="AW104" s="1187"/>
      <c r="AX104" s="1187"/>
      <c r="AY104" s="1187"/>
      <c r="AZ104" s="1187"/>
      <c r="BA104" s="1187"/>
      <c r="BB104" s="1187"/>
      <c r="BC104" s="1187"/>
      <c r="BD104" s="1187"/>
      <c r="BE104" s="1187"/>
      <c r="BF104" s="1187"/>
      <c r="BG104" s="1187"/>
      <c r="BH104" s="1202" t="str">
        <f>'8a-Weapons'!AR32</f>
        <v/>
      </c>
      <c r="BI104" s="1202"/>
      <c r="BJ104" s="1202"/>
      <c r="BK104" s="1202"/>
      <c r="BL104" s="1202"/>
      <c r="BM104" s="1202"/>
      <c r="BN104" s="1202"/>
      <c r="BO104" s="1202"/>
      <c r="BP104" s="1202"/>
      <c r="BQ104" s="1202"/>
      <c r="BR104" s="1202"/>
      <c r="BS104" s="1195" t="str">
        <f>'8a-Weapons'!AU117</f>
        <v/>
      </c>
      <c r="BT104" s="1195"/>
      <c r="BU104" s="1195"/>
      <c r="BV104" s="1195"/>
      <c r="BW104" s="1195"/>
      <c r="BX104" s="1195"/>
      <c r="BY104" s="1195"/>
      <c r="BZ104" s="1195"/>
      <c r="CA104" s="1195"/>
      <c r="CB104" s="1195"/>
      <c r="CC104" s="1195"/>
      <c r="CD104" s="1195"/>
      <c r="CE104" s="1195"/>
      <c r="CF104" s="1195"/>
      <c r="CG104" s="1195"/>
      <c r="CH104" s="1195"/>
      <c r="CI104" s="1195"/>
      <c r="CJ104" s="1195"/>
      <c r="CK104" s="1195"/>
      <c r="CL104" s="1195"/>
      <c r="CM104" s="1195"/>
      <c r="CN104" s="1195"/>
      <c r="CO104" s="1195"/>
      <c r="CP104" s="1195"/>
      <c r="CQ104" s="1195"/>
      <c r="CR104" s="1195"/>
      <c r="CS104" s="1195"/>
      <c r="CT104" s="1195"/>
      <c r="CU104" s="1195"/>
      <c r="CV104" s="1195"/>
      <c r="CW104" s="1195"/>
      <c r="CX104" s="1195"/>
      <c r="CY104" s="1195"/>
      <c r="CZ104" s="1195"/>
      <c r="DA104" s="1195"/>
      <c r="DB104" s="1195"/>
      <c r="DC104" s="1195"/>
      <c r="DD104" s="1195"/>
      <c r="DE104" s="1195"/>
      <c r="DF104" s="1195"/>
      <c r="DG104" s="1195"/>
      <c r="DH104" s="1195"/>
      <c r="DI104" s="1195"/>
      <c r="DJ104" s="1195"/>
      <c r="DK104" s="1195"/>
      <c r="DL104" s="1195"/>
      <c r="DM104" s="1195"/>
      <c r="DN104" s="1195"/>
      <c r="DO104" s="1195"/>
      <c r="DP104" s="1195"/>
      <c r="DQ104" s="1195"/>
      <c r="DR104" s="1195"/>
      <c r="DS104" s="1195"/>
      <c r="DT104" s="1195"/>
      <c r="DU104" s="1195"/>
    </row>
    <row r="105" spans="1:126" ht="23.1" customHeight="1" x14ac:dyDescent="0.4">
      <c r="A105" s="1186" t="str">
        <f>'8a-Weapons'!AS118</f>
        <v/>
      </c>
      <c r="B105" s="1186"/>
      <c r="C105" s="1186"/>
      <c r="D105" s="1186"/>
      <c r="E105" s="1186"/>
      <c r="F105" s="1186"/>
      <c r="G105" s="1186"/>
      <c r="H105" s="1186"/>
      <c r="I105" s="1186"/>
      <c r="J105" s="1186"/>
      <c r="K105" s="1186"/>
      <c r="L105" s="1186"/>
      <c r="M105" s="1186"/>
      <c r="N105" s="1186"/>
      <c r="O105" s="1186"/>
      <c r="P105" s="1186"/>
      <c r="Q105" s="1186"/>
      <c r="R105" s="1186"/>
      <c r="S105" s="1186"/>
      <c r="T105" s="1186"/>
      <c r="U105" s="1186"/>
      <c r="V105" s="1186"/>
      <c r="W105" s="1186"/>
      <c r="X105" s="1186"/>
      <c r="Y105" s="1186"/>
      <c r="Z105" s="1186"/>
      <c r="AA105" s="1186"/>
      <c r="AB105" s="1186"/>
      <c r="AC105" s="1186"/>
      <c r="AD105" s="1186"/>
      <c r="AE105" s="1186"/>
      <c r="AF105" s="1186"/>
      <c r="AG105" s="1186"/>
      <c r="AH105" s="1186"/>
      <c r="AI105" s="1186"/>
      <c r="AJ105" s="1186"/>
      <c r="AK105" s="1186"/>
      <c r="AL105" s="1186"/>
      <c r="AM105" s="1186"/>
      <c r="AN105" s="1186"/>
      <c r="AO105" s="1186"/>
      <c r="AP105" s="1186"/>
      <c r="AQ105" s="1186"/>
      <c r="AR105" s="1186"/>
      <c r="AS105" s="1186"/>
      <c r="AT105" s="1186"/>
      <c r="AU105" s="1186"/>
      <c r="AV105" s="1188" t="str">
        <f>'8a-Weapons'!AQ33</f>
        <v/>
      </c>
      <c r="AW105" s="1188"/>
      <c r="AX105" s="1188"/>
      <c r="AY105" s="1188"/>
      <c r="AZ105" s="1188"/>
      <c r="BA105" s="1188"/>
      <c r="BB105" s="1188"/>
      <c r="BC105" s="1188"/>
      <c r="BD105" s="1188"/>
      <c r="BE105" s="1188"/>
      <c r="BF105" s="1188"/>
      <c r="BG105" s="1188"/>
      <c r="BH105" s="1197" t="str">
        <f>'8a-Weapons'!AR33</f>
        <v/>
      </c>
      <c r="BI105" s="1197"/>
      <c r="BJ105" s="1197"/>
      <c r="BK105" s="1197"/>
      <c r="BL105" s="1197"/>
      <c r="BM105" s="1197"/>
      <c r="BN105" s="1197"/>
      <c r="BO105" s="1197"/>
      <c r="BP105" s="1197"/>
      <c r="BQ105" s="1197"/>
      <c r="BR105" s="1197"/>
      <c r="BS105" s="1196" t="str">
        <f>'8a-Weapons'!AU118</f>
        <v/>
      </c>
      <c r="BT105" s="1196"/>
      <c r="BU105" s="1196"/>
      <c r="BV105" s="1196"/>
      <c r="BW105" s="1196"/>
      <c r="BX105" s="1196"/>
      <c r="BY105" s="1196"/>
      <c r="BZ105" s="1196"/>
      <c r="CA105" s="1196"/>
      <c r="CB105" s="1196"/>
      <c r="CC105" s="1196"/>
      <c r="CD105" s="1196"/>
      <c r="CE105" s="1196"/>
      <c r="CF105" s="1196"/>
      <c r="CG105" s="1196"/>
      <c r="CH105" s="1196"/>
      <c r="CI105" s="1196"/>
      <c r="CJ105" s="1196"/>
      <c r="CK105" s="1196"/>
      <c r="CL105" s="1196"/>
      <c r="CM105" s="1196"/>
      <c r="CN105" s="1196"/>
      <c r="CO105" s="1196"/>
      <c r="CP105" s="1196"/>
      <c r="CQ105" s="1196"/>
      <c r="CR105" s="1196"/>
      <c r="CS105" s="1196"/>
      <c r="CT105" s="1196"/>
      <c r="CU105" s="1196"/>
      <c r="CV105" s="1196"/>
      <c r="CW105" s="1196"/>
      <c r="CX105" s="1196"/>
      <c r="CY105" s="1196"/>
      <c r="CZ105" s="1196"/>
      <c r="DA105" s="1196"/>
      <c r="DB105" s="1196"/>
      <c r="DC105" s="1196"/>
      <c r="DD105" s="1196"/>
      <c r="DE105" s="1196"/>
      <c r="DF105" s="1196"/>
      <c r="DG105" s="1196"/>
      <c r="DH105" s="1196"/>
      <c r="DI105" s="1196"/>
      <c r="DJ105" s="1196"/>
      <c r="DK105" s="1196"/>
      <c r="DL105" s="1196"/>
      <c r="DM105" s="1196"/>
      <c r="DN105" s="1196"/>
      <c r="DO105" s="1196"/>
      <c r="DP105" s="1196"/>
      <c r="DQ105" s="1196"/>
      <c r="DR105" s="1196"/>
      <c r="DS105" s="1196"/>
      <c r="DT105" s="1196"/>
      <c r="DU105" s="1196"/>
    </row>
    <row r="106" spans="1:126" ht="23.1" customHeight="1" x14ac:dyDescent="0.4">
      <c r="A106" s="1185" t="str">
        <f>'8a-Weapons'!AS119</f>
        <v/>
      </c>
      <c r="B106" s="1185"/>
      <c r="C106" s="1185"/>
      <c r="D106" s="1185"/>
      <c r="E106" s="1185"/>
      <c r="F106" s="1185"/>
      <c r="G106" s="1185"/>
      <c r="H106" s="1185"/>
      <c r="I106" s="1185"/>
      <c r="J106" s="1185"/>
      <c r="K106" s="1185"/>
      <c r="L106" s="1185"/>
      <c r="M106" s="1185"/>
      <c r="N106" s="1185"/>
      <c r="O106" s="1185"/>
      <c r="P106" s="1185"/>
      <c r="Q106" s="1185"/>
      <c r="R106" s="1185"/>
      <c r="S106" s="1185"/>
      <c r="T106" s="1185"/>
      <c r="U106" s="1185"/>
      <c r="V106" s="1185"/>
      <c r="W106" s="1185"/>
      <c r="X106" s="1185"/>
      <c r="Y106" s="1185"/>
      <c r="Z106" s="1185"/>
      <c r="AA106" s="1185"/>
      <c r="AB106" s="1185"/>
      <c r="AC106" s="1185"/>
      <c r="AD106" s="1185"/>
      <c r="AE106" s="1185"/>
      <c r="AF106" s="1185"/>
      <c r="AG106" s="1185"/>
      <c r="AH106" s="1185"/>
      <c r="AI106" s="1185"/>
      <c r="AJ106" s="1185"/>
      <c r="AK106" s="1185"/>
      <c r="AL106" s="1185"/>
      <c r="AM106" s="1185"/>
      <c r="AN106" s="1185"/>
      <c r="AO106" s="1185"/>
      <c r="AP106" s="1185"/>
      <c r="AQ106" s="1185"/>
      <c r="AR106" s="1185"/>
      <c r="AS106" s="1185"/>
      <c r="AT106" s="1185"/>
      <c r="AU106" s="1185"/>
      <c r="AV106" s="1187" t="str">
        <f>'8a-Weapons'!AQ34</f>
        <v/>
      </c>
      <c r="AW106" s="1187"/>
      <c r="AX106" s="1187"/>
      <c r="AY106" s="1187"/>
      <c r="AZ106" s="1187"/>
      <c r="BA106" s="1187"/>
      <c r="BB106" s="1187"/>
      <c r="BC106" s="1187"/>
      <c r="BD106" s="1187"/>
      <c r="BE106" s="1187"/>
      <c r="BF106" s="1187"/>
      <c r="BG106" s="1187"/>
      <c r="BH106" s="1202" t="str">
        <f>'8a-Weapons'!AR34</f>
        <v/>
      </c>
      <c r="BI106" s="1202"/>
      <c r="BJ106" s="1202"/>
      <c r="BK106" s="1202"/>
      <c r="BL106" s="1202"/>
      <c r="BM106" s="1202"/>
      <c r="BN106" s="1202"/>
      <c r="BO106" s="1202"/>
      <c r="BP106" s="1202"/>
      <c r="BQ106" s="1202"/>
      <c r="BR106" s="1202"/>
      <c r="BS106" s="1195" t="str">
        <f>'8a-Weapons'!AU119</f>
        <v/>
      </c>
      <c r="BT106" s="1195"/>
      <c r="BU106" s="1195"/>
      <c r="BV106" s="1195"/>
      <c r="BW106" s="1195"/>
      <c r="BX106" s="1195"/>
      <c r="BY106" s="1195"/>
      <c r="BZ106" s="1195"/>
      <c r="CA106" s="1195"/>
      <c r="CB106" s="1195"/>
      <c r="CC106" s="1195"/>
      <c r="CD106" s="1195"/>
      <c r="CE106" s="1195"/>
      <c r="CF106" s="1195"/>
      <c r="CG106" s="1195"/>
      <c r="CH106" s="1195"/>
      <c r="CI106" s="1195"/>
      <c r="CJ106" s="1195"/>
      <c r="CK106" s="1195"/>
      <c r="CL106" s="1195"/>
      <c r="CM106" s="1195"/>
      <c r="CN106" s="1195"/>
      <c r="CO106" s="1195"/>
      <c r="CP106" s="1195"/>
      <c r="CQ106" s="1195"/>
      <c r="CR106" s="1195"/>
      <c r="CS106" s="1195"/>
      <c r="CT106" s="1195"/>
      <c r="CU106" s="1195"/>
      <c r="CV106" s="1195"/>
      <c r="CW106" s="1195"/>
      <c r="CX106" s="1195"/>
      <c r="CY106" s="1195"/>
      <c r="CZ106" s="1195"/>
      <c r="DA106" s="1195"/>
      <c r="DB106" s="1195"/>
      <c r="DC106" s="1195"/>
      <c r="DD106" s="1195"/>
      <c r="DE106" s="1195"/>
      <c r="DF106" s="1195"/>
      <c r="DG106" s="1195"/>
      <c r="DH106" s="1195"/>
      <c r="DI106" s="1195"/>
      <c r="DJ106" s="1195"/>
      <c r="DK106" s="1195"/>
      <c r="DL106" s="1195"/>
      <c r="DM106" s="1195"/>
      <c r="DN106" s="1195"/>
      <c r="DO106" s="1195"/>
      <c r="DP106" s="1195"/>
      <c r="DQ106" s="1195"/>
      <c r="DR106" s="1195"/>
      <c r="DS106" s="1195"/>
      <c r="DT106" s="1195"/>
      <c r="DU106" s="1195"/>
    </row>
    <row r="107" spans="1:126" ht="23.1" customHeight="1" x14ac:dyDescent="0.4">
      <c r="A107" s="1186" t="str">
        <f>'8a-Weapons'!AS120</f>
        <v/>
      </c>
      <c r="B107" s="1186"/>
      <c r="C107" s="1186"/>
      <c r="D107" s="1186"/>
      <c r="E107" s="1186"/>
      <c r="F107" s="1186"/>
      <c r="G107" s="1186"/>
      <c r="H107" s="1186"/>
      <c r="I107" s="1186"/>
      <c r="J107" s="1186"/>
      <c r="K107" s="1186"/>
      <c r="L107" s="1186"/>
      <c r="M107" s="1186"/>
      <c r="N107" s="1186"/>
      <c r="O107" s="1186"/>
      <c r="P107" s="1186"/>
      <c r="Q107" s="1186"/>
      <c r="R107" s="1186"/>
      <c r="S107" s="1186"/>
      <c r="T107" s="1186"/>
      <c r="U107" s="1186"/>
      <c r="V107" s="1186"/>
      <c r="W107" s="1186"/>
      <c r="X107" s="1186"/>
      <c r="Y107" s="1186"/>
      <c r="Z107" s="1186"/>
      <c r="AA107" s="1186"/>
      <c r="AB107" s="1186"/>
      <c r="AC107" s="1186"/>
      <c r="AD107" s="1186"/>
      <c r="AE107" s="1186"/>
      <c r="AF107" s="1186"/>
      <c r="AG107" s="1186"/>
      <c r="AH107" s="1186"/>
      <c r="AI107" s="1186"/>
      <c r="AJ107" s="1186"/>
      <c r="AK107" s="1186"/>
      <c r="AL107" s="1186"/>
      <c r="AM107" s="1186"/>
      <c r="AN107" s="1186"/>
      <c r="AO107" s="1186"/>
      <c r="AP107" s="1186"/>
      <c r="AQ107" s="1186"/>
      <c r="AR107" s="1186"/>
      <c r="AS107" s="1186"/>
      <c r="AT107" s="1186"/>
      <c r="AU107" s="1186"/>
      <c r="AV107" s="1188" t="str">
        <f>'8a-Weapons'!AQ35</f>
        <v/>
      </c>
      <c r="AW107" s="1188"/>
      <c r="AX107" s="1188"/>
      <c r="AY107" s="1188"/>
      <c r="AZ107" s="1188"/>
      <c r="BA107" s="1188"/>
      <c r="BB107" s="1188"/>
      <c r="BC107" s="1188"/>
      <c r="BD107" s="1188"/>
      <c r="BE107" s="1188"/>
      <c r="BF107" s="1188"/>
      <c r="BG107" s="1188"/>
      <c r="BH107" s="1197" t="str">
        <f>'8a-Weapons'!AR35</f>
        <v/>
      </c>
      <c r="BI107" s="1197"/>
      <c r="BJ107" s="1197"/>
      <c r="BK107" s="1197"/>
      <c r="BL107" s="1197"/>
      <c r="BM107" s="1197"/>
      <c r="BN107" s="1197"/>
      <c r="BO107" s="1197"/>
      <c r="BP107" s="1197"/>
      <c r="BQ107" s="1197"/>
      <c r="BR107" s="1197"/>
      <c r="BS107" s="1196" t="str">
        <f>'8a-Weapons'!AU120</f>
        <v/>
      </c>
      <c r="BT107" s="1196"/>
      <c r="BU107" s="1196"/>
      <c r="BV107" s="1196"/>
      <c r="BW107" s="1196"/>
      <c r="BX107" s="1196"/>
      <c r="BY107" s="1196"/>
      <c r="BZ107" s="1196"/>
      <c r="CA107" s="1196"/>
      <c r="CB107" s="1196"/>
      <c r="CC107" s="1196"/>
      <c r="CD107" s="1196"/>
      <c r="CE107" s="1196"/>
      <c r="CF107" s="1196"/>
      <c r="CG107" s="1196"/>
      <c r="CH107" s="1196"/>
      <c r="CI107" s="1196"/>
      <c r="CJ107" s="1196"/>
      <c r="CK107" s="1196"/>
      <c r="CL107" s="1196"/>
      <c r="CM107" s="1196"/>
      <c r="CN107" s="1196"/>
      <c r="CO107" s="1196"/>
      <c r="CP107" s="1196"/>
      <c r="CQ107" s="1196"/>
      <c r="CR107" s="1196"/>
      <c r="CS107" s="1196"/>
      <c r="CT107" s="1196"/>
      <c r="CU107" s="1196"/>
      <c r="CV107" s="1196"/>
      <c r="CW107" s="1196"/>
      <c r="CX107" s="1196"/>
      <c r="CY107" s="1196"/>
      <c r="CZ107" s="1196"/>
      <c r="DA107" s="1196"/>
      <c r="DB107" s="1196"/>
      <c r="DC107" s="1196"/>
      <c r="DD107" s="1196"/>
      <c r="DE107" s="1196"/>
      <c r="DF107" s="1196"/>
      <c r="DG107" s="1196"/>
      <c r="DH107" s="1196"/>
      <c r="DI107" s="1196"/>
      <c r="DJ107" s="1196"/>
      <c r="DK107" s="1196"/>
      <c r="DL107" s="1196"/>
      <c r="DM107" s="1196"/>
      <c r="DN107" s="1196"/>
      <c r="DO107" s="1196"/>
      <c r="DP107" s="1196"/>
      <c r="DQ107" s="1196"/>
      <c r="DR107" s="1196"/>
      <c r="DS107" s="1196"/>
      <c r="DT107" s="1196"/>
      <c r="DU107" s="1196"/>
    </row>
    <row r="108" spans="1:126" ht="23.1" customHeight="1" x14ac:dyDescent="0.4">
      <c r="A108" s="1185" t="str">
        <f>'8a-Weapons'!AS121</f>
        <v/>
      </c>
      <c r="B108" s="1185"/>
      <c r="C108" s="1185"/>
      <c r="D108" s="1185"/>
      <c r="E108" s="1185"/>
      <c r="F108" s="1185"/>
      <c r="G108" s="1185"/>
      <c r="H108" s="1185"/>
      <c r="I108" s="1185"/>
      <c r="J108" s="1185"/>
      <c r="K108" s="1185"/>
      <c r="L108" s="1185"/>
      <c r="M108" s="1185"/>
      <c r="N108" s="1185"/>
      <c r="O108" s="1185"/>
      <c r="P108" s="1185"/>
      <c r="Q108" s="1185"/>
      <c r="R108" s="1185"/>
      <c r="S108" s="1185"/>
      <c r="T108" s="1185"/>
      <c r="U108" s="1185"/>
      <c r="V108" s="1185"/>
      <c r="W108" s="1185"/>
      <c r="X108" s="1185"/>
      <c r="Y108" s="1185"/>
      <c r="Z108" s="1185"/>
      <c r="AA108" s="1185"/>
      <c r="AB108" s="1185"/>
      <c r="AC108" s="1185"/>
      <c r="AD108" s="1185"/>
      <c r="AE108" s="1185"/>
      <c r="AF108" s="1185"/>
      <c r="AG108" s="1185"/>
      <c r="AH108" s="1185"/>
      <c r="AI108" s="1185"/>
      <c r="AJ108" s="1185"/>
      <c r="AK108" s="1185"/>
      <c r="AL108" s="1185"/>
      <c r="AM108" s="1185"/>
      <c r="AN108" s="1185"/>
      <c r="AO108" s="1185"/>
      <c r="AP108" s="1185"/>
      <c r="AQ108" s="1185"/>
      <c r="AR108" s="1185"/>
      <c r="AS108" s="1185"/>
      <c r="AT108" s="1185"/>
      <c r="AU108" s="1185"/>
      <c r="AV108" s="1187" t="str">
        <f>'8a-Weapons'!AQ36</f>
        <v/>
      </c>
      <c r="AW108" s="1187"/>
      <c r="AX108" s="1187"/>
      <c r="AY108" s="1187"/>
      <c r="AZ108" s="1187"/>
      <c r="BA108" s="1187"/>
      <c r="BB108" s="1187"/>
      <c r="BC108" s="1187"/>
      <c r="BD108" s="1187"/>
      <c r="BE108" s="1187"/>
      <c r="BF108" s="1187"/>
      <c r="BG108" s="1187"/>
      <c r="BH108" s="1202" t="str">
        <f>'8a-Weapons'!AR36</f>
        <v/>
      </c>
      <c r="BI108" s="1202"/>
      <c r="BJ108" s="1202"/>
      <c r="BK108" s="1202"/>
      <c r="BL108" s="1202"/>
      <c r="BM108" s="1202"/>
      <c r="BN108" s="1202"/>
      <c r="BO108" s="1202"/>
      <c r="BP108" s="1202"/>
      <c r="BQ108" s="1202"/>
      <c r="BR108" s="1202"/>
      <c r="BS108" s="1195" t="str">
        <f>'8a-Weapons'!AU121</f>
        <v/>
      </c>
      <c r="BT108" s="1195"/>
      <c r="BU108" s="1195"/>
      <c r="BV108" s="1195"/>
      <c r="BW108" s="1195"/>
      <c r="BX108" s="1195"/>
      <c r="BY108" s="1195"/>
      <c r="BZ108" s="1195"/>
      <c r="CA108" s="1195"/>
      <c r="CB108" s="1195"/>
      <c r="CC108" s="1195"/>
      <c r="CD108" s="1195"/>
      <c r="CE108" s="1195"/>
      <c r="CF108" s="1195"/>
      <c r="CG108" s="1195"/>
      <c r="CH108" s="1195"/>
      <c r="CI108" s="1195"/>
      <c r="CJ108" s="1195"/>
      <c r="CK108" s="1195"/>
      <c r="CL108" s="1195"/>
      <c r="CM108" s="1195"/>
      <c r="CN108" s="1195"/>
      <c r="CO108" s="1195"/>
      <c r="CP108" s="1195"/>
      <c r="CQ108" s="1195"/>
      <c r="CR108" s="1195"/>
      <c r="CS108" s="1195"/>
      <c r="CT108" s="1195"/>
      <c r="CU108" s="1195"/>
      <c r="CV108" s="1195"/>
      <c r="CW108" s="1195"/>
      <c r="CX108" s="1195"/>
      <c r="CY108" s="1195"/>
      <c r="CZ108" s="1195"/>
      <c r="DA108" s="1195"/>
      <c r="DB108" s="1195"/>
      <c r="DC108" s="1195"/>
      <c r="DD108" s="1195"/>
      <c r="DE108" s="1195"/>
      <c r="DF108" s="1195"/>
      <c r="DG108" s="1195"/>
      <c r="DH108" s="1195"/>
      <c r="DI108" s="1195"/>
      <c r="DJ108" s="1195"/>
      <c r="DK108" s="1195"/>
      <c r="DL108" s="1195"/>
      <c r="DM108" s="1195"/>
      <c r="DN108" s="1195"/>
      <c r="DO108" s="1195"/>
      <c r="DP108" s="1195"/>
      <c r="DQ108" s="1195"/>
      <c r="DR108" s="1195"/>
      <c r="DS108" s="1195"/>
      <c r="DT108" s="1195"/>
      <c r="DU108" s="1195"/>
    </row>
    <row r="109" spans="1:126" ht="23.1" customHeight="1" x14ac:dyDescent="0.4">
      <c r="A109" s="1186" t="str">
        <f>'8a-Weapons'!AS122</f>
        <v/>
      </c>
      <c r="B109" s="1186"/>
      <c r="C109" s="1186"/>
      <c r="D109" s="1186"/>
      <c r="E109" s="1186"/>
      <c r="F109" s="1186"/>
      <c r="G109" s="1186"/>
      <c r="H109" s="1186"/>
      <c r="I109" s="1186"/>
      <c r="J109" s="1186"/>
      <c r="K109" s="1186"/>
      <c r="L109" s="1186"/>
      <c r="M109" s="1186"/>
      <c r="N109" s="1186"/>
      <c r="O109" s="1186"/>
      <c r="P109" s="1186"/>
      <c r="Q109" s="1186"/>
      <c r="R109" s="1186"/>
      <c r="S109" s="1186"/>
      <c r="T109" s="1186"/>
      <c r="U109" s="1186"/>
      <c r="V109" s="1186"/>
      <c r="W109" s="1186"/>
      <c r="X109" s="1186"/>
      <c r="Y109" s="1186"/>
      <c r="Z109" s="1186"/>
      <c r="AA109" s="1186"/>
      <c r="AB109" s="1186"/>
      <c r="AC109" s="1186"/>
      <c r="AD109" s="1186"/>
      <c r="AE109" s="1186"/>
      <c r="AF109" s="1186"/>
      <c r="AG109" s="1186"/>
      <c r="AH109" s="1186"/>
      <c r="AI109" s="1186"/>
      <c r="AJ109" s="1186"/>
      <c r="AK109" s="1186"/>
      <c r="AL109" s="1186"/>
      <c r="AM109" s="1186"/>
      <c r="AN109" s="1186"/>
      <c r="AO109" s="1186"/>
      <c r="AP109" s="1186"/>
      <c r="AQ109" s="1186"/>
      <c r="AR109" s="1186"/>
      <c r="AS109" s="1186"/>
      <c r="AT109" s="1186"/>
      <c r="AU109" s="1186"/>
      <c r="AV109" s="1188" t="str">
        <f>'8a-Weapons'!AQ37</f>
        <v/>
      </c>
      <c r="AW109" s="1188"/>
      <c r="AX109" s="1188"/>
      <c r="AY109" s="1188"/>
      <c r="AZ109" s="1188"/>
      <c r="BA109" s="1188"/>
      <c r="BB109" s="1188"/>
      <c r="BC109" s="1188"/>
      <c r="BD109" s="1188"/>
      <c r="BE109" s="1188"/>
      <c r="BF109" s="1188"/>
      <c r="BG109" s="1188"/>
      <c r="BH109" s="1197" t="str">
        <f>'8a-Weapons'!AR37</f>
        <v/>
      </c>
      <c r="BI109" s="1197"/>
      <c r="BJ109" s="1197"/>
      <c r="BK109" s="1197"/>
      <c r="BL109" s="1197"/>
      <c r="BM109" s="1197"/>
      <c r="BN109" s="1197"/>
      <c r="BO109" s="1197"/>
      <c r="BP109" s="1197"/>
      <c r="BQ109" s="1197"/>
      <c r="BR109" s="1197"/>
      <c r="BS109" s="1196" t="str">
        <f>'8a-Weapons'!AU122</f>
        <v/>
      </c>
      <c r="BT109" s="1196"/>
      <c r="BU109" s="1196"/>
      <c r="BV109" s="1196"/>
      <c r="BW109" s="1196"/>
      <c r="BX109" s="1196"/>
      <c r="BY109" s="1196"/>
      <c r="BZ109" s="1196"/>
      <c r="CA109" s="1196"/>
      <c r="CB109" s="1196"/>
      <c r="CC109" s="1196"/>
      <c r="CD109" s="1196"/>
      <c r="CE109" s="1196"/>
      <c r="CF109" s="1196"/>
      <c r="CG109" s="1196"/>
      <c r="CH109" s="1196"/>
      <c r="CI109" s="1196"/>
      <c r="CJ109" s="1196"/>
      <c r="CK109" s="1196"/>
      <c r="CL109" s="1196"/>
      <c r="CM109" s="1196"/>
      <c r="CN109" s="1196"/>
      <c r="CO109" s="1196"/>
      <c r="CP109" s="1196"/>
      <c r="CQ109" s="1196"/>
      <c r="CR109" s="1196"/>
      <c r="CS109" s="1196"/>
      <c r="CT109" s="1196"/>
      <c r="CU109" s="1196"/>
      <c r="CV109" s="1196"/>
      <c r="CW109" s="1196"/>
      <c r="CX109" s="1196"/>
      <c r="CY109" s="1196"/>
      <c r="CZ109" s="1196"/>
      <c r="DA109" s="1196"/>
      <c r="DB109" s="1196"/>
      <c r="DC109" s="1196"/>
      <c r="DD109" s="1196"/>
      <c r="DE109" s="1196"/>
      <c r="DF109" s="1196"/>
      <c r="DG109" s="1196"/>
      <c r="DH109" s="1196"/>
      <c r="DI109" s="1196"/>
      <c r="DJ109" s="1196"/>
      <c r="DK109" s="1196"/>
      <c r="DL109" s="1196"/>
      <c r="DM109" s="1196"/>
      <c r="DN109" s="1196"/>
      <c r="DO109" s="1196"/>
      <c r="DP109" s="1196"/>
      <c r="DQ109" s="1196"/>
      <c r="DR109" s="1196"/>
      <c r="DS109" s="1196"/>
      <c r="DT109" s="1196"/>
      <c r="DU109" s="1196"/>
    </row>
    <row r="110" spans="1:126" ht="23.1" customHeight="1" x14ac:dyDescent="0.4">
      <c r="A110" s="1185" t="str">
        <f>'8a-Weapons'!AS123</f>
        <v/>
      </c>
      <c r="B110" s="1185"/>
      <c r="C110" s="1185"/>
      <c r="D110" s="1185"/>
      <c r="E110" s="1185"/>
      <c r="F110" s="1185"/>
      <c r="G110" s="1185"/>
      <c r="H110" s="1185"/>
      <c r="I110" s="1185"/>
      <c r="J110" s="1185"/>
      <c r="K110" s="1185"/>
      <c r="L110" s="1185"/>
      <c r="M110" s="1185"/>
      <c r="N110" s="1185"/>
      <c r="O110" s="1185"/>
      <c r="P110" s="1185"/>
      <c r="Q110" s="1185"/>
      <c r="R110" s="1185"/>
      <c r="S110" s="1185"/>
      <c r="T110" s="1185"/>
      <c r="U110" s="1185"/>
      <c r="V110" s="1185"/>
      <c r="W110" s="1185"/>
      <c r="X110" s="1185"/>
      <c r="Y110" s="1185"/>
      <c r="Z110" s="1185"/>
      <c r="AA110" s="1185"/>
      <c r="AB110" s="1185"/>
      <c r="AC110" s="1185"/>
      <c r="AD110" s="1185"/>
      <c r="AE110" s="1185"/>
      <c r="AF110" s="1185"/>
      <c r="AG110" s="1185"/>
      <c r="AH110" s="1185"/>
      <c r="AI110" s="1185"/>
      <c r="AJ110" s="1185"/>
      <c r="AK110" s="1185"/>
      <c r="AL110" s="1185"/>
      <c r="AM110" s="1185"/>
      <c r="AN110" s="1185"/>
      <c r="AO110" s="1185"/>
      <c r="AP110" s="1185"/>
      <c r="AQ110" s="1185"/>
      <c r="AR110" s="1185"/>
      <c r="AS110" s="1185"/>
      <c r="AT110" s="1185"/>
      <c r="AU110" s="1185"/>
      <c r="AV110" s="1187" t="str">
        <f>'8a-Weapons'!AQ38</f>
        <v/>
      </c>
      <c r="AW110" s="1187"/>
      <c r="AX110" s="1187"/>
      <c r="AY110" s="1187"/>
      <c r="AZ110" s="1187"/>
      <c r="BA110" s="1187"/>
      <c r="BB110" s="1187"/>
      <c r="BC110" s="1187"/>
      <c r="BD110" s="1187"/>
      <c r="BE110" s="1187"/>
      <c r="BF110" s="1187"/>
      <c r="BG110" s="1187"/>
      <c r="BH110" s="1202" t="str">
        <f>'8a-Weapons'!AR38</f>
        <v/>
      </c>
      <c r="BI110" s="1202"/>
      <c r="BJ110" s="1202"/>
      <c r="BK110" s="1202"/>
      <c r="BL110" s="1202"/>
      <c r="BM110" s="1202"/>
      <c r="BN110" s="1202"/>
      <c r="BO110" s="1202"/>
      <c r="BP110" s="1202"/>
      <c r="BQ110" s="1202"/>
      <c r="BR110" s="1202"/>
      <c r="BS110" s="1195" t="str">
        <f>'8a-Weapons'!AU123</f>
        <v/>
      </c>
      <c r="BT110" s="1195"/>
      <c r="BU110" s="1195"/>
      <c r="BV110" s="1195"/>
      <c r="BW110" s="1195"/>
      <c r="BX110" s="1195"/>
      <c r="BY110" s="1195"/>
      <c r="BZ110" s="1195"/>
      <c r="CA110" s="1195"/>
      <c r="CB110" s="1195"/>
      <c r="CC110" s="1195"/>
      <c r="CD110" s="1195"/>
      <c r="CE110" s="1195"/>
      <c r="CF110" s="1195"/>
      <c r="CG110" s="1195"/>
      <c r="CH110" s="1195"/>
      <c r="CI110" s="1195"/>
      <c r="CJ110" s="1195"/>
      <c r="CK110" s="1195"/>
      <c r="CL110" s="1195"/>
      <c r="CM110" s="1195"/>
      <c r="CN110" s="1195"/>
      <c r="CO110" s="1195"/>
      <c r="CP110" s="1195"/>
      <c r="CQ110" s="1195"/>
      <c r="CR110" s="1195"/>
      <c r="CS110" s="1195"/>
      <c r="CT110" s="1195"/>
      <c r="CU110" s="1195"/>
      <c r="CV110" s="1195"/>
      <c r="CW110" s="1195"/>
      <c r="CX110" s="1195"/>
      <c r="CY110" s="1195"/>
      <c r="CZ110" s="1195"/>
      <c r="DA110" s="1195"/>
      <c r="DB110" s="1195"/>
      <c r="DC110" s="1195"/>
      <c r="DD110" s="1195"/>
      <c r="DE110" s="1195"/>
      <c r="DF110" s="1195"/>
      <c r="DG110" s="1195"/>
      <c r="DH110" s="1195"/>
      <c r="DI110" s="1195"/>
      <c r="DJ110" s="1195"/>
      <c r="DK110" s="1195"/>
      <c r="DL110" s="1195"/>
      <c r="DM110" s="1195"/>
      <c r="DN110" s="1195"/>
      <c r="DO110" s="1195"/>
      <c r="DP110" s="1195"/>
      <c r="DQ110" s="1195"/>
      <c r="DR110" s="1195"/>
      <c r="DS110" s="1195"/>
      <c r="DT110" s="1195"/>
      <c r="DU110" s="1195"/>
    </row>
    <row r="111" spans="1:126" ht="23.1" customHeight="1" x14ac:dyDescent="0.4">
      <c r="A111" s="1186" t="str">
        <f>'8a-Weapons'!AS124</f>
        <v/>
      </c>
      <c r="B111" s="1186"/>
      <c r="C111" s="1186"/>
      <c r="D111" s="1186"/>
      <c r="E111" s="1186"/>
      <c r="F111" s="1186"/>
      <c r="G111" s="1186"/>
      <c r="H111" s="1186"/>
      <c r="I111" s="1186"/>
      <c r="J111" s="1186"/>
      <c r="K111" s="1186"/>
      <c r="L111" s="1186"/>
      <c r="M111" s="1186"/>
      <c r="N111" s="1186"/>
      <c r="O111" s="1186"/>
      <c r="P111" s="1186"/>
      <c r="Q111" s="1186"/>
      <c r="R111" s="1186"/>
      <c r="S111" s="1186"/>
      <c r="T111" s="1186"/>
      <c r="U111" s="1186"/>
      <c r="V111" s="1186"/>
      <c r="W111" s="1186"/>
      <c r="X111" s="1186"/>
      <c r="Y111" s="1186"/>
      <c r="Z111" s="1186"/>
      <c r="AA111" s="1186"/>
      <c r="AB111" s="1186"/>
      <c r="AC111" s="1186"/>
      <c r="AD111" s="1186"/>
      <c r="AE111" s="1186"/>
      <c r="AF111" s="1186"/>
      <c r="AG111" s="1186"/>
      <c r="AH111" s="1186"/>
      <c r="AI111" s="1186"/>
      <c r="AJ111" s="1186"/>
      <c r="AK111" s="1186"/>
      <c r="AL111" s="1186"/>
      <c r="AM111" s="1186"/>
      <c r="AN111" s="1186"/>
      <c r="AO111" s="1186"/>
      <c r="AP111" s="1186"/>
      <c r="AQ111" s="1186"/>
      <c r="AR111" s="1186"/>
      <c r="AS111" s="1186"/>
      <c r="AT111" s="1186"/>
      <c r="AU111" s="1186"/>
      <c r="AV111" s="1188" t="str">
        <f>'8a-Weapons'!AQ39</f>
        <v/>
      </c>
      <c r="AW111" s="1188"/>
      <c r="AX111" s="1188"/>
      <c r="AY111" s="1188"/>
      <c r="AZ111" s="1188"/>
      <c r="BA111" s="1188"/>
      <c r="BB111" s="1188"/>
      <c r="BC111" s="1188"/>
      <c r="BD111" s="1188"/>
      <c r="BE111" s="1188"/>
      <c r="BF111" s="1188"/>
      <c r="BG111" s="1188"/>
      <c r="BH111" s="1197" t="str">
        <f>'8a-Weapons'!AR39</f>
        <v/>
      </c>
      <c r="BI111" s="1197"/>
      <c r="BJ111" s="1197"/>
      <c r="BK111" s="1197"/>
      <c r="BL111" s="1197"/>
      <c r="BM111" s="1197"/>
      <c r="BN111" s="1197"/>
      <c r="BO111" s="1197"/>
      <c r="BP111" s="1197"/>
      <c r="BQ111" s="1197"/>
      <c r="BR111" s="1197"/>
      <c r="BS111" s="1196" t="str">
        <f>'8a-Weapons'!AU124</f>
        <v/>
      </c>
      <c r="BT111" s="1196"/>
      <c r="BU111" s="1196"/>
      <c r="BV111" s="1196"/>
      <c r="BW111" s="1196"/>
      <c r="BX111" s="1196"/>
      <c r="BY111" s="1196"/>
      <c r="BZ111" s="1196"/>
      <c r="CA111" s="1196"/>
      <c r="CB111" s="1196"/>
      <c r="CC111" s="1196"/>
      <c r="CD111" s="1196"/>
      <c r="CE111" s="1196"/>
      <c r="CF111" s="1196"/>
      <c r="CG111" s="1196"/>
      <c r="CH111" s="1196"/>
      <c r="CI111" s="1196"/>
      <c r="CJ111" s="1196"/>
      <c r="CK111" s="1196"/>
      <c r="CL111" s="1196"/>
      <c r="CM111" s="1196"/>
      <c r="CN111" s="1196"/>
      <c r="CO111" s="1196"/>
      <c r="CP111" s="1196"/>
      <c r="CQ111" s="1196"/>
      <c r="CR111" s="1196"/>
      <c r="CS111" s="1196"/>
      <c r="CT111" s="1196"/>
      <c r="CU111" s="1196"/>
      <c r="CV111" s="1196"/>
      <c r="CW111" s="1196"/>
      <c r="CX111" s="1196"/>
      <c r="CY111" s="1196"/>
      <c r="CZ111" s="1196"/>
      <c r="DA111" s="1196"/>
      <c r="DB111" s="1196"/>
      <c r="DC111" s="1196"/>
      <c r="DD111" s="1196"/>
      <c r="DE111" s="1196"/>
      <c r="DF111" s="1196"/>
      <c r="DG111" s="1196"/>
      <c r="DH111" s="1196"/>
      <c r="DI111" s="1196"/>
      <c r="DJ111" s="1196"/>
      <c r="DK111" s="1196"/>
      <c r="DL111" s="1196"/>
      <c r="DM111" s="1196"/>
      <c r="DN111" s="1196"/>
      <c r="DO111" s="1196"/>
      <c r="DP111" s="1196"/>
      <c r="DQ111" s="1196"/>
      <c r="DR111" s="1196"/>
      <c r="DS111" s="1196"/>
      <c r="DT111" s="1196"/>
      <c r="DU111" s="1196"/>
    </row>
    <row r="112" spans="1:126" ht="23.1" customHeight="1" x14ac:dyDescent="0.4">
      <c r="A112" s="1185" t="str">
        <f>'8a-Weapons'!AS125</f>
        <v/>
      </c>
      <c r="B112" s="1185"/>
      <c r="C112" s="1185"/>
      <c r="D112" s="1185"/>
      <c r="E112" s="1185"/>
      <c r="F112" s="1185"/>
      <c r="G112" s="1185"/>
      <c r="H112" s="1185"/>
      <c r="I112" s="1185"/>
      <c r="J112" s="1185"/>
      <c r="K112" s="1185"/>
      <c r="L112" s="1185"/>
      <c r="M112" s="1185"/>
      <c r="N112" s="1185"/>
      <c r="O112" s="1185"/>
      <c r="P112" s="1185"/>
      <c r="Q112" s="1185"/>
      <c r="R112" s="1185"/>
      <c r="S112" s="1185"/>
      <c r="T112" s="1185"/>
      <c r="U112" s="1185"/>
      <c r="V112" s="1185"/>
      <c r="W112" s="1185"/>
      <c r="X112" s="1185"/>
      <c r="Y112" s="1185"/>
      <c r="Z112" s="1185"/>
      <c r="AA112" s="1185"/>
      <c r="AB112" s="1185"/>
      <c r="AC112" s="1185"/>
      <c r="AD112" s="1185"/>
      <c r="AE112" s="1185"/>
      <c r="AF112" s="1185"/>
      <c r="AG112" s="1185"/>
      <c r="AH112" s="1185"/>
      <c r="AI112" s="1185"/>
      <c r="AJ112" s="1185"/>
      <c r="AK112" s="1185"/>
      <c r="AL112" s="1185"/>
      <c r="AM112" s="1185"/>
      <c r="AN112" s="1185"/>
      <c r="AO112" s="1185"/>
      <c r="AP112" s="1185"/>
      <c r="AQ112" s="1185"/>
      <c r="AR112" s="1185"/>
      <c r="AS112" s="1185"/>
      <c r="AT112" s="1185"/>
      <c r="AU112" s="1185"/>
      <c r="AV112" s="1187" t="str">
        <f>'8a-Weapons'!AQ40</f>
        <v/>
      </c>
      <c r="AW112" s="1187"/>
      <c r="AX112" s="1187"/>
      <c r="AY112" s="1187"/>
      <c r="AZ112" s="1187"/>
      <c r="BA112" s="1187"/>
      <c r="BB112" s="1187"/>
      <c r="BC112" s="1187"/>
      <c r="BD112" s="1187"/>
      <c r="BE112" s="1187"/>
      <c r="BF112" s="1187"/>
      <c r="BG112" s="1187"/>
      <c r="BH112" s="1202" t="str">
        <f>'8a-Weapons'!AR40</f>
        <v/>
      </c>
      <c r="BI112" s="1202"/>
      <c r="BJ112" s="1202"/>
      <c r="BK112" s="1202"/>
      <c r="BL112" s="1202"/>
      <c r="BM112" s="1202"/>
      <c r="BN112" s="1202"/>
      <c r="BO112" s="1202"/>
      <c r="BP112" s="1202"/>
      <c r="BQ112" s="1202"/>
      <c r="BR112" s="1202"/>
      <c r="BS112" s="1195" t="str">
        <f>'8a-Weapons'!AU125</f>
        <v/>
      </c>
      <c r="BT112" s="1195"/>
      <c r="BU112" s="1195"/>
      <c r="BV112" s="1195"/>
      <c r="BW112" s="1195"/>
      <c r="BX112" s="1195"/>
      <c r="BY112" s="1195"/>
      <c r="BZ112" s="1195"/>
      <c r="CA112" s="1195"/>
      <c r="CB112" s="1195"/>
      <c r="CC112" s="1195"/>
      <c r="CD112" s="1195"/>
      <c r="CE112" s="1195"/>
      <c r="CF112" s="1195"/>
      <c r="CG112" s="1195"/>
      <c r="CH112" s="1195"/>
      <c r="CI112" s="1195"/>
      <c r="CJ112" s="1195"/>
      <c r="CK112" s="1195"/>
      <c r="CL112" s="1195"/>
      <c r="CM112" s="1195"/>
      <c r="CN112" s="1195"/>
      <c r="CO112" s="1195"/>
      <c r="CP112" s="1195"/>
      <c r="CQ112" s="1195"/>
      <c r="CR112" s="1195"/>
      <c r="CS112" s="1195"/>
      <c r="CT112" s="1195"/>
      <c r="CU112" s="1195"/>
      <c r="CV112" s="1195"/>
      <c r="CW112" s="1195"/>
      <c r="CX112" s="1195"/>
      <c r="CY112" s="1195"/>
      <c r="CZ112" s="1195"/>
      <c r="DA112" s="1195"/>
      <c r="DB112" s="1195"/>
      <c r="DC112" s="1195"/>
      <c r="DD112" s="1195"/>
      <c r="DE112" s="1195"/>
      <c r="DF112" s="1195"/>
      <c r="DG112" s="1195"/>
      <c r="DH112" s="1195"/>
      <c r="DI112" s="1195"/>
      <c r="DJ112" s="1195"/>
      <c r="DK112" s="1195"/>
      <c r="DL112" s="1195"/>
      <c r="DM112" s="1195"/>
      <c r="DN112" s="1195"/>
      <c r="DO112" s="1195"/>
      <c r="DP112" s="1195"/>
      <c r="DQ112" s="1195"/>
      <c r="DR112" s="1195"/>
      <c r="DS112" s="1195"/>
      <c r="DT112" s="1195"/>
      <c r="DU112" s="1195"/>
    </row>
    <row r="113" spans="1:126" ht="23.1" customHeight="1" x14ac:dyDescent="0.4">
      <c r="A113" s="1186" t="str">
        <f>'8a-Weapons'!AS126</f>
        <v/>
      </c>
      <c r="B113" s="1186"/>
      <c r="C113" s="1186"/>
      <c r="D113" s="1186"/>
      <c r="E113" s="1186"/>
      <c r="F113" s="1186"/>
      <c r="G113" s="1186"/>
      <c r="H113" s="1186"/>
      <c r="I113" s="1186"/>
      <c r="J113" s="1186"/>
      <c r="K113" s="1186"/>
      <c r="L113" s="1186"/>
      <c r="M113" s="1186"/>
      <c r="N113" s="1186"/>
      <c r="O113" s="1186"/>
      <c r="P113" s="1186"/>
      <c r="Q113" s="1186"/>
      <c r="R113" s="1186"/>
      <c r="S113" s="1186"/>
      <c r="T113" s="1186"/>
      <c r="U113" s="1186"/>
      <c r="V113" s="1186"/>
      <c r="W113" s="1186"/>
      <c r="X113" s="1186"/>
      <c r="Y113" s="1186"/>
      <c r="Z113" s="1186"/>
      <c r="AA113" s="1186"/>
      <c r="AB113" s="1186"/>
      <c r="AC113" s="1186"/>
      <c r="AD113" s="1186"/>
      <c r="AE113" s="1186"/>
      <c r="AF113" s="1186"/>
      <c r="AG113" s="1186"/>
      <c r="AH113" s="1186"/>
      <c r="AI113" s="1186"/>
      <c r="AJ113" s="1186"/>
      <c r="AK113" s="1186"/>
      <c r="AL113" s="1186"/>
      <c r="AM113" s="1186"/>
      <c r="AN113" s="1186"/>
      <c r="AO113" s="1186"/>
      <c r="AP113" s="1186"/>
      <c r="AQ113" s="1186"/>
      <c r="AR113" s="1186"/>
      <c r="AS113" s="1186"/>
      <c r="AT113" s="1186"/>
      <c r="AU113" s="1186"/>
      <c r="AV113" s="1188" t="str">
        <f>'8a-Weapons'!AQ41</f>
        <v/>
      </c>
      <c r="AW113" s="1188"/>
      <c r="AX113" s="1188"/>
      <c r="AY113" s="1188"/>
      <c r="AZ113" s="1188"/>
      <c r="BA113" s="1188"/>
      <c r="BB113" s="1188"/>
      <c r="BC113" s="1188"/>
      <c r="BD113" s="1188"/>
      <c r="BE113" s="1188"/>
      <c r="BF113" s="1188"/>
      <c r="BG113" s="1188"/>
      <c r="BH113" s="1197" t="str">
        <f>'8a-Weapons'!AR41</f>
        <v/>
      </c>
      <c r="BI113" s="1197"/>
      <c r="BJ113" s="1197"/>
      <c r="BK113" s="1197"/>
      <c r="BL113" s="1197"/>
      <c r="BM113" s="1197"/>
      <c r="BN113" s="1197"/>
      <c r="BO113" s="1197"/>
      <c r="BP113" s="1197"/>
      <c r="BQ113" s="1197"/>
      <c r="BR113" s="1197"/>
      <c r="BS113" s="1196" t="str">
        <f>'8a-Weapons'!AU126</f>
        <v/>
      </c>
      <c r="BT113" s="1196"/>
      <c r="BU113" s="1196"/>
      <c r="BV113" s="1196"/>
      <c r="BW113" s="1196"/>
      <c r="BX113" s="1196"/>
      <c r="BY113" s="1196"/>
      <c r="BZ113" s="1196"/>
      <c r="CA113" s="1196"/>
      <c r="CB113" s="1196"/>
      <c r="CC113" s="1196"/>
      <c r="CD113" s="1196"/>
      <c r="CE113" s="1196"/>
      <c r="CF113" s="1196"/>
      <c r="CG113" s="1196"/>
      <c r="CH113" s="1196"/>
      <c r="CI113" s="1196"/>
      <c r="CJ113" s="1196"/>
      <c r="CK113" s="1196"/>
      <c r="CL113" s="1196"/>
      <c r="CM113" s="1196"/>
      <c r="CN113" s="1196"/>
      <c r="CO113" s="1196"/>
      <c r="CP113" s="1196"/>
      <c r="CQ113" s="1196"/>
      <c r="CR113" s="1196"/>
      <c r="CS113" s="1196"/>
      <c r="CT113" s="1196"/>
      <c r="CU113" s="1196"/>
      <c r="CV113" s="1196"/>
      <c r="CW113" s="1196"/>
      <c r="CX113" s="1196"/>
      <c r="CY113" s="1196"/>
      <c r="CZ113" s="1196"/>
      <c r="DA113" s="1196"/>
      <c r="DB113" s="1196"/>
      <c r="DC113" s="1196"/>
      <c r="DD113" s="1196"/>
      <c r="DE113" s="1196"/>
      <c r="DF113" s="1196"/>
      <c r="DG113" s="1196"/>
      <c r="DH113" s="1196"/>
      <c r="DI113" s="1196"/>
      <c r="DJ113" s="1196"/>
      <c r="DK113" s="1196"/>
      <c r="DL113" s="1196"/>
      <c r="DM113" s="1196"/>
      <c r="DN113" s="1196"/>
      <c r="DO113" s="1196"/>
      <c r="DP113" s="1196"/>
      <c r="DQ113" s="1196"/>
      <c r="DR113" s="1196"/>
      <c r="DS113" s="1196"/>
      <c r="DT113" s="1196"/>
      <c r="DU113" s="1196"/>
    </row>
    <row r="114" spans="1:126" ht="23.1" customHeight="1" x14ac:dyDescent="0.4">
      <c r="A114" s="1185" t="str">
        <f>'8a-Weapons'!AS127</f>
        <v/>
      </c>
      <c r="B114" s="1185"/>
      <c r="C114" s="1185"/>
      <c r="D114" s="1185"/>
      <c r="E114" s="1185"/>
      <c r="F114" s="1185"/>
      <c r="G114" s="1185"/>
      <c r="H114" s="1185"/>
      <c r="I114" s="1185"/>
      <c r="J114" s="1185"/>
      <c r="K114" s="1185"/>
      <c r="L114" s="1185"/>
      <c r="M114" s="1185"/>
      <c r="N114" s="1185"/>
      <c r="O114" s="1185"/>
      <c r="P114" s="1185"/>
      <c r="Q114" s="1185"/>
      <c r="R114" s="1185"/>
      <c r="S114" s="1185"/>
      <c r="T114" s="1185"/>
      <c r="U114" s="1185"/>
      <c r="V114" s="1185"/>
      <c r="W114" s="1185"/>
      <c r="X114" s="1185"/>
      <c r="Y114" s="1185"/>
      <c r="Z114" s="1185"/>
      <c r="AA114" s="1185"/>
      <c r="AB114" s="1185"/>
      <c r="AC114" s="1185"/>
      <c r="AD114" s="1185"/>
      <c r="AE114" s="1185"/>
      <c r="AF114" s="1185"/>
      <c r="AG114" s="1185"/>
      <c r="AH114" s="1185"/>
      <c r="AI114" s="1185"/>
      <c r="AJ114" s="1185"/>
      <c r="AK114" s="1185"/>
      <c r="AL114" s="1185"/>
      <c r="AM114" s="1185"/>
      <c r="AN114" s="1185"/>
      <c r="AO114" s="1185"/>
      <c r="AP114" s="1185"/>
      <c r="AQ114" s="1185"/>
      <c r="AR114" s="1185"/>
      <c r="AS114" s="1185"/>
      <c r="AT114" s="1185"/>
      <c r="AU114" s="1185"/>
      <c r="AV114" s="1187" t="str">
        <f>'8a-Weapons'!AQ42</f>
        <v/>
      </c>
      <c r="AW114" s="1187"/>
      <c r="AX114" s="1187"/>
      <c r="AY114" s="1187"/>
      <c r="AZ114" s="1187"/>
      <c r="BA114" s="1187"/>
      <c r="BB114" s="1187"/>
      <c r="BC114" s="1187"/>
      <c r="BD114" s="1187"/>
      <c r="BE114" s="1187"/>
      <c r="BF114" s="1187"/>
      <c r="BG114" s="1187"/>
      <c r="BH114" s="1202" t="str">
        <f>'8a-Weapons'!AR42</f>
        <v/>
      </c>
      <c r="BI114" s="1202"/>
      <c r="BJ114" s="1202"/>
      <c r="BK114" s="1202"/>
      <c r="BL114" s="1202"/>
      <c r="BM114" s="1202"/>
      <c r="BN114" s="1202"/>
      <c r="BO114" s="1202"/>
      <c r="BP114" s="1202"/>
      <c r="BQ114" s="1202"/>
      <c r="BR114" s="1202"/>
      <c r="BS114" s="1195" t="str">
        <f>'8a-Weapons'!AU127</f>
        <v/>
      </c>
      <c r="BT114" s="1195"/>
      <c r="BU114" s="1195"/>
      <c r="BV114" s="1195"/>
      <c r="BW114" s="1195"/>
      <c r="BX114" s="1195"/>
      <c r="BY114" s="1195"/>
      <c r="BZ114" s="1195"/>
      <c r="CA114" s="1195"/>
      <c r="CB114" s="1195"/>
      <c r="CC114" s="1195"/>
      <c r="CD114" s="1195"/>
      <c r="CE114" s="1195"/>
      <c r="CF114" s="1195"/>
      <c r="CG114" s="1195"/>
      <c r="CH114" s="1195"/>
      <c r="CI114" s="1195"/>
      <c r="CJ114" s="1195"/>
      <c r="CK114" s="1195"/>
      <c r="CL114" s="1195"/>
      <c r="CM114" s="1195"/>
      <c r="CN114" s="1195"/>
      <c r="CO114" s="1195"/>
      <c r="CP114" s="1195"/>
      <c r="CQ114" s="1195"/>
      <c r="CR114" s="1195"/>
      <c r="CS114" s="1195"/>
      <c r="CT114" s="1195"/>
      <c r="CU114" s="1195"/>
      <c r="CV114" s="1195"/>
      <c r="CW114" s="1195"/>
      <c r="CX114" s="1195"/>
      <c r="CY114" s="1195"/>
      <c r="CZ114" s="1195"/>
      <c r="DA114" s="1195"/>
      <c r="DB114" s="1195"/>
      <c r="DC114" s="1195"/>
      <c r="DD114" s="1195"/>
      <c r="DE114" s="1195"/>
      <c r="DF114" s="1195"/>
      <c r="DG114" s="1195"/>
      <c r="DH114" s="1195"/>
      <c r="DI114" s="1195"/>
      <c r="DJ114" s="1195"/>
      <c r="DK114" s="1195"/>
      <c r="DL114" s="1195"/>
      <c r="DM114" s="1195"/>
      <c r="DN114" s="1195"/>
      <c r="DO114" s="1195"/>
      <c r="DP114" s="1195"/>
      <c r="DQ114" s="1195"/>
      <c r="DR114" s="1195"/>
      <c r="DS114" s="1195"/>
      <c r="DT114" s="1195"/>
      <c r="DU114" s="1195"/>
    </row>
    <row r="115" spans="1:126" ht="23.1" customHeight="1" x14ac:dyDescent="0.4">
      <c r="A115" s="1186" t="str">
        <f>'8a-Weapons'!AS128</f>
        <v/>
      </c>
      <c r="B115" s="1186"/>
      <c r="C115" s="1186"/>
      <c r="D115" s="1186"/>
      <c r="E115" s="1186"/>
      <c r="F115" s="1186"/>
      <c r="G115" s="1186"/>
      <c r="H115" s="1186"/>
      <c r="I115" s="1186"/>
      <c r="J115" s="1186"/>
      <c r="K115" s="1186"/>
      <c r="L115" s="1186"/>
      <c r="M115" s="1186"/>
      <c r="N115" s="1186"/>
      <c r="O115" s="1186"/>
      <c r="P115" s="1186"/>
      <c r="Q115" s="1186"/>
      <c r="R115" s="1186"/>
      <c r="S115" s="1186"/>
      <c r="T115" s="1186"/>
      <c r="U115" s="1186"/>
      <c r="V115" s="1186"/>
      <c r="W115" s="1186"/>
      <c r="X115" s="1186"/>
      <c r="Y115" s="1186"/>
      <c r="Z115" s="1186"/>
      <c r="AA115" s="1186"/>
      <c r="AB115" s="1186"/>
      <c r="AC115" s="1186"/>
      <c r="AD115" s="1186"/>
      <c r="AE115" s="1186"/>
      <c r="AF115" s="1186"/>
      <c r="AG115" s="1186"/>
      <c r="AH115" s="1186"/>
      <c r="AI115" s="1186"/>
      <c r="AJ115" s="1186"/>
      <c r="AK115" s="1186"/>
      <c r="AL115" s="1186"/>
      <c r="AM115" s="1186"/>
      <c r="AN115" s="1186"/>
      <c r="AO115" s="1186"/>
      <c r="AP115" s="1186"/>
      <c r="AQ115" s="1186"/>
      <c r="AR115" s="1186"/>
      <c r="AS115" s="1186"/>
      <c r="AT115" s="1186"/>
      <c r="AU115" s="1186"/>
      <c r="AV115" s="1188" t="str">
        <f>'8a-Weapons'!AQ43</f>
        <v/>
      </c>
      <c r="AW115" s="1188"/>
      <c r="AX115" s="1188"/>
      <c r="AY115" s="1188"/>
      <c r="AZ115" s="1188"/>
      <c r="BA115" s="1188"/>
      <c r="BB115" s="1188"/>
      <c r="BC115" s="1188"/>
      <c r="BD115" s="1188"/>
      <c r="BE115" s="1188"/>
      <c r="BF115" s="1188"/>
      <c r="BG115" s="1188"/>
      <c r="BH115" s="1197" t="str">
        <f>'8a-Weapons'!AR43</f>
        <v/>
      </c>
      <c r="BI115" s="1197"/>
      <c r="BJ115" s="1197"/>
      <c r="BK115" s="1197"/>
      <c r="BL115" s="1197"/>
      <c r="BM115" s="1197"/>
      <c r="BN115" s="1197"/>
      <c r="BO115" s="1197"/>
      <c r="BP115" s="1197"/>
      <c r="BQ115" s="1197"/>
      <c r="BR115" s="1197"/>
      <c r="BS115" s="1196" t="str">
        <f>'8a-Weapons'!AU128</f>
        <v/>
      </c>
      <c r="BT115" s="1196"/>
      <c r="BU115" s="1196"/>
      <c r="BV115" s="1196"/>
      <c r="BW115" s="1196"/>
      <c r="BX115" s="1196"/>
      <c r="BY115" s="1196"/>
      <c r="BZ115" s="1196"/>
      <c r="CA115" s="1196"/>
      <c r="CB115" s="1196"/>
      <c r="CC115" s="1196"/>
      <c r="CD115" s="1196"/>
      <c r="CE115" s="1196"/>
      <c r="CF115" s="1196"/>
      <c r="CG115" s="1196"/>
      <c r="CH115" s="1196"/>
      <c r="CI115" s="1196"/>
      <c r="CJ115" s="1196"/>
      <c r="CK115" s="1196"/>
      <c r="CL115" s="1196"/>
      <c r="CM115" s="1196"/>
      <c r="CN115" s="1196"/>
      <c r="CO115" s="1196"/>
      <c r="CP115" s="1196"/>
      <c r="CQ115" s="1196"/>
      <c r="CR115" s="1196"/>
      <c r="CS115" s="1196"/>
      <c r="CT115" s="1196"/>
      <c r="CU115" s="1196"/>
      <c r="CV115" s="1196"/>
      <c r="CW115" s="1196"/>
      <c r="CX115" s="1196"/>
      <c r="CY115" s="1196"/>
      <c r="CZ115" s="1196"/>
      <c r="DA115" s="1196"/>
      <c r="DB115" s="1196"/>
      <c r="DC115" s="1196"/>
      <c r="DD115" s="1196"/>
      <c r="DE115" s="1196"/>
      <c r="DF115" s="1196"/>
      <c r="DG115" s="1196"/>
      <c r="DH115" s="1196"/>
      <c r="DI115" s="1196"/>
      <c r="DJ115" s="1196"/>
      <c r="DK115" s="1196"/>
      <c r="DL115" s="1196"/>
      <c r="DM115" s="1196"/>
      <c r="DN115" s="1196"/>
      <c r="DO115" s="1196"/>
      <c r="DP115" s="1196"/>
      <c r="DQ115" s="1196"/>
      <c r="DR115" s="1196"/>
      <c r="DS115" s="1196"/>
      <c r="DT115" s="1196"/>
      <c r="DU115" s="1196"/>
    </row>
    <row r="116" spans="1:126" ht="23.1" customHeight="1" x14ac:dyDescent="0.4">
      <c r="A116" s="1185" t="str">
        <f>'8a-Weapons'!AS129</f>
        <v/>
      </c>
      <c r="B116" s="1185"/>
      <c r="C116" s="1185"/>
      <c r="D116" s="1185"/>
      <c r="E116" s="1185"/>
      <c r="F116" s="1185"/>
      <c r="G116" s="1185"/>
      <c r="H116" s="1185"/>
      <c r="I116" s="1185"/>
      <c r="J116" s="1185"/>
      <c r="K116" s="1185"/>
      <c r="L116" s="1185"/>
      <c r="M116" s="1185"/>
      <c r="N116" s="1185"/>
      <c r="O116" s="1185"/>
      <c r="P116" s="1185"/>
      <c r="Q116" s="1185"/>
      <c r="R116" s="1185"/>
      <c r="S116" s="1185"/>
      <c r="T116" s="1185"/>
      <c r="U116" s="1185"/>
      <c r="V116" s="1185"/>
      <c r="W116" s="1185"/>
      <c r="X116" s="1185"/>
      <c r="Y116" s="1185"/>
      <c r="Z116" s="1185"/>
      <c r="AA116" s="1185"/>
      <c r="AB116" s="1185"/>
      <c r="AC116" s="1185"/>
      <c r="AD116" s="1185"/>
      <c r="AE116" s="1185"/>
      <c r="AF116" s="1185"/>
      <c r="AG116" s="1185"/>
      <c r="AH116" s="1185"/>
      <c r="AI116" s="1185"/>
      <c r="AJ116" s="1185"/>
      <c r="AK116" s="1185"/>
      <c r="AL116" s="1185"/>
      <c r="AM116" s="1185"/>
      <c r="AN116" s="1185"/>
      <c r="AO116" s="1185"/>
      <c r="AP116" s="1185"/>
      <c r="AQ116" s="1185"/>
      <c r="AR116" s="1185"/>
      <c r="AS116" s="1185"/>
      <c r="AT116" s="1185"/>
      <c r="AU116" s="1185"/>
      <c r="AV116" s="1187" t="str">
        <f>'8a-Weapons'!AQ44</f>
        <v/>
      </c>
      <c r="AW116" s="1187"/>
      <c r="AX116" s="1187"/>
      <c r="AY116" s="1187"/>
      <c r="AZ116" s="1187"/>
      <c r="BA116" s="1187"/>
      <c r="BB116" s="1187"/>
      <c r="BC116" s="1187"/>
      <c r="BD116" s="1187"/>
      <c r="BE116" s="1187"/>
      <c r="BF116" s="1187"/>
      <c r="BG116" s="1187"/>
      <c r="BH116" s="1202" t="str">
        <f>'8a-Weapons'!AR44</f>
        <v/>
      </c>
      <c r="BI116" s="1202"/>
      <c r="BJ116" s="1202"/>
      <c r="BK116" s="1202"/>
      <c r="BL116" s="1202"/>
      <c r="BM116" s="1202"/>
      <c r="BN116" s="1202"/>
      <c r="BO116" s="1202"/>
      <c r="BP116" s="1202"/>
      <c r="BQ116" s="1202"/>
      <c r="BR116" s="1202"/>
      <c r="BS116" s="1195" t="str">
        <f>'8a-Weapons'!AU129</f>
        <v/>
      </c>
      <c r="BT116" s="1195"/>
      <c r="BU116" s="1195"/>
      <c r="BV116" s="1195"/>
      <c r="BW116" s="1195"/>
      <c r="BX116" s="1195"/>
      <c r="BY116" s="1195"/>
      <c r="BZ116" s="1195"/>
      <c r="CA116" s="1195"/>
      <c r="CB116" s="1195"/>
      <c r="CC116" s="1195"/>
      <c r="CD116" s="1195"/>
      <c r="CE116" s="1195"/>
      <c r="CF116" s="1195"/>
      <c r="CG116" s="1195"/>
      <c r="CH116" s="1195"/>
      <c r="CI116" s="1195"/>
      <c r="CJ116" s="1195"/>
      <c r="CK116" s="1195"/>
      <c r="CL116" s="1195"/>
      <c r="CM116" s="1195"/>
      <c r="CN116" s="1195"/>
      <c r="CO116" s="1195"/>
      <c r="CP116" s="1195"/>
      <c r="CQ116" s="1195"/>
      <c r="CR116" s="1195"/>
      <c r="CS116" s="1195"/>
      <c r="CT116" s="1195"/>
      <c r="CU116" s="1195"/>
      <c r="CV116" s="1195"/>
      <c r="CW116" s="1195"/>
      <c r="CX116" s="1195"/>
      <c r="CY116" s="1195"/>
      <c r="CZ116" s="1195"/>
      <c r="DA116" s="1195"/>
      <c r="DB116" s="1195"/>
      <c r="DC116" s="1195"/>
      <c r="DD116" s="1195"/>
      <c r="DE116" s="1195"/>
      <c r="DF116" s="1195"/>
      <c r="DG116" s="1195"/>
      <c r="DH116" s="1195"/>
      <c r="DI116" s="1195"/>
      <c r="DJ116" s="1195"/>
      <c r="DK116" s="1195"/>
      <c r="DL116" s="1195"/>
      <c r="DM116" s="1195"/>
      <c r="DN116" s="1195"/>
      <c r="DO116" s="1195"/>
      <c r="DP116" s="1195"/>
      <c r="DQ116" s="1195"/>
      <c r="DR116" s="1195"/>
      <c r="DS116" s="1195"/>
      <c r="DT116" s="1195"/>
      <c r="DU116" s="1195"/>
    </row>
    <row r="117" spans="1:126" ht="23.1" customHeight="1" x14ac:dyDescent="0.4">
      <c r="A117" s="1186" t="str">
        <f>'8a-Weapons'!AS130</f>
        <v/>
      </c>
      <c r="B117" s="1186"/>
      <c r="C117" s="1186"/>
      <c r="D117" s="1186"/>
      <c r="E117" s="1186"/>
      <c r="F117" s="1186"/>
      <c r="G117" s="1186"/>
      <c r="H117" s="1186"/>
      <c r="I117" s="1186"/>
      <c r="J117" s="1186"/>
      <c r="K117" s="1186"/>
      <c r="L117" s="1186"/>
      <c r="M117" s="1186"/>
      <c r="N117" s="1186"/>
      <c r="O117" s="1186"/>
      <c r="P117" s="1186"/>
      <c r="Q117" s="1186"/>
      <c r="R117" s="1186"/>
      <c r="S117" s="1186"/>
      <c r="T117" s="1186"/>
      <c r="U117" s="1186"/>
      <c r="V117" s="1186"/>
      <c r="W117" s="1186"/>
      <c r="X117" s="1186"/>
      <c r="Y117" s="1186"/>
      <c r="Z117" s="1186"/>
      <c r="AA117" s="1186"/>
      <c r="AB117" s="1186"/>
      <c r="AC117" s="1186"/>
      <c r="AD117" s="1186"/>
      <c r="AE117" s="1186"/>
      <c r="AF117" s="1186"/>
      <c r="AG117" s="1186"/>
      <c r="AH117" s="1186"/>
      <c r="AI117" s="1186"/>
      <c r="AJ117" s="1186"/>
      <c r="AK117" s="1186"/>
      <c r="AL117" s="1186"/>
      <c r="AM117" s="1186"/>
      <c r="AN117" s="1186"/>
      <c r="AO117" s="1186"/>
      <c r="AP117" s="1186"/>
      <c r="AQ117" s="1186"/>
      <c r="AR117" s="1186"/>
      <c r="AS117" s="1186"/>
      <c r="AT117" s="1186"/>
      <c r="AU117" s="1186"/>
      <c r="AV117" s="1188" t="str">
        <f>'8a-Weapons'!AQ45</f>
        <v/>
      </c>
      <c r="AW117" s="1188"/>
      <c r="AX117" s="1188"/>
      <c r="AY117" s="1188"/>
      <c r="AZ117" s="1188"/>
      <c r="BA117" s="1188"/>
      <c r="BB117" s="1188"/>
      <c r="BC117" s="1188"/>
      <c r="BD117" s="1188"/>
      <c r="BE117" s="1188"/>
      <c r="BF117" s="1188"/>
      <c r="BG117" s="1188"/>
      <c r="BH117" s="1197" t="str">
        <f>'8a-Weapons'!AR45</f>
        <v/>
      </c>
      <c r="BI117" s="1197"/>
      <c r="BJ117" s="1197"/>
      <c r="BK117" s="1197"/>
      <c r="BL117" s="1197"/>
      <c r="BM117" s="1197"/>
      <c r="BN117" s="1197"/>
      <c r="BO117" s="1197"/>
      <c r="BP117" s="1197"/>
      <c r="BQ117" s="1197"/>
      <c r="BR117" s="1197"/>
      <c r="BS117" s="1196" t="str">
        <f>'8a-Weapons'!AU130</f>
        <v/>
      </c>
      <c r="BT117" s="1196"/>
      <c r="BU117" s="1196"/>
      <c r="BV117" s="1196"/>
      <c r="BW117" s="1196"/>
      <c r="BX117" s="1196"/>
      <c r="BY117" s="1196"/>
      <c r="BZ117" s="1196"/>
      <c r="CA117" s="1196"/>
      <c r="CB117" s="1196"/>
      <c r="CC117" s="1196"/>
      <c r="CD117" s="1196"/>
      <c r="CE117" s="1196"/>
      <c r="CF117" s="1196"/>
      <c r="CG117" s="1196"/>
      <c r="CH117" s="1196"/>
      <c r="CI117" s="1196"/>
      <c r="CJ117" s="1196"/>
      <c r="CK117" s="1196"/>
      <c r="CL117" s="1196"/>
      <c r="CM117" s="1196"/>
      <c r="CN117" s="1196"/>
      <c r="CO117" s="1196"/>
      <c r="CP117" s="1196"/>
      <c r="CQ117" s="1196"/>
      <c r="CR117" s="1196"/>
      <c r="CS117" s="1196"/>
      <c r="CT117" s="1196"/>
      <c r="CU117" s="1196"/>
      <c r="CV117" s="1196"/>
      <c r="CW117" s="1196"/>
      <c r="CX117" s="1196"/>
      <c r="CY117" s="1196"/>
      <c r="CZ117" s="1196"/>
      <c r="DA117" s="1196"/>
      <c r="DB117" s="1196"/>
      <c r="DC117" s="1196"/>
      <c r="DD117" s="1196"/>
      <c r="DE117" s="1196"/>
      <c r="DF117" s="1196"/>
      <c r="DG117" s="1196"/>
      <c r="DH117" s="1196"/>
      <c r="DI117" s="1196"/>
      <c r="DJ117" s="1196"/>
      <c r="DK117" s="1196"/>
      <c r="DL117" s="1196"/>
      <c r="DM117" s="1196"/>
      <c r="DN117" s="1196"/>
      <c r="DO117" s="1196"/>
      <c r="DP117" s="1196"/>
      <c r="DQ117" s="1196"/>
      <c r="DR117" s="1196"/>
      <c r="DS117" s="1196"/>
      <c r="DT117" s="1196"/>
      <c r="DU117" s="1196"/>
    </row>
    <row r="118" spans="1:126" ht="23.1" customHeight="1" x14ac:dyDescent="0.4">
      <c r="A118" s="1185" t="str">
        <f>'8a-Weapons'!AS131</f>
        <v/>
      </c>
      <c r="B118" s="1185"/>
      <c r="C118" s="1185"/>
      <c r="D118" s="1185"/>
      <c r="E118" s="1185"/>
      <c r="F118" s="1185"/>
      <c r="G118" s="1185"/>
      <c r="H118" s="1185"/>
      <c r="I118" s="1185"/>
      <c r="J118" s="1185"/>
      <c r="K118" s="1185"/>
      <c r="L118" s="1185"/>
      <c r="M118" s="1185"/>
      <c r="N118" s="1185"/>
      <c r="O118" s="1185"/>
      <c r="P118" s="1185"/>
      <c r="Q118" s="1185"/>
      <c r="R118" s="1185"/>
      <c r="S118" s="1185"/>
      <c r="T118" s="1185"/>
      <c r="U118" s="1185"/>
      <c r="V118" s="1185"/>
      <c r="W118" s="1185"/>
      <c r="X118" s="1185"/>
      <c r="Y118" s="1185"/>
      <c r="Z118" s="1185"/>
      <c r="AA118" s="1185"/>
      <c r="AB118" s="1185"/>
      <c r="AC118" s="1185"/>
      <c r="AD118" s="1185"/>
      <c r="AE118" s="1185"/>
      <c r="AF118" s="1185"/>
      <c r="AG118" s="1185"/>
      <c r="AH118" s="1185"/>
      <c r="AI118" s="1185"/>
      <c r="AJ118" s="1185"/>
      <c r="AK118" s="1185"/>
      <c r="AL118" s="1185"/>
      <c r="AM118" s="1185"/>
      <c r="AN118" s="1185"/>
      <c r="AO118" s="1185"/>
      <c r="AP118" s="1185"/>
      <c r="AQ118" s="1185"/>
      <c r="AR118" s="1185"/>
      <c r="AS118" s="1185"/>
      <c r="AT118" s="1185"/>
      <c r="AU118" s="1185"/>
      <c r="AV118" s="1187" t="str">
        <f>'8a-Weapons'!AQ46</f>
        <v/>
      </c>
      <c r="AW118" s="1187"/>
      <c r="AX118" s="1187"/>
      <c r="AY118" s="1187"/>
      <c r="AZ118" s="1187"/>
      <c r="BA118" s="1187"/>
      <c r="BB118" s="1187"/>
      <c r="BC118" s="1187"/>
      <c r="BD118" s="1187"/>
      <c r="BE118" s="1187"/>
      <c r="BF118" s="1187"/>
      <c r="BG118" s="1187"/>
      <c r="BH118" s="1202" t="str">
        <f>'8a-Weapons'!AR46</f>
        <v/>
      </c>
      <c r="BI118" s="1202"/>
      <c r="BJ118" s="1202"/>
      <c r="BK118" s="1202"/>
      <c r="BL118" s="1202"/>
      <c r="BM118" s="1202"/>
      <c r="BN118" s="1202"/>
      <c r="BO118" s="1202"/>
      <c r="BP118" s="1202"/>
      <c r="BQ118" s="1202"/>
      <c r="BR118" s="1202"/>
      <c r="BS118" s="1195" t="str">
        <f>'8a-Weapons'!AU131</f>
        <v/>
      </c>
      <c r="BT118" s="1195"/>
      <c r="BU118" s="1195"/>
      <c r="BV118" s="1195"/>
      <c r="BW118" s="1195"/>
      <c r="BX118" s="1195"/>
      <c r="BY118" s="1195"/>
      <c r="BZ118" s="1195"/>
      <c r="CA118" s="1195"/>
      <c r="CB118" s="1195"/>
      <c r="CC118" s="1195"/>
      <c r="CD118" s="1195"/>
      <c r="CE118" s="1195"/>
      <c r="CF118" s="1195"/>
      <c r="CG118" s="1195"/>
      <c r="CH118" s="1195"/>
      <c r="CI118" s="1195"/>
      <c r="CJ118" s="1195"/>
      <c r="CK118" s="1195"/>
      <c r="CL118" s="1195"/>
      <c r="CM118" s="1195"/>
      <c r="CN118" s="1195"/>
      <c r="CO118" s="1195"/>
      <c r="CP118" s="1195"/>
      <c r="CQ118" s="1195"/>
      <c r="CR118" s="1195"/>
      <c r="CS118" s="1195"/>
      <c r="CT118" s="1195"/>
      <c r="CU118" s="1195"/>
      <c r="CV118" s="1195"/>
      <c r="CW118" s="1195"/>
      <c r="CX118" s="1195"/>
      <c r="CY118" s="1195"/>
      <c r="CZ118" s="1195"/>
      <c r="DA118" s="1195"/>
      <c r="DB118" s="1195"/>
      <c r="DC118" s="1195"/>
      <c r="DD118" s="1195"/>
      <c r="DE118" s="1195"/>
      <c r="DF118" s="1195"/>
      <c r="DG118" s="1195"/>
      <c r="DH118" s="1195"/>
      <c r="DI118" s="1195"/>
      <c r="DJ118" s="1195"/>
      <c r="DK118" s="1195"/>
      <c r="DL118" s="1195"/>
      <c r="DM118" s="1195"/>
      <c r="DN118" s="1195"/>
      <c r="DO118" s="1195"/>
      <c r="DP118" s="1195"/>
      <c r="DQ118" s="1195"/>
      <c r="DR118" s="1195"/>
      <c r="DS118" s="1195"/>
      <c r="DT118" s="1195"/>
      <c r="DU118" s="1195"/>
    </row>
    <row r="119" spans="1:126" ht="23.1" customHeight="1" thickBot="1" x14ac:dyDescent="0.45">
      <c r="A119" s="1229" t="str">
        <f>'8a-Weapons'!AS132</f>
        <v/>
      </c>
      <c r="B119" s="1229"/>
      <c r="C119" s="1229"/>
      <c r="D119" s="1229"/>
      <c r="E119" s="1229"/>
      <c r="F119" s="1229"/>
      <c r="G119" s="1229"/>
      <c r="H119" s="1229"/>
      <c r="I119" s="1229"/>
      <c r="J119" s="1229"/>
      <c r="K119" s="1229"/>
      <c r="L119" s="1229"/>
      <c r="M119" s="1229"/>
      <c r="N119" s="1229"/>
      <c r="O119" s="1229"/>
      <c r="P119" s="1229"/>
      <c r="Q119" s="1229"/>
      <c r="R119" s="1229"/>
      <c r="S119" s="1229"/>
      <c r="T119" s="1229"/>
      <c r="U119" s="1229"/>
      <c r="V119" s="1229"/>
      <c r="W119" s="1229"/>
      <c r="X119" s="1229"/>
      <c r="Y119" s="1229"/>
      <c r="Z119" s="1229"/>
      <c r="AA119" s="1229"/>
      <c r="AB119" s="1229"/>
      <c r="AC119" s="1229"/>
      <c r="AD119" s="1229"/>
      <c r="AE119" s="1229"/>
      <c r="AF119" s="1229"/>
      <c r="AG119" s="1229"/>
      <c r="AH119" s="1229"/>
      <c r="AI119" s="1229"/>
      <c r="AJ119" s="1229"/>
      <c r="AK119" s="1229"/>
      <c r="AL119" s="1229"/>
      <c r="AM119" s="1229"/>
      <c r="AN119" s="1229"/>
      <c r="AO119" s="1229"/>
      <c r="AP119" s="1229"/>
      <c r="AQ119" s="1229"/>
      <c r="AR119" s="1229"/>
      <c r="AS119" s="1229"/>
      <c r="AT119" s="1229"/>
      <c r="AU119" s="1229"/>
      <c r="AV119" s="1273" t="str">
        <f>'8a-Weapons'!AQ47</f>
        <v/>
      </c>
      <c r="AW119" s="1273"/>
      <c r="AX119" s="1273"/>
      <c r="AY119" s="1273"/>
      <c r="AZ119" s="1273"/>
      <c r="BA119" s="1273"/>
      <c r="BB119" s="1273"/>
      <c r="BC119" s="1273"/>
      <c r="BD119" s="1273"/>
      <c r="BE119" s="1273"/>
      <c r="BF119" s="1273"/>
      <c r="BG119" s="1273"/>
      <c r="BH119" s="1231" t="str">
        <f>'8a-Weapons'!AR47</f>
        <v/>
      </c>
      <c r="BI119" s="1231"/>
      <c r="BJ119" s="1231"/>
      <c r="BK119" s="1231"/>
      <c r="BL119" s="1231"/>
      <c r="BM119" s="1231"/>
      <c r="BN119" s="1231"/>
      <c r="BO119" s="1231"/>
      <c r="BP119" s="1231"/>
      <c r="BQ119" s="1231"/>
      <c r="BR119" s="1231"/>
      <c r="BS119" s="1230" t="str">
        <f>'8a-Weapons'!AU132</f>
        <v/>
      </c>
      <c r="BT119" s="1230"/>
      <c r="BU119" s="1230"/>
      <c r="BV119" s="1230"/>
      <c r="BW119" s="1230"/>
      <c r="BX119" s="1230"/>
      <c r="BY119" s="1230"/>
      <c r="BZ119" s="1230"/>
      <c r="CA119" s="1230"/>
      <c r="CB119" s="1230"/>
      <c r="CC119" s="1230"/>
      <c r="CD119" s="1230"/>
      <c r="CE119" s="1230"/>
      <c r="CF119" s="1230"/>
      <c r="CG119" s="1230"/>
      <c r="CH119" s="1230"/>
      <c r="CI119" s="1230"/>
      <c r="CJ119" s="1230"/>
      <c r="CK119" s="1230"/>
      <c r="CL119" s="1230"/>
      <c r="CM119" s="1230"/>
      <c r="CN119" s="1230"/>
      <c r="CO119" s="1230"/>
      <c r="CP119" s="1230"/>
      <c r="CQ119" s="1230"/>
      <c r="CR119" s="1230"/>
      <c r="CS119" s="1230"/>
      <c r="CT119" s="1230"/>
      <c r="CU119" s="1230"/>
      <c r="CV119" s="1230"/>
      <c r="CW119" s="1230"/>
      <c r="CX119" s="1230"/>
      <c r="CY119" s="1230"/>
      <c r="CZ119" s="1230"/>
      <c r="DA119" s="1230"/>
      <c r="DB119" s="1230"/>
      <c r="DC119" s="1230"/>
      <c r="DD119" s="1230"/>
      <c r="DE119" s="1230"/>
      <c r="DF119" s="1230"/>
      <c r="DG119" s="1230"/>
      <c r="DH119" s="1230"/>
      <c r="DI119" s="1230"/>
      <c r="DJ119" s="1230"/>
      <c r="DK119" s="1230"/>
      <c r="DL119" s="1230"/>
      <c r="DM119" s="1230"/>
      <c r="DN119" s="1230"/>
      <c r="DO119" s="1230"/>
      <c r="DP119" s="1230"/>
      <c r="DQ119" s="1230"/>
      <c r="DR119" s="1230"/>
      <c r="DS119" s="1230"/>
      <c r="DT119" s="1230"/>
      <c r="DU119" s="1230"/>
    </row>
    <row r="120" spans="1:126" ht="23.1" customHeight="1" thickBot="1" x14ac:dyDescent="0.45">
      <c r="A120" s="1274" t="s">
        <v>613</v>
      </c>
      <c r="B120" s="1274"/>
      <c r="C120" s="1274"/>
      <c r="D120" s="1274"/>
      <c r="E120" s="1274"/>
      <c r="F120" s="1274"/>
      <c r="G120" s="1274"/>
      <c r="H120" s="1274"/>
      <c r="I120" s="1274"/>
      <c r="J120" s="1274"/>
      <c r="K120" s="1274"/>
      <c r="L120" s="1274"/>
      <c r="M120" s="1274"/>
      <c r="N120" s="1274"/>
      <c r="O120" s="1274"/>
      <c r="P120" s="1274"/>
      <c r="Q120" s="1274"/>
      <c r="R120" s="1274"/>
      <c r="S120" s="1274"/>
      <c r="T120" s="1274"/>
      <c r="U120" s="1274"/>
      <c r="V120" s="1274"/>
      <c r="W120" s="1274"/>
      <c r="X120" s="1274"/>
      <c r="Y120" s="1274"/>
      <c r="Z120" s="1274"/>
      <c r="AA120" s="1274"/>
      <c r="AB120" s="1274"/>
      <c r="AC120" s="1274"/>
      <c r="AD120" s="1274"/>
      <c r="AE120" s="1274"/>
      <c r="AF120" s="1274"/>
      <c r="AG120" s="1274"/>
      <c r="AH120" s="1274"/>
      <c r="AI120" s="1274"/>
      <c r="AJ120" s="1274"/>
      <c r="AK120" s="1274"/>
      <c r="AL120" s="1274"/>
      <c r="AM120" s="1274"/>
      <c r="AN120" s="1274"/>
      <c r="AO120" s="1274"/>
      <c r="AP120" s="1274"/>
      <c r="AQ120" s="1274"/>
      <c r="AR120" s="1274"/>
      <c r="AS120" s="1274"/>
      <c r="AT120" s="1274"/>
      <c r="AU120" s="1274"/>
      <c r="AV120" s="355"/>
      <c r="AW120" s="355"/>
      <c r="AX120" s="355"/>
      <c r="AY120" s="355"/>
      <c r="AZ120" s="355"/>
      <c r="BA120" s="355"/>
      <c r="BB120" s="355"/>
      <c r="BC120" s="355"/>
      <c r="BD120" s="355"/>
      <c r="BE120" s="355"/>
      <c r="BF120" s="355"/>
      <c r="BG120" s="356"/>
      <c r="BH120" s="357"/>
      <c r="BI120" s="357"/>
      <c r="BJ120" s="357"/>
      <c r="BK120" s="357"/>
      <c r="BL120" s="357"/>
      <c r="BM120" s="357"/>
      <c r="BN120" s="357"/>
      <c r="BO120" s="357"/>
      <c r="BP120" s="357"/>
      <c r="BQ120" s="357"/>
      <c r="BR120" s="357"/>
      <c r="BS120" s="358"/>
      <c r="BT120" s="358"/>
      <c r="BU120" s="358"/>
      <c r="BV120" s="358"/>
      <c r="BW120" s="358"/>
      <c r="BX120" s="358"/>
      <c r="BY120" s="358"/>
      <c r="BZ120" s="358"/>
      <c r="CA120" s="358"/>
      <c r="CB120" s="358"/>
      <c r="CC120" s="358"/>
      <c r="CD120" s="358"/>
      <c r="CE120" s="358"/>
      <c r="CF120" s="358"/>
      <c r="CG120" s="358"/>
      <c r="CH120" s="358"/>
      <c r="CI120" s="358"/>
      <c r="CJ120" s="358"/>
      <c r="CK120" s="358"/>
      <c r="CL120" s="358"/>
      <c r="CM120" s="356"/>
      <c r="CN120" s="356"/>
      <c r="CO120" s="356"/>
      <c r="CP120" s="356"/>
      <c r="CQ120" s="356"/>
      <c r="CR120" s="356"/>
      <c r="CS120" s="356"/>
      <c r="CT120" s="356"/>
      <c r="CU120" s="356"/>
      <c r="CV120" s="356"/>
      <c r="CW120" s="356"/>
      <c r="CX120" s="356"/>
      <c r="CY120" s="356"/>
      <c r="CZ120" s="356"/>
      <c r="DA120" s="356"/>
      <c r="DB120" s="356"/>
      <c r="DC120" s="356"/>
      <c r="DD120" s="356"/>
      <c r="DE120" s="356"/>
      <c r="DF120" s="356"/>
      <c r="DG120" s="356"/>
      <c r="DH120" s="356"/>
      <c r="DI120" s="356"/>
      <c r="DJ120" s="356"/>
      <c r="DK120" s="356"/>
      <c r="DL120" s="356"/>
      <c r="DM120" s="356"/>
      <c r="DN120" s="356"/>
      <c r="DO120" s="356"/>
      <c r="DP120" s="356"/>
      <c r="DQ120" s="356"/>
      <c r="DR120" s="356"/>
      <c r="DS120" s="356"/>
      <c r="DT120" s="356"/>
      <c r="DU120" s="359"/>
    </row>
    <row r="121" spans="1:126" ht="23.1" customHeight="1" thickTop="1" thickBot="1" x14ac:dyDescent="0.45">
      <c r="A121" s="1233" t="str">
        <f>'8a-Weapons'!AS136</f>
        <v/>
      </c>
      <c r="B121" s="1233"/>
      <c r="C121" s="1233"/>
      <c r="D121" s="1233"/>
      <c r="E121" s="1233"/>
      <c r="F121" s="1233"/>
      <c r="G121" s="1233"/>
      <c r="H121" s="1233"/>
      <c r="I121" s="1233"/>
      <c r="J121" s="1233"/>
      <c r="K121" s="1233"/>
      <c r="L121" s="1233"/>
      <c r="M121" s="1233"/>
      <c r="N121" s="1233"/>
      <c r="O121" s="1233"/>
      <c r="P121" s="1233"/>
      <c r="Q121" s="1233"/>
      <c r="R121" s="1233"/>
      <c r="S121" s="1233"/>
      <c r="T121" s="1233"/>
      <c r="U121" s="1233"/>
      <c r="V121" s="1233"/>
      <c r="W121" s="1233"/>
      <c r="X121" s="1233"/>
      <c r="Y121" s="1233"/>
      <c r="Z121" s="1233"/>
      <c r="AA121" s="1233"/>
      <c r="AB121" s="1233"/>
      <c r="AC121" s="1233"/>
      <c r="AD121" s="1233"/>
      <c r="AE121" s="1233"/>
      <c r="AF121" s="1233"/>
      <c r="AG121" s="1233"/>
      <c r="AH121" s="1233"/>
      <c r="AI121" s="1233"/>
      <c r="AJ121" s="1233"/>
      <c r="AK121" s="1233"/>
      <c r="AL121" s="1233"/>
      <c r="AM121" s="1233"/>
      <c r="AN121" s="1233"/>
      <c r="AO121" s="1233"/>
      <c r="AP121" s="1233"/>
      <c r="AQ121" s="1233"/>
      <c r="AR121" s="1233"/>
      <c r="AS121" s="1233"/>
      <c r="AT121" s="1233"/>
      <c r="AU121" s="1233"/>
      <c r="AV121" s="1232" t="str">
        <f>'8a-Weapons'!AW136</f>
        <v/>
      </c>
      <c r="AW121" s="1232"/>
      <c r="AX121" s="1232"/>
      <c r="AY121" s="1232"/>
      <c r="AZ121" s="1232"/>
      <c r="BA121" s="1232"/>
      <c r="BB121" s="1232"/>
      <c r="BC121" s="1232"/>
      <c r="BD121" s="1232"/>
      <c r="BE121" s="1232"/>
      <c r="BF121" s="1232"/>
      <c r="BG121" s="1232"/>
      <c r="BH121" s="1232" t="str">
        <f>IF('8a-Weapons'!B36='8a-Weapons'!Z122,'8a-Weapons'!AE122,IF('8a-Weapons'!AX136="0DD (xK)","",'8a-Weapons'!AX136))</f>
        <v/>
      </c>
      <c r="BI121" s="1232"/>
      <c r="BJ121" s="1232"/>
      <c r="BK121" s="1232"/>
      <c r="BL121" s="1232"/>
      <c r="BM121" s="1232"/>
      <c r="BN121" s="1232"/>
      <c r="BO121" s="1232"/>
      <c r="BP121" s="1232"/>
      <c r="BQ121" s="1232"/>
      <c r="BR121" s="1232"/>
      <c r="BS121" s="1232" t="str">
        <f>'8a-Weapons'!AU136</f>
        <v/>
      </c>
      <c r="BT121" s="1232"/>
      <c r="BU121" s="1232"/>
      <c r="BV121" s="1232"/>
      <c r="BW121" s="1232"/>
      <c r="BX121" s="1232"/>
      <c r="BY121" s="1232"/>
      <c r="BZ121" s="1232"/>
      <c r="CA121" s="1232"/>
      <c r="CB121" s="1232"/>
      <c r="CC121" s="1232"/>
      <c r="CD121" s="1232"/>
      <c r="CE121" s="1232"/>
      <c r="CF121" s="1232"/>
      <c r="CG121" s="1232"/>
      <c r="CH121" s="1232"/>
      <c r="CI121" s="1232"/>
      <c r="CJ121" s="1232"/>
      <c r="CK121" s="1232"/>
      <c r="CL121" s="1232"/>
      <c r="CM121" s="1232"/>
      <c r="CN121" s="1232"/>
      <c r="CO121" s="1232"/>
      <c r="CP121" s="1232"/>
      <c r="CQ121" s="1232"/>
      <c r="CR121" s="1232"/>
      <c r="CS121" s="1232"/>
      <c r="CT121" s="1232"/>
      <c r="CU121" s="1232"/>
      <c r="CV121" s="1232"/>
      <c r="CW121" s="1232"/>
      <c r="CX121" s="1232"/>
      <c r="CY121" s="1232"/>
      <c r="CZ121" s="1232"/>
      <c r="DA121" s="1232"/>
      <c r="DB121" s="1232"/>
      <c r="DC121" s="1232"/>
      <c r="DD121" s="1232"/>
      <c r="DE121" s="1232"/>
      <c r="DF121" s="1232"/>
      <c r="DG121" s="1232"/>
      <c r="DH121" s="1232"/>
      <c r="DI121" s="1232"/>
      <c r="DJ121" s="1232"/>
      <c r="DK121" s="1232"/>
      <c r="DL121" s="1232"/>
      <c r="DM121" s="1232"/>
      <c r="DN121" s="1232"/>
      <c r="DO121" s="1232"/>
      <c r="DP121" s="1232"/>
      <c r="DQ121" s="1232"/>
      <c r="DR121" s="1232"/>
      <c r="DS121" s="1232"/>
      <c r="DT121" s="1232"/>
      <c r="DU121" s="1232"/>
    </row>
    <row r="122" spans="1:126" ht="18" x14ac:dyDescent="0.3">
      <c r="A122" s="947" t="str">
        <f>IF('Ship Info'!$B$4=0,"",'Ship Info'!$B$4)</f>
        <v/>
      </c>
      <c r="B122" s="947"/>
      <c r="C122" s="947"/>
      <c r="D122" s="947"/>
      <c r="E122" s="947"/>
      <c r="F122" s="947"/>
      <c r="G122" s="947"/>
      <c r="H122" s="947"/>
      <c r="I122" s="947"/>
      <c r="J122" s="947"/>
      <c r="K122" s="947"/>
      <c r="L122" s="947"/>
      <c r="M122" s="947"/>
      <c r="N122" s="947"/>
      <c r="O122" s="947"/>
      <c r="P122" s="947"/>
      <c r="Q122" s="947"/>
      <c r="R122" s="947"/>
      <c r="S122" s="947"/>
      <c r="T122" s="947"/>
      <c r="U122" s="947"/>
      <c r="V122" s="947"/>
      <c r="W122" s="947"/>
      <c r="X122" s="947"/>
      <c r="Y122" s="947"/>
      <c r="Z122" s="947"/>
      <c r="AA122" s="947"/>
      <c r="AB122" s="947"/>
      <c r="AC122" s="947"/>
      <c r="AD122" s="947"/>
      <c r="AE122" s="19"/>
      <c r="AF122" s="19"/>
      <c r="AG122" s="948" t="str">
        <f>IF('Ship Info'!$B$2=0,"",'Ship Info'!$B$2)</f>
        <v/>
      </c>
      <c r="AH122" s="948"/>
      <c r="AI122" s="948"/>
      <c r="AJ122" s="948"/>
      <c r="AK122" s="948"/>
      <c r="AL122" s="948"/>
      <c r="AM122" s="948"/>
      <c r="AN122" s="948"/>
      <c r="AO122" s="948"/>
      <c r="AP122" s="948"/>
      <c r="AQ122" s="948"/>
      <c r="AR122" s="948"/>
      <c r="AS122" s="948"/>
      <c r="AT122" s="948"/>
      <c r="AU122" s="948"/>
      <c r="AV122" s="948"/>
      <c r="AW122" s="948"/>
      <c r="AX122" s="948"/>
      <c r="AY122" s="948"/>
      <c r="AZ122" s="948"/>
      <c r="BA122" s="948"/>
      <c r="BB122" s="948"/>
      <c r="BC122" s="948"/>
      <c r="BD122" s="948"/>
      <c r="BE122" s="948"/>
      <c r="BF122" s="948"/>
      <c r="BG122" s="948"/>
      <c r="BH122" s="948"/>
      <c r="BI122" s="948"/>
      <c r="BJ122" s="948"/>
      <c r="BK122" s="948"/>
      <c r="BL122" s="948"/>
      <c r="BM122" s="948"/>
      <c r="BN122" s="948"/>
      <c r="BO122" s="948"/>
      <c r="BP122" s="948"/>
      <c r="BQ122" s="948"/>
      <c r="BR122" s="948"/>
      <c r="BS122" s="948"/>
      <c r="BT122" s="948"/>
      <c r="BU122" s="948"/>
      <c r="BV122" s="948"/>
      <c r="BW122" s="948"/>
      <c r="BX122" s="948"/>
      <c r="BY122" s="948"/>
      <c r="BZ122" s="948"/>
      <c r="CA122" s="19"/>
      <c r="CB122" s="19"/>
      <c r="CC122" s="948" t="str">
        <f>IF('Ship Info'!$B$1=0,"",'Ship Info'!$B$1)</f>
        <v/>
      </c>
      <c r="CD122" s="948"/>
      <c r="CE122" s="948"/>
      <c r="CF122" s="948"/>
      <c r="CG122" s="948"/>
      <c r="CH122" s="948"/>
      <c r="CI122" s="948"/>
      <c r="CJ122" s="948"/>
      <c r="CK122" s="948"/>
      <c r="CL122" s="948"/>
      <c r="CM122" s="948"/>
      <c r="CN122" s="948"/>
      <c r="CO122" s="948"/>
      <c r="CP122" s="948"/>
      <c r="CQ122" s="948"/>
      <c r="CR122" s="948"/>
      <c r="CS122" s="948"/>
      <c r="CT122" s="948"/>
      <c r="CU122" s="948"/>
      <c r="CV122" s="948"/>
      <c r="CW122" s="948"/>
      <c r="CX122" s="948"/>
      <c r="CY122" s="948"/>
      <c r="CZ122" s="948"/>
      <c r="DA122" s="948"/>
      <c r="DB122" s="948"/>
      <c r="DC122" s="948"/>
      <c r="DD122" s="948"/>
      <c r="DE122" s="948"/>
      <c r="DF122" s="948"/>
      <c r="DG122" s="948"/>
      <c r="DH122" s="948"/>
      <c r="DI122" s="948"/>
      <c r="DJ122" s="948"/>
      <c r="DK122" s="948"/>
      <c r="DL122" s="948"/>
      <c r="DM122" s="948"/>
      <c r="DN122" s="948"/>
      <c r="DO122" s="948"/>
      <c r="DP122" s="948"/>
      <c r="DQ122" s="948"/>
      <c r="DR122" s="948"/>
      <c r="DS122" s="948"/>
      <c r="DT122" s="948"/>
      <c r="DU122" s="948"/>
    </row>
    <row r="123" spans="1:126" x14ac:dyDescent="0.3">
      <c r="A123" s="951" t="str">
        <f>"Armor: "&amp;'1-Hull'!$D$10&amp;""&amp;IF('1-Hull'!$AC$28=TRUE,"/"&amp;'1-Hull'!$D$10+3&amp;" vs. Lasers","")</f>
        <v>Armor: 0</v>
      </c>
      <c r="B123" s="951"/>
      <c r="C123" s="951"/>
      <c r="D123" s="951"/>
      <c r="E123" s="951"/>
      <c r="F123" s="951"/>
      <c r="G123" s="951"/>
      <c r="H123" s="951"/>
      <c r="I123" s="951"/>
      <c r="J123" s="951"/>
      <c r="K123" s="951"/>
      <c r="L123" s="951"/>
      <c r="M123" s="951"/>
      <c r="N123" s="951"/>
      <c r="O123" s="951"/>
      <c r="P123" s="951"/>
      <c r="Q123" s="951"/>
      <c r="R123" s="951"/>
      <c r="S123" s="951"/>
      <c r="T123" s="951"/>
      <c r="U123" s="19"/>
      <c r="V123" s="952" t="str">
        <f>IF('1-Hull'!$AC$47=TRUE,"Rad Shields: Rads - 1000","")</f>
        <v/>
      </c>
      <c r="W123" s="952"/>
      <c r="X123" s="952"/>
      <c r="Y123" s="952"/>
      <c r="Z123" s="952"/>
      <c r="AA123" s="952"/>
      <c r="AB123" s="952"/>
      <c r="AC123" s="952"/>
      <c r="AD123" s="952"/>
      <c r="AE123" s="952"/>
      <c r="AF123" s="952"/>
      <c r="AG123" s="952"/>
      <c r="AH123" s="952"/>
      <c r="AI123" s="952"/>
      <c r="AJ123" s="952"/>
      <c r="AK123" s="952"/>
      <c r="AL123" s="952"/>
      <c r="AM123" s="952"/>
      <c r="AN123" s="952"/>
      <c r="AO123" s="19"/>
      <c r="AP123" s="951" t="str">
        <f>IF('1-Hull'!$AC$34=TRUE,"Stealth: Sensors-2",IF('1-Hull'!$AC$35=TRUE,"Stealth: Sensors-2",IF('1-Hull'!$AC$36=TRUE,"Stealth: Sensors-4",IF('1-Hull'!$AC$37=TRUE,"Stealth: Sensors-6",""))))</f>
        <v/>
      </c>
      <c r="AQ123" s="951"/>
      <c r="AR123" s="951"/>
      <c r="AS123" s="951"/>
      <c r="AT123" s="951"/>
      <c r="AU123" s="951"/>
      <c r="AV123" s="951"/>
      <c r="AW123" s="951"/>
      <c r="AX123" s="951"/>
      <c r="AY123" s="951"/>
      <c r="AZ123" s="951"/>
      <c r="BA123" s="951"/>
      <c r="BB123" s="951"/>
      <c r="BC123" s="951"/>
      <c r="BD123" s="951"/>
      <c r="BE123" s="951"/>
      <c r="BF123" s="19"/>
      <c r="BG123" s="19" t="str">
        <f>'5-Bridge'!$S$25</f>
        <v>Bridge: No Modifiers</v>
      </c>
      <c r="BH123" s="19"/>
      <c r="BI123" s="19"/>
      <c r="BJ123" s="19"/>
      <c r="BK123" s="19"/>
      <c r="BL123" s="19"/>
      <c r="BM123" s="19"/>
      <c r="BN123" s="19"/>
      <c r="BO123" s="19"/>
      <c r="BP123" s="19"/>
      <c r="BQ123" s="19"/>
      <c r="BR123" s="19"/>
      <c r="BS123" s="19"/>
      <c r="BT123" s="19"/>
      <c r="BU123" s="19"/>
      <c r="BV123" s="19"/>
      <c r="BW123" s="19"/>
      <c r="BX123" s="19"/>
      <c r="BY123" s="19"/>
      <c r="BZ123" s="952" t="str">
        <f>"TL: "&amp;Tech_Level</f>
        <v>TL: 12</v>
      </c>
      <c r="CA123" s="952"/>
      <c r="CB123" s="952"/>
      <c r="CC123" s="952"/>
      <c r="CD123" s="952"/>
      <c r="CE123" s="952"/>
      <c r="CF123" s="952"/>
      <c r="CG123" s="952"/>
      <c r="CH123" s="952"/>
      <c r="CI123" s="19"/>
      <c r="CJ123" s="19"/>
      <c r="CK123" s="19"/>
      <c r="CL123" s="951" t="str">
        <f>"Thrust: "&amp;'2-Drives'!$D$14&amp;IF('2-Drives'!$B$14='2-Drives'!$S$4,", "&amp;'4-Fuel'!$D$8&amp;" Thrust Points","")</f>
        <v>Thrust: 0</v>
      </c>
      <c r="CM123" s="951"/>
      <c r="CN123" s="951"/>
      <c r="CO123" s="951"/>
      <c r="CP123" s="951"/>
      <c r="CQ123" s="951"/>
      <c r="CR123" s="951"/>
      <c r="CS123" s="951"/>
      <c r="CT123" s="951"/>
      <c r="CU123" s="951"/>
      <c r="CV123" s="951"/>
      <c r="CW123" s="951"/>
      <c r="CX123" s="951"/>
      <c r="CY123" s="951"/>
      <c r="CZ123" s="951"/>
      <c r="DA123" s="951"/>
      <c r="DB123" s="951"/>
      <c r="DC123" s="951"/>
      <c r="DD123" s="951"/>
      <c r="DE123" s="951"/>
      <c r="DF123" s="951"/>
      <c r="DG123" s="951"/>
      <c r="DH123" s="951"/>
      <c r="DI123" s="951"/>
      <c r="DJ123" s="951"/>
      <c r="DK123" s="19"/>
      <c r="DL123" s="19" t="str">
        <f>"Jump?"&amp;IF('2-Drives'!$D$29&gt;0," Y"," N")</f>
        <v>Jump? N</v>
      </c>
      <c r="DM123" s="19"/>
      <c r="DN123" s="19"/>
      <c r="DO123" s="19"/>
      <c r="DP123" s="19"/>
      <c r="DQ123" s="19"/>
      <c r="DR123" s="19"/>
      <c r="DS123" s="19"/>
      <c r="DT123" s="19"/>
      <c r="DU123" s="19"/>
    </row>
    <row r="124" spans="1:126" ht="15" thickBot="1" x14ac:dyDescent="0.35">
      <c r="A124" s="949" t="str">
        <f>"Hull Points: "&amp;'1-Hull'!$D$7</f>
        <v>Hull Points: 40</v>
      </c>
      <c r="B124" s="949"/>
      <c r="C124" s="949"/>
      <c r="D124" s="949"/>
      <c r="E124" s="949"/>
      <c r="F124" s="949"/>
      <c r="G124" s="949"/>
      <c r="H124" s="949"/>
      <c r="I124" s="949"/>
      <c r="J124" s="949"/>
      <c r="K124" s="949"/>
      <c r="L124" s="949"/>
      <c r="M124" s="949"/>
      <c r="N124" s="949"/>
      <c r="O124" s="949"/>
      <c r="P124" s="949"/>
      <c r="Q124" s="949"/>
      <c r="R124" s="949"/>
      <c r="S124" s="949"/>
      <c r="T124" s="949"/>
      <c r="U124" s="350"/>
      <c r="V124" s="350"/>
      <c r="W124" s="350"/>
      <c r="X124" s="950" t="str">
        <f>"Hull Size: "&amp;'1-Hull'!$B$4&amp;" tons"</f>
        <v>Hull Size: 100 tons</v>
      </c>
      <c r="Y124" s="950"/>
      <c r="Z124" s="950"/>
      <c r="AA124" s="950"/>
      <c r="AB124" s="950"/>
      <c r="AC124" s="950"/>
      <c r="AD124" s="950"/>
      <c r="AE124" s="950"/>
      <c r="AF124" s="950"/>
      <c r="AG124" s="950"/>
      <c r="AH124" s="950"/>
      <c r="AI124" s="950"/>
      <c r="AJ124" s="950"/>
      <c r="AK124" s="950"/>
      <c r="AL124" s="950"/>
      <c r="AM124" s="950"/>
      <c r="AN124" s="950"/>
      <c r="AO124" s="950"/>
      <c r="AP124" s="950"/>
      <c r="AQ124" s="950"/>
      <c r="AR124" s="950"/>
      <c r="AS124" s="950"/>
      <c r="AT124" s="950"/>
      <c r="AU124" s="950"/>
      <c r="AV124" s="950"/>
      <c r="AW124" s="950"/>
      <c r="AX124" s="950"/>
      <c r="AY124" s="350"/>
      <c r="AZ124" s="950" t="str">
        <f>"Configuration: "&amp;'1-Hull'!$B$6</f>
        <v>Configuration: Standard</v>
      </c>
      <c r="BA124" s="950"/>
      <c r="BB124" s="950"/>
      <c r="BC124" s="950"/>
      <c r="BD124" s="950"/>
      <c r="BE124" s="950"/>
      <c r="BF124" s="950"/>
      <c r="BG124" s="950"/>
      <c r="BH124" s="950"/>
      <c r="BI124" s="950"/>
      <c r="BJ124" s="950"/>
      <c r="BK124" s="950"/>
      <c r="BL124" s="950"/>
      <c r="BM124" s="950"/>
      <c r="BN124" s="950"/>
      <c r="BO124" s="950"/>
      <c r="BP124" s="950"/>
      <c r="BQ124" s="950"/>
      <c r="BR124" s="950"/>
      <c r="BS124" s="950"/>
      <c r="BT124" s="950"/>
      <c r="BU124" s="950"/>
      <c r="BV124" s="950"/>
      <c r="BW124" s="950"/>
      <c r="BX124" s="350"/>
      <c r="BY124" s="950" t="str">
        <f>"Streamlining: "&amp;'1-Hull'!$B$8&amp;'1-Hull'!$T$70</f>
        <v>Streamlining: Partial</v>
      </c>
      <c r="BZ124" s="950"/>
      <c r="CA124" s="950"/>
      <c r="CB124" s="950"/>
      <c r="CC124" s="950"/>
      <c r="CD124" s="950"/>
      <c r="CE124" s="950"/>
      <c r="CF124" s="950"/>
      <c r="CG124" s="950"/>
      <c r="CH124" s="950"/>
      <c r="CI124" s="950"/>
      <c r="CJ124" s="950"/>
      <c r="CK124" s="950"/>
      <c r="CL124" s="950"/>
      <c r="CM124" s="950"/>
      <c r="CN124" s="950"/>
      <c r="CO124" s="950"/>
      <c r="CP124" s="950"/>
      <c r="CQ124" s="950"/>
      <c r="CR124" s="950"/>
      <c r="CS124" s="950"/>
      <c r="CT124" s="950"/>
      <c r="CU124" s="950"/>
      <c r="CV124" s="950"/>
      <c r="CW124" s="950"/>
      <c r="CX124" s="950"/>
      <c r="CY124" s="950"/>
      <c r="CZ124" s="950"/>
      <c r="DA124" s="950"/>
      <c r="DB124" s="350"/>
      <c r="DC124" s="953" t="s">
        <v>638</v>
      </c>
      <c r="DD124" s="953"/>
      <c r="DE124" s="953"/>
      <c r="DF124" s="953"/>
      <c r="DG124" s="953"/>
      <c r="DH124" s="953"/>
      <c r="DI124" s="953" t="str">
        <f>'10-Crew'!$E$5&amp;""&amp;IF('10-Crew'!$E$7=0,"","/"&amp;'10-Crew'!$E$7)</f>
        <v>5</v>
      </c>
      <c r="DJ124" s="953"/>
      <c r="DK124" s="953"/>
      <c r="DL124" s="953"/>
      <c r="DM124" s="953"/>
      <c r="DN124" s="953"/>
      <c r="DO124" s="953"/>
      <c r="DP124" s="953"/>
      <c r="DQ124" s="953"/>
      <c r="DR124" s="953"/>
      <c r="DS124" s="953"/>
      <c r="DT124" s="953"/>
      <c r="DU124" s="350"/>
      <c r="DV124" s="300"/>
    </row>
    <row r="125" spans="1:126" ht="14.25" customHeight="1" thickBot="1" x14ac:dyDescent="0.35">
      <c r="A125" s="1121" t="s">
        <v>395</v>
      </c>
      <c r="B125" s="1121"/>
      <c r="C125" s="1121"/>
      <c r="D125" s="1121"/>
      <c r="E125" s="1121"/>
      <c r="F125" s="1121"/>
      <c r="G125" s="1121"/>
      <c r="H125" s="1121"/>
      <c r="I125" s="1121"/>
      <c r="J125" s="1121"/>
      <c r="K125" s="1121"/>
      <c r="L125" s="1121"/>
      <c r="M125" s="1121"/>
      <c r="N125" s="1122"/>
      <c r="O125" s="1104" t="s">
        <v>670</v>
      </c>
      <c r="P125" s="1104"/>
      <c r="Q125" s="1104"/>
      <c r="R125" s="1104"/>
      <c r="S125" s="1104" t="s">
        <v>116</v>
      </c>
      <c r="T125" s="1104"/>
      <c r="U125" s="1104"/>
      <c r="V125" s="1104"/>
      <c r="W125" s="1104"/>
      <c r="X125" s="1104"/>
      <c r="Y125" s="1104"/>
      <c r="Z125" s="1104"/>
      <c r="AA125" s="1104"/>
      <c r="AB125" s="1104"/>
      <c r="AC125" s="1104"/>
      <c r="AD125" s="1104"/>
      <c r="AE125" s="1104"/>
      <c r="AF125" s="1104"/>
      <c r="AG125" s="1105"/>
      <c r="AH125" s="1103" t="s">
        <v>560</v>
      </c>
      <c r="AI125" s="1103"/>
      <c r="AJ125" s="1103"/>
      <c r="AK125" s="1103"/>
      <c r="AL125" s="1103"/>
      <c r="AM125" s="1103"/>
      <c r="AN125" s="1103"/>
      <c r="AO125" s="1103"/>
      <c r="AP125" s="1103"/>
      <c r="AQ125" s="1103"/>
      <c r="AR125" s="1103" t="str">
        <f>"Sensors (x"&amp;'7-Sensors'!C13&amp;")"</f>
        <v>Sensors (x1)</v>
      </c>
      <c r="AS125" s="1103"/>
      <c r="AT125" s="1103"/>
      <c r="AU125" s="1103"/>
      <c r="AV125" s="1103"/>
      <c r="AW125" s="1103"/>
      <c r="AX125" s="1103"/>
      <c r="AY125" s="1103"/>
      <c r="AZ125" s="1103"/>
      <c r="BA125" s="1103"/>
      <c r="BB125" s="1192" t="s">
        <v>1554</v>
      </c>
      <c r="BC125" s="1193"/>
      <c r="BD125" s="1193"/>
      <c r="BE125" s="1193"/>
      <c r="BF125" s="1193"/>
      <c r="BG125" s="1193"/>
      <c r="BH125" s="1193"/>
      <c r="BI125" s="1193"/>
      <c r="BJ125" s="1193"/>
      <c r="BK125" s="1193"/>
      <c r="BL125" s="1193"/>
      <c r="BM125" s="1193"/>
      <c r="BN125" s="759"/>
      <c r="BO125" s="1293"/>
      <c r="BP125" s="1294"/>
      <c r="BQ125" s="1294"/>
      <c r="BR125" s="1294"/>
      <c r="BS125" s="1294"/>
      <c r="BT125" s="1294"/>
      <c r="BU125" s="1294"/>
      <c r="BV125" s="1294"/>
      <c r="BW125" s="1294"/>
      <c r="BX125" s="1294"/>
      <c r="BY125" s="1294"/>
      <c r="BZ125" s="1294"/>
      <c r="CA125" s="1294"/>
      <c r="CB125" s="1294"/>
      <c r="CC125" s="1294"/>
      <c r="CD125" s="1294"/>
      <c r="CE125" s="1294"/>
      <c r="CF125" s="1294"/>
      <c r="CG125" s="1294"/>
      <c r="CH125" s="1294"/>
      <c r="CI125" s="1294"/>
      <c r="CJ125" s="1294"/>
      <c r="CK125" s="1294"/>
      <c r="CL125" s="1294"/>
      <c r="CM125" s="1294"/>
      <c r="CN125" s="1294"/>
      <c r="CO125" s="1294"/>
      <c r="CP125" s="1294"/>
      <c r="CQ125" s="1294"/>
      <c r="CR125" s="1294"/>
      <c r="CS125" s="1294"/>
      <c r="CT125" s="1294"/>
      <c r="CU125" s="1294"/>
      <c r="CV125" s="1294"/>
      <c r="CW125" s="1294"/>
      <c r="CX125" s="1294"/>
      <c r="CY125" s="1294"/>
      <c r="CZ125" s="1294"/>
      <c r="DA125" s="1294"/>
      <c r="DB125" s="1294"/>
      <c r="DC125" s="1294"/>
      <c r="DD125" s="1294"/>
      <c r="DE125" s="1294"/>
      <c r="DF125" s="1294"/>
      <c r="DG125" s="1294"/>
      <c r="DH125" s="1294"/>
      <c r="DI125" s="1294"/>
      <c r="DJ125" s="1294"/>
      <c r="DK125" s="1294"/>
      <c r="DL125" s="1294"/>
      <c r="DM125" s="1294"/>
      <c r="DN125" s="1294"/>
      <c r="DO125" s="1294"/>
      <c r="DP125" s="1294"/>
      <c r="DQ125" s="1294"/>
      <c r="DR125" s="1294"/>
      <c r="DS125" s="1294"/>
      <c r="DT125" s="1294"/>
      <c r="DU125" s="1294"/>
      <c r="DV125" s="1295"/>
    </row>
    <row r="126" spans="1:126" x14ac:dyDescent="0.3">
      <c r="A126" s="1123" t="str">
        <f>'8b-Screens'!B9</f>
        <v/>
      </c>
      <c r="B126" s="1106"/>
      <c r="C126" s="1106"/>
      <c r="D126" s="1106"/>
      <c r="E126" s="1106"/>
      <c r="F126" s="1106"/>
      <c r="G126" s="1106"/>
      <c r="H126" s="1106"/>
      <c r="I126" s="1106"/>
      <c r="J126" s="1106"/>
      <c r="K126" s="1106"/>
      <c r="L126" s="1106"/>
      <c r="M126" s="1106"/>
      <c r="N126" s="1106"/>
      <c r="O126" s="1106">
        <f>'8b-Screens'!E9</f>
        <v>0</v>
      </c>
      <c r="P126" s="1106"/>
      <c r="Q126" s="1106"/>
      <c r="R126" s="1106"/>
      <c r="S126" s="1106" t="str">
        <f>'8b-Screens'!T64</f>
        <v xml:space="preserve">  </v>
      </c>
      <c r="T126" s="1106"/>
      <c r="U126" s="1106"/>
      <c r="V126" s="1106"/>
      <c r="W126" s="1106"/>
      <c r="X126" s="1106"/>
      <c r="Y126" s="1106"/>
      <c r="Z126" s="1106"/>
      <c r="AA126" s="1106"/>
      <c r="AB126" s="1106"/>
      <c r="AC126" s="1106"/>
      <c r="AD126" s="1106"/>
      <c r="AE126" s="1106"/>
      <c r="AF126" s="1106"/>
      <c r="AG126" s="1107"/>
      <c r="AH126" s="1125" t="s">
        <v>671</v>
      </c>
      <c r="AI126" s="1126"/>
      <c r="AJ126" s="1126"/>
      <c r="AK126" s="1126"/>
      <c r="AL126" s="1126"/>
      <c r="AM126" s="1126"/>
      <c r="AN126" s="1099" t="str">
        <f>'6-Comp'!Y5</f>
        <v>N/A</v>
      </c>
      <c r="AO126" s="1099"/>
      <c r="AP126" s="1099"/>
      <c r="AQ126" s="1100"/>
      <c r="AR126" s="1125" t="s">
        <v>680</v>
      </c>
      <c r="AS126" s="1126"/>
      <c r="AT126" s="1126"/>
      <c r="AU126" s="1126"/>
      <c r="AV126" s="1126"/>
      <c r="AW126" s="1126"/>
      <c r="AX126" s="1099">
        <f>'7-Sensors'!T24+'1-Hull'!V96</f>
        <v>-4</v>
      </c>
      <c r="AY126" s="1099"/>
      <c r="AZ126" s="1099"/>
      <c r="BA126" s="1100"/>
      <c r="BB126" s="1189"/>
      <c r="BC126" s="1190"/>
      <c r="BD126" s="1190"/>
      <c r="BE126" s="1190"/>
      <c r="BF126" s="1190"/>
      <c r="BG126" s="1190"/>
      <c r="BH126" s="1190"/>
      <c r="BI126" s="1190"/>
      <c r="BJ126" s="1190"/>
      <c r="BK126" s="1190"/>
      <c r="BL126" s="1190"/>
      <c r="BM126" s="1190"/>
      <c r="BN126" s="1190"/>
      <c r="BO126" s="1190"/>
      <c r="BP126" s="1190"/>
      <c r="BQ126" s="1190"/>
      <c r="BR126" s="1190"/>
      <c r="BS126" s="1190"/>
      <c r="BT126" s="1190"/>
      <c r="BU126" s="1190"/>
      <c r="BV126" s="1190"/>
      <c r="BW126" s="1190"/>
      <c r="BX126" s="1190"/>
      <c r="BY126" s="1190"/>
      <c r="BZ126" s="1190"/>
      <c r="CA126" s="1190"/>
      <c r="CB126" s="1190"/>
      <c r="CC126" s="1190"/>
      <c r="CD126" s="1190"/>
      <c r="CE126" s="1190"/>
      <c r="CF126" s="1190"/>
      <c r="CG126" s="1190"/>
      <c r="CH126" s="1190"/>
      <c r="CI126" s="1190"/>
      <c r="CJ126" s="1190"/>
      <c r="CK126" s="1190"/>
      <c r="CL126" s="1190"/>
      <c r="CM126" s="1190"/>
      <c r="CN126" s="1190"/>
      <c r="CO126" s="1190"/>
      <c r="CP126" s="1190"/>
      <c r="CQ126" s="1190"/>
      <c r="CR126" s="1190"/>
      <c r="CS126" s="1190"/>
      <c r="CT126" s="1190"/>
      <c r="CU126" s="1190"/>
      <c r="CV126" s="1190"/>
      <c r="CW126" s="1190"/>
      <c r="CX126" s="1190"/>
      <c r="CY126" s="1190"/>
      <c r="CZ126" s="1190"/>
      <c r="DA126" s="1190"/>
      <c r="DB126" s="1190"/>
      <c r="DC126" s="1190"/>
      <c r="DD126" s="1190"/>
      <c r="DE126" s="1190"/>
      <c r="DF126" s="1190"/>
      <c r="DG126" s="1190"/>
      <c r="DH126" s="1190"/>
      <c r="DI126" s="1190"/>
      <c r="DJ126" s="1190"/>
      <c r="DK126" s="1190"/>
      <c r="DL126" s="1190"/>
      <c r="DM126" s="1190"/>
      <c r="DN126" s="1190"/>
      <c r="DO126" s="1190"/>
      <c r="DP126" s="1190"/>
      <c r="DQ126" s="1190"/>
      <c r="DR126" s="1190"/>
      <c r="DS126" s="1190"/>
      <c r="DT126" s="1190"/>
      <c r="DU126" s="1190"/>
      <c r="DV126" s="1191"/>
    </row>
    <row r="127" spans="1:126" x14ac:dyDescent="0.3">
      <c r="A127" s="1091" t="str">
        <f>'8b-Screens'!B14</f>
        <v/>
      </c>
      <c r="B127" s="1092"/>
      <c r="C127" s="1092"/>
      <c r="D127" s="1092"/>
      <c r="E127" s="1092"/>
      <c r="F127" s="1092"/>
      <c r="G127" s="1092"/>
      <c r="H127" s="1092"/>
      <c r="I127" s="1092"/>
      <c r="J127" s="1092"/>
      <c r="K127" s="1092"/>
      <c r="L127" s="1092"/>
      <c r="M127" s="1092"/>
      <c r="N127" s="1092"/>
      <c r="O127" s="1092">
        <f>'8b-Screens'!E14</f>
        <v>0</v>
      </c>
      <c r="P127" s="1092"/>
      <c r="Q127" s="1092"/>
      <c r="R127" s="1092"/>
      <c r="S127" s="1092" t="str">
        <f>'8b-Screens'!V64</f>
        <v xml:space="preserve">  </v>
      </c>
      <c r="T127" s="1092"/>
      <c r="U127" s="1092"/>
      <c r="V127" s="1092"/>
      <c r="W127" s="1092"/>
      <c r="X127" s="1092"/>
      <c r="Y127" s="1092"/>
      <c r="Z127" s="1092"/>
      <c r="AA127" s="1092"/>
      <c r="AB127" s="1092"/>
      <c r="AC127" s="1092"/>
      <c r="AD127" s="1092"/>
      <c r="AE127" s="1092"/>
      <c r="AF127" s="1092"/>
      <c r="AG127" s="1096"/>
      <c r="AH127" s="971" t="s">
        <v>676</v>
      </c>
      <c r="AI127" s="972"/>
      <c r="AJ127" s="972"/>
      <c r="AK127" s="972"/>
      <c r="AL127" s="972"/>
      <c r="AM127" s="972"/>
      <c r="AN127" s="1092" t="str">
        <f>'6-Comp'!Y6</f>
        <v>N/A</v>
      </c>
      <c r="AO127" s="1092"/>
      <c r="AP127" s="1092"/>
      <c r="AQ127" s="1096"/>
      <c r="AR127" s="971" t="s">
        <v>681</v>
      </c>
      <c r="AS127" s="972"/>
      <c r="AT127" s="972"/>
      <c r="AU127" s="972"/>
      <c r="AV127" s="972"/>
      <c r="AW127" s="972"/>
      <c r="AX127" s="1092" t="str">
        <f>'7-Sensors'!T25</f>
        <v>0</v>
      </c>
      <c r="AY127" s="1092"/>
      <c r="AZ127" s="1092"/>
      <c r="BA127" s="1096"/>
      <c r="BB127" s="1189"/>
      <c r="BC127" s="1190"/>
      <c r="BD127" s="1190"/>
      <c r="BE127" s="1190"/>
      <c r="BF127" s="1190"/>
      <c r="BG127" s="1190"/>
      <c r="BH127" s="1190"/>
      <c r="BI127" s="1190"/>
      <c r="BJ127" s="1190"/>
      <c r="BK127" s="1190"/>
      <c r="BL127" s="1190"/>
      <c r="BM127" s="1190"/>
      <c r="BN127" s="1190"/>
      <c r="BO127" s="1190"/>
      <c r="BP127" s="1190"/>
      <c r="BQ127" s="1190"/>
      <c r="BR127" s="1190"/>
      <c r="BS127" s="1190"/>
      <c r="BT127" s="1190"/>
      <c r="BU127" s="1190"/>
      <c r="BV127" s="1190"/>
      <c r="BW127" s="1190"/>
      <c r="BX127" s="1190"/>
      <c r="BY127" s="1190"/>
      <c r="BZ127" s="1190"/>
      <c r="CA127" s="1190"/>
      <c r="CB127" s="1190"/>
      <c r="CC127" s="1190"/>
      <c r="CD127" s="1190"/>
      <c r="CE127" s="1190"/>
      <c r="CF127" s="1190"/>
      <c r="CG127" s="1190"/>
      <c r="CH127" s="1190"/>
      <c r="CI127" s="1190"/>
      <c r="CJ127" s="1190"/>
      <c r="CK127" s="1190"/>
      <c r="CL127" s="1190"/>
      <c r="CM127" s="1190"/>
      <c r="CN127" s="1190"/>
      <c r="CO127" s="1190"/>
      <c r="CP127" s="1190"/>
      <c r="CQ127" s="1190"/>
      <c r="CR127" s="1190"/>
      <c r="CS127" s="1190"/>
      <c r="CT127" s="1190"/>
      <c r="CU127" s="1190"/>
      <c r="CV127" s="1190"/>
      <c r="CW127" s="1190"/>
      <c r="CX127" s="1190"/>
      <c r="CY127" s="1190"/>
      <c r="CZ127" s="1190"/>
      <c r="DA127" s="1190"/>
      <c r="DB127" s="1190"/>
      <c r="DC127" s="1190"/>
      <c r="DD127" s="1190"/>
      <c r="DE127" s="1190"/>
      <c r="DF127" s="1190"/>
      <c r="DG127" s="1190"/>
      <c r="DH127" s="1190"/>
      <c r="DI127" s="1190"/>
      <c r="DJ127" s="1190"/>
      <c r="DK127" s="1190"/>
      <c r="DL127" s="1190"/>
      <c r="DM127" s="1190"/>
      <c r="DN127" s="1190"/>
      <c r="DO127" s="1190"/>
      <c r="DP127" s="1190"/>
      <c r="DQ127" s="1190"/>
      <c r="DR127" s="1190"/>
      <c r="DS127" s="1190"/>
      <c r="DT127" s="1190"/>
      <c r="DU127" s="1190"/>
      <c r="DV127" s="1191"/>
    </row>
    <row r="128" spans="1:126" x14ac:dyDescent="0.3">
      <c r="A128" s="1091" t="str">
        <f>'8b-Screens'!B19</f>
        <v/>
      </c>
      <c r="B128" s="1092"/>
      <c r="C128" s="1092"/>
      <c r="D128" s="1092"/>
      <c r="E128" s="1092"/>
      <c r="F128" s="1092"/>
      <c r="G128" s="1092"/>
      <c r="H128" s="1092"/>
      <c r="I128" s="1092"/>
      <c r="J128" s="1092"/>
      <c r="K128" s="1092"/>
      <c r="L128" s="1092"/>
      <c r="M128" s="1092"/>
      <c r="N128" s="1092"/>
      <c r="O128" s="1092">
        <f>'8b-Screens'!E19</f>
        <v>0</v>
      </c>
      <c r="P128" s="1092"/>
      <c r="Q128" s="1092"/>
      <c r="R128" s="1092"/>
      <c r="S128" s="1092" t="str">
        <f>'8b-Screens'!X64</f>
        <v xml:space="preserve">  </v>
      </c>
      <c r="T128" s="1092"/>
      <c r="U128" s="1092"/>
      <c r="V128" s="1092"/>
      <c r="W128" s="1092"/>
      <c r="X128" s="1092"/>
      <c r="Y128" s="1092"/>
      <c r="Z128" s="1092"/>
      <c r="AA128" s="1092"/>
      <c r="AB128" s="1092"/>
      <c r="AC128" s="1092"/>
      <c r="AD128" s="1092"/>
      <c r="AE128" s="1092"/>
      <c r="AF128" s="1092"/>
      <c r="AG128" s="1096"/>
      <c r="AH128" s="971" t="s">
        <v>679</v>
      </c>
      <c r="AI128" s="972"/>
      <c r="AJ128" s="972"/>
      <c r="AK128" s="972"/>
      <c r="AL128" s="972"/>
      <c r="AM128" s="972"/>
      <c r="AN128" s="1092" t="str">
        <f>'6-Comp'!Y7</f>
        <v>N/A</v>
      </c>
      <c r="AO128" s="1092"/>
      <c r="AP128" s="1092"/>
      <c r="AQ128" s="1096"/>
      <c r="AR128" s="971" t="s">
        <v>682</v>
      </c>
      <c r="AS128" s="972"/>
      <c r="AT128" s="972"/>
      <c r="AU128" s="972"/>
      <c r="AV128" s="972"/>
      <c r="AW128" s="972"/>
      <c r="AX128" s="1092" t="str">
        <f>'7-Sensors'!T26</f>
        <v>0</v>
      </c>
      <c r="AY128" s="1092"/>
      <c r="AZ128" s="1092"/>
      <c r="BA128" s="1096"/>
      <c r="BB128" s="1189"/>
      <c r="BC128" s="1190"/>
      <c r="BD128" s="1190"/>
      <c r="BE128" s="1190"/>
      <c r="BF128" s="1190"/>
      <c r="BG128" s="1190"/>
      <c r="BH128" s="1190"/>
      <c r="BI128" s="1190"/>
      <c r="BJ128" s="1190"/>
      <c r="BK128" s="1190"/>
      <c r="BL128" s="1190"/>
      <c r="BM128" s="1190"/>
      <c r="BN128" s="1190"/>
      <c r="BO128" s="1190"/>
      <c r="BP128" s="1190"/>
      <c r="BQ128" s="1190"/>
      <c r="BR128" s="1190"/>
      <c r="BS128" s="1190"/>
      <c r="BT128" s="1190"/>
      <c r="BU128" s="1190"/>
      <c r="BV128" s="1190"/>
      <c r="BW128" s="1190"/>
      <c r="BX128" s="1190"/>
      <c r="BY128" s="1190"/>
      <c r="BZ128" s="1190"/>
      <c r="CA128" s="1190"/>
      <c r="CB128" s="1190"/>
      <c r="CC128" s="1190"/>
      <c r="CD128" s="1190"/>
      <c r="CE128" s="1190"/>
      <c r="CF128" s="1190"/>
      <c r="CG128" s="1190"/>
      <c r="CH128" s="1190"/>
      <c r="CI128" s="1190"/>
      <c r="CJ128" s="1190"/>
      <c r="CK128" s="1190"/>
      <c r="CL128" s="1190"/>
      <c r="CM128" s="1190"/>
      <c r="CN128" s="1190"/>
      <c r="CO128" s="1190"/>
      <c r="CP128" s="1190"/>
      <c r="CQ128" s="1190"/>
      <c r="CR128" s="1190"/>
      <c r="CS128" s="1190"/>
      <c r="CT128" s="1190"/>
      <c r="CU128" s="1190"/>
      <c r="CV128" s="1190"/>
      <c r="CW128" s="1190"/>
      <c r="CX128" s="1190"/>
      <c r="CY128" s="1190"/>
      <c r="CZ128" s="1190"/>
      <c r="DA128" s="1190"/>
      <c r="DB128" s="1190"/>
      <c r="DC128" s="1190"/>
      <c r="DD128" s="1190"/>
      <c r="DE128" s="1190"/>
      <c r="DF128" s="1190"/>
      <c r="DG128" s="1190"/>
      <c r="DH128" s="1190"/>
      <c r="DI128" s="1190"/>
      <c r="DJ128" s="1190"/>
      <c r="DK128" s="1190"/>
      <c r="DL128" s="1190"/>
      <c r="DM128" s="1190"/>
      <c r="DN128" s="1190"/>
      <c r="DO128" s="1190"/>
      <c r="DP128" s="1190"/>
      <c r="DQ128" s="1190"/>
      <c r="DR128" s="1190"/>
      <c r="DS128" s="1190"/>
      <c r="DT128" s="1190"/>
      <c r="DU128" s="1190"/>
      <c r="DV128" s="1191"/>
    </row>
    <row r="129" spans="1:126" ht="15" thickBot="1" x14ac:dyDescent="0.35">
      <c r="A129" s="1091" t="str">
        <f>'8b-Screens'!B24</f>
        <v/>
      </c>
      <c r="B129" s="1092"/>
      <c r="C129" s="1092"/>
      <c r="D129" s="1092"/>
      <c r="E129" s="1092"/>
      <c r="F129" s="1092"/>
      <c r="G129" s="1092"/>
      <c r="H129" s="1092"/>
      <c r="I129" s="1092"/>
      <c r="J129" s="1092"/>
      <c r="K129" s="1092"/>
      <c r="L129" s="1092"/>
      <c r="M129" s="1092"/>
      <c r="N129" s="1092"/>
      <c r="O129" s="1092">
        <f>'8b-Screens'!E24</f>
        <v>0</v>
      </c>
      <c r="P129" s="1092"/>
      <c r="Q129" s="1092"/>
      <c r="R129" s="1092"/>
      <c r="S129" s="1092" t="str">
        <f>'8b-Screens'!Z64</f>
        <v xml:space="preserve">  </v>
      </c>
      <c r="T129" s="1092"/>
      <c r="U129" s="1092"/>
      <c r="V129" s="1092"/>
      <c r="W129" s="1092"/>
      <c r="X129" s="1092"/>
      <c r="Y129" s="1092"/>
      <c r="Z129" s="1092"/>
      <c r="AA129" s="1092"/>
      <c r="AB129" s="1092"/>
      <c r="AC129" s="1092"/>
      <c r="AD129" s="1092"/>
      <c r="AE129" s="1092"/>
      <c r="AF129" s="1092"/>
      <c r="AG129" s="1096"/>
      <c r="AH129" s="971" t="s">
        <v>246</v>
      </c>
      <c r="AI129" s="972"/>
      <c r="AJ129" s="972"/>
      <c r="AK129" s="972"/>
      <c r="AL129" s="972"/>
      <c r="AM129" s="972"/>
      <c r="AN129" s="1092" t="str">
        <f>'6-Comp'!Y8</f>
        <v>N/A</v>
      </c>
      <c r="AO129" s="1092"/>
      <c r="AP129" s="1092"/>
      <c r="AQ129" s="1096"/>
      <c r="AR129" s="1101" t="s">
        <v>683</v>
      </c>
      <c r="AS129" s="1102"/>
      <c r="AT129" s="1102"/>
      <c r="AU129" s="1102"/>
      <c r="AV129" s="1102"/>
      <c r="AW129" s="1102"/>
      <c r="AX129" s="1097" t="str">
        <f>'7-Sensors'!T27</f>
        <v>N/A</v>
      </c>
      <c r="AY129" s="1097"/>
      <c r="AZ129" s="1097"/>
      <c r="BA129" s="1098"/>
      <c r="BB129" s="1189"/>
      <c r="BC129" s="1190"/>
      <c r="BD129" s="1190"/>
      <c r="BE129" s="1190"/>
      <c r="BF129" s="1190"/>
      <c r="BG129" s="1190"/>
      <c r="BH129" s="1190"/>
      <c r="BI129" s="1190"/>
      <c r="BJ129" s="1190"/>
      <c r="BK129" s="1190"/>
      <c r="BL129" s="1190"/>
      <c r="BM129" s="1190"/>
      <c r="BN129" s="1190"/>
      <c r="BO129" s="1190"/>
      <c r="BP129" s="1190"/>
      <c r="BQ129" s="1190"/>
      <c r="BR129" s="1190"/>
      <c r="BS129" s="1190"/>
      <c r="BT129" s="1190"/>
      <c r="BU129" s="1190"/>
      <c r="BV129" s="1190"/>
      <c r="BW129" s="1190"/>
      <c r="BX129" s="1190"/>
      <c r="BY129" s="1190"/>
      <c r="BZ129" s="1190"/>
      <c r="CA129" s="1190"/>
      <c r="CB129" s="1190"/>
      <c r="CC129" s="1190"/>
      <c r="CD129" s="1190"/>
      <c r="CE129" s="1190"/>
      <c r="CF129" s="1190"/>
      <c r="CG129" s="1190"/>
      <c r="CH129" s="1190"/>
      <c r="CI129" s="1190"/>
      <c r="CJ129" s="1190"/>
      <c r="CK129" s="1190"/>
      <c r="CL129" s="1190"/>
      <c r="CM129" s="1190"/>
      <c r="CN129" s="1190"/>
      <c r="CO129" s="1190"/>
      <c r="CP129" s="1190"/>
      <c r="CQ129" s="1190"/>
      <c r="CR129" s="1190"/>
      <c r="CS129" s="1190"/>
      <c r="CT129" s="1190"/>
      <c r="CU129" s="1190"/>
      <c r="CV129" s="1190"/>
      <c r="CW129" s="1190"/>
      <c r="CX129" s="1190"/>
      <c r="CY129" s="1190"/>
      <c r="CZ129" s="1190"/>
      <c r="DA129" s="1190"/>
      <c r="DB129" s="1190"/>
      <c r="DC129" s="1190"/>
      <c r="DD129" s="1190"/>
      <c r="DE129" s="1190"/>
      <c r="DF129" s="1190"/>
      <c r="DG129" s="1190"/>
      <c r="DH129" s="1190"/>
      <c r="DI129" s="1190"/>
      <c r="DJ129" s="1190"/>
      <c r="DK129" s="1190"/>
      <c r="DL129" s="1190"/>
      <c r="DM129" s="1190"/>
      <c r="DN129" s="1190"/>
      <c r="DO129" s="1190"/>
      <c r="DP129" s="1190"/>
      <c r="DQ129" s="1190"/>
      <c r="DR129" s="1190"/>
      <c r="DS129" s="1190"/>
      <c r="DT129" s="1190"/>
      <c r="DU129" s="1190"/>
      <c r="DV129" s="1191"/>
    </row>
    <row r="130" spans="1:126" x14ac:dyDescent="0.3">
      <c r="A130" s="1091" t="str">
        <f>IF('8b-Screens'!D34=0,"","Grav Shielding")</f>
        <v/>
      </c>
      <c r="B130" s="1092"/>
      <c r="C130" s="1092"/>
      <c r="D130" s="1092"/>
      <c r="E130" s="1092"/>
      <c r="F130" s="1092"/>
      <c r="G130" s="1092"/>
      <c r="H130" s="1092"/>
      <c r="I130" s="1092"/>
      <c r="J130" s="1092"/>
      <c r="K130" s="1092"/>
      <c r="L130" s="1092"/>
      <c r="M130" s="1092"/>
      <c r="N130" s="1092"/>
      <c r="O130" s="1114" t="str">
        <f>INDEX('8b-Screens'!T68:V74,MATCH('8b-Screens'!D34,'8b-Screens'!T68:T74,0),3)</f>
        <v/>
      </c>
      <c r="P130" s="1114"/>
      <c r="Q130" s="1114"/>
      <c r="R130" s="1114"/>
      <c r="S130" s="1114" t="str">
        <f>'8b-Screens'!Y56</f>
        <v xml:space="preserve">  </v>
      </c>
      <c r="T130" s="1114"/>
      <c r="U130" s="1114"/>
      <c r="V130" s="1114"/>
      <c r="W130" s="1114"/>
      <c r="X130" s="1114"/>
      <c r="Y130" s="1114"/>
      <c r="Z130" s="1114"/>
      <c r="AA130" s="1114"/>
      <c r="AB130" s="1114"/>
      <c r="AC130" s="1114"/>
      <c r="AD130" s="1114"/>
      <c r="AE130" s="1114"/>
      <c r="AF130" s="1114"/>
      <c r="AG130" s="1138"/>
      <c r="AH130" s="971" t="s">
        <v>674</v>
      </c>
      <c r="AI130" s="972"/>
      <c r="AJ130" s="972"/>
      <c r="AK130" s="972"/>
      <c r="AL130" s="972"/>
      <c r="AM130" s="972"/>
      <c r="AN130" s="1092" t="str">
        <f>'6-Comp'!Y9</f>
        <v>N/A</v>
      </c>
      <c r="AO130" s="1092"/>
      <c r="AP130" s="1092"/>
      <c r="AQ130" s="1096"/>
      <c r="AS130" s="1135" t="s">
        <v>726</v>
      </c>
      <c r="AT130" s="1136"/>
      <c r="AU130" s="1136"/>
      <c r="AV130" s="1136"/>
      <c r="AW130" s="1136"/>
      <c r="AX130" s="1136"/>
      <c r="AY130" s="1136"/>
      <c r="AZ130" s="1136"/>
      <c r="BA130" s="1137"/>
      <c r="BB130" s="1189"/>
      <c r="BC130" s="1190"/>
      <c r="BD130" s="1190"/>
      <c r="BE130" s="1190"/>
      <c r="BF130" s="1190"/>
      <c r="BG130" s="1190"/>
      <c r="BH130" s="1190"/>
      <c r="BI130" s="1190"/>
      <c r="BJ130" s="1190"/>
      <c r="BK130" s="1190"/>
      <c r="BL130" s="1190"/>
      <c r="BM130" s="1190"/>
      <c r="BN130" s="1190"/>
      <c r="BO130" s="1190"/>
      <c r="BP130" s="1190"/>
      <c r="BQ130" s="1190"/>
      <c r="BR130" s="1190"/>
      <c r="BS130" s="1190"/>
      <c r="BT130" s="1190"/>
      <c r="BU130" s="1190"/>
      <c r="BV130" s="1190"/>
      <c r="BW130" s="1190"/>
      <c r="BX130" s="1190"/>
      <c r="BY130" s="1190"/>
      <c r="BZ130" s="1190"/>
      <c r="CA130" s="1190"/>
      <c r="CB130" s="1190"/>
      <c r="CC130" s="1190"/>
      <c r="CD130" s="1190"/>
      <c r="CE130" s="1190"/>
      <c r="CF130" s="1190"/>
      <c r="CG130" s="1190"/>
      <c r="CH130" s="1190"/>
      <c r="CI130" s="1190"/>
      <c r="CJ130" s="1190"/>
      <c r="CK130" s="1190"/>
      <c r="CL130" s="1190"/>
      <c r="CM130" s="1190"/>
      <c r="CN130" s="1190"/>
      <c r="CO130" s="1190"/>
      <c r="CP130" s="1190"/>
      <c r="CQ130" s="1190"/>
      <c r="CR130" s="1190"/>
      <c r="CS130" s="1190"/>
      <c r="CT130" s="1190"/>
      <c r="CU130" s="1190"/>
      <c r="CV130" s="1190"/>
      <c r="CW130" s="1190"/>
      <c r="CX130" s="1190"/>
      <c r="CY130" s="1190"/>
      <c r="CZ130" s="1190"/>
      <c r="DA130" s="1190"/>
      <c r="DB130" s="1190"/>
      <c r="DC130" s="1190"/>
      <c r="DD130" s="1190"/>
      <c r="DE130" s="1190"/>
      <c r="DF130" s="1190"/>
      <c r="DG130" s="1190"/>
      <c r="DH130" s="1190"/>
      <c r="DI130" s="1190"/>
      <c r="DJ130" s="1190"/>
      <c r="DK130" s="1190"/>
      <c r="DL130" s="1190"/>
      <c r="DM130" s="1190"/>
      <c r="DN130" s="1190"/>
      <c r="DO130" s="1190"/>
      <c r="DP130" s="1190"/>
      <c r="DQ130" s="1190"/>
      <c r="DR130" s="1190"/>
      <c r="DS130" s="1190"/>
      <c r="DT130" s="1190"/>
      <c r="DU130" s="1190"/>
      <c r="DV130" s="1191"/>
    </row>
    <row r="131" spans="1:126" ht="15" thickBot="1" x14ac:dyDescent="0.35">
      <c r="A131" s="1113" t="str">
        <f>IF('8b-Screens'!C39='8b-Screens'!S6,"",'8b-Screens'!B39)</f>
        <v/>
      </c>
      <c r="B131" s="1097"/>
      <c r="C131" s="1097"/>
      <c r="D131" s="1097"/>
      <c r="E131" s="1097"/>
      <c r="F131" s="1097"/>
      <c r="G131" s="1097"/>
      <c r="H131" s="1097"/>
      <c r="I131" s="1097"/>
      <c r="J131" s="1097"/>
      <c r="K131" s="1097"/>
      <c r="L131" s="1097"/>
      <c r="M131" s="1097"/>
      <c r="N131" s="1097"/>
      <c r="O131" s="1115">
        <f>'8b-Screens'!E39</f>
        <v>0</v>
      </c>
      <c r="P131" s="1115"/>
      <c r="Q131" s="1115"/>
      <c r="R131" s="1115"/>
      <c r="S131" s="1115" t="str">
        <f>IF(O159&gt;0,"Dmg Cap:"&amp;'8b-Screens'!D42,"")</f>
        <v/>
      </c>
      <c r="T131" s="1115"/>
      <c r="U131" s="1115"/>
      <c r="V131" s="1115"/>
      <c r="W131" s="1115"/>
      <c r="X131" s="1115"/>
      <c r="Y131" s="1115"/>
      <c r="Z131" s="1115"/>
      <c r="AA131" s="1115"/>
      <c r="AB131" s="1115"/>
      <c r="AC131" s="1115"/>
      <c r="AD131" s="1115"/>
      <c r="AE131" s="1115"/>
      <c r="AF131" s="1115"/>
      <c r="AG131" s="1139"/>
      <c r="AH131" s="971" t="s">
        <v>675</v>
      </c>
      <c r="AI131" s="972"/>
      <c r="AJ131" s="972"/>
      <c r="AK131" s="972"/>
      <c r="AL131" s="972"/>
      <c r="AM131" s="972"/>
      <c r="AN131" s="1092" t="str">
        <f>'6-Comp'!Y10</f>
        <v>N/A</v>
      </c>
      <c r="AO131" s="1092"/>
      <c r="AP131" s="1092"/>
      <c r="AQ131" s="1096"/>
      <c r="AS131" s="1093" t="s">
        <v>725</v>
      </c>
      <c r="AT131" s="1094"/>
      <c r="AU131" s="1094"/>
      <c r="AV131" s="1094"/>
      <c r="AW131" s="1094"/>
      <c r="AX131" s="1094"/>
      <c r="AY131" s="1094"/>
      <c r="AZ131" s="1094"/>
      <c r="BA131" s="1095"/>
      <c r="BB131" s="1189"/>
      <c r="BC131" s="1190"/>
      <c r="BD131" s="1190"/>
      <c r="BE131" s="1190"/>
      <c r="BF131" s="1190"/>
      <c r="BG131" s="1190"/>
      <c r="BH131" s="1190"/>
      <c r="BI131" s="1190"/>
      <c r="BJ131" s="1190"/>
      <c r="BK131" s="1190"/>
      <c r="BL131" s="1190"/>
      <c r="BM131" s="1190"/>
      <c r="BN131" s="1190"/>
      <c r="BO131" s="1190"/>
      <c r="BP131" s="1190"/>
      <c r="BQ131" s="1190"/>
      <c r="BR131" s="1190"/>
      <c r="BS131" s="1190"/>
      <c r="BT131" s="1190"/>
      <c r="BU131" s="1190"/>
      <c r="BV131" s="1190"/>
      <c r="BW131" s="1190"/>
      <c r="BX131" s="1190"/>
      <c r="BY131" s="1190"/>
      <c r="BZ131" s="1190"/>
      <c r="CA131" s="1190"/>
      <c r="CB131" s="1190"/>
      <c r="CC131" s="1190"/>
      <c r="CD131" s="1190"/>
      <c r="CE131" s="1190"/>
      <c r="CF131" s="1190"/>
      <c r="CG131" s="1190"/>
      <c r="CH131" s="1190"/>
      <c r="CI131" s="1190"/>
      <c r="CJ131" s="1190"/>
      <c r="CK131" s="1190"/>
      <c r="CL131" s="1190"/>
      <c r="CM131" s="1190"/>
      <c r="CN131" s="1190"/>
      <c r="CO131" s="1190"/>
      <c r="CP131" s="1190"/>
      <c r="CQ131" s="1190"/>
      <c r="CR131" s="1190"/>
      <c r="CS131" s="1190"/>
      <c r="CT131" s="1190"/>
      <c r="CU131" s="1190"/>
      <c r="CV131" s="1190"/>
      <c r="CW131" s="1190"/>
      <c r="CX131" s="1190"/>
      <c r="CY131" s="1190"/>
      <c r="CZ131" s="1190"/>
      <c r="DA131" s="1190"/>
      <c r="DB131" s="1190"/>
      <c r="DC131" s="1190"/>
      <c r="DD131" s="1190"/>
      <c r="DE131" s="1190"/>
      <c r="DF131" s="1190"/>
      <c r="DG131" s="1190"/>
      <c r="DH131" s="1190"/>
      <c r="DI131" s="1190"/>
      <c r="DJ131" s="1190"/>
      <c r="DK131" s="1190"/>
      <c r="DL131" s="1190"/>
      <c r="DM131" s="1190"/>
      <c r="DN131" s="1190"/>
      <c r="DO131" s="1190"/>
      <c r="DP131" s="1190"/>
      <c r="DQ131" s="1190"/>
      <c r="DR131" s="1190"/>
      <c r="DS131" s="1190"/>
      <c r="DT131" s="1190"/>
      <c r="DU131" s="1190"/>
      <c r="DV131" s="1191"/>
    </row>
    <row r="132" spans="1:126" ht="16.2" thickBot="1" x14ac:dyDescent="0.35">
      <c r="A132" s="1287" t="str">
        <f>'Ship Info'!G22&amp;": "&amp;'Ship Info'!I31</f>
        <v xml:space="preserve">Standard Automation: </v>
      </c>
      <c r="B132" s="1288"/>
      <c r="C132" s="1288"/>
      <c r="D132" s="1288"/>
      <c r="E132" s="1288"/>
      <c r="F132" s="1288"/>
      <c r="G132" s="1288"/>
      <c r="H132" s="1288"/>
      <c r="I132" s="1288"/>
      <c r="J132" s="1288"/>
      <c r="K132" s="1288"/>
      <c r="L132" s="1288"/>
      <c r="M132" s="1288"/>
      <c r="N132" s="1288"/>
      <c r="O132" s="1288"/>
      <c r="P132" s="1288"/>
      <c r="Q132" s="1288"/>
      <c r="R132" s="1288"/>
      <c r="S132" s="1288"/>
      <c r="T132" s="1288"/>
      <c r="U132" s="1288"/>
      <c r="V132" s="1288"/>
      <c r="W132" s="1288"/>
      <c r="X132" s="1288"/>
      <c r="Y132" s="1288"/>
      <c r="Z132" s="1288"/>
      <c r="AA132" s="1288"/>
      <c r="AB132" s="1288"/>
      <c r="AC132" s="1288"/>
      <c r="AD132" s="1288"/>
      <c r="AE132" s="1288"/>
      <c r="AF132" s="1288"/>
      <c r="AG132" s="1289"/>
      <c r="AH132" s="1101" t="s">
        <v>678</v>
      </c>
      <c r="AI132" s="1102"/>
      <c r="AJ132" s="1102"/>
      <c r="AK132" s="1102"/>
      <c r="AL132" s="1102"/>
      <c r="AM132" s="1102"/>
      <c r="AN132" s="1097" t="str">
        <f>'6-Comp'!Y11</f>
        <v>X</v>
      </c>
      <c r="AO132" s="1097"/>
      <c r="AP132" s="1097"/>
      <c r="AQ132" s="1098"/>
      <c r="AS132" s="1132">
        <f>SUM('12-Cargo'!D40:'12-Cargo'!D50)</f>
        <v>0</v>
      </c>
      <c r="AT132" s="1133"/>
      <c r="AU132" s="1133"/>
      <c r="AV132" s="1133"/>
      <c r="AW132" s="1133"/>
      <c r="AX132" s="1133"/>
      <c r="AY132" s="1133"/>
      <c r="AZ132" s="1133"/>
      <c r="BA132" s="1134"/>
      <c r="BB132" s="1290" t="str">
        <f>IF('12-Cargo'!D40=0,"","Missile:"&amp;'12-Cargo'!D40*12)&amp;IF('12-Cargo'!D42=0,""," Torpedos:"&amp;'12-Cargo'!D42*3)&amp;IF('12-Cargo'!D44=0,""," Sand:"&amp;'12-Cargo'!D44*20)&amp;IF('12-Cargo'!D46=0,""," Special:"&amp;'12-Cargo'!D46&amp;"tons")&amp;IF('12-Cargo'!D48=0,""," Railgun:"&amp;'12-Cargo'!D48&amp;"tons")&amp;IF('12-Cargo'!D50=0,""," Mass Driver:"&amp;'12-Cargo'!D50&amp;"tons")</f>
        <v/>
      </c>
      <c r="BC132" s="1291"/>
      <c r="BD132" s="1291"/>
      <c r="BE132" s="1291"/>
      <c r="BF132" s="1291"/>
      <c r="BG132" s="1291"/>
      <c r="BH132" s="1291"/>
      <c r="BI132" s="1291"/>
      <c r="BJ132" s="1291"/>
      <c r="BK132" s="1291"/>
      <c r="BL132" s="1291"/>
      <c r="BM132" s="1291"/>
      <c r="BN132" s="1291"/>
      <c r="BO132" s="1291"/>
      <c r="BP132" s="1291"/>
      <c r="BQ132" s="1291"/>
      <c r="BR132" s="1291"/>
      <c r="BS132" s="1291"/>
      <c r="BT132" s="1291"/>
      <c r="BU132" s="1291"/>
      <c r="BV132" s="1291"/>
      <c r="BW132" s="1291"/>
      <c r="BX132" s="1291"/>
      <c r="BY132" s="1291"/>
      <c r="BZ132" s="1291"/>
      <c r="CA132" s="1291"/>
      <c r="CB132" s="1291"/>
      <c r="CC132" s="1291"/>
      <c r="CD132" s="1291"/>
      <c r="CE132" s="1291"/>
      <c r="CF132" s="1291"/>
      <c r="CG132" s="1291"/>
      <c r="CH132" s="1291"/>
      <c r="CI132" s="1291"/>
      <c r="CJ132" s="1291"/>
      <c r="CK132" s="1291"/>
      <c r="CL132" s="1291"/>
      <c r="CM132" s="1291"/>
      <c r="CN132" s="1291"/>
      <c r="CO132" s="1291"/>
      <c r="CP132" s="1291"/>
      <c r="CQ132" s="1291"/>
      <c r="CR132" s="1291"/>
      <c r="CS132" s="1291"/>
      <c r="CT132" s="1291"/>
      <c r="CU132" s="1291"/>
      <c r="CV132" s="1291"/>
      <c r="CW132" s="1291"/>
      <c r="CX132" s="1291"/>
      <c r="CY132" s="1291"/>
      <c r="CZ132" s="1291"/>
      <c r="DA132" s="1291"/>
      <c r="DB132" s="1291"/>
      <c r="DC132" s="1291"/>
      <c r="DD132" s="1291"/>
      <c r="DE132" s="1291"/>
      <c r="DF132" s="1291"/>
      <c r="DG132" s="1291"/>
      <c r="DH132" s="1291"/>
      <c r="DI132" s="1291"/>
      <c r="DJ132" s="1291"/>
      <c r="DK132" s="1291"/>
      <c r="DL132" s="1291"/>
      <c r="DM132" s="1291"/>
      <c r="DN132" s="1291"/>
      <c r="DO132" s="1291"/>
      <c r="DP132" s="1291"/>
      <c r="DQ132" s="1291"/>
      <c r="DR132" s="1291"/>
      <c r="DS132" s="1291"/>
      <c r="DT132" s="1291"/>
      <c r="DU132" s="1291"/>
      <c r="DV132" s="1292"/>
    </row>
    <row r="133" spans="1:126" ht="3.6" customHeight="1" thickBot="1" x14ac:dyDescent="0.35">
      <c r="B133" s="352"/>
      <c r="C133" s="352"/>
      <c r="D133" s="352"/>
      <c r="E133" s="352"/>
      <c r="F133" s="352"/>
      <c r="G133" s="352"/>
      <c r="H133" s="352"/>
      <c r="I133" s="352"/>
      <c r="J133" s="352"/>
      <c r="K133" s="352"/>
      <c r="L133" s="354"/>
      <c r="M133" s="354"/>
      <c r="N133" s="354"/>
      <c r="O133" s="354"/>
      <c r="P133" s="354"/>
      <c r="Q133" s="354"/>
      <c r="R133" s="354"/>
      <c r="S133" s="354"/>
      <c r="T133" s="354"/>
      <c r="U133" s="354"/>
      <c r="V133" s="354"/>
      <c r="W133" s="354"/>
      <c r="X133" s="354"/>
      <c r="Y133" s="354"/>
      <c r="Z133" s="354"/>
      <c r="AA133" s="349"/>
      <c r="AB133" s="349"/>
      <c r="AC133" s="349"/>
      <c r="AD133" s="349"/>
      <c r="AE133" s="349"/>
      <c r="AF133" s="349"/>
      <c r="AG133" s="349"/>
      <c r="AH133" s="353"/>
      <c r="AI133" s="353"/>
      <c r="AJ133" s="353"/>
      <c r="AK133" s="353"/>
      <c r="AL133" s="353"/>
      <c r="AM133" s="353"/>
      <c r="AN133" s="353"/>
      <c r="AO133" s="62"/>
      <c r="AP133" s="62"/>
      <c r="AQ133" s="62"/>
      <c r="AR133" s="62"/>
      <c r="AS133" s="62"/>
      <c r="AT133" s="62"/>
      <c r="AU133" s="62"/>
      <c r="AV133" s="62"/>
      <c r="AW133" s="62"/>
      <c r="AX133" s="62"/>
      <c r="AY133" s="62"/>
      <c r="BA133" s="62"/>
      <c r="BB133" s="62"/>
    </row>
    <row r="134" spans="1:126" ht="15" thickBot="1" x14ac:dyDescent="0.35">
      <c r="A134" s="1279" t="s">
        <v>641</v>
      </c>
      <c r="B134" s="1280"/>
      <c r="C134" s="1280"/>
      <c r="D134" s="1280"/>
      <c r="E134" s="1280"/>
      <c r="F134" s="1280"/>
      <c r="G134" s="1280"/>
      <c r="H134" s="1280"/>
      <c r="I134" s="1280"/>
      <c r="J134" s="1280"/>
      <c r="K134" s="1280"/>
      <c r="L134" s="1280"/>
      <c r="M134" s="1280"/>
      <c r="N134" s="1280"/>
      <c r="O134" s="1280"/>
      <c r="P134" s="1280"/>
      <c r="Q134" s="1280"/>
      <c r="R134" s="1281"/>
      <c r="S134" s="1276" t="s">
        <v>640</v>
      </c>
      <c r="T134" s="1277"/>
      <c r="U134" s="1277"/>
      <c r="V134" s="1277"/>
      <c r="W134" s="1277"/>
      <c r="X134" s="1277"/>
      <c r="Y134" s="1277"/>
      <c r="Z134" s="1277"/>
      <c r="AA134" s="1277"/>
      <c r="AB134" s="1277"/>
      <c r="AC134" s="1277"/>
      <c r="AD134" s="1277"/>
      <c r="AE134" s="1277"/>
      <c r="AF134" s="1277"/>
      <c r="AG134" s="1277"/>
      <c r="AH134" s="1277"/>
      <c r="AI134" s="1277"/>
      <c r="AJ134" s="1277"/>
      <c r="AK134" s="1277"/>
      <c r="AL134" s="1277"/>
      <c r="AM134" s="1277"/>
      <c r="AN134" s="1277"/>
      <c r="AO134" s="1277"/>
      <c r="AP134" s="1277"/>
      <c r="AQ134" s="1277"/>
      <c r="AR134" s="1277"/>
      <c r="AS134" s="1277"/>
      <c r="AT134" s="1277"/>
      <c r="AU134" s="1277"/>
      <c r="AV134" s="1277"/>
      <c r="AW134" s="1277"/>
      <c r="AX134" s="1277"/>
      <c r="AY134" s="1277"/>
      <c r="AZ134" s="1277"/>
      <c r="BA134" s="1277"/>
      <c r="BB134" s="1277"/>
      <c r="BC134" s="1277"/>
      <c r="BD134" s="1277"/>
      <c r="BE134" s="1277"/>
      <c r="BF134" s="1277"/>
      <c r="BG134" s="1277"/>
      <c r="BH134" s="1277"/>
      <c r="BI134" s="1277"/>
      <c r="BJ134" s="1277"/>
      <c r="BK134" s="1277"/>
      <c r="BL134" s="1277"/>
      <c r="BM134" s="1277"/>
      <c r="BN134" s="1277"/>
      <c r="BO134" s="1277"/>
      <c r="BP134" s="1277"/>
      <c r="BQ134" s="1277"/>
      <c r="BR134" s="1277"/>
      <c r="BS134" s="1277"/>
      <c r="BT134" s="1277"/>
      <c r="BU134" s="1277"/>
      <c r="BV134" s="1277"/>
      <c r="BW134" s="1277"/>
      <c r="BX134" s="1277"/>
      <c r="BY134" s="1277"/>
      <c r="BZ134" s="1277"/>
      <c r="CA134" s="1277"/>
      <c r="CB134" s="1277"/>
      <c r="CC134" s="1277"/>
      <c r="CD134" s="1277"/>
      <c r="CE134" s="1277"/>
      <c r="CF134" s="1277"/>
      <c r="CG134" s="1277"/>
      <c r="CH134" s="1277"/>
      <c r="CI134" s="1277"/>
      <c r="CJ134" s="1277"/>
      <c r="CK134" s="1277"/>
      <c r="CL134" s="1277"/>
      <c r="CM134" s="1277"/>
      <c r="CN134" s="1277"/>
      <c r="CO134" s="1277"/>
      <c r="CP134" s="1277"/>
      <c r="CQ134" s="1277"/>
      <c r="CR134" s="1277"/>
      <c r="CS134" s="1277"/>
      <c r="CT134" s="1277"/>
      <c r="CU134" s="1277"/>
      <c r="CV134" s="1277"/>
      <c r="CW134" s="1277"/>
      <c r="CX134" s="1277"/>
      <c r="CY134" s="1277"/>
      <c r="CZ134" s="1277"/>
      <c r="DA134" s="1277"/>
      <c r="DB134" s="1277"/>
      <c r="DC134" s="1277"/>
      <c r="DD134" s="1277"/>
      <c r="DE134" s="1277"/>
      <c r="DF134" s="1277"/>
      <c r="DG134" s="1277"/>
      <c r="DH134" s="1277"/>
      <c r="DI134" s="1277"/>
      <c r="DJ134" s="1277"/>
      <c r="DK134" s="1277"/>
      <c r="DL134" s="1277"/>
      <c r="DM134" s="1277"/>
      <c r="DN134" s="1277"/>
      <c r="DO134" s="1277"/>
      <c r="DP134" s="1277"/>
      <c r="DQ134" s="1277"/>
      <c r="DR134" s="1277"/>
      <c r="DS134" s="1277"/>
      <c r="DT134" s="1277"/>
      <c r="DU134" s="1277"/>
      <c r="DV134" s="1278"/>
    </row>
    <row r="135" spans="1:126" ht="15" thickBot="1" x14ac:dyDescent="0.35">
      <c r="A135" s="1284"/>
      <c r="B135" s="1285"/>
      <c r="C135" s="1285"/>
      <c r="D135" s="1285"/>
      <c r="E135" s="1286"/>
      <c r="F135" s="1282" t="s">
        <v>639</v>
      </c>
      <c r="G135" s="1275"/>
      <c r="H135" s="1275"/>
      <c r="I135" s="1275"/>
      <c r="J135" s="1275"/>
      <c r="K135" s="1275"/>
      <c r="L135" s="1275"/>
      <c r="M135" s="1275"/>
      <c r="N135" s="1275"/>
      <c r="O135" s="1275"/>
      <c r="P135" s="1275"/>
      <c r="Q135" s="1275"/>
      <c r="R135" s="1283"/>
      <c r="S135" s="1275">
        <v>1</v>
      </c>
      <c r="T135" s="1275"/>
      <c r="U135" s="1275"/>
      <c r="V135" s="1275"/>
      <c r="W135" s="1275"/>
      <c r="X135" s="1275"/>
      <c r="Y135" s="1275"/>
      <c r="Z135" s="1275"/>
      <c r="AA135" s="1275"/>
      <c r="AB135" s="1275"/>
      <c r="AC135" s="1275"/>
      <c r="AD135" s="1275"/>
      <c r="AE135" s="1275"/>
      <c r="AF135" s="1275"/>
      <c r="AG135" s="1275"/>
      <c r="AH135" s="1275"/>
      <c r="AI135" s="1275"/>
      <c r="AJ135" s="1283"/>
      <c r="AK135" s="1282">
        <v>2</v>
      </c>
      <c r="AL135" s="1275"/>
      <c r="AM135" s="1275"/>
      <c r="AN135" s="1275"/>
      <c r="AO135" s="1275"/>
      <c r="AP135" s="1275"/>
      <c r="AQ135" s="1275"/>
      <c r="AR135" s="1275"/>
      <c r="AS135" s="1275"/>
      <c r="AT135" s="1275"/>
      <c r="AU135" s="1275"/>
      <c r="AV135" s="1275"/>
      <c r="AW135" s="1275"/>
      <c r="AX135" s="1275"/>
      <c r="AY135" s="1275"/>
      <c r="AZ135" s="1275"/>
      <c r="BA135" s="1275"/>
      <c r="BB135" s="1283"/>
      <c r="BC135" s="1275">
        <v>3</v>
      </c>
      <c r="BD135" s="1275"/>
      <c r="BE135" s="1275"/>
      <c r="BF135" s="1275"/>
      <c r="BG135" s="1275"/>
      <c r="BH135" s="1275"/>
      <c r="BI135" s="1275"/>
      <c r="BJ135" s="1275"/>
      <c r="BK135" s="1275"/>
      <c r="BL135" s="1275"/>
      <c r="BM135" s="1275"/>
      <c r="BN135" s="1275"/>
      <c r="BO135" s="1275"/>
      <c r="BP135" s="1275"/>
      <c r="BQ135" s="1275"/>
      <c r="BR135" s="1275"/>
      <c r="BS135" s="1275"/>
      <c r="BT135" s="1275"/>
      <c r="BU135" s="1282">
        <v>4</v>
      </c>
      <c r="BV135" s="1275"/>
      <c r="BW135" s="1275"/>
      <c r="BX135" s="1275"/>
      <c r="BY135" s="1275"/>
      <c r="BZ135" s="1275"/>
      <c r="CA135" s="1275"/>
      <c r="CB135" s="1275"/>
      <c r="CC135" s="1275"/>
      <c r="CD135" s="1275"/>
      <c r="CE135" s="1275"/>
      <c r="CF135" s="1275"/>
      <c r="CG135" s="1275"/>
      <c r="CH135" s="1275"/>
      <c r="CI135" s="1275"/>
      <c r="CJ135" s="1275"/>
      <c r="CK135" s="1275"/>
      <c r="CL135" s="1283"/>
      <c r="CM135" s="1275">
        <v>5</v>
      </c>
      <c r="CN135" s="1275"/>
      <c r="CO135" s="1275"/>
      <c r="CP135" s="1275"/>
      <c r="CQ135" s="1275"/>
      <c r="CR135" s="1275"/>
      <c r="CS135" s="1275"/>
      <c r="CT135" s="1275"/>
      <c r="CU135" s="1275"/>
      <c r="CV135" s="1275"/>
      <c r="CW135" s="1275"/>
      <c r="CX135" s="1275"/>
      <c r="CY135" s="1275"/>
      <c r="CZ135" s="1275"/>
      <c r="DA135" s="1275"/>
      <c r="DB135" s="1275"/>
      <c r="DC135" s="1275"/>
      <c r="DD135" s="1275"/>
      <c r="DE135" s="1282">
        <v>6</v>
      </c>
      <c r="DF135" s="1275"/>
      <c r="DG135" s="1275"/>
      <c r="DH135" s="1275"/>
      <c r="DI135" s="1275"/>
      <c r="DJ135" s="1275"/>
      <c r="DK135" s="1275"/>
      <c r="DL135" s="1275"/>
      <c r="DM135" s="1275"/>
      <c r="DN135" s="1275"/>
      <c r="DO135" s="1275"/>
      <c r="DP135" s="1275"/>
      <c r="DQ135" s="1275"/>
      <c r="DR135" s="1275"/>
      <c r="DS135" s="1275"/>
      <c r="DT135" s="1275"/>
      <c r="DU135" s="1275"/>
      <c r="DV135" s="1283"/>
    </row>
    <row r="136" spans="1:126" ht="15.6" x14ac:dyDescent="0.3">
      <c r="A136" s="1173">
        <v>2</v>
      </c>
      <c r="B136" s="1174"/>
      <c r="C136" s="1174"/>
      <c r="D136" s="1174"/>
      <c r="E136" s="1175"/>
      <c r="F136" s="1267" t="str">
        <f>"Sensors"&amp;IF('7-Sensors'!B33='7-Sensors'!S11,""," (CS-1)")</f>
        <v>Sensors</v>
      </c>
      <c r="G136" s="1268"/>
      <c r="H136" s="1268"/>
      <c r="I136" s="1268"/>
      <c r="J136" s="1268"/>
      <c r="K136" s="1268"/>
      <c r="L136" s="1268"/>
      <c r="M136" s="1268"/>
      <c r="N136" s="1268"/>
      <c r="O136" s="1268"/>
      <c r="P136" s="1268"/>
      <c r="Q136" s="1268"/>
      <c r="R136" s="1269"/>
      <c r="S136" s="1149" t="s">
        <v>646</v>
      </c>
      <c r="T136" s="1149"/>
      <c r="U136" s="1149"/>
      <c r="V136" s="1149"/>
      <c r="W136" s="1149"/>
      <c r="X136" s="1149"/>
      <c r="Y136" s="1149"/>
      <c r="Z136" s="1149"/>
      <c r="AA136" s="1149"/>
      <c r="AB136" s="1149"/>
      <c r="AC136" s="1149"/>
      <c r="AD136" s="1149"/>
      <c r="AE136" s="1149"/>
      <c r="AF136" s="1149"/>
      <c r="AG136" s="1149"/>
      <c r="AH136" s="1149"/>
      <c r="AI136" s="1149"/>
      <c r="AJ136" s="1150"/>
      <c r="AK136" s="1148" t="s">
        <v>1316</v>
      </c>
      <c r="AL136" s="1149"/>
      <c r="AM136" s="1149"/>
      <c r="AN136" s="1149"/>
      <c r="AO136" s="1149"/>
      <c r="AP136" s="1149"/>
      <c r="AQ136" s="1149"/>
      <c r="AR136" s="1149"/>
      <c r="AS136" s="1149"/>
      <c r="AT136" s="1149"/>
      <c r="AU136" s="1149"/>
      <c r="AV136" s="1149"/>
      <c r="AW136" s="1149"/>
      <c r="AX136" s="1149"/>
      <c r="AY136" s="1149"/>
      <c r="AZ136" s="1149"/>
      <c r="BA136" s="1149"/>
      <c r="BB136" s="1150"/>
      <c r="BC136" s="1149" t="s">
        <v>1316</v>
      </c>
      <c r="BD136" s="1149"/>
      <c r="BE136" s="1149"/>
      <c r="BF136" s="1149"/>
      <c r="BG136" s="1149"/>
      <c r="BH136" s="1149"/>
      <c r="BI136" s="1149"/>
      <c r="BJ136" s="1149"/>
      <c r="BK136" s="1149"/>
      <c r="BL136" s="1149"/>
      <c r="BM136" s="1149"/>
      <c r="BN136" s="1149"/>
      <c r="BO136" s="1149"/>
      <c r="BP136" s="1149"/>
      <c r="BQ136" s="1149"/>
      <c r="BR136" s="1149"/>
      <c r="BS136" s="1149"/>
      <c r="BT136" s="1149"/>
      <c r="BU136" s="1148" t="s">
        <v>1316</v>
      </c>
      <c r="BV136" s="1149"/>
      <c r="BW136" s="1149"/>
      <c r="BX136" s="1149"/>
      <c r="BY136" s="1149"/>
      <c r="BZ136" s="1149"/>
      <c r="CA136" s="1149"/>
      <c r="CB136" s="1149"/>
      <c r="CC136" s="1149"/>
      <c r="CD136" s="1149"/>
      <c r="CE136" s="1149"/>
      <c r="CF136" s="1149"/>
      <c r="CG136" s="1149"/>
      <c r="CH136" s="1149"/>
      <c r="CI136" s="1149"/>
      <c r="CJ136" s="1149"/>
      <c r="CK136" s="1149"/>
      <c r="CL136" s="1150"/>
      <c r="CM136" s="1149" t="s">
        <v>1316</v>
      </c>
      <c r="CN136" s="1149"/>
      <c r="CO136" s="1149"/>
      <c r="CP136" s="1149"/>
      <c r="CQ136" s="1149"/>
      <c r="CR136" s="1149"/>
      <c r="CS136" s="1149"/>
      <c r="CT136" s="1149"/>
      <c r="CU136" s="1149"/>
      <c r="CV136" s="1149"/>
      <c r="CW136" s="1149"/>
      <c r="CX136" s="1149"/>
      <c r="CY136" s="1149"/>
      <c r="CZ136" s="1149"/>
      <c r="DA136" s="1149"/>
      <c r="DB136" s="1149"/>
      <c r="DC136" s="1149"/>
      <c r="DD136" s="1149"/>
      <c r="DE136" s="1148" t="s">
        <v>643</v>
      </c>
      <c r="DF136" s="1149"/>
      <c r="DG136" s="1149"/>
      <c r="DH136" s="1149"/>
      <c r="DI136" s="1149"/>
      <c r="DJ136" s="1149"/>
      <c r="DK136" s="1149"/>
      <c r="DL136" s="1149"/>
      <c r="DM136" s="1149"/>
      <c r="DN136" s="1149"/>
      <c r="DO136" s="1149"/>
      <c r="DP136" s="1149"/>
      <c r="DQ136" s="1149"/>
      <c r="DR136" s="1149"/>
      <c r="DS136" s="1149"/>
      <c r="DT136" s="1149"/>
      <c r="DU136" s="1149"/>
      <c r="DV136" s="1150"/>
    </row>
    <row r="137" spans="1:126" ht="16.2" thickBot="1" x14ac:dyDescent="0.35">
      <c r="A137" s="1176"/>
      <c r="B137" s="1177"/>
      <c r="C137" s="1177"/>
      <c r="D137" s="1177"/>
      <c r="E137" s="1178"/>
      <c r="F137" s="1270"/>
      <c r="G137" s="1271"/>
      <c r="H137" s="1271"/>
      <c r="I137" s="1271"/>
      <c r="J137" s="1271"/>
      <c r="K137" s="1271"/>
      <c r="L137" s="1271"/>
      <c r="M137" s="1271"/>
      <c r="N137" s="1271"/>
      <c r="O137" s="1271"/>
      <c r="P137" s="1271"/>
      <c r="Q137" s="1271"/>
      <c r="R137" s="1272"/>
      <c r="S137" s="1152"/>
      <c r="T137" s="1152"/>
      <c r="U137" s="1152"/>
      <c r="V137" s="1152"/>
      <c r="W137" s="1152"/>
      <c r="X137" s="1152"/>
      <c r="Y137" s="1152"/>
      <c r="Z137" s="1152"/>
      <c r="AA137" s="1152"/>
      <c r="AB137" s="1152"/>
      <c r="AC137" s="1152"/>
      <c r="AD137" s="1152"/>
      <c r="AE137" s="1152"/>
      <c r="AF137" s="1152"/>
      <c r="AG137" s="1152"/>
      <c r="AH137" s="1152"/>
      <c r="AI137" s="1152"/>
      <c r="AJ137" s="1153"/>
      <c r="AK137" s="1151" t="s">
        <v>316</v>
      </c>
      <c r="AL137" s="1152"/>
      <c r="AM137" s="1152"/>
      <c r="AN137" s="1152"/>
      <c r="AO137" s="1152"/>
      <c r="AP137" s="1152"/>
      <c r="AQ137" s="1152"/>
      <c r="AR137" s="1152"/>
      <c r="AS137" s="1152"/>
      <c r="AT137" s="1152"/>
      <c r="AU137" s="1152"/>
      <c r="AV137" s="1152"/>
      <c r="AW137" s="1152"/>
      <c r="AX137" s="1152"/>
      <c r="AY137" s="1152"/>
      <c r="AZ137" s="1152"/>
      <c r="BA137" s="1152"/>
      <c r="BB137" s="1153"/>
      <c r="BC137" s="1152" t="s">
        <v>1050</v>
      </c>
      <c r="BD137" s="1152"/>
      <c r="BE137" s="1152"/>
      <c r="BF137" s="1152"/>
      <c r="BG137" s="1152"/>
      <c r="BH137" s="1152"/>
      <c r="BI137" s="1152"/>
      <c r="BJ137" s="1152"/>
      <c r="BK137" s="1152"/>
      <c r="BL137" s="1152"/>
      <c r="BM137" s="1152"/>
      <c r="BN137" s="1152"/>
      <c r="BO137" s="1152"/>
      <c r="BP137" s="1152"/>
      <c r="BQ137" s="1152"/>
      <c r="BR137" s="1152"/>
      <c r="BS137" s="1152"/>
      <c r="BT137" s="1152"/>
      <c r="BU137" s="1151" t="s">
        <v>610</v>
      </c>
      <c r="BV137" s="1152"/>
      <c r="BW137" s="1152"/>
      <c r="BX137" s="1152"/>
      <c r="BY137" s="1152"/>
      <c r="BZ137" s="1152"/>
      <c r="CA137" s="1152"/>
      <c r="CB137" s="1152"/>
      <c r="CC137" s="1152"/>
      <c r="CD137" s="1152"/>
      <c r="CE137" s="1152"/>
      <c r="CF137" s="1152"/>
      <c r="CG137" s="1152"/>
      <c r="CH137" s="1152"/>
      <c r="CI137" s="1152"/>
      <c r="CJ137" s="1152"/>
      <c r="CK137" s="1152"/>
      <c r="CL137" s="1153"/>
      <c r="CM137" s="1152" t="s">
        <v>318</v>
      </c>
      <c r="CN137" s="1152"/>
      <c r="CO137" s="1152"/>
      <c r="CP137" s="1152"/>
      <c r="CQ137" s="1152"/>
      <c r="CR137" s="1152"/>
      <c r="CS137" s="1152"/>
      <c r="CT137" s="1152"/>
      <c r="CU137" s="1152"/>
      <c r="CV137" s="1152"/>
      <c r="CW137" s="1152"/>
      <c r="CX137" s="1152"/>
      <c r="CY137" s="1152"/>
      <c r="CZ137" s="1152"/>
      <c r="DA137" s="1152"/>
      <c r="DB137" s="1152"/>
      <c r="DC137" s="1152"/>
      <c r="DD137" s="1152"/>
      <c r="DE137" s="1151"/>
      <c r="DF137" s="1152"/>
      <c r="DG137" s="1152"/>
      <c r="DH137" s="1152"/>
      <c r="DI137" s="1152"/>
      <c r="DJ137" s="1152"/>
      <c r="DK137" s="1152"/>
      <c r="DL137" s="1152"/>
      <c r="DM137" s="1152"/>
      <c r="DN137" s="1152"/>
      <c r="DO137" s="1152"/>
      <c r="DP137" s="1152"/>
      <c r="DQ137" s="1152"/>
      <c r="DR137" s="1152"/>
      <c r="DS137" s="1152"/>
      <c r="DT137" s="1152"/>
      <c r="DU137" s="1152"/>
      <c r="DV137" s="1153"/>
    </row>
    <row r="138" spans="1:126" ht="15.75" customHeight="1" x14ac:dyDescent="0.3">
      <c r="A138" s="1261">
        <v>3</v>
      </c>
      <c r="B138" s="1262"/>
      <c r="C138" s="1262"/>
      <c r="D138" s="1262"/>
      <c r="E138" s="1263"/>
      <c r="F138" s="1179" t="str">
        <f>"Pwr Plant"&amp;IF('3-Pwr Plant'!C16="No",""," (CS-1)")</f>
        <v>Pwr Plant</v>
      </c>
      <c r="G138" s="1180"/>
      <c r="H138" s="1180"/>
      <c r="I138" s="1180"/>
      <c r="J138" s="1180"/>
      <c r="K138" s="1180"/>
      <c r="L138" s="1180"/>
      <c r="M138" s="1180"/>
      <c r="N138" s="1180"/>
      <c r="O138" s="1180"/>
      <c r="P138" s="1180"/>
      <c r="Q138" s="1180"/>
      <c r="R138" s="1181"/>
      <c r="S138" s="1154" t="s">
        <v>1312</v>
      </c>
      <c r="T138" s="1155"/>
      <c r="U138" s="1155"/>
      <c r="V138" s="1155"/>
      <c r="W138" s="1155"/>
      <c r="X138" s="1155"/>
      <c r="Y138" s="1155"/>
      <c r="Z138" s="1155"/>
      <c r="AA138" s="1155"/>
      <c r="AB138" s="1155"/>
      <c r="AC138" s="1155"/>
      <c r="AD138" s="1155"/>
      <c r="AE138" s="1155"/>
      <c r="AF138" s="1155"/>
      <c r="AG138" s="1155"/>
      <c r="AH138" s="1155"/>
      <c r="AI138" s="1155"/>
      <c r="AJ138" s="1156"/>
      <c r="AK138" s="1154" t="s">
        <v>1312</v>
      </c>
      <c r="AL138" s="1155"/>
      <c r="AM138" s="1155"/>
      <c r="AN138" s="1155"/>
      <c r="AO138" s="1155"/>
      <c r="AP138" s="1155"/>
      <c r="AQ138" s="1155"/>
      <c r="AR138" s="1155"/>
      <c r="AS138" s="1155"/>
      <c r="AT138" s="1155"/>
      <c r="AU138" s="1155"/>
      <c r="AV138" s="1155"/>
      <c r="AW138" s="1155"/>
      <c r="AX138" s="1155"/>
      <c r="AY138" s="1155"/>
      <c r="AZ138" s="1155"/>
      <c r="BA138" s="1155"/>
      <c r="BB138" s="1156"/>
      <c r="BC138" s="1154" t="s">
        <v>1313</v>
      </c>
      <c r="BD138" s="1155"/>
      <c r="BE138" s="1155"/>
      <c r="BF138" s="1155"/>
      <c r="BG138" s="1155"/>
      <c r="BH138" s="1155"/>
      <c r="BI138" s="1155"/>
      <c r="BJ138" s="1155"/>
      <c r="BK138" s="1155"/>
      <c r="BL138" s="1155"/>
      <c r="BM138" s="1155"/>
      <c r="BN138" s="1155"/>
      <c r="BO138" s="1155"/>
      <c r="BP138" s="1155"/>
      <c r="BQ138" s="1155"/>
      <c r="BR138" s="1155"/>
      <c r="BS138" s="1155"/>
      <c r="BT138" s="1156"/>
      <c r="BU138" s="1154" t="s">
        <v>1314</v>
      </c>
      <c r="BV138" s="1155"/>
      <c r="BW138" s="1155"/>
      <c r="BX138" s="1155"/>
      <c r="BY138" s="1155"/>
      <c r="BZ138" s="1155"/>
      <c r="CA138" s="1155"/>
      <c r="CB138" s="1155"/>
      <c r="CC138" s="1155"/>
      <c r="CD138" s="1155"/>
      <c r="CE138" s="1155"/>
      <c r="CF138" s="1155"/>
      <c r="CG138" s="1155"/>
      <c r="CH138" s="1155"/>
      <c r="CI138" s="1155"/>
      <c r="CJ138" s="1155"/>
      <c r="CK138" s="1155"/>
      <c r="CL138" s="1156"/>
      <c r="CM138" s="1154" t="s">
        <v>644</v>
      </c>
      <c r="CN138" s="1155"/>
      <c r="CO138" s="1155"/>
      <c r="CP138" s="1155"/>
      <c r="CQ138" s="1155"/>
      <c r="CR138" s="1155"/>
      <c r="CS138" s="1155"/>
      <c r="CT138" s="1155"/>
      <c r="CU138" s="1155"/>
      <c r="CV138" s="1155"/>
      <c r="CW138" s="1155"/>
      <c r="CX138" s="1155"/>
      <c r="CY138" s="1155"/>
      <c r="CZ138" s="1155"/>
      <c r="DA138" s="1155"/>
      <c r="DB138" s="1155"/>
      <c r="DC138" s="1155"/>
      <c r="DD138" s="1156"/>
      <c r="DE138" s="1154" t="s">
        <v>645</v>
      </c>
      <c r="DF138" s="1155"/>
      <c r="DG138" s="1155"/>
      <c r="DH138" s="1155"/>
      <c r="DI138" s="1155"/>
      <c r="DJ138" s="1155"/>
      <c r="DK138" s="1155"/>
      <c r="DL138" s="1155"/>
      <c r="DM138" s="1155"/>
      <c r="DN138" s="1155"/>
      <c r="DO138" s="1155"/>
      <c r="DP138" s="1155"/>
      <c r="DQ138" s="1155"/>
      <c r="DR138" s="1155"/>
      <c r="DS138" s="1155"/>
      <c r="DT138" s="1155"/>
      <c r="DU138" s="1155"/>
      <c r="DV138" s="1156"/>
    </row>
    <row r="139" spans="1:126" ht="15" thickBot="1" x14ac:dyDescent="0.35">
      <c r="A139" s="1264"/>
      <c r="B139" s="1265"/>
      <c r="C139" s="1265"/>
      <c r="D139" s="1265"/>
      <c r="E139" s="1266"/>
      <c r="F139" s="1182"/>
      <c r="G139" s="1183"/>
      <c r="H139" s="1183"/>
      <c r="I139" s="1183"/>
      <c r="J139" s="1183"/>
      <c r="K139" s="1183"/>
      <c r="L139" s="1183"/>
      <c r="M139" s="1183"/>
      <c r="N139" s="1183"/>
      <c r="O139" s="1183"/>
      <c r="P139" s="1183"/>
      <c r="Q139" s="1183"/>
      <c r="R139" s="1184"/>
      <c r="S139" s="1145"/>
      <c r="T139" s="1146"/>
      <c r="U139" s="1146"/>
      <c r="V139" s="1146"/>
      <c r="W139" s="1146"/>
      <c r="X139" s="1146"/>
      <c r="Y139" s="1146"/>
      <c r="Z139" s="1146"/>
      <c r="AA139" s="1146"/>
      <c r="AB139" s="1146"/>
      <c r="AC139" s="1146"/>
      <c r="AD139" s="1146"/>
      <c r="AE139" s="1146"/>
      <c r="AF139" s="1146"/>
      <c r="AG139" s="1146"/>
      <c r="AH139" s="1146"/>
      <c r="AI139" s="1146"/>
      <c r="AJ139" s="1147"/>
      <c r="AK139" s="1145"/>
      <c r="AL139" s="1146"/>
      <c r="AM139" s="1146"/>
      <c r="AN139" s="1146"/>
      <c r="AO139" s="1146"/>
      <c r="AP139" s="1146"/>
      <c r="AQ139" s="1146"/>
      <c r="AR139" s="1146"/>
      <c r="AS139" s="1146"/>
      <c r="AT139" s="1146"/>
      <c r="AU139" s="1146"/>
      <c r="AV139" s="1146"/>
      <c r="AW139" s="1146"/>
      <c r="AX139" s="1146"/>
      <c r="AY139" s="1146"/>
      <c r="AZ139" s="1146"/>
      <c r="BA139" s="1146"/>
      <c r="BB139" s="1147"/>
      <c r="BC139" s="1145"/>
      <c r="BD139" s="1146"/>
      <c r="BE139" s="1146"/>
      <c r="BF139" s="1146"/>
      <c r="BG139" s="1146"/>
      <c r="BH139" s="1146"/>
      <c r="BI139" s="1146"/>
      <c r="BJ139" s="1146"/>
      <c r="BK139" s="1146"/>
      <c r="BL139" s="1146"/>
      <c r="BM139" s="1146"/>
      <c r="BN139" s="1146"/>
      <c r="BO139" s="1146"/>
      <c r="BP139" s="1146"/>
      <c r="BQ139" s="1146"/>
      <c r="BR139" s="1146"/>
      <c r="BS139" s="1146"/>
      <c r="BT139" s="1147"/>
      <c r="BU139" s="1145"/>
      <c r="BV139" s="1146"/>
      <c r="BW139" s="1146"/>
      <c r="BX139" s="1146"/>
      <c r="BY139" s="1146"/>
      <c r="BZ139" s="1146"/>
      <c r="CA139" s="1146"/>
      <c r="CB139" s="1146"/>
      <c r="CC139" s="1146"/>
      <c r="CD139" s="1146"/>
      <c r="CE139" s="1146"/>
      <c r="CF139" s="1146"/>
      <c r="CG139" s="1146"/>
      <c r="CH139" s="1146"/>
      <c r="CI139" s="1146"/>
      <c r="CJ139" s="1146"/>
      <c r="CK139" s="1146"/>
      <c r="CL139" s="1147"/>
      <c r="CM139" s="1145"/>
      <c r="CN139" s="1146"/>
      <c r="CO139" s="1146"/>
      <c r="CP139" s="1146"/>
      <c r="CQ139" s="1146"/>
      <c r="CR139" s="1146"/>
      <c r="CS139" s="1146"/>
      <c r="CT139" s="1146"/>
      <c r="CU139" s="1146"/>
      <c r="CV139" s="1146"/>
      <c r="CW139" s="1146"/>
      <c r="CX139" s="1146"/>
      <c r="CY139" s="1146"/>
      <c r="CZ139" s="1146"/>
      <c r="DA139" s="1146"/>
      <c r="DB139" s="1146"/>
      <c r="DC139" s="1146"/>
      <c r="DD139" s="1147"/>
      <c r="DE139" s="1145"/>
      <c r="DF139" s="1146"/>
      <c r="DG139" s="1146"/>
      <c r="DH139" s="1146"/>
      <c r="DI139" s="1146"/>
      <c r="DJ139" s="1146"/>
      <c r="DK139" s="1146"/>
      <c r="DL139" s="1146"/>
      <c r="DM139" s="1146"/>
      <c r="DN139" s="1146"/>
      <c r="DO139" s="1146"/>
      <c r="DP139" s="1146"/>
      <c r="DQ139" s="1146"/>
      <c r="DR139" s="1146"/>
      <c r="DS139" s="1146"/>
      <c r="DT139" s="1146"/>
      <c r="DU139" s="1146"/>
      <c r="DV139" s="1147"/>
    </row>
    <row r="140" spans="1:126" ht="15.6" x14ac:dyDescent="0.3">
      <c r="A140" s="1173">
        <v>4</v>
      </c>
      <c r="B140" s="1174"/>
      <c r="C140" s="1174"/>
      <c r="D140" s="1174"/>
      <c r="E140" s="1175"/>
      <c r="F140" s="1237" t="str">
        <f>"Fuel"&amp;IF('4-Fuel'!C12='4-Fuel'!T10," (CS-1)","")</f>
        <v>Fuel</v>
      </c>
      <c r="G140" s="1238"/>
      <c r="H140" s="1238"/>
      <c r="I140" s="1238"/>
      <c r="J140" s="1238"/>
      <c r="K140" s="1238"/>
      <c r="L140" s="1238"/>
      <c r="M140" s="1238"/>
      <c r="N140" s="1238"/>
      <c r="O140" s="1238"/>
      <c r="P140" s="1238"/>
      <c r="Q140" s="1238"/>
      <c r="R140" s="1239"/>
      <c r="S140" s="1149" t="s">
        <v>1565</v>
      </c>
      <c r="T140" s="1149"/>
      <c r="U140" s="1149"/>
      <c r="V140" s="1149"/>
      <c r="W140" s="1149"/>
      <c r="X140" s="1149"/>
      <c r="Y140" s="1149"/>
      <c r="Z140" s="1149"/>
      <c r="AA140" s="1149"/>
      <c r="AB140" s="1149"/>
      <c r="AC140" s="1149"/>
      <c r="AD140" s="1149"/>
      <c r="AE140" s="1149"/>
      <c r="AF140" s="1149"/>
      <c r="AG140" s="1149"/>
      <c r="AH140" s="1149"/>
      <c r="AI140" s="1149"/>
      <c r="AJ140" s="1150"/>
      <c r="AK140" s="1148" t="s">
        <v>1567</v>
      </c>
      <c r="AL140" s="1149"/>
      <c r="AM140" s="1149"/>
      <c r="AN140" s="1149"/>
      <c r="AO140" s="1149"/>
      <c r="AP140" s="1149"/>
      <c r="AQ140" s="1149"/>
      <c r="AR140" s="1149"/>
      <c r="AS140" s="1149"/>
      <c r="AT140" s="1149"/>
      <c r="AU140" s="1149"/>
      <c r="AV140" s="1149"/>
      <c r="AW140" s="1149"/>
      <c r="AX140" s="1149"/>
      <c r="AY140" s="1149"/>
      <c r="AZ140" s="1149"/>
      <c r="BA140" s="1149"/>
      <c r="BB140" s="1150"/>
      <c r="BC140" s="1148" t="s">
        <v>649</v>
      </c>
      <c r="BD140" s="1149"/>
      <c r="BE140" s="1149"/>
      <c r="BF140" s="1149"/>
      <c r="BG140" s="1149"/>
      <c r="BH140" s="1149"/>
      <c r="BI140" s="1149"/>
      <c r="BJ140" s="1149"/>
      <c r="BK140" s="1149"/>
      <c r="BL140" s="1149"/>
      <c r="BM140" s="1149"/>
      <c r="BN140" s="1149"/>
      <c r="BO140" s="1149"/>
      <c r="BP140" s="1149"/>
      <c r="BQ140" s="1149"/>
      <c r="BR140" s="1149"/>
      <c r="BS140" s="1149"/>
      <c r="BT140" s="1150"/>
      <c r="BU140" s="1148" t="s">
        <v>556</v>
      </c>
      <c r="BV140" s="1149"/>
      <c r="BW140" s="1149"/>
      <c r="BX140" s="1149"/>
      <c r="BY140" s="1149"/>
      <c r="BZ140" s="1149"/>
      <c r="CA140" s="1149"/>
      <c r="CB140" s="1149"/>
      <c r="CC140" s="1149"/>
      <c r="CD140" s="1149"/>
      <c r="CE140" s="1149"/>
      <c r="CF140" s="1149"/>
      <c r="CG140" s="1149"/>
      <c r="CH140" s="1149"/>
      <c r="CI140" s="1149"/>
      <c r="CJ140" s="1149"/>
      <c r="CK140" s="1149"/>
      <c r="CL140" s="1150"/>
      <c r="CM140" s="1148" t="s">
        <v>644</v>
      </c>
      <c r="CN140" s="1149"/>
      <c r="CO140" s="1149"/>
      <c r="CP140" s="1149"/>
      <c r="CQ140" s="1149"/>
      <c r="CR140" s="1149"/>
      <c r="CS140" s="1149"/>
      <c r="CT140" s="1149"/>
      <c r="CU140" s="1149"/>
      <c r="CV140" s="1149"/>
      <c r="CW140" s="1149"/>
      <c r="CX140" s="1149"/>
      <c r="CY140" s="1149"/>
      <c r="CZ140" s="1149"/>
      <c r="DA140" s="1149"/>
      <c r="DB140" s="1149"/>
      <c r="DC140" s="1149"/>
      <c r="DD140" s="1150"/>
      <c r="DE140" s="1148" t="s">
        <v>645</v>
      </c>
      <c r="DF140" s="1149"/>
      <c r="DG140" s="1149"/>
      <c r="DH140" s="1149"/>
      <c r="DI140" s="1149"/>
      <c r="DJ140" s="1149"/>
      <c r="DK140" s="1149"/>
      <c r="DL140" s="1149"/>
      <c r="DM140" s="1149"/>
      <c r="DN140" s="1149"/>
      <c r="DO140" s="1149"/>
      <c r="DP140" s="1149"/>
      <c r="DQ140" s="1149"/>
      <c r="DR140" s="1149"/>
      <c r="DS140" s="1149"/>
      <c r="DT140" s="1149"/>
      <c r="DU140" s="1149"/>
      <c r="DV140" s="1150"/>
    </row>
    <row r="141" spans="1:126" ht="16.2" thickBot="1" x14ac:dyDescent="0.35">
      <c r="A141" s="1176"/>
      <c r="B141" s="1177"/>
      <c r="C141" s="1177"/>
      <c r="D141" s="1177"/>
      <c r="E141" s="1178"/>
      <c r="F141" s="1240"/>
      <c r="G141" s="1241"/>
      <c r="H141" s="1241"/>
      <c r="I141" s="1241"/>
      <c r="J141" s="1241"/>
      <c r="K141" s="1241"/>
      <c r="L141" s="1241"/>
      <c r="M141" s="1241"/>
      <c r="N141" s="1241"/>
      <c r="O141" s="1241"/>
      <c r="P141" s="1241"/>
      <c r="Q141" s="1241"/>
      <c r="R141" s="1242"/>
      <c r="S141" s="1152" t="s">
        <v>1566</v>
      </c>
      <c r="T141" s="1152"/>
      <c r="U141" s="1152"/>
      <c r="V141" s="1152"/>
      <c r="W141" s="1152"/>
      <c r="X141" s="1152"/>
      <c r="Y141" s="1152"/>
      <c r="Z141" s="1152"/>
      <c r="AA141" s="1152"/>
      <c r="AB141" s="1152"/>
      <c r="AC141" s="1152"/>
      <c r="AD141" s="1152"/>
      <c r="AE141" s="1152"/>
      <c r="AF141" s="1152"/>
      <c r="AG141" s="1152"/>
      <c r="AH141" s="1152"/>
      <c r="AI141" s="1152"/>
      <c r="AJ141" s="1153"/>
      <c r="AK141" s="1151" t="s">
        <v>1568</v>
      </c>
      <c r="AL141" s="1152"/>
      <c r="AM141" s="1152"/>
      <c r="AN141" s="1152"/>
      <c r="AO141" s="1152"/>
      <c r="AP141" s="1152"/>
      <c r="AQ141" s="1152"/>
      <c r="AR141" s="1152"/>
      <c r="AS141" s="1152"/>
      <c r="AT141" s="1152"/>
      <c r="AU141" s="1152"/>
      <c r="AV141" s="1152"/>
      <c r="AW141" s="1152"/>
      <c r="AX141" s="1152"/>
      <c r="AY141" s="1152"/>
      <c r="AZ141" s="1152"/>
      <c r="BA141" s="1152"/>
      <c r="BB141" s="1153"/>
      <c r="BC141" s="1151"/>
      <c r="BD141" s="1152"/>
      <c r="BE141" s="1152"/>
      <c r="BF141" s="1152"/>
      <c r="BG141" s="1152"/>
      <c r="BH141" s="1152"/>
      <c r="BI141" s="1152"/>
      <c r="BJ141" s="1152"/>
      <c r="BK141" s="1152"/>
      <c r="BL141" s="1152"/>
      <c r="BM141" s="1152"/>
      <c r="BN141" s="1152"/>
      <c r="BO141" s="1152"/>
      <c r="BP141" s="1152"/>
      <c r="BQ141" s="1152"/>
      <c r="BR141" s="1152"/>
      <c r="BS141" s="1152"/>
      <c r="BT141" s="1153"/>
      <c r="BU141" s="1151" t="s">
        <v>650</v>
      </c>
      <c r="BV141" s="1152"/>
      <c r="BW141" s="1152"/>
      <c r="BX141" s="1152"/>
      <c r="BY141" s="1152"/>
      <c r="BZ141" s="1152"/>
      <c r="CA141" s="1152"/>
      <c r="CB141" s="1152"/>
      <c r="CC141" s="1152"/>
      <c r="CD141" s="1152"/>
      <c r="CE141" s="1152"/>
      <c r="CF141" s="1152"/>
      <c r="CG141" s="1152"/>
      <c r="CH141" s="1152"/>
      <c r="CI141" s="1152"/>
      <c r="CJ141" s="1152"/>
      <c r="CK141" s="1152"/>
      <c r="CL141" s="1153"/>
      <c r="CM141" s="1151"/>
      <c r="CN141" s="1152"/>
      <c r="CO141" s="1152"/>
      <c r="CP141" s="1152"/>
      <c r="CQ141" s="1152"/>
      <c r="CR141" s="1152"/>
      <c r="CS141" s="1152"/>
      <c r="CT141" s="1152"/>
      <c r="CU141" s="1152"/>
      <c r="CV141" s="1152"/>
      <c r="CW141" s="1152"/>
      <c r="CX141" s="1152"/>
      <c r="CY141" s="1152"/>
      <c r="CZ141" s="1152"/>
      <c r="DA141" s="1152"/>
      <c r="DB141" s="1152"/>
      <c r="DC141" s="1152"/>
      <c r="DD141" s="1153"/>
      <c r="DE141" s="1151"/>
      <c r="DF141" s="1152"/>
      <c r="DG141" s="1152"/>
      <c r="DH141" s="1152"/>
      <c r="DI141" s="1152"/>
      <c r="DJ141" s="1152"/>
      <c r="DK141" s="1152"/>
      <c r="DL141" s="1152"/>
      <c r="DM141" s="1152"/>
      <c r="DN141" s="1152"/>
      <c r="DO141" s="1152"/>
      <c r="DP141" s="1152"/>
      <c r="DQ141" s="1152"/>
      <c r="DR141" s="1152"/>
      <c r="DS141" s="1152"/>
      <c r="DT141" s="1152"/>
      <c r="DU141" s="1152"/>
      <c r="DV141" s="1153"/>
    </row>
    <row r="142" spans="1:126" ht="15.6" x14ac:dyDescent="0.3">
      <c r="A142" s="1261">
        <v>5</v>
      </c>
      <c r="B142" s="1262"/>
      <c r="C142" s="1262"/>
      <c r="D142" s="1262"/>
      <c r="E142" s="1263"/>
      <c r="F142" s="1243" t="str">
        <f>"Weapon*"</f>
        <v>Weapon*</v>
      </c>
      <c r="G142" s="1244"/>
      <c r="H142" s="1244"/>
      <c r="I142" s="1244"/>
      <c r="J142" s="1244"/>
      <c r="K142" s="1244"/>
      <c r="L142" s="1244"/>
      <c r="M142" s="1244"/>
      <c r="N142" s="1244"/>
      <c r="O142" s="1244"/>
      <c r="P142" s="1244"/>
      <c r="Q142" s="1244"/>
      <c r="R142" s="1245"/>
      <c r="S142" s="1155" t="s">
        <v>1317</v>
      </c>
      <c r="T142" s="1155"/>
      <c r="U142" s="1155"/>
      <c r="V142" s="1155"/>
      <c r="W142" s="1155"/>
      <c r="X142" s="1155"/>
      <c r="Y142" s="1155"/>
      <c r="Z142" s="1155"/>
      <c r="AA142" s="1155"/>
      <c r="AB142" s="1155"/>
      <c r="AC142" s="1155"/>
      <c r="AD142" s="1155"/>
      <c r="AE142" s="1155"/>
      <c r="AF142" s="1155"/>
      <c r="AG142" s="1155"/>
      <c r="AH142" s="1155"/>
      <c r="AI142" s="1155"/>
      <c r="AJ142" s="1156"/>
      <c r="AK142" s="1154" t="s">
        <v>1317</v>
      </c>
      <c r="AL142" s="1155"/>
      <c r="AM142" s="1155"/>
      <c r="AN142" s="1155"/>
      <c r="AO142" s="1155"/>
      <c r="AP142" s="1155"/>
      <c r="AQ142" s="1155"/>
      <c r="AR142" s="1155"/>
      <c r="AS142" s="1155"/>
      <c r="AT142" s="1155"/>
      <c r="AU142" s="1155"/>
      <c r="AV142" s="1155"/>
      <c r="AW142" s="1155"/>
      <c r="AX142" s="1155"/>
      <c r="AY142" s="1155"/>
      <c r="AZ142" s="1155"/>
      <c r="BA142" s="1155"/>
      <c r="BB142" s="1156"/>
      <c r="BC142" s="1155" t="s">
        <v>1319</v>
      </c>
      <c r="BD142" s="1155"/>
      <c r="BE142" s="1155"/>
      <c r="BF142" s="1155"/>
      <c r="BG142" s="1155"/>
      <c r="BH142" s="1155"/>
      <c r="BI142" s="1155"/>
      <c r="BJ142" s="1155"/>
      <c r="BK142" s="1155"/>
      <c r="BL142" s="1155"/>
      <c r="BM142" s="1155"/>
      <c r="BN142" s="1155"/>
      <c r="BO142" s="1155"/>
      <c r="BP142" s="1155"/>
      <c r="BQ142" s="1155"/>
      <c r="BR142" s="1155"/>
      <c r="BS142" s="1155"/>
      <c r="BT142" s="1155"/>
      <c r="BU142" s="1154" t="s">
        <v>1320</v>
      </c>
      <c r="BV142" s="1155"/>
      <c r="BW142" s="1155"/>
      <c r="BX142" s="1155"/>
      <c r="BY142" s="1155"/>
      <c r="BZ142" s="1155"/>
      <c r="CA142" s="1155"/>
      <c r="CB142" s="1155"/>
      <c r="CC142" s="1155"/>
      <c r="CD142" s="1155"/>
      <c r="CE142" s="1155"/>
      <c r="CF142" s="1155"/>
      <c r="CG142" s="1155"/>
      <c r="CH142" s="1155"/>
      <c r="CI142" s="1155"/>
      <c r="CJ142" s="1155"/>
      <c r="CK142" s="1155"/>
      <c r="CL142" s="1156"/>
      <c r="CM142" s="1155" t="s">
        <v>1321</v>
      </c>
      <c r="CN142" s="1155"/>
      <c r="CO142" s="1155"/>
      <c r="CP142" s="1155"/>
      <c r="CQ142" s="1155"/>
      <c r="CR142" s="1155"/>
      <c r="CS142" s="1155"/>
      <c r="CT142" s="1155"/>
      <c r="CU142" s="1155"/>
      <c r="CV142" s="1155"/>
      <c r="CW142" s="1155"/>
      <c r="CX142" s="1155"/>
      <c r="CY142" s="1155"/>
      <c r="CZ142" s="1155"/>
      <c r="DA142" s="1155"/>
      <c r="DB142" s="1155"/>
      <c r="DC142" s="1155"/>
      <c r="DD142" s="1155"/>
      <c r="DE142" s="1154" t="s">
        <v>1322</v>
      </c>
      <c r="DF142" s="1155"/>
      <c r="DG142" s="1155"/>
      <c r="DH142" s="1155"/>
      <c r="DI142" s="1155"/>
      <c r="DJ142" s="1155"/>
      <c r="DK142" s="1155"/>
      <c r="DL142" s="1155"/>
      <c r="DM142" s="1155"/>
      <c r="DN142" s="1155"/>
      <c r="DO142" s="1155"/>
      <c r="DP142" s="1155"/>
      <c r="DQ142" s="1155"/>
      <c r="DR142" s="1155"/>
      <c r="DS142" s="1155"/>
      <c r="DT142" s="1155"/>
      <c r="DU142" s="1155"/>
      <c r="DV142" s="1156"/>
    </row>
    <row r="143" spans="1:126" ht="16.2" thickBot="1" x14ac:dyDescent="0.35">
      <c r="A143" s="1264"/>
      <c r="B143" s="1265"/>
      <c r="C143" s="1265"/>
      <c r="D143" s="1265"/>
      <c r="E143" s="1266"/>
      <c r="F143" s="1246"/>
      <c r="G143" s="1247"/>
      <c r="H143" s="1247"/>
      <c r="I143" s="1247"/>
      <c r="J143" s="1247"/>
      <c r="K143" s="1247"/>
      <c r="L143" s="1247"/>
      <c r="M143" s="1247"/>
      <c r="N143" s="1247"/>
      <c r="O143" s="1247"/>
      <c r="P143" s="1247"/>
      <c r="Q143" s="1247"/>
      <c r="R143" s="1248"/>
      <c r="S143" s="1146" t="s">
        <v>1315</v>
      </c>
      <c r="T143" s="1146"/>
      <c r="U143" s="1146"/>
      <c r="V143" s="1146"/>
      <c r="W143" s="1146"/>
      <c r="X143" s="1146"/>
      <c r="Y143" s="1146"/>
      <c r="Z143" s="1146"/>
      <c r="AA143" s="1146"/>
      <c r="AB143" s="1146"/>
      <c r="AC143" s="1146"/>
      <c r="AD143" s="1146"/>
      <c r="AE143" s="1146"/>
      <c r="AF143" s="1146"/>
      <c r="AG143" s="1146"/>
      <c r="AH143" s="1146"/>
      <c r="AI143" s="1146"/>
      <c r="AJ143" s="1147"/>
      <c r="AK143" s="1145" t="s">
        <v>1318</v>
      </c>
      <c r="AL143" s="1146"/>
      <c r="AM143" s="1146"/>
      <c r="AN143" s="1146"/>
      <c r="AO143" s="1146"/>
      <c r="AP143" s="1146"/>
      <c r="AQ143" s="1146"/>
      <c r="AR143" s="1146"/>
      <c r="AS143" s="1146"/>
      <c r="AT143" s="1146"/>
      <c r="AU143" s="1146"/>
      <c r="AV143" s="1146"/>
      <c r="AW143" s="1146"/>
      <c r="AX143" s="1146"/>
      <c r="AY143" s="1146"/>
      <c r="AZ143" s="1146"/>
      <c r="BA143" s="1146"/>
      <c r="BB143" s="1147"/>
      <c r="BC143" s="1146" t="s">
        <v>650</v>
      </c>
      <c r="BD143" s="1146"/>
      <c r="BE143" s="1146"/>
      <c r="BF143" s="1146"/>
      <c r="BG143" s="1146"/>
      <c r="BH143" s="1146"/>
      <c r="BI143" s="1146"/>
      <c r="BJ143" s="1146"/>
      <c r="BK143" s="1146"/>
      <c r="BL143" s="1146"/>
      <c r="BM143" s="1146"/>
      <c r="BN143" s="1146"/>
      <c r="BO143" s="1146"/>
      <c r="BP143" s="1146"/>
      <c r="BQ143" s="1146"/>
      <c r="BR143" s="1146"/>
      <c r="BS143" s="1146"/>
      <c r="BT143" s="1146"/>
      <c r="BU143" s="1145" t="s">
        <v>644</v>
      </c>
      <c r="BV143" s="1146"/>
      <c r="BW143" s="1146"/>
      <c r="BX143" s="1146"/>
      <c r="BY143" s="1146"/>
      <c r="BZ143" s="1146"/>
      <c r="CA143" s="1146"/>
      <c r="CB143" s="1146"/>
      <c r="CC143" s="1146"/>
      <c r="CD143" s="1146"/>
      <c r="CE143" s="1146"/>
      <c r="CF143" s="1146"/>
      <c r="CG143" s="1146"/>
      <c r="CH143" s="1146"/>
      <c r="CI143" s="1146"/>
      <c r="CJ143" s="1146"/>
      <c r="CK143" s="1146"/>
      <c r="CL143" s="1147"/>
      <c r="CM143" s="1146" t="s">
        <v>644</v>
      </c>
      <c r="CN143" s="1146"/>
      <c r="CO143" s="1146"/>
      <c r="CP143" s="1146"/>
      <c r="CQ143" s="1146"/>
      <c r="CR143" s="1146"/>
      <c r="CS143" s="1146"/>
      <c r="CT143" s="1146"/>
      <c r="CU143" s="1146"/>
      <c r="CV143" s="1146"/>
      <c r="CW143" s="1146"/>
      <c r="CX143" s="1146"/>
      <c r="CY143" s="1146"/>
      <c r="CZ143" s="1146"/>
      <c r="DA143" s="1146"/>
      <c r="DB143" s="1146"/>
      <c r="DC143" s="1146"/>
      <c r="DD143" s="1146"/>
      <c r="DE143" s="1145" t="s">
        <v>644</v>
      </c>
      <c r="DF143" s="1146"/>
      <c r="DG143" s="1146"/>
      <c r="DH143" s="1146"/>
      <c r="DI143" s="1146"/>
      <c r="DJ143" s="1146"/>
      <c r="DK143" s="1146"/>
      <c r="DL143" s="1146"/>
      <c r="DM143" s="1146"/>
      <c r="DN143" s="1146"/>
      <c r="DO143" s="1146"/>
      <c r="DP143" s="1146"/>
      <c r="DQ143" s="1146"/>
      <c r="DR143" s="1146"/>
      <c r="DS143" s="1146"/>
      <c r="DT143" s="1146"/>
      <c r="DU143" s="1146"/>
      <c r="DV143" s="1147"/>
    </row>
    <row r="144" spans="1:126" ht="15.6" x14ac:dyDescent="0.3">
      <c r="A144" s="1173">
        <v>6</v>
      </c>
      <c r="B144" s="1174"/>
      <c r="C144" s="1174"/>
      <c r="D144" s="1174"/>
      <c r="E144" s="1175"/>
      <c r="F144" s="1267" t="s">
        <v>555</v>
      </c>
      <c r="G144" s="1268"/>
      <c r="H144" s="1268"/>
      <c r="I144" s="1268"/>
      <c r="J144" s="1268"/>
      <c r="K144" s="1268"/>
      <c r="L144" s="1268"/>
      <c r="M144" s="1268"/>
      <c r="N144" s="1268"/>
      <c r="O144" s="1268"/>
      <c r="P144" s="1268"/>
      <c r="Q144" s="1268"/>
      <c r="R144" s="1269"/>
      <c r="S144" s="1149" t="s">
        <v>651</v>
      </c>
      <c r="T144" s="1149"/>
      <c r="U144" s="1149"/>
      <c r="V144" s="1149"/>
      <c r="W144" s="1149"/>
      <c r="X144" s="1149"/>
      <c r="Y144" s="1149"/>
      <c r="Z144" s="1149"/>
      <c r="AA144" s="1149"/>
      <c r="AB144" s="1149"/>
      <c r="AC144" s="1149"/>
      <c r="AD144" s="1149"/>
      <c r="AE144" s="1149"/>
      <c r="AF144" s="1149"/>
      <c r="AG144" s="1149"/>
      <c r="AH144" s="1149"/>
      <c r="AI144" s="1149"/>
      <c r="AJ144" s="1150"/>
      <c r="AK144" s="1148" t="s">
        <v>652</v>
      </c>
      <c r="AL144" s="1149"/>
      <c r="AM144" s="1149"/>
      <c r="AN144" s="1149"/>
      <c r="AO144" s="1149"/>
      <c r="AP144" s="1149"/>
      <c r="AQ144" s="1149"/>
      <c r="AR144" s="1149"/>
      <c r="AS144" s="1149"/>
      <c r="AT144" s="1149"/>
      <c r="AU144" s="1149"/>
      <c r="AV144" s="1149"/>
      <c r="AW144" s="1149"/>
      <c r="AX144" s="1149"/>
      <c r="AY144" s="1149"/>
      <c r="AZ144" s="1149"/>
      <c r="BA144" s="1149"/>
      <c r="BB144" s="1150"/>
      <c r="BC144" s="1148" t="s">
        <v>653</v>
      </c>
      <c r="BD144" s="1149"/>
      <c r="BE144" s="1149"/>
      <c r="BF144" s="1149"/>
      <c r="BG144" s="1149"/>
      <c r="BH144" s="1149"/>
      <c r="BI144" s="1149"/>
      <c r="BJ144" s="1149"/>
      <c r="BK144" s="1149"/>
      <c r="BL144" s="1149"/>
      <c r="BM144" s="1149"/>
      <c r="BN144" s="1149"/>
      <c r="BO144" s="1149"/>
      <c r="BP144" s="1149"/>
      <c r="BQ144" s="1149"/>
      <c r="BR144" s="1149"/>
      <c r="BS144" s="1149"/>
      <c r="BT144" s="1150"/>
      <c r="BU144" s="1148" t="s">
        <v>653</v>
      </c>
      <c r="BV144" s="1149"/>
      <c r="BW144" s="1149"/>
      <c r="BX144" s="1149"/>
      <c r="BY144" s="1149"/>
      <c r="BZ144" s="1149"/>
      <c r="CA144" s="1149"/>
      <c r="CB144" s="1149"/>
      <c r="CC144" s="1149"/>
      <c r="CD144" s="1149"/>
      <c r="CE144" s="1149"/>
      <c r="CF144" s="1149"/>
      <c r="CG144" s="1149"/>
      <c r="CH144" s="1149"/>
      <c r="CI144" s="1149"/>
      <c r="CJ144" s="1149"/>
      <c r="CK144" s="1149"/>
      <c r="CL144" s="1150"/>
      <c r="CM144" s="1149" t="s">
        <v>1323</v>
      </c>
      <c r="CN144" s="1149"/>
      <c r="CO144" s="1149"/>
      <c r="CP144" s="1149"/>
      <c r="CQ144" s="1149"/>
      <c r="CR144" s="1149"/>
      <c r="CS144" s="1149"/>
      <c r="CT144" s="1149"/>
      <c r="CU144" s="1149"/>
      <c r="CV144" s="1149"/>
      <c r="CW144" s="1149"/>
      <c r="CX144" s="1149"/>
      <c r="CY144" s="1149"/>
      <c r="CZ144" s="1149"/>
      <c r="DA144" s="1149"/>
      <c r="DB144" s="1149"/>
      <c r="DC144" s="1149"/>
      <c r="DD144" s="1149"/>
      <c r="DE144" s="1148" t="s">
        <v>1323</v>
      </c>
      <c r="DF144" s="1149"/>
      <c r="DG144" s="1149"/>
      <c r="DH144" s="1149"/>
      <c r="DI144" s="1149"/>
      <c r="DJ144" s="1149"/>
      <c r="DK144" s="1149"/>
      <c r="DL144" s="1149"/>
      <c r="DM144" s="1149"/>
      <c r="DN144" s="1149"/>
      <c r="DO144" s="1149"/>
      <c r="DP144" s="1149"/>
      <c r="DQ144" s="1149"/>
      <c r="DR144" s="1149"/>
      <c r="DS144" s="1149"/>
      <c r="DT144" s="1149"/>
      <c r="DU144" s="1149"/>
      <c r="DV144" s="1150"/>
    </row>
    <row r="145" spans="1:126" ht="16.2" thickBot="1" x14ac:dyDescent="0.35">
      <c r="A145" s="1176"/>
      <c r="B145" s="1177"/>
      <c r="C145" s="1177"/>
      <c r="D145" s="1177"/>
      <c r="E145" s="1178"/>
      <c r="F145" s="1270"/>
      <c r="G145" s="1271"/>
      <c r="H145" s="1271"/>
      <c r="I145" s="1271"/>
      <c r="J145" s="1271"/>
      <c r="K145" s="1271"/>
      <c r="L145" s="1271"/>
      <c r="M145" s="1271"/>
      <c r="N145" s="1271"/>
      <c r="O145" s="1271"/>
      <c r="P145" s="1271"/>
      <c r="Q145" s="1271"/>
      <c r="R145" s="1272"/>
      <c r="S145" s="1152"/>
      <c r="T145" s="1152"/>
      <c r="U145" s="1152"/>
      <c r="V145" s="1152"/>
      <c r="W145" s="1152"/>
      <c r="X145" s="1152"/>
      <c r="Y145" s="1152"/>
      <c r="Z145" s="1152"/>
      <c r="AA145" s="1152"/>
      <c r="AB145" s="1152"/>
      <c r="AC145" s="1152"/>
      <c r="AD145" s="1152"/>
      <c r="AE145" s="1152"/>
      <c r="AF145" s="1152"/>
      <c r="AG145" s="1152"/>
      <c r="AH145" s="1152"/>
      <c r="AI145" s="1152"/>
      <c r="AJ145" s="1153"/>
      <c r="AK145" s="1151"/>
      <c r="AL145" s="1152"/>
      <c r="AM145" s="1152"/>
      <c r="AN145" s="1152"/>
      <c r="AO145" s="1152"/>
      <c r="AP145" s="1152"/>
      <c r="AQ145" s="1152"/>
      <c r="AR145" s="1152"/>
      <c r="AS145" s="1152"/>
      <c r="AT145" s="1152"/>
      <c r="AU145" s="1152"/>
      <c r="AV145" s="1152"/>
      <c r="AW145" s="1152"/>
      <c r="AX145" s="1152"/>
      <c r="AY145" s="1152"/>
      <c r="AZ145" s="1152"/>
      <c r="BA145" s="1152"/>
      <c r="BB145" s="1153"/>
      <c r="BC145" s="1151"/>
      <c r="BD145" s="1152"/>
      <c r="BE145" s="1152"/>
      <c r="BF145" s="1152"/>
      <c r="BG145" s="1152"/>
      <c r="BH145" s="1152"/>
      <c r="BI145" s="1152"/>
      <c r="BJ145" s="1152"/>
      <c r="BK145" s="1152"/>
      <c r="BL145" s="1152"/>
      <c r="BM145" s="1152"/>
      <c r="BN145" s="1152"/>
      <c r="BO145" s="1152"/>
      <c r="BP145" s="1152"/>
      <c r="BQ145" s="1152"/>
      <c r="BR145" s="1152"/>
      <c r="BS145" s="1152"/>
      <c r="BT145" s="1153"/>
      <c r="BU145" s="1151"/>
      <c r="BV145" s="1152"/>
      <c r="BW145" s="1152"/>
      <c r="BX145" s="1152"/>
      <c r="BY145" s="1152"/>
      <c r="BZ145" s="1152"/>
      <c r="CA145" s="1152"/>
      <c r="CB145" s="1152"/>
      <c r="CC145" s="1152"/>
      <c r="CD145" s="1152"/>
      <c r="CE145" s="1152"/>
      <c r="CF145" s="1152"/>
      <c r="CG145" s="1152"/>
      <c r="CH145" s="1152"/>
      <c r="CI145" s="1152"/>
      <c r="CJ145" s="1152"/>
      <c r="CK145" s="1152"/>
      <c r="CL145" s="1153"/>
      <c r="CM145" s="1152" t="s">
        <v>644</v>
      </c>
      <c r="CN145" s="1152"/>
      <c r="CO145" s="1152"/>
      <c r="CP145" s="1152"/>
      <c r="CQ145" s="1152"/>
      <c r="CR145" s="1152"/>
      <c r="CS145" s="1152"/>
      <c r="CT145" s="1152"/>
      <c r="CU145" s="1152"/>
      <c r="CV145" s="1152"/>
      <c r="CW145" s="1152"/>
      <c r="CX145" s="1152"/>
      <c r="CY145" s="1152"/>
      <c r="CZ145" s="1152"/>
      <c r="DA145" s="1152"/>
      <c r="DB145" s="1152"/>
      <c r="DC145" s="1152"/>
      <c r="DD145" s="1152"/>
      <c r="DE145" s="1151" t="s">
        <v>644</v>
      </c>
      <c r="DF145" s="1152"/>
      <c r="DG145" s="1152"/>
      <c r="DH145" s="1152"/>
      <c r="DI145" s="1152"/>
      <c r="DJ145" s="1152"/>
      <c r="DK145" s="1152"/>
      <c r="DL145" s="1152"/>
      <c r="DM145" s="1152"/>
      <c r="DN145" s="1152"/>
      <c r="DO145" s="1152"/>
      <c r="DP145" s="1152"/>
      <c r="DQ145" s="1152"/>
      <c r="DR145" s="1152"/>
      <c r="DS145" s="1152"/>
      <c r="DT145" s="1152"/>
      <c r="DU145" s="1152"/>
      <c r="DV145" s="1153"/>
    </row>
    <row r="146" spans="1:126" ht="15.6" x14ac:dyDescent="0.3">
      <c r="A146" s="1261">
        <v>7</v>
      </c>
      <c r="B146" s="1262"/>
      <c r="C146" s="1262"/>
      <c r="D146" s="1262"/>
      <c r="E146" s="1263"/>
      <c r="F146" s="1179" t="s">
        <v>553</v>
      </c>
      <c r="G146" s="1180"/>
      <c r="H146" s="1180"/>
      <c r="I146" s="1180"/>
      <c r="J146" s="1180"/>
      <c r="K146" s="1180"/>
      <c r="L146" s="1180"/>
      <c r="M146" s="1180"/>
      <c r="N146" s="1180"/>
      <c r="O146" s="1180"/>
      <c r="P146" s="1180"/>
      <c r="Q146" s="1180"/>
      <c r="R146" s="1181"/>
      <c r="S146" s="1155" t="s">
        <v>654</v>
      </c>
      <c r="T146" s="1155"/>
      <c r="U146" s="1155"/>
      <c r="V146" s="1155"/>
      <c r="W146" s="1155"/>
      <c r="X146" s="1155"/>
      <c r="Y146" s="1155"/>
      <c r="Z146" s="1155"/>
      <c r="AA146" s="1155"/>
      <c r="AB146" s="1155"/>
      <c r="AC146" s="1155"/>
      <c r="AD146" s="1155"/>
      <c r="AE146" s="1155"/>
      <c r="AF146" s="1155"/>
      <c r="AG146" s="1155"/>
      <c r="AH146" s="1155"/>
      <c r="AI146" s="1155"/>
      <c r="AJ146" s="1156"/>
      <c r="AK146" s="1154" t="s">
        <v>655</v>
      </c>
      <c r="AL146" s="1155"/>
      <c r="AM146" s="1155"/>
      <c r="AN146" s="1155"/>
      <c r="AO146" s="1155"/>
      <c r="AP146" s="1155"/>
      <c r="AQ146" s="1155"/>
      <c r="AR146" s="1155"/>
      <c r="AS146" s="1155"/>
      <c r="AT146" s="1155"/>
      <c r="AU146" s="1155"/>
      <c r="AV146" s="1155"/>
      <c r="AW146" s="1155"/>
      <c r="AX146" s="1155"/>
      <c r="AY146" s="1155"/>
      <c r="AZ146" s="1155"/>
      <c r="BA146" s="1155"/>
      <c r="BB146" s="1156"/>
      <c r="BC146" s="1155" t="s">
        <v>656</v>
      </c>
      <c r="BD146" s="1155"/>
      <c r="BE146" s="1155"/>
      <c r="BF146" s="1155"/>
      <c r="BG146" s="1155"/>
      <c r="BH146" s="1155"/>
      <c r="BI146" s="1155"/>
      <c r="BJ146" s="1155"/>
      <c r="BK146" s="1155"/>
      <c r="BL146" s="1155"/>
      <c r="BM146" s="1155"/>
      <c r="BN146" s="1155"/>
      <c r="BO146" s="1155"/>
      <c r="BP146" s="1155"/>
      <c r="BQ146" s="1155"/>
      <c r="BR146" s="1155"/>
      <c r="BS146" s="1155"/>
      <c r="BT146" s="1155"/>
      <c r="BU146" s="1154" t="s">
        <v>657</v>
      </c>
      <c r="BV146" s="1155"/>
      <c r="BW146" s="1155"/>
      <c r="BX146" s="1155"/>
      <c r="BY146" s="1155"/>
      <c r="BZ146" s="1155"/>
      <c r="CA146" s="1155"/>
      <c r="CB146" s="1155"/>
      <c r="CC146" s="1155"/>
      <c r="CD146" s="1155"/>
      <c r="CE146" s="1155"/>
      <c r="CF146" s="1155"/>
      <c r="CG146" s="1155"/>
      <c r="CH146" s="1155"/>
      <c r="CI146" s="1155"/>
      <c r="CJ146" s="1155"/>
      <c r="CK146" s="1155"/>
      <c r="CL146" s="1156"/>
      <c r="CM146" s="1155" t="s">
        <v>658</v>
      </c>
      <c r="CN146" s="1155"/>
      <c r="CO146" s="1155"/>
      <c r="CP146" s="1155"/>
      <c r="CQ146" s="1155"/>
      <c r="CR146" s="1155"/>
      <c r="CS146" s="1155"/>
      <c r="CT146" s="1155"/>
      <c r="CU146" s="1155"/>
      <c r="CV146" s="1155"/>
      <c r="CW146" s="1155"/>
      <c r="CX146" s="1155"/>
      <c r="CY146" s="1155"/>
      <c r="CZ146" s="1155"/>
      <c r="DA146" s="1155"/>
      <c r="DB146" s="1155"/>
      <c r="DC146" s="1155"/>
      <c r="DD146" s="1155"/>
      <c r="DE146" s="1154" t="s">
        <v>659</v>
      </c>
      <c r="DF146" s="1155"/>
      <c r="DG146" s="1155"/>
      <c r="DH146" s="1155"/>
      <c r="DI146" s="1155"/>
      <c r="DJ146" s="1155"/>
      <c r="DK146" s="1155"/>
      <c r="DL146" s="1155"/>
      <c r="DM146" s="1155"/>
      <c r="DN146" s="1155"/>
      <c r="DO146" s="1155"/>
      <c r="DP146" s="1155"/>
      <c r="DQ146" s="1155"/>
      <c r="DR146" s="1155"/>
      <c r="DS146" s="1155"/>
      <c r="DT146" s="1155"/>
      <c r="DU146" s="1155"/>
      <c r="DV146" s="1156"/>
    </row>
    <row r="147" spans="1:126" ht="16.2" thickBot="1" x14ac:dyDescent="0.35">
      <c r="A147" s="1264"/>
      <c r="B147" s="1265"/>
      <c r="C147" s="1265"/>
      <c r="D147" s="1265"/>
      <c r="E147" s="1266"/>
      <c r="F147" s="1182"/>
      <c r="G147" s="1183"/>
      <c r="H147" s="1183"/>
      <c r="I147" s="1183"/>
      <c r="J147" s="1183"/>
      <c r="K147" s="1183"/>
      <c r="L147" s="1183"/>
      <c r="M147" s="1183"/>
      <c r="N147" s="1183"/>
      <c r="O147" s="1183"/>
      <c r="P147" s="1183"/>
      <c r="Q147" s="1183"/>
      <c r="R147" s="1184"/>
      <c r="S147" s="1146"/>
      <c r="T147" s="1146"/>
      <c r="U147" s="1146"/>
      <c r="V147" s="1146"/>
      <c r="W147" s="1146"/>
      <c r="X147" s="1146"/>
      <c r="Y147" s="1146"/>
      <c r="Z147" s="1146"/>
      <c r="AA147" s="1146"/>
      <c r="AB147" s="1146"/>
      <c r="AC147" s="1146"/>
      <c r="AD147" s="1146"/>
      <c r="AE147" s="1146"/>
      <c r="AF147" s="1146"/>
      <c r="AG147" s="1146"/>
      <c r="AH147" s="1146"/>
      <c r="AI147" s="1146"/>
      <c r="AJ147" s="1147"/>
      <c r="AK147" s="1145"/>
      <c r="AL147" s="1146"/>
      <c r="AM147" s="1146"/>
      <c r="AN147" s="1146"/>
      <c r="AO147" s="1146"/>
      <c r="AP147" s="1146"/>
      <c r="AQ147" s="1146"/>
      <c r="AR147" s="1146"/>
      <c r="AS147" s="1146"/>
      <c r="AT147" s="1146"/>
      <c r="AU147" s="1146"/>
      <c r="AV147" s="1146"/>
      <c r="AW147" s="1146"/>
      <c r="AX147" s="1146"/>
      <c r="AY147" s="1146"/>
      <c r="AZ147" s="1146"/>
      <c r="BA147" s="1146"/>
      <c r="BB147" s="1147"/>
      <c r="BC147" s="1146"/>
      <c r="BD147" s="1146"/>
      <c r="BE147" s="1146"/>
      <c r="BF147" s="1146"/>
      <c r="BG147" s="1146"/>
      <c r="BH147" s="1146"/>
      <c r="BI147" s="1146"/>
      <c r="BJ147" s="1146"/>
      <c r="BK147" s="1146"/>
      <c r="BL147" s="1146"/>
      <c r="BM147" s="1146"/>
      <c r="BN147" s="1146"/>
      <c r="BO147" s="1146"/>
      <c r="BP147" s="1146"/>
      <c r="BQ147" s="1146"/>
      <c r="BR147" s="1146"/>
      <c r="BS147" s="1146"/>
      <c r="BT147" s="1146"/>
      <c r="BU147" s="1145"/>
      <c r="BV147" s="1146"/>
      <c r="BW147" s="1146"/>
      <c r="BX147" s="1146"/>
      <c r="BY147" s="1146"/>
      <c r="BZ147" s="1146"/>
      <c r="CA147" s="1146"/>
      <c r="CB147" s="1146"/>
      <c r="CC147" s="1146"/>
      <c r="CD147" s="1146"/>
      <c r="CE147" s="1146"/>
      <c r="CF147" s="1146"/>
      <c r="CG147" s="1146"/>
      <c r="CH147" s="1146"/>
      <c r="CI147" s="1146"/>
      <c r="CJ147" s="1146"/>
      <c r="CK147" s="1146"/>
      <c r="CL147" s="1147"/>
      <c r="CM147" s="1146"/>
      <c r="CN147" s="1146"/>
      <c r="CO147" s="1146"/>
      <c r="CP147" s="1146"/>
      <c r="CQ147" s="1146"/>
      <c r="CR147" s="1146"/>
      <c r="CS147" s="1146"/>
      <c r="CT147" s="1146"/>
      <c r="CU147" s="1146"/>
      <c r="CV147" s="1146"/>
      <c r="CW147" s="1146"/>
      <c r="CX147" s="1146"/>
      <c r="CY147" s="1146"/>
      <c r="CZ147" s="1146"/>
      <c r="DA147" s="1146"/>
      <c r="DB147" s="1146"/>
      <c r="DC147" s="1146"/>
      <c r="DD147" s="1146"/>
      <c r="DE147" s="1145"/>
      <c r="DF147" s="1146"/>
      <c r="DG147" s="1146"/>
      <c r="DH147" s="1146"/>
      <c r="DI147" s="1146"/>
      <c r="DJ147" s="1146"/>
      <c r="DK147" s="1146"/>
      <c r="DL147" s="1146"/>
      <c r="DM147" s="1146"/>
      <c r="DN147" s="1146"/>
      <c r="DO147" s="1146"/>
      <c r="DP147" s="1146"/>
      <c r="DQ147" s="1146"/>
      <c r="DR147" s="1146"/>
      <c r="DS147" s="1146"/>
      <c r="DT147" s="1146"/>
      <c r="DU147" s="1146"/>
      <c r="DV147" s="1147"/>
    </row>
    <row r="148" spans="1:126" ht="15.6" x14ac:dyDescent="0.3">
      <c r="A148" s="1173">
        <v>8</v>
      </c>
      <c r="B148" s="1174"/>
      <c r="C148" s="1174"/>
      <c r="D148" s="1174"/>
      <c r="E148" s="1175"/>
      <c r="F148" s="1237" t="str">
        <f>"M-Drive"&amp;IF('2-Drives'!C16="No",""," (CS-1)")</f>
        <v>M-Drive</v>
      </c>
      <c r="G148" s="1238"/>
      <c r="H148" s="1238"/>
      <c r="I148" s="1238"/>
      <c r="J148" s="1238"/>
      <c r="K148" s="1238"/>
      <c r="L148" s="1238"/>
      <c r="M148" s="1238"/>
      <c r="N148" s="1238"/>
      <c r="O148" s="1238"/>
      <c r="P148" s="1238"/>
      <c r="Q148" s="1238"/>
      <c r="R148" s="1239"/>
      <c r="S148" s="1148" t="s">
        <v>660</v>
      </c>
      <c r="T148" s="1149"/>
      <c r="U148" s="1149"/>
      <c r="V148" s="1149"/>
      <c r="W148" s="1149"/>
      <c r="X148" s="1149"/>
      <c r="Y148" s="1149"/>
      <c r="Z148" s="1149"/>
      <c r="AA148" s="1149"/>
      <c r="AB148" s="1149"/>
      <c r="AC148" s="1149"/>
      <c r="AD148" s="1149"/>
      <c r="AE148" s="1149"/>
      <c r="AF148" s="1149"/>
      <c r="AG148" s="1149"/>
      <c r="AH148" s="1149"/>
      <c r="AI148" s="1149"/>
      <c r="AJ148" s="1150"/>
      <c r="AK148" s="1148" t="s">
        <v>1562</v>
      </c>
      <c r="AL148" s="1149"/>
      <c r="AM148" s="1149"/>
      <c r="AN148" s="1149"/>
      <c r="AO148" s="1149"/>
      <c r="AP148" s="1149"/>
      <c r="AQ148" s="1149"/>
      <c r="AR148" s="1149"/>
      <c r="AS148" s="1149"/>
      <c r="AT148" s="1149"/>
      <c r="AU148" s="1149"/>
      <c r="AV148" s="1149"/>
      <c r="AW148" s="1149"/>
      <c r="AX148" s="1149"/>
      <c r="AY148" s="1149"/>
      <c r="AZ148" s="1149"/>
      <c r="BA148" s="1149"/>
      <c r="BB148" s="1150"/>
      <c r="BC148" s="1149" t="s">
        <v>1563</v>
      </c>
      <c r="BD148" s="1149"/>
      <c r="BE148" s="1149"/>
      <c r="BF148" s="1149"/>
      <c r="BG148" s="1149"/>
      <c r="BH148" s="1149"/>
      <c r="BI148" s="1149"/>
      <c r="BJ148" s="1149"/>
      <c r="BK148" s="1149"/>
      <c r="BL148" s="1149"/>
      <c r="BM148" s="1149"/>
      <c r="BN148" s="1149"/>
      <c r="BO148" s="1149"/>
      <c r="BP148" s="1149"/>
      <c r="BQ148" s="1149"/>
      <c r="BR148" s="1149"/>
      <c r="BS148" s="1149"/>
      <c r="BT148" s="1149"/>
      <c r="BU148" s="1148" t="s">
        <v>1564</v>
      </c>
      <c r="BV148" s="1149"/>
      <c r="BW148" s="1149"/>
      <c r="BX148" s="1149"/>
      <c r="BY148" s="1149"/>
      <c r="BZ148" s="1149"/>
      <c r="CA148" s="1149"/>
      <c r="CB148" s="1149"/>
      <c r="CC148" s="1149"/>
      <c r="CD148" s="1149"/>
      <c r="CE148" s="1149"/>
      <c r="CF148" s="1149"/>
      <c r="CG148" s="1149"/>
      <c r="CH148" s="1149"/>
      <c r="CI148" s="1149"/>
      <c r="CJ148" s="1149"/>
      <c r="CK148" s="1149"/>
      <c r="CL148" s="1150"/>
      <c r="CM148" s="1148" t="s">
        <v>664</v>
      </c>
      <c r="CN148" s="1149"/>
      <c r="CO148" s="1149"/>
      <c r="CP148" s="1149"/>
      <c r="CQ148" s="1149"/>
      <c r="CR148" s="1149"/>
      <c r="CS148" s="1149"/>
      <c r="CT148" s="1149"/>
      <c r="CU148" s="1149"/>
      <c r="CV148" s="1149"/>
      <c r="CW148" s="1149"/>
      <c r="CX148" s="1149"/>
      <c r="CY148" s="1149"/>
      <c r="CZ148" s="1149"/>
      <c r="DA148" s="1149"/>
      <c r="DB148" s="1149"/>
      <c r="DC148" s="1149"/>
      <c r="DD148" s="1150"/>
      <c r="DE148" s="1148" t="s">
        <v>644</v>
      </c>
      <c r="DF148" s="1149"/>
      <c r="DG148" s="1149"/>
      <c r="DH148" s="1149"/>
      <c r="DI148" s="1149"/>
      <c r="DJ148" s="1149"/>
      <c r="DK148" s="1149"/>
      <c r="DL148" s="1149"/>
      <c r="DM148" s="1149"/>
      <c r="DN148" s="1149"/>
      <c r="DO148" s="1149"/>
      <c r="DP148" s="1149"/>
      <c r="DQ148" s="1149"/>
      <c r="DR148" s="1149"/>
      <c r="DS148" s="1149"/>
      <c r="DT148" s="1149"/>
      <c r="DU148" s="1149"/>
      <c r="DV148" s="1150"/>
    </row>
    <row r="149" spans="1:126" ht="16.2" thickBot="1" x14ac:dyDescent="0.35">
      <c r="A149" s="1176"/>
      <c r="B149" s="1177"/>
      <c r="C149" s="1177"/>
      <c r="D149" s="1177"/>
      <c r="E149" s="1178"/>
      <c r="F149" s="1240"/>
      <c r="G149" s="1241"/>
      <c r="H149" s="1241"/>
      <c r="I149" s="1241"/>
      <c r="J149" s="1241"/>
      <c r="K149" s="1241"/>
      <c r="L149" s="1241"/>
      <c r="M149" s="1241"/>
      <c r="N149" s="1241"/>
      <c r="O149" s="1241"/>
      <c r="P149" s="1241"/>
      <c r="Q149" s="1241"/>
      <c r="R149" s="1242"/>
      <c r="S149" s="1151"/>
      <c r="T149" s="1152"/>
      <c r="U149" s="1152"/>
      <c r="V149" s="1152"/>
      <c r="W149" s="1152"/>
      <c r="X149" s="1152"/>
      <c r="Y149" s="1152"/>
      <c r="Z149" s="1152"/>
      <c r="AA149" s="1152"/>
      <c r="AB149" s="1152"/>
      <c r="AC149" s="1152"/>
      <c r="AD149" s="1152"/>
      <c r="AE149" s="1152"/>
      <c r="AF149" s="1152"/>
      <c r="AG149" s="1152"/>
      <c r="AH149" s="1152"/>
      <c r="AI149" s="1152"/>
      <c r="AJ149" s="1153"/>
      <c r="AK149" s="1151" t="s">
        <v>1561</v>
      </c>
      <c r="AL149" s="1152"/>
      <c r="AM149" s="1152"/>
      <c r="AN149" s="1152"/>
      <c r="AO149" s="1152"/>
      <c r="AP149" s="1152"/>
      <c r="AQ149" s="1152"/>
      <c r="AR149" s="1152"/>
      <c r="AS149" s="1152"/>
      <c r="AT149" s="1152"/>
      <c r="AU149" s="1152"/>
      <c r="AV149" s="1152"/>
      <c r="AW149" s="1152"/>
      <c r="AX149" s="1152"/>
      <c r="AY149" s="1152"/>
      <c r="AZ149" s="1152"/>
      <c r="BA149" s="1152"/>
      <c r="BB149" s="1153"/>
      <c r="BC149" s="1152" t="s">
        <v>1561</v>
      </c>
      <c r="BD149" s="1152"/>
      <c r="BE149" s="1152"/>
      <c r="BF149" s="1152"/>
      <c r="BG149" s="1152"/>
      <c r="BH149" s="1152"/>
      <c r="BI149" s="1152"/>
      <c r="BJ149" s="1152"/>
      <c r="BK149" s="1152"/>
      <c r="BL149" s="1152"/>
      <c r="BM149" s="1152"/>
      <c r="BN149" s="1152"/>
      <c r="BO149" s="1152"/>
      <c r="BP149" s="1152"/>
      <c r="BQ149" s="1152"/>
      <c r="BR149" s="1152"/>
      <c r="BS149" s="1152"/>
      <c r="BT149" s="1152"/>
      <c r="BU149" s="1151" t="s">
        <v>1561</v>
      </c>
      <c r="BV149" s="1152"/>
      <c r="BW149" s="1152"/>
      <c r="BX149" s="1152"/>
      <c r="BY149" s="1152"/>
      <c r="BZ149" s="1152"/>
      <c r="CA149" s="1152"/>
      <c r="CB149" s="1152"/>
      <c r="CC149" s="1152"/>
      <c r="CD149" s="1152"/>
      <c r="CE149" s="1152"/>
      <c r="CF149" s="1152"/>
      <c r="CG149" s="1152"/>
      <c r="CH149" s="1152"/>
      <c r="CI149" s="1152"/>
      <c r="CJ149" s="1152"/>
      <c r="CK149" s="1152"/>
      <c r="CL149" s="1153"/>
      <c r="CM149" s="1151"/>
      <c r="CN149" s="1152"/>
      <c r="CO149" s="1152"/>
      <c r="CP149" s="1152"/>
      <c r="CQ149" s="1152"/>
      <c r="CR149" s="1152"/>
      <c r="CS149" s="1152"/>
      <c r="CT149" s="1152"/>
      <c r="CU149" s="1152"/>
      <c r="CV149" s="1152"/>
      <c r="CW149" s="1152"/>
      <c r="CX149" s="1152"/>
      <c r="CY149" s="1152"/>
      <c r="CZ149" s="1152"/>
      <c r="DA149" s="1152"/>
      <c r="DB149" s="1152"/>
      <c r="DC149" s="1152"/>
      <c r="DD149" s="1153"/>
      <c r="DE149" s="1151"/>
      <c r="DF149" s="1152"/>
      <c r="DG149" s="1152"/>
      <c r="DH149" s="1152"/>
      <c r="DI149" s="1152"/>
      <c r="DJ149" s="1152"/>
      <c r="DK149" s="1152"/>
      <c r="DL149" s="1152"/>
      <c r="DM149" s="1152"/>
      <c r="DN149" s="1152"/>
      <c r="DO149" s="1152"/>
      <c r="DP149" s="1152"/>
      <c r="DQ149" s="1152"/>
      <c r="DR149" s="1152"/>
      <c r="DS149" s="1152"/>
      <c r="DT149" s="1152"/>
      <c r="DU149" s="1152"/>
      <c r="DV149" s="1153"/>
    </row>
    <row r="150" spans="1:126" ht="15.6" x14ac:dyDescent="0.3">
      <c r="A150" s="1261">
        <v>9</v>
      </c>
      <c r="B150" s="1262"/>
      <c r="C150" s="1262"/>
      <c r="D150" s="1262"/>
      <c r="E150" s="1263"/>
      <c r="F150" s="1243" t="str">
        <f>"Cargo"&amp;IF('12-Cargo'!D52="Yes"," (CS-1*)","")</f>
        <v>Cargo</v>
      </c>
      <c r="G150" s="1244"/>
      <c r="H150" s="1244"/>
      <c r="I150" s="1244"/>
      <c r="J150" s="1244"/>
      <c r="K150" s="1244"/>
      <c r="L150" s="1244"/>
      <c r="M150" s="1244"/>
      <c r="N150" s="1244"/>
      <c r="O150" s="1244"/>
      <c r="P150" s="1244"/>
      <c r="Q150" s="1244"/>
      <c r="R150" s="1245"/>
      <c r="S150" s="1155" t="s">
        <v>665</v>
      </c>
      <c r="T150" s="1155"/>
      <c r="U150" s="1155"/>
      <c r="V150" s="1155"/>
      <c r="W150" s="1155"/>
      <c r="X150" s="1155"/>
      <c r="Y150" s="1155"/>
      <c r="Z150" s="1155"/>
      <c r="AA150" s="1155"/>
      <c r="AB150" s="1155"/>
      <c r="AC150" s="1155"/>
      <c r="AD150" s="1155"/>
      <c r="AE150" s="1155"/>
      <c r="AF150" s="1155"/>
      <c r="AG150" s="1155"/>
      <c r="AH150" s="1155"/>
      <c r="AI150" s="1155"/>
      <c r="AJ150" s="1156"/>
      <c r="AK150" s="1154" t="str">
        <f>"- 1D*10%"</f>
        <v>- 1D*10%</v>
      </c>
      <c r="AL150" s="1155"/>
      <c r="AM150" s="1155"/>
      <c r="AN150" s="1155"/>
      <c r="AO150" s="1155"/>
      <c r="AP150" s="1155"/>
      <c r="AQ150" s="1155"/>
      <c r="AR150" s="1155"/>
      <c r="AS150" s="1155"/>
      <c r="AT150" s="1155"/>
      <c r="AU150" s="1155"/>
      <c r="AV150" s="1155"/>
      <c r="AW150" s="1155"/>
      <c r="AX150" s="1155"/>
      <c r="AY150" s="1155"/>
      <c r="AZ150" s="1155"/>
      <c r="BA150" s="1155"/>
      <c r="BB150" s="1156"/>
      <c r="BC150" s="1155" t="str">
        <f>"-2D*10%"</f>
        <v>-2D*10%</v>
      </c>
      <c r="BD150" s="1155"/>
      <c r="BE150" s="1155"/>
      <c r="BF150" s="1155"/>
      <c r="BG150" s="1155"/>
      <c r="BH150" s="1155"/>
      <c r="BI150" s="1155"/>
      <c r="BJ150" s="1155"/>
      <c r="BK150" s="1155"/>
      <c r="BL150" s="1155"/>
      <c r="BM150" s="1155"/>
      <c r="BN150" s="1155"/>
      <c r="BO150" s="1155"/>
      <c r="BP150" s="1155"/>
      <c r="BQ150" s="1155"/>
      <c r="BR150" s="1155"/>
      <c r="BS150" s="1155"/>
      <c r="BT150" s="1155"/>
      <c r="BU150" s="1154" t="str">
        <f>" All Cargo"</f>
        <v xml:space="preserve"> All Cargo</v>
      </c>
      <c r="BV150" s="1155"/>
      <c r="BW150" s="1155"/>
      <c r="BX150" s="1155"/>
      <c r="BY150" s="1155"/>
      <c r="BZ150" s="1155"/>
      <c r="CA150" s="1155"/>
      <c r="CB150" s="1155"/>
      <c r="CC150" s="1155"/>
      <c r="CD150" s="1155"/>
      <c r="CE150" s="1155"/>
      <c r="CF150" s="1155"/>
      <c r="CG150" s="1155"/>
      <c r="CH150" s="1155"/>
      <c r="CI150" s="1155"/>
      <c r="CJ150" s="1155"/>
      <c r="CK150" s="1155"/>
      <c r="CL150" s="1156"/>
      <c r="CM150" s="1154" t="s">
        <v>644</v>
      </c>
      <c r="CN150" s="1155"/>
      <c r="CO150" s="1155"/>
      <c r="CP150" s="1155"/>
      <c r="CQ150" s="1155"/>
      <c r="CR150" s="1155"/>
      <c r="CS150" s="1155"/>
      <c r="CT150" s="1155"/>
      <c r="CU150" s="1155"/>
      <c r="CV150" s="1155"/>
      <c r="CW150" s="1155"/>
      <c r="CX150" s="1155"/>
      <c r="CY150" s="1155"/>
      <c r="CZ150" s="1155"/>
      <c r="DA150" s="1155"/>
      <c r="DB150" s="1155"/>
      <c r="DC150" s="1155"/>
      <c r="DD150" s="1156"/>
      <c r="DE150" s="1154" t="s">
        <v>644</v>
      </c>
      <c r="DF150" s="1155"/>
      <c r="DG150" s="1155"/>
      <c r="DH150" s="1155"/>
      <c r="DI150" s="1155"/>
      <c r="DJ150" s="1155"/>
      <c r="DK150" s="1155"/>
      <c r="DL150" s="1155"/>
      <c r="DM150" s="1155"/>
      <c r="DN150" s="1155"/>
      <c r="DO150" s="1155"/>
      <c r="DP150" s="1155"/>
      <c r="DQ150" s="1155"/>
      <c r="DR150" s="1155"/>
      <c r="DS150" s="1155"/>
      <c r="DT150" s="1155"/>
      <c r="DU150" s="1155"/>
      <c r="DV150" s="1156"/>
    </row>
    <row r="151" spans="1:126" ht="16.2" thickBot="1" x14ac:dyDescent="0.35">
      <c r="A151" s="1264"/>
      <c r="B151" s="1265"/>
      <c r="C151" s="1265"/>
      <c r="D151" s="1265"/>
      <c r="E151" s="1266"/>
      <c r="F151" s="1246"/>
      <c r="G151" s="1247"/>
      <c r="H151" s="1247"/>
      <c r="I151" s="1247"/>
      <c r="J151" s="1247"/>
      <c r="K151" s="1247"/>
      <c r="L151" s="1247"/>
      <c r="M151" s="1247"/>
      <c r="N151" s="1247"/>
      <c r="O151" s="1247"/>
      <c r="P151" s="1247"/>
      <c r="Q151" s="1247"/>
      <c r="R151" s="1248"/>
      <c r="S151" s="1146" t="s">
        <v>588</v>
      </c>
      <c r="T151" s="1146"/>
      <c r="U151" s="1146"/>
      <c r="V151" s="1146"/>
      <c r="W151" s="1146"/>
      <c r="X151" s="1146"/>
      <c r="Y151" s="1146"/>
      <c r="Z151" s="1146"/>
      <c r="AA151" s="1146"/>
      <c r="AB151" s="1146"/>
      <c r="AC151" s="1146"/>
      <c r="AD151" s="1146"/>
      <c r="AE151" s="1146"/>
      <c r="AF151" s="1146"/>
      <c r="AG151" s="1146"/>
      <c r="AH151" s="1146"/>
      <c r="AI151" s="1146"/>
      <c r="AJ151" s="1147"/>
      <c r="AK151" s="1145" t="s">
        <v>588</v>
      </c>
      <c r="AL151" s="1146"/>
      <c r="AM151" s="1146"/>
      <c r="AN151" s="1146"/>
      <c r="AO151" s="1146"/>
      <c r="AP151" s="1146"/>
      <c r="AQ151" s="1146"/>
      <c r="AR151" s="1146"/>
      <c r="AS151" s="1146"/>
      <c r="AT151" s="1146"/>
      <c r="AU151" s="1146"/>
      <c r="AV151" s="1146"/>
      <c r="AW151" s="1146"/>
      <c r="AX151" s="1146"/>
      <c r="AY151" s="1146"/>
      <c r="AZ151" s="1146"/>
      <c r="BA151" s="1146"/>
      <c r="BB151" s="1147"/>
      <c r="BC151" s="1146" t="s">
        <v>588</v>
      </c>
      <c r="BD151" s="1146"/>
      <c r="BE151" s="1146"/>
      <c r="BF151" s="1146"/>
      <c r="BG151" s="1146"/>
      <c r="BH151" s="1146"/>
      <c r="BI151" s="1146"/>
      <c r="BJ151" s="1146"/>
      <c r="BK151" s="1146"/>
      <c r="BL151" s="1146"/>
      <c r="BM151" s="1146"/>
      <c r="BN151" s="1146"/>
      <c r="BO151" s="1146"/>
      <c r="BP151" s="1146"/>
      <c r="BQ151" s="1146"/>
      <c r="BR151" s="1146"/>
      <c r="BS151" s="1146"/>
      <c r="BT151" s="1146"/>
      <c r="BU151" s="1145" t="s">
        <v>650</v>
      </c>
      <c r="BV151" s="1146"/>
      <c r="BW151" s="1146"/>
      <c r="BX151" s="1146"/>
      <c r="BY151" s="1146"/>
      <c r="BZ151" s="1146"/>
      <c r="CA151" s="1146"/>
      <c r="CB151" s="1146"/>
      <c r="CC151" s="1146"/>
      <c r="CD151" s="1146"/>
      <c r="CE151" s="1146"/>
      <c r="CF151" s="1146"/>
      <c r="CG151" s="1146"/>
      <c r="CH151" s="1146"/>
      <c r="CI151" s="1146"/>
      <c r="CJ151" s="1146"/>
      <c r="CK151" s="1146"/>
      <c r="CL151" s="1147"/>
      <c r="CM151" s="1145"/>
      <c r="CN151" s="1146"/>
      <c r="CO151" s="1146"/>
      <c r="CP151" s="1146"/>
      <c r="CQ151" s="1146"/>
      <c r="CR151" s="1146"/>
      <c r="CS151" s="1146"/>
      <c r="CT151" s="1146"/>
      <c r="CU151" s="1146"/>
      <c r="CV151" s="1146"/>
      <c r="CW151" s="1146"/>
      <c r="CX151" s="1146"/>
      <c r="CY151" s="1146"/>
      <c r="CZ151" s="1146"/>
      <c r="DA151" s="1146"/>
      <c r="DB151" s="1146"/>
      <c r="DC151" s="1146"/>
      <c r="DD151" s="1147"/>
      <c r="DE151" s="1145"/>
      <c r="DF151" s="1146"/>
      <c r="DG151" s="1146"/>
      <c r="DH151" s="1146"/>
      <c r="DI151" s="1146"/>
      <c r="DJ151" s="1146"/>
      <c r="DK151" s="1146"/>
      <c r="DL151" s="1146"/>
      <c r="DM151" s="1146"/>
      <c r="DN151" s="1146"/>
      <c r="DO151" s="1146"/>
      <c r="DP151" s="1146"/>
      <c r="DQ151" s="1146"/>
      <c r="DR151" s="1146"/>
      <c r="DS151" s="1146"/>
      <c r="DT151" s="1146"/>
      <c r="DU151" s="1146"/>
      <c r="DV151" s="1147"/>
    </row>
    <row r="152" spans="1:126" ht="15.75" customHeight="1" x14ac:dyDescent="0.3">
      <c r="A152" s="1255">
        <v>10</v>
      </c>
      <c r="B152" s="1256"/>
      <c r="C152" s="1256"/>
      <c r="D152" s="1256"/>
      <c r="E152" s="1257"/>
      <c r="F152" s="1237" t="str">
        <f>"J-Drive"&amp;IF('2-Drives'!C31="No",""," (CS-1)")</f>
        <v>J-Drive</v>
      </c>
      <c r="G152" s="1238"/>
      <c r="H152" s="1238"/>
      <c r="I152" s="1238"/>
      <c r="J152" s="1238"/>
      <c r="K152" s="1238"/>
      <c r="L152" s="1238"/>
      <c r="M152" s="1238"/>
      <c r="N152" s="1238"/>
      <c r="O152" s="1238"/>
      <c r="P152" s="1238"/>
      <c r="Q152" s="1238"/>
      <c r="R152" s="1239"/>
      <c r="S152" s="1157" t="s">
        <v>666</v>
      </c>
      <c r="T152" s="1158"/>
      <c r="U152" s="1158"/>
      <c r="V152" s="1158"/>
      <c r="W152" s="1158"/>
      <c r="X152" s="1158"/>
      <c r="Y152" s="1158"/>
      <c r="Z152" s="1158"/>
      <c r="AA152" s="1158"/>
      <c r="AB152" s="1158"/>
      <c r="AC152" s="1158"/>
      <c r="AD152" s="1158"/>
      <c r="AE152" s="1158"/>
      <c r="AF152" s="1158"/>
      <c r="AG152" s="1158"/>
      <c r="AH152" s="1158"/>
      <c r="AI152" s="1158"/>
      <c r="AJ152" s="1159"/>
      <c r="AK152" s="1157" t="s">
        <v>643</v>
      </c>
      <c r="AL152" s="1158"/>
      <c r="AM152" s="1158"/>
      <c r="AN152" s="1158"/>
      <c r="AO152" s="1158"/>
      <c r="AP152" s="1158"/>
      <c r="AQ152" s="1158"/>
      <c r="AR152" s="1158"/>
      <c r="AS152" s="1158"/>
      <c r="AT152" s="1158"/>
      <c r="AU152" s="1158"/>
      <c r="AV152" s="1158"/>
      <c r="AW152" s="1158"/>
      <c r="AX152" s="1158"/>
      <c r="AY152" s="1158"/>
      <c r="AZ152" s="1158"/>
      <c r="BA152" s="1158"/>
      <c r="BB152" s="1159"/>
      <c r="BC152" s="1157" t="s">
        <v>650</v>
      </c>
      <c r="BD152" s="1158"/>
      <c r="BE152" s="1158"/>
      <c r="BF152" s="1158"/>
      <c r="BG152" s="1158"/>
      <c r="BH152" s="1158"/>
      <c r="BI152" s="1158"/>
      <c r="BJ152" s="1158"/>
      <c r="BK152" s="1158"/>
      <c r="BL152" s="1158"/>
      <c r="BM152" s="1158"/>
      <c r="BN152" s="1158"/>
      <c r="BO152" s="1158"/>
      <c r="BP152" s="1158"/>
      <c r="BQ152" s="1158"/>
      <c r="BR152" s="1158"/>
      <c r="BS152" s="1158"/>
      <c r="BT152" s="1159"/>
      <c r="BU152" s="1157" t="s">
        <v>644</v>
      </c>
      <c r="BV152" s="1158"/>
      <c r="BW152" s="1158"/>
      <c r="BX152" s="1158"/>
      <c r="BY152" s="1158"/>
      <c r="BZ152" s="1158"/>
      <c r="CA152" s="1158"/>
      <c r="CB152" s="1158"/>
      <c r="CC152" s="1158"/>
      <c r="CD152" s="1158"/>
      <c r="CE152" s="1158"/>
      <c r="CF152" s="1158"/>
      <c r="CG152" s="1158"/>
      <c r="CH152" s="1158"/>
      <c r="CI152" s="1158"/>
      <c r="CJ152" s="1158"/>
      <c r="CK152" s="1158"/>
      <c r="CL152" s="1159"/>
      <c r="CM152" s="1157" t="s">
        <v>644</v>
      </c>
      <c r="CN152" s="1158"/>
      <c r="CO152" s="1158"/>
      <c r="CP152" s="1158"/>
      <c r="CQ152" s="1158"/>
      <c r="CR152" s="1158"/>
      <c r="CS152" s="1158"/>
      <c r="CT152" s="1158"/>
      <c r="CU152" s="1158"/>
      <c r="CV152" s="1158"/>
      <c r="CW152" s="1158"/>
      <c r="CX152" s="1158"/>
      <c r="CY152" s="1158"/>
      <c r="CZ152" s="1158"/>
      <c r="DA152" s="1158"/>
      <c r="DB152" s="1158"/>
      <c r="DC152" s="1158"/>
      <c r="DD152" s="1159"/>
      <c r="DE152" s="1157" t="s">
        <v>644</v>
      </c>
      <c r="DF152" s="1158"/>
      <c r="DG152" s="1158"/>
      <c r="DH152" s="1158"/>
      <c r="DI152" s="1158"/>
      <c r="DJ152" s="1158"/>
      <c r="DK152" s="1158"/>
      <c r="DL152" s="1158"/>
      <c r="DM152" s="1158"/>
      <c r="DN152" s="1158"/>
      <c r="DO152" s="1158"/>
      <c r="DP152" s="1158"/>
      <c r="DQ152" s="1158"/>
      <c r="DR152" s="1158"/>
      <c r="DS152" s="1158"/>
      <c r="DT152" s="1158"/>
      <c r="DU152" s="1158"/>
      <c r="DV152" s="1159"/>
    </row>
    <row r="153" spans="1:126" ht="15" thickBot="1" x14ac:dyDescent="0.35">
      <c r="A153" s="1258"/>
      <c r="B153" s="1259"/>
      <c r="C153" s="1259"/>
      <c r="D153" s="1259"/>
      <c r="E153" s="1260"/>
      <c r="F153" s="1240"/>
      <c r="G153" s="1241"/>
      <c r="H153" s="1241"/>
      <c r="I153" s="1241"/>
      <c r="J153" s="1241"/>
      <c r="K153" s="1241"/>
      <c r="L153" s="1241"/>
      <c r="M153" s="1241"/>
      <c r="N153" s="1241"/>
      <c r="O153" s="1241"/>
      <c r="P153" s="1241"/>
      <c r="Q153" s="1241"/>
      <c r="R153" s="1242"/>
      <c r="S153" s="1160"/>
      <c r="T153" s="1161"/>
      <c r="U153" s="1161"/>
      <c r="V153" s="1161"/>
      <c r="W153" s="1161"/>
      <c r="X153" s="1161"/>
      <c r="Y153" s="1161"/>
      <c r="Z153" s="1161"/>
      <c r="AA153" s="1161"/>
      <c r="AB153" s="1161"/>
      <c r="AC153" s="1161"/>
      <c r="AD153" s="1161"/>
      <c r="AE153" s="1161"/>
      <c r="AF153" s="1161"/>
      <c r="AG153" s="1161"/>
      <c r="AH153" s="1161"/>
      <c r="AI153" s="1161"/>
      <c r="AJ153" s="1162"/>
      <c r="AK153" s="1160"/>
      <c r="AL153" s="1161"/>
      <c r="AM153" s="1161"/>
      <c r="AN153" s="1161"/>
      <c r="AO153" s="1161"/>
      <c r="AP153" s="1161"/>
      <c r="AQ153" s="1161"/>
      <c r="AR153" s="1161"/>
      <c r="AS153" s="1161"/>
      <c r="AT153" s="1161"/>
      <c r="AU153" s="1161"/>
      <c r="AV153" s="1161"/>
      <c r="AW153" s="1161"/>
      <c r="AX153" s="1161"/>
      <c r="AY153" s="1161"/>
      <c r="AZ153" s="1161"/>
      <c r="BA153" s="1161"/>
      <c r="BB153" s="1162"/>
      <c r="BC153" s="1160"/>
      <c r="BD153" s="1161"/>
      <c r="BE153" s="1161"/>
      <c r="BF153" s="1161"/>
      <c r="BG153" s="1161"/>
      <c r="BH153" s="1161"/>
      <c r="BI153" s="1161"/>
      <c r="BJ153" s="1161"/>
      <c r="BK153" s="1161"/>
      <c r="BL153" s="1161"/>
      <c r="BM153" s="1161"/>
      <c r="BN153" s="1161"/>
      <c r="BO153" s="1161"/>
      <c r="BP153" s="1161"/>
      <c r="BQ153" s="1161"/>
      <c r="BR153" s="1161"/>
      <c r="BS153" s="1161"/>
      <c r="BT153" s="1162"/>
      <c r="BU153" s="1160"/>
      <c r="BV153" s="1161"/>
      <c r="BW153" s="1161"/>
      <c r="BX153" s="1161"/>
      <c r="BY153" s="1161"/>
      <c r="BZ153" s="1161"/>
      <c r="CA153" s="1161"/>
      <c r="CB153" s="1161"/>
      <c r="CC153" s="1161"/>
      <c r="CD153" s="1161"/>
      <c r="CE153" s="1161"/>
      <c r="CF153" s="1161"/>
      <c r="CG153" s="1161"/>
      <c r="CH153" s="1161"/>
      <c r="CI153" s="1161"/>
      <c r="CJ153" s="1161"/>
      <c r="CK153" s="1161"/>
      <c r="CL153" s="1162"/>
      <c r="CM153" s="1160"/>
      <c r="CN153" s="1161"/>
      <c r="CO153" s="1161"/>
      <c r="CP153" s="1161"/>
      <c r="CQ153" s="1161"/>
      <c r="CR153" s="1161"/>
      <c r="CS153" s="1161"/>
      <c r="CT153" s="1161"/>
      <c r="CU153" s="1161"/>
      <c r="CV153" s="1161"/>
      <c r="CW153" s="1161"/>
      <c r="CX153" s="1161"/>
      <c r="CY153" s="1161"/>
      <c r="CZ153" s="1161"/>
      <c r="DA153" s="1161"/>
      <c r="DB153" s="1161"/>
      <c r="DC153" s="1161"/>
      <c r="DD153" s="1162"/>
      <c r="DE153" s="1160"/>
      <c r="DF153" s="1161"/>
      <c r="DG153" s="1161"/>
      <c r="DH153" s="1161"/>
      <c r="DI153" s="1161"/>
      <c r="DJ153" s="1161"/>
      <c r="DK153" s="1161"/>
      <c r="DL153" s="1161"/>
      <c r="DM153" s="1161"/>
      <c r="DN153" s="1161"/>
      <c r="DO153" s="1161"/>
      <c r="DP153" s="1161"/>
      <c r="DQ153" s="1161"/>
      <c r="DR153" s="1161"/>
      <c r="DS153" s="1161"/>
      <c r="DT153" s="1161"/>
      <c r="DU153" s="1161"/>
      <c r="DV153" s="1162"/>
    </row>
    <row r="154" spans="1:126" ht="16.5" customHeight="1" x14ac:dyDescent="0.3">
      <c r="A154" s="1249">
        <v>11</v>
      </c>
      <c r="B154" s="1250"/>
      <c r="C154" s="1250"/>
      <c r="D154" s="1250"/>
      <c r="E154" s="1251"/>
      <c r="F154" s="1243" t="str">
        <f>"Crew"&amp;IF('11-Staterooms'!C58="No",""," (CS-1)")</f>
        <v>Crew</v>
      </c>
      <c r="G154" s="1244"/>
      <c r="H154" s="1244"/>
      <c r="I154" s="1244"/>
      <c r="J154" s="1244"/>
      <c r="K154" s="1244"/>
      <c r="L154" s="1244"/>
      <c r="M154" s="1244"/>
      <c r="N154" s="1244"/>
      <c r="O154" s="1244"/>
      <c r="P154" s="1244"/>
      <c r="Q154" s="1244"/>
      <c r="R154" s="1245"/>
      <c r="S154" s="1163" t="s">
        <v>1326</v>
      </c>
      <c r="T154" s="1163"/>
      <c r="U154" s="1163"/>
      <c r="V154" s="1163"/>
      <c r="W154" s="1163"/>
      <c r="X154" s="1163"/>
      <c r="Y154" s="1163"/>
      <c r="Z154" s="1163"/>
      <c r="AA154" s="1163"/>
      <c r="AB154" s="1163"/>
      <c r="AC154" s="1163"/>
      <c r="AD154" s="1163"/>
      <c r="AE154" s="1163"/>
      <c r="AF154" s="1163"/>
      <c r="AG154" s="1163"/>
      <c r="AH154" s="1163"/>
      <c r="AI154" s="1163"/>
      <c r="AJ154" s="1164"/>
      <c r="AK154" s="1167" t="s">
        <v>1558</v>
      </c>
      <c r="AL154" s="1168"/>
      <c r="AM154" s="1168"/>
      <c r="AN154" s="1168"/>
      <c r="AO154" s="1168"/>
      <c r="AP154" s="1168"/>
      <c r="AQ154" s="1168"/>
      <c r="AR154" s="1168"/>
      <c r="AS154" s="1168"/>
      <c r="AT154" s="1168"/>
      <c r="AU154" s="1168"/>
      <c r="AV154" s="1168"/>
      <c r="AW154" s="1168"/>
      <c r="AX154" s="1168"/>
      <c r="AY154" s="1168"/>
      <c r="AZ154" s="1168"/>
      <c r="BA154" s="1168"/>
      <c r="BB154" s="1169"/>
      <c r="BC154" s="1163" t="s">
        <v>1324</v>
      </c>
      <c r="BD154" s="1163"/>
      <c r="BE154" s="1163"/>
      <c r="BF154" s="1163"/>
      <c r="BG154" s="1163"/>
      <c r="BH154" s="1163"/>
      <c r="BI154" s="1163"/>
      <c r="BJ154" s="1163"/>
      <c r="BK154" s="1163"/>
      <c r="BL154" s="1163"/>
      <c r="BM154" s="1163"/>
      <c r="BN154" s="1163"/>
      <c r="BO154" s="1163"/>
      <c r="BP154" s="1163"/>
      <c r="BQ154" s="1163"/>
      <c r="BR154" s="1163"/>
      <c r="BS154" s="1163"/>
      <c r="BT154" s="1163"/>
      <c r="BU154" s="1167" t="s">
        <v>1559</v>
      </c>
      <c r="BV154" s="1168"/>
      <c r="BW154" s="1168"/>
      <c r="BX154" s="1168"/>
      <c r="BY154" s="1168"/>
      <c r="BZ154" s="1168"/>
      <c r="CA154" s="1168"/>
      <c r="CB154" s="1168"/>
      <c r="CC154" s="1168"/>
      <c r="CD154" s="1168"/>
      <c r="CE154" s="1168"/>
      <c r="CF154" s="1168"/>
      <c r="CG154" s="1168"/>
      <c r="CH154" s="1168"/>
      <c r="CI154" s="1168"/>
      <c r="CJ154" s="1168"/>
      <c r="CK154" s="1168"/>
      <c r="CL154" s="1169"/>
      <c r="CM154" s="1163" t="s">
        <v>1325</v>
      </c>
      <c r="CN154" s="1163"/>
      <c r="CO154" s="1163"/>
      <c r="CP154" s="1163"/>
      <c r="CQ154" s="1163"/>
      <c r="CR154" s="1163"/>
      <c r="CS154" s="1163"/>
      <c r="CT154" s="1163"/>
      <c r="CU154" s="1163"/>
      <c r="CV154" s="1163"/>
      <c r="CW154" s="1163"/>
      <c r="CX154" s="1163"/>
      <c r="CY154" s="1163"/>
      <c r="CZ154" s="1163"/>
      <c r="DA154" s="1163"/>
      <c r="DB154" s="1163"/>
      <c r="DC154" s="1163"/>
      <c r="DD154" s="1163"/>
      <c r="DE154" s="1167" t="s">
        <v>1560</v>
      </c>
      <c r="DF154" s="1168"/>
      <c r="DG154" s="1168"/>
      <c r="DH154" s="1168"/>
      <c r="DI154" s="1168"/>
      <c r="DJ154" s="1168"/>
      <c r="DK154" s="1168"/>
      <c r="DL154" s="1168"/>
      <c r="DM154" s="1168"/>
      <c r="DN154" s="1168"/>
      <c r="DO154" s="1168"/>
      <c r="DP154" s="1168"/>
      <c r="DQ154" s="1168"/>
      <c r="DR154" s="1168"/>
      <c r="DS154" s="1168"/>
      <c r="DT154" s="1168"/>
      <c r="DU154" s="1168"/>
      <c r="DV154" s="1169"/>
    </row>
    <row r="155" spans="1:126" ht="16.2" thickBot="1" x14ac:dyDescent="0.35">
      <c r="A155" s="1252"/>
      <c r="B155" s="1253"/>
      <c r="C155" s="1253"/>
      <c r="D155" s="1253"/>
      <c r="E155" s="1254"/>
      <c r="F155" s="1246"/>
      <c r="G155" s="1247"/>
      <c r="H155" s="1247"/>
      <c r="I155" s="1247"/>
      <c r="J155" s="1247"/>
      <c r="K155" s="1247"/>
      <c r="L155" s="1247"/>
      <c r="M155" s="1247"/>
      <c r="N155" s="1247"/>
      <c r="O155" s="1247"/>
      <c r="P155" s="1247"/>
      <c r="Q155" s="1247"/>
      <c r="R155" s="1248"/>
      <c r="S155" s="1165" t="s">
        <v>654</v>
      </c>
      <c r="T155" s="1165"/>
      <c r="U155" s="1165"/>
      <c r="V155" s="1165"/>
      <c r="W155" s="1165"/>
      <c r="X155" s="1165"/>
      <c r="Y155" s="1165"/>
      <c r="Z155" s="1165"/>
      <c r="AA155" s="1165"/>
      <c r="AB155" s="1165"/>
      <c r="AC155" s="1165"/>
      <c r="AD155" s="1165"/>
      <c r="AE155" s="1165"/>
      <c r="AF155" s="1165"/>
      <c r="AG155" s="1165"/>
      <c r="AH155" s="1165"/>
      <c r="AI155" s="1165"/>
      <c r="AJ155" s="1166"/>
      <c r="AK155" s="1170"/>
      <c r="AL155" s="1171"/>
      <c r="AM155" s="1171"/>
      <c r="AN155" s="1171"/>
      <c r="AO155" s="1171"/>
      <c r="AP155" s="1171"/>
      <c r="AQ155" s="1171"/>
      <c r="AR155" s="1171"/>
      <c r="AS155" s="1171"/>
      <c r="AT155" s="1171"/>
      <c r="AU155" s="1171"/>
      <c r="AV155" s="1171"/>
      <c r="AW155" s="1171"/>
      <c r="AX155" s="1171"/>
      <c r="AY155" s="1171"/>
      <c r="AZ155" s="1171"/>
      <c r="BA155" s="1171"/>
      <c r="BB155" s="1172"/>
      <c r="BC155" s="1165" t="s">
        <v>655</v>
      </c>
      <c r="BD155" s="1165"/>
      <c r="BE155" s="1165"/>
      <c r="BF155" s="1165"/>
      <c r="BG155" s="1165"/>
      <c r="BH155" s="1165"/>
      <c r="BI155" s="1165"/>
      <c r="BJ155" s="1165"/>
      <c r="BK155" s="1165"/>
      <c r="BL155" s="1165"/>
      <c r="BM155" s="1165"/>
      <c r="BN155" s="1165"/>
      <c r="BO155" s="1165"/>
      <c r="BP155" s="1165"/>
      <c r="BQ155" s="1165"/>
      <c r="BR155" s="1165"/>
      <c r="BS155" s="1165"/>
      <c r="BT155" s="1165"/>
      <c r="BU155" s="1170"/>
      <c r="BV155" s="1171"/>
      <c r="BW155" s="1171"/>
      <c r="BX155" s="1171"/>
      <c r="BY155" s="1171"/>
      <c r="BZ155" s="1171"/>
      <c r="CA155" s="1171"/>
      <c r="CB155" s="1171"/>
      <c r="CC155" s="1171"/>
      <c r="CD155" s="1171"/>
      <c r="CE155" s="1171"/>
      <c r="CF155" s="1171"/>
      <c r="CG155" s="1171"/>
      <c r="CH155" s="1171"/>
      <c r="CI155" s="1171"/>
      <c r="CJ155" s="1171"/>
      <c r="CK155" s="1171"/>
      <c r="CL155" s="1172"/>
      <c r="CM155" s="1165" t="s">
        <v>656</v>
      </c>
      <c r="CN155" s="1165"/>
      <c r="CO155" s="1165"/>
      <c r="CP155" s="1165"/>
      <c r="CQ155" s="1165"/>
      <c r="CR155" s="1165"/>
      <c r="CS155" s="1165"/>
      <c r="CT155" s="1165"/>
      <c r="CU155" s="1165"/>
      <c r="CV155" s="1165"/>
      <c r="CW155" s="1165"/>
      <c r="CX155" s="1165"/>
      <c r="CY155" s="1165"/>
      <c r="CZ155" s="1165"/>
      <c r="DA155" s="1165"/>
      <c r="DB155" s="1165"/>
      <c r="DC155" s="1165"/>
      <c r="DD155" s="1165"/>
      <c r="DE155" s="1170"/>
      <c r="DF155" s="1171"/>
      <c r="DG155" s="1171"/>
      <c r="DH155" s="1171"/>
      <c r="DI155" s="1171"/>
      <c r="DJ155" s="1171"/>
      <c r="DK155" s="1171"/>
      <c r="DL155" s="1171"/>
      <c r="DM155" s="1171"/>
      <c r="DN155" s="1171"/>
      <c r="DO155" s="1171"/>
      <c r="DP155" s="1171"/>
      <c r="DQ155" s="1171"/>
      <c r="DR155" s="1171"/>
      <c r="DS155" s="1171"/>
      <c r="DT155" s="1171"/>
      <c r="DU155" s="1171"/>
      <c r="DV155" s="1172"/>
    </row>
    <row r="156" spans="1:126" ht="15.6" x14ac:dyDescent="0.3">
      <c r="A156" s="1255">
        <v>12</v>
      </c>
      <c r="B156" s="1256"/>
      <c r="C156" s="1256"/>
      <c r="D156" s="1256"/>
      <c r="E156" s="1257"/>
      <c r="F156" s="1237" t="str">
        <f>"Bridge"&amp;IF('5-Bridge'!C22="Yes"," (CS-1)","")</f>
        <v>Bridge</v>
      </c>
      <c r="G156" s="1238"/>
      <c r="H156" s="1238"/>
      <c r="I156" s="1238"/>
      <c r="J156" s="1238"/>
      <c r="K156" s="1238"/>
      <c r="L156" s="1238"/>
      <c r="M156" s="1238"/>
      <c r="N156" s="1238"/>
      <c r="O156" s="1238"/>
      <c r="P156" s="1238"/>
      <c r="Q156" s="1238"/>
      <c r="R156" s="1239"/>
      <c r="S156" s="1158" t="s">
        <v>1555</v>
      </c>
      <c r="T156" s="1158"/>
      <c r="U156" s="1158"/>
      <c r="V156" s="1158"/>
      <c r="W156" s="1158"/>
      <c r="X156" s="1158"/>
      <c r="Y156" s="1158"/>
      <c r="Z156" s="1158"/>
      <c r="AA156" s="1158"/>
      <c r="AB156" s="1158"/>
      <c r="AC156" s="1158"/>
      <c r="AD156" s="1158"/>
      <c r="AE156" s="1158"/>
      <c r="AF156" s="1158"/>
      <c r="AG156" s="1158"/>
      <c r="AH156" s="1158"/>
      <c r="AI156" s="1158"/>
      <c r="AJ156" s="1159"/>
      <c r="AK156" s="1157" t="s">
        <v>1556</v>
      </c>
      <c r="AL156" s="1158"/>
      <c r="AM156" s="1158"/>
      <c r="AN156" s="1158"/>
      <c r="AO156" s="1158"/>
      <c r="AP156" s="1158"/>
      <c r="AQ156" s="1158"/>
      <c r="AR156" s="1158"/>
      <c r="AS156" s="1158"/>
      <c r="AT156" s="1158"/>
      <c r="AU156" s="1158"/>
      <c r="AV156" s="1158"/>
      <c r="AW156" s="1158"/>
      <c r="AX156" s="1158"/>
      <c r="AY156" s="1158"/>
      <c r="AZ156" s="1158"/>
      <c r="BA156" s="1158"/>
      <c r="BB156" s="1159"/>
      <c r="BC156" s="1158" t="s">
        <v>1330</v>
      </c>
      <c r="BD156" s="1158"/>
      <c r="BE156" s="1158"/>
      <c r="BF156" s="1158"/>
      <c r="BG156" s="1158"/>
      <c r="BH156" s="1158"/>
      <c r="BI156" s="1158"/>
      <c r="BJ156" s="1158"/>
      <c r="BK156" s="1158"/>
      <c r="BL156" s="1158"/>
      <c r="BM156" s="1158"/>
      <c r="BN156" s="1158"/>
      <c r="BO156" s="1158"/>
      <c r="BP156" s="1158"/>
      <c r="BQ156" s="1158"/>
      <c r="BR156" s="1158"/>
      <c r="BS156" s="1158"/>
      <c r="BT156" s="1158"/>
      <c r="BU156" s="1157" t="s">
        <v>1557</v>
      </c>
      <c r="BV156" s="1158"/>
      <c r="BW156" s="1158"/>
      <c r="BX156" s="1158"/>
      <c r="BY156" s="1158"/>
      <c r="BZ156" s="1158"/>
      <c r="CA156" s="1158"/>
      <c r="CB156" s="1158"/>
      <c r="CC156" s="1158"/>
      <c r="CD156" s="1158"/>
      <c r="CE156" s="1158"/>
      <c r="CF156" s="1158"/>
      <c r="CG156" s="1158"/>
      <c r="CH156" s="1158"/>
      <c r="CI156" s="1158"/>
      <c r="CJ156" s="1158"/>
      <c r="CK156" s="1158"/>
      <c r="CL156" s="1159"/>
      <c r="CM156" s="1158" t="s">
        <v>83</v>
      </c>
      <c r="CN156" s="1158"/>
      <c r="CO156" s="1158"/>
      <c r="CP156" s="1158"/>
      <c r="CQ156" s="1158"/>
      <c r="CR156" s="1158"/>
      <c r="CS156" s="1158"/>
      <c r="CT156" s="1158"/>
      <c r="CU156" s="1158"/>
      <c r="CV156" s="1158"/>
      <c r="CW156" s="1158"/>
      <c r="CX156" s="1158"/>
      <c r="CY156" s="1158"/>
      <c r="CZ156" s="1158"/>
      <c r="DA156" s="1158"/>
      <c r="DB156" s="1158"/>
      <c r="DC156" s="1158"/>
      <c r="DD156" s="1158"/>
      <c r="DE156" s="1157" t="s">
        <v>1557</v>
      </c>
      <c r="DF156" s="1158"/>
      <c r="DG156" s="1158"/>
      <c r="DH156" s="1158"/>
      <c r="DI156" s="1158"/>
      <c r="DJ156" s="1158"/>
      <c r="DK156" s="1158"/>
      <c r="DL156" s="1158"/>
      <c r="DM156" s="1158"/>
      <c r="DN156" s="1158"/>
      <c r="DO156" s="1158"/>
      <c r="DP156" s="1158"/>
      <c r="DQ156" s="1158"/>
      <c r="DR156" s="1158"/>
      <c r="DS156" s="1158"/>
      <c r="DT156" s="1158"/>
      <c r="DU156" s="1158"/>
      <c r="DV156" s="1159"/>
    </row>
    <row r="157" spans="1:126" ht="16.2" thickBot="1" x14ac:dyDescent="0.35">
      <c r="A157" s="1258"/>
      <c r="B157" s="1259"/>
      <c r="C157" s="1259"/>
      <c r="D157" s="1259"/>
      <c r="E157" s="1260"/>
      <c r="F157" s="1240"/>
      <c r="G157" s="1241"/>
      <c r="H157" s="1241"/>
      <c r="I157" s="1241"/>
      <c r="J157" s="1241"/>
      <c r="K157" s="1241"/>
      <c r="L157" s="1241"/>
      <c r="M157" s="1241"/>
      <c r="N157" s="1241"/>
      <c r="O157" s="1241"/>
      <c r="P157" s="1241"/>
      <c r="Q157" s="1241"/>
      <c r="R157" s="1242"/>
      <c r="S157" s="1161" t="s">
        <v>643</v>
      </c>
      <c r="T157" s="1161"/>
      <c r="U157" s="1161"/>
      <c r="V157" s="1161"/>
      <c r="W157" s="1161"/>
      <c r="X157" s="1161"/>
      <c r="Y157" s="1161"/>
      <c r="Z157" s="1161"/>
      <c r="AA157" s="1161"/>
      <c r="AB157" s="1161"/>
      <c r="AC157" s="1161"/>
      <c r="AD157" s="1161"/>
      <c r="AE157" s="1161"/>
      <c r="AF157" s="1161"/>
      <c r="AG157" s="1161"/>
      <c r="AH157" s="1161"/>
      <c r="AI157" s="1161"/>
      <c r="AJ157" s="1162"/>
      <c r="AK157" s="1160" t="s">
        <v>1328</v>
      </c>
      <c r="AL157" s="1161"/>
      <c r="AM157" s="1161"/>
      <c r="AN157" s="1161"/>
      <c r="AO157" s="1161"/>
      <c r="AP157" s="1161"/>
      <c r="AQ157" s="1161"/>
      <c r="AR157" s="1161"/>
      <c r="AS157" s="1161"/>
      <c r="AT157" s="1161"/>
      <c r="AU157" s="1161"/>
      <c r="AV157" s="1161"/>
      <c r="AW157" s="1161"/>
      <c r="AX157" s="1161"/>
      <c r="AY157" s="1161"/>
      <c r="AZ157" s="1161"/>
      <c r="BA157" s="1161"/>
      <c r="BB157" s="1162"/>
      <c r="BC157" s="1236">
        <v>-0.5</v>
      </c>
      <c r="BD157" s="1236"/>
      <c r="BE157" s="1236"/>
      <c r="BF157" s="1236"/>
      <c r="BG157" s="1236"/>
      <c r="BH157" s="1236"/>
      <c r="BI157" s="1236"/>
      <c r="BJ157" s="1236"/>
      <c r="BK157" s="1236"/>
      <c r="BL157" s="1236"/>
      <c r="BM157" s="1236"/>
      <c r="BN157" s="1236"/>
      <c r="BO157" s="1236"/>
      <c r="BP157" s="1236"/>
      <c r="BQ157" s="1236"/>
      <c r="BR157" s="1236"/>
      <c r="BS157" s="1236"/>
      <c r="BT157" s="1236"/>
      <c r="BU157" s="1160" t="s">
        <v>1331</v>
      </c>
      <c r="BV157" s="1161"/>
      <c r="BW157" s="1161"/>
      <c r="BX157" s="1161"/>
      <c r="BY157" s="1161"/>
      <c r="BZ157" s="1161"/>
      <c r="CA157" s="1161"/>
      <c r="CB157" s="1161"/>
      <c r="CC157" s="1161"/>
      <c r="CD157" s="1161"/>
      <c r="CE157" s="1161"/>
      <c r="CF157" s="1161"/>
      <c r="CG157" s="1161"/>
      <c r="CH157" s="1161"/>
      <c r="CI157" s="1161"/>
      <c r="CJ157" s="1161"/>
      <c r="CK157" s="1161"/>
      <c r="CL157" s="1162"/>
      <c r="CM157" s="1161" t="s">
        <v>650</v>
      </c>
      <c r="CN157" s="1161"/>
      <c r="CO157" s="1161"/>
      <c r="CP157" s="1161"/>
      <c r="CQ157" s="1161"/>
      <c r="CR157" s="1161"/>
      <c r="CS157" s="1161"/>
      <c r="CT157" s="1161"/>
      <c r="CU157" s="1161"/>
      <c r="CV157" s="1161"/>
      <c r="CW157" s="1161"/>
      <c r="CX157" s="1161"/>
      <c r="CY157" s="1161"/>
      <c r="CZ157" s="1161"/>
      <c r="DA157" s="1161"/>
      <c r="DB157" s="1161"/>
      <c r="DC157" s="1161"/>
      <c r="DD157" s="1161"/>
      <c r="DE157" s="1160" t="s">
        <v>1333</v>
      </c>
      <c r="DF157" s="1161"/>
      <c r="DG157" s="1161"/>
      <c r="DH157" s="1161"/>
      <c r="DI157" s="1161"/>
      <c r="DJ157" s="1161"/>
      <c r="DK157" s="1161"/>
      <c r="DL157" s="1161"/>
      <c r="DM157" s="1161"/>
      <c r="DN157" s="1161"/>
      <c r="DO157" s="1161"/>
      <c r="DP157" s="1161"/>
      <c r="DQ157" s="1161"/>
      <c r="DR157" s="1161"/>
      <c r="DS157" s="1161"/>
      <c r="DT157" s="1161"/>
      <c r="DU157" s="1161"/>
      <c r="DV157" s="1162"/>
    </row>
    <row r="158" spans="1:126" x14ac:dyDescent="0.3">
      <c r="A158" s="1234" t="s">
        <v>1594</v>
      </c>
      <c r="B158" s="1234"/>
      <c r="C158" s="1234"/>
      <c r="D158" s="1234"/>
      <c r="E158" s="1234"/>
      <c r="F158" s="1234"/>
      <c r="G158" s="1234"/>
      <c r="H158" s="1234"/>
      <c r="I158" s="1234"/>
      <c r="J158" s="1234"/>
      <c r="K158" s="1234"/>
      <c r="L158" s="1234"/>
      <c r="M158" s="1234"/>
      <c r="N158" s="1234"/>
      <c r="O158" s="1234"/>
      <c r="P158" s="1234"/>
      <c r="Q158" s="1234"/>
      <c r="R158" s="1234"/>
      <c r="S158" s="1234"/>
      <c r="T158" s="1234"/>
      <c r="U158" s="1234"/>
      <c r="V158" s="1234"/>
      <c r="W158" s="1234"/>
      <c r="X158" s="1234"/>
      <c r="Y158" s="1234"/>
      <c r="Z158" s="1234"/>
      <c r="AA158" s="1234"/>
      <c r="AB158" s="1234"/>
      <c r="AC158" s="1234"/>
      <c r="AD158" s="1234"/>
      <c r="AE158" s="1234"/>
      <c r="AF158" s="1234"/>
      <c r="AG158" s="1234"/>
      <c r="AH158" s="1234"/>
      <c r="AI158" s="1234"/>
      <c r="AJ158" s="1234"/>
      <c r="AK158" s="1234"/>
      <c r="AL158" s="1234"/>
      <c r="AM158" s="1234"/>
      <c r="AN158" s="1234"/>
      <c r="AO158" s="1234"/>
      <c r="AP158" s="1234"/>
      <c r="AQ158" s="1234"/>
      <c r="AR158" s="1234"/>
      <c r="AS158" s="1234"/>
      <c r="AT158" s="1234"/>
      <c r="AU158" s="1234"/>
      <c r="AV158" s="1234"/>
      <c r="AW158" s="1234"/>
      <c r="AX158" s="1234"/>
      <c r="AY158" s="1234"/>
      <c r="AZ158" s="1234"/>
      <c r="BA158" s="1234"/>
      <c r="BB158" s="1234"/>
      <c r="BC158" s="1234"/>
      <c r="BD158" s="1234"/>
      <c r="BE158" s="1234"/>
      <c r="BF158" s="1234"/>
      <c r="BG158" s="1234"/>
      <c r="BH158" s="1234"/>
      <c r="BI158" s="1234"/>
      <c r="BJ158" s="1234"/>
      <c r="BK158" s="1234"/>
      <c r="BL158" s="1234"/>
      <c r="BM158" s="1234"/>
      <c r="BN158" s="1234"/>
      <c r="BO158" s="1234"/>
      <c r="BP158" s="1234"/>
      <c r="BQ158" s="1234"/>
      <c r="BR158" s="1234"/>
      <c r="BS158" s="1234"/>
      <c r="BT158" s="1234"/>
      <c r="BU158" s="1234"/>
      <c r="BV158" s="1234"/>
      <c r="BW158" s="1234"/>
      <c r="BX158" s="1234"/>
      <c r="BY158" s="1234"/>
      <c r="BZ158" s="1234"/>
      <c r="CA158" s="1234"/>
      <c r="CB158" s="1234"/>
      <c r="CC158" s="1234"/>
      <c r="CD158" s="1234"/>
      <c r="CE158" s="1234"/>
      <c r="CF158" s="1234"/>
      <c r="CG158" s="1234"/>
      <c r="CH158" s="1234"/>
      <c r="CI158" s="1234"/>
      <c r="CJ158" s="1234"/>
      <c r="CK158" s="1234"/>
      <c r="CL158" s="1234"/>
      <c r="CM158" s="1234"/>
      <c r="CN158" s="1234"/>
      <c r="CO158" s="1234"/>
      <c r="CP158" s="1234"/>
      <c r="CQ158" s="1234"/>
      <c r="CR158" s="1234"/>
      <c r="CS158" s="1234"/>
      <c r="CT158" s="1234"/>
      <c r="CU158" s="1234"/>
      <c r="CV158" s="1234"/>
      <c r="CW158" s="1234"/>
      <c r="CX158" s="1234"/>
      <c r="CY158" s="1234"/>
      <c r="CZ158" s="1234"/>
      <c r="DA158" s="1234"/>
      <c r="DB158" s="1234"/>
      <c r="DC158" s="1234"/>
      <c r="DD158" s="1234"/>
      <c r="DE158" s="1234"/>
      <c r="DF158" s="1234"/>
      <c r="DG158" s="1234"/>
      <c r="DH158" s="1234"/>
      <c r="DI158" s="1234"/>
      <c r="DJ158" s="1234"/>
      <c r="DK158" s="1234"/>
      <c r="DL158" s="1234"/>
      <c r="DM158" s="1234"/>
      <c r="DN158" s="1234"/>
      <c r="DO158" s="1234"/>
      <c r="DP158" s="1234"/>
      <c r="DQ158" s="1234"/>
      <c r="DR158" s="1234"/>
      <c r="DS158" s="1234"/>
      <c r="DT158" s="1234"/>
      <c r="DU158" s="1234"/>
      <c r="DV158" s="1234"/>
    </row>
    <row r="159" spans="1:126" ht="15.6" x14ac:dyDescent="0.3">
      <c r="A159" s="1235" t="s">
        <v>713</v>
      </c>
      <c r="B159" s="1235"/>
      <c r="C159" s="1235"/>
      <c r="D159" s="1235"/>
      <c r="E159" s="1235"/>
      <c r="F159" s="1235"/>
      <c r="G159" s="1235"/>
      <c r="H159" s="1235"/>
      <c r="I159" s="1235"/>
      <c r="J159" s="1235"/>
      <c r="K159" s="1235"/>
      <c r="L159" s="1235"/>
      <c r="M159" s="1235"/>
      <c r="N159" s="1235"/>
      <c r="O159" s="1235"/>
      <c r="P159" s="1235"/>
      <c r="Q159" s="1235"/>
      <c r="R159" s="1235"/>
      <c r="S159" s="1235"/>
      <c r="T159" s="1235"/>
      <c r="U159" s="1235"/>
      <c r="V159" s="1235"/>
      <c r="W159" s="1235"/>
      <c r="X159" s="1235"/>
      <c r="Y159" s="1235"/>
      <c r="Z159" s="1235"/>
      <c r="AA159" s="1235"/>
      <c r="AB159" s="1235"/>
      <c r="AC159" s="1235"/>
      <c r="AD159" s="1235"/>
      <c r="AE159" s="1235"/>
      <c r="AF159" s="1235"/>
      <c r="AG159" s="1235"/>
      <c r="AH159" s="1235"/>
      <c r="AI159" s="1235"/>
      <c r="AJ159" s="1235"/>
      <c r="AK159" s="1235"/>
      <c r="AL159" s="1235"/>
      <c r="AM159" s="1235"/>
      <c r="AN159" s="1235"/>
      <c r="AO159" s="1235"/>
      <c r="AP159" s="1235"/>
      <c r="AQ159" s="1235"/>
      <c r="AR159" s="1235"/>
      <c r="AS159" s="1235"/>
      <c r="AT159" s="1235"/>
      <c r="AU159" s="1235"/>
      <c r="AV159" s="1235"/>
      <c r="AW159" s="1235"/>
      <c r="AX159" s="1235"/>
      <c r="AY159" s="1235"/>
      <c r="AZ159" s="1235"/>
      <c r="BA159" s="1235"/>
      <c r="BB159" s="1235"/>
      <c r="BC159" s="1235"/>
      <c r="BD159" s="1235"/>
      <c r="BE159" s="1235"/>
      <c r="BF159" s="1235"/>
      <c r="BG159" s="1235"/>
      <c r="BH159" s="1235"/>
      <c r="BI159" s="1235"/>
      <c r="BJ159" s="1235"/>
      <c r="BK159" s="1235"/>
      <c r="BL159" s="1235"/>
      <c r="BM159" s="1235"/>
      <c r="BN159" s="1235"/>
      <c r="BO159" s="1235"/>
      <c r="BP159" s="1235"/>
      <c r="BQ159" s="1235"/>
      <c r="BR159" s="1235"/>
      <c r="BS159" s="1235"/>
      <c r="BT159" s="1235"/>
      <c r="BU159" s="1235"/>
      <c r="BV159" s="1235"/>
      <c r="BW159" s="1235"/>
      <c r="BX159" s="1235"/>
      <c r="BY159" s="1235"/>
      <c r="BZ159" s="1235"/>
      <c r="CA159" s="1235"/>
      <c r="CB159" s="1235"/>
      <c r="CC159" s="1235"/>
      <c r="CD159" s="1235"/>
      <c r="CE159" s="1235"/>
      <c r="CF159" s="1235"/>
      <c r="CG159" s="1235"/>
      <c r="CH159" s="1235"/>
      <c r="CI159" s="1235"/>
      <c r="CJ159" s="1235"/>
      <c r="CK159" s="1235"/>
      <c r="CL159" s="1235"/>
      <c r="CM159" s="1235"/>
      <c r="CN159" s="1235"/>
      <c r="CO159" s="1235"/>
      <c r="CP159" s="1235"/>
      <c r="CQ159" s="1235"/>
      <c r="CR159" s="1235"/>
      <c r="CS159" s="1235"/>
      <c r="CT159" s="1235"/>
      <c r="CU159" s="1235"/>
      <c r="CV159" s="1235"/>
      <c r="CW159" s="1235"/>
      <c r="CX159" s="1235"/>
      <c r="CY159" s="1235"/>
      <c r="CZ159" s="1235"/>
      <c r="DA159" s="1235"/>
      <c r="DB159" s="1235"/>
      <c r="DC159" s="1235"/>
      <c r="DD159" s="1235"/>
      <c r="DE159" s="1235"/>
      <c r="DF159" s="1235"/>
      <c r="DG159" s="1235"/>
      <c r="DH159" s="1235"/>
      <c r="DI159" s="1235"/>
      <c r="DJ159" s="1235"/>
      <c r="DK159" s="1235"/>
      <c r="DL159" s="1235"/>
      <c r="DM159" s="1235"/>
      <c r="DN159" s="1235"/>
      <c r="DO159" s="1235"/>
      <c r="DP159" s="1235"/>
      <c r="DQ159" s="1235"/>
      <c r="DR159" s="1235"/>
      <c r="DS159" s="1235"/>
      <c r="DT159" s="1235"/>
      <c r="DU159" s="1235"/>
      <c r="DV159" s="1235"/>
    </row>
    <row r="160" spans="1:126" x14ac:dyDescent="0.3">
      <c r="CZ160" s="51"/>
    </row>
  </sheetData>
  <sheetProtection algorithmName="SHA-512" hashValue="tHW++ruynsh5eRB/r/052/T/P4WYq9YDk9PkQR6BpgIlM8WlVucXtA16r1UrW2xZ4nWDTsjedOJFBXBB8maMVw==" saltValue="Q8UCbjKJF3nzB5kMPddv7g==" spinCount="100000" sheet="1" objects="1" scenarios="1"/>
  <mergeCells count="358">
    <mergeCell ref="BS117:DU117"/>
    <mergeCell ref="BH115:BR115"/>
    <mergeCell ref="BH116:BR116"/>
    <mergeCell ref="BH117:BR117"/>
    <mergeCell ref="A1:AD1"/>
    <mergeCell ref="AG1:BZ1"/>
    <mergeCell ref="CC1:DU1"/>
    <mergeCell ref="A2:T2"/>
    <mergeCell ref="V2:AN2"/>
    <mergeCell ref="AP2:BE2"/>
    <mergeCell ref="BZ2:CH2"/>
    <mergeCell ref="CL2:DJ2"/>
    <mergeCell ref="AV94:BV94"/>
    <mergeCell ref="A3:T3"/>
    <mergeCell ref="X3:AX3"/>
    <mergeCell ref="AZ3:BW3"/>
    <mergeCell ref="BY3:DA3"/>
    <mergeCell ref="DC3:DH3"/>
    <mergeCell ref="DI3:DT3"/>
    <mergeCell ref="DR48:DU50"/>
    <mergeCell ref="DR51:DU53"/>
    <mergeCell ref="DR54:DU56"/>
    <mergeCell ref="AV115:BG115"/>
    <mergeCell ref="AV116:BG116"/>
    <mergeCell ref="O125:R125"/>
    <mergeCell ref="S125:AG125"/>
    <mergeCell ref="AH126:AM126"/>
    <mergeCell ref="AN126:AQ126"/>
    <mergeCell ref="DE135:DV135"/>
    <mergeCell ref="AS131:BA131"/>
    <mergeCell ref="A131:N131"/>
    <mergeCell ref="O131:R131"/>
    <mergeCell ref="A132:AG132"/>
    <mergeCell ref="BB131:DV131"/>
    <mergeCell ref="BB132:DV132"/>
    <mergeCell ref="BU135:CL135"/>
    <mergeCell ref="CM135:DD135"/>
    <mergeCell ref="AX128:BA128"/>
    <mergeCell ref="S129:AG129"/>
    <mergeCell ref="AN131:AQ131"/>
    <mergeCell ref="BO125:DV125"/>
    <mergeCell ref="BB126:DV126"/>
    <mergeCell ref="BB127:DV127"/>
    <mergeCell ref="AH129:AM129"/>
    <mergeCell ref="AN129:AQ129"/>
    <mergeCell ref="AR129:AW129"/>
    <mergeCell ref="AX129:BA129"/>
    <mergeCell ref="A130:N130"/>
    <mergeCell ref="AN132:AQ132"/>
    <mergeCell ref="AS132:BA132"/>
    <mergeCell ref="AH131:AM131"/>
    <mergeCell ref="F136:R137"/>
    <mergeCell ref="F138:R139"/>
    <mergeCell ref="S134:DV134"/>
    <mergeCell ref="A134:R134"/>
    <mergeCell ref="F135:R135"/>
    <mergeCell ref="F140:R141"/>
    <mergeCell ref="A136:E137"/>
    <mergeCell ref="A135:E135"/>
    <mergeCell ref="A138:E139"/>
    <mergeCell ref="A140:E141"/>
    <mergeCell ref="S138:AJ139"/>
    <mergeCell ref="BU136:CL136"/>
    <mergeCell ref="BU137:CL137"/>
    <mergeCell ref="CM136:DD136"/>
    <mergeCell ref="CM137:DD137"/>
    <mergeCell ref="S135:AJ135"/>
    <mergeCell ref="S136:AJ137"/>
    <mergeCell ref="S140:AJ140"/>
    <mergeCell ref="S141:AJ141"/>
    <mergeCell ref="AK135:BB135"/>
    <mergeCell ref="A146:E147"/>
    <mergeCell ref="F144:R145"/>
    <mergeCell ref="A144:E145"/>
    <mergeCell ref="F150:R151"/>
    <mergeCell ref="A150:E151"/>
    <mergeCell ref="F148:R149"/>
    <mergeCell ref="AV117:BG117"/>
    <mergeCell ref="AV119:BG119"/>
    <mergeCell ref="A120:AU120"/>
    <mergeCell ref="A117:AU117"/>
    <mergeCell ref="A142:E143"/>
    <mergeCell ref="F142:R143"/>
    <mergeCell ref="BC135:BT135"/>
    <mergeCell ref="BC136:BT136"/>
    <mergeCell ref="BC137:BT137"/>
    <mergeCell ref="AH125:AQ125"/>
    <mergeCell ref="AR125:BA125"/>
    <mergeCell ref="AR126:AW126"/>
    <mergeCell ref="AX126:BA126"/>
    <mergeCell ref="A126:N126"/>
    <mergeCell ref="O126:R126"/>
    <mergeCell ref="S126:AG126"/>
    <mergeCell ref="AP123:BE123"/>
    <mergeCell ref="AH132:AM132"/>
    <mergeCell ref="BC154:BT154"/>
    <mergeCell ref="BC155:BT155"/>
    <mergeCell ref="F154:R155"/>
    <mergeCell ref="A154:E155"/>
    <mergeCell ref="A156:E157"/>
    <mergeCell ref="BU154:CL155"/>
    <mergeCell ref="F152:R153"/>
    <mergeCell ref="A152:E153"/>
    <mergeCell ref="CM156:DD156"/>
    <mergeCell ref="CM157:DD157"/>
    <mergeCell ref="AK154:BB155"/>
    <mergeCell ref="A158:DV158"/>
    <mergeCell ref="A159:DV159"/>
    <mergeCell ref="BU156:CL156"/>
    <mergeCell ref="BU157:CL157"/>
    <mergeCell ref="BC156:BT156"/>
    <mergeCell ref="BC157:BT157"/>
    <mergeCell ref="S156:AJ156"/>
    <mergeCell ref="S157:AJ157"/>
    <mergeCell ref="F156:R157"/>
    <mergeCell ref="DE156:DV156"/>
    <mergeCell ref="DE157:DV157"/>
    <mergeCell ref="A118:AU118"/>
    <mergeCell ref="A119:AU119"/>
    <mergeCell ref="BS118:DU118"/>
    <mergeCell ref="BS119:DU119"/>
    <mergeCell ref="BH118:BR118"/>
    <mergeCell ref="BH119:BR119"/>
    <mergeCell ref="AV118:BG118"/>
    <mergeCell ref="A128:N128"/>
    <mergeCell ref="AH127:AM127"/>
    <mergeCell ref="AN127:AQ127"/>
    <mergeCell ref="AR127:AW127"/>
    <mergeCell ref="AX127:BA127"/>
    <mergeCell ref="A127:N127"/>
    <mergeCell ref="O127:R127"/>
    <mergeCell ref="O128:R128"/>
    <mergeCell ref="S128:AG128"/>
    <mergeCell ref="S127:AG127"/>
    <mergeCell ref="AH128:AM128"/>
    <mergeCell ref="AN128:AQ128"/>
    <mergeCell ref="BZ123:CH123"/>
    <mergeCell ref="BS121:DU121"/>
    <mergeCell ref="BH121:BR121"/>
    <mergeCell ref="AV121:BG121"/>
    <mergeCell ref="A121:AU121"/>
    <mergeCell ref="DR76:DU78"/>
    <mergeCell ref="DR79:DU81"/>
    <mergeCell ref="DR82:DU84"/>
    <mergeCell ref="DR85:DU87"/>
    <mergeCell ref="DR88:DU90"/>
    <mergeCell ref="DR91:DU93"/>
    <mergeCell ref="X97:AX97"/>
    <mergeCell ref="AZ97:BW97"/>
    <mergeCell ref="BY97:DA97"/>
    <mergeCell ref="DC97:DH97"/>
    <mergeCell ref="DI97:DT97"/>
    <mergeCell ref="DR94:DU94"/>
    <mergeCell ref="A124:T124"/>
    <mergeCell ref="X124:AX124"/>
    <mergeCell ref="AZ124:BW124"/>
    <mergeCell ref="BY124:DA124"/>
    <mergeCell ref="DC124:DH124"/>
    <mergeCell ref="DI124:DT124"/>
    <mergeCell ref="A122:AD122"/>
    <mergeCell ref="AG122:BZ122"/>
    <mergeCell ref="CC122:DU122"/>
    <mergeCell ref="A123:T123"/>
    <mergeCell ref="V123:AN123"/>
    <mergeCell ref="CL123:DJ123"/>
    <mergeCell ref="DR63:DU65"/>
    <mergeCell ref="DR5:DU7"/>
    <mergeCell ref="DR8:DU10"/>
    <mergeCell ref="DR11:DU13"/>
    <mergeCell ref="DR14:DU16"/>
    <mergeCell ref="DR17:DU19"/>
    <mergeCell ref="DR20:DU22"/>
    <mergeCell ref="DR23:DU25"/>
    <mergeCell ref="DR26:DU28"/>
    <mergeCell ref="DR29:DU31"/>
    <mergeCell ref="DR32:DU34"/>
    <mergeCell ref="DR36:DU38"/>
    <mergeCell ref="DR39:DU41"/>
    <mergeCell ref="DR42:DU44"/>
    <mergeCell ref="DR45:DU47"/>
    <mergeCell ref="DR57:DU59"/>
    <mergeCell ref="DR60:DU62"/>
    <mergeCell ref="DR67:DU69"/>
    <mergeCell ref="A95:AD95"/>
    <mergeCell ref="AG95:BZ95"/>
    <mergeCell ref="BS99:DU99"/>
    <mergeCell ref="BS100:DU100"/>
    <mergeCell ref="BS101:DU101"/>
    <mergeCell ref="BS102:DU102"/>
    <mergeCell ref="BS103:DU103"/>
    <mergeCell ref="BS104:DU104"/>
    <mergeCell ref="BH99:BR99"/>
    <mergeCell ref="BH100:BR100"/>
    <mergeCell ref="BH101:BR101"/>
    <mergeCell ref="BH102:BR102"/>
    <mergeCell ref="BH103:BR103"/>
    <mergeCell ref="BH104:BR104"/>
    <mergeCell ref="CC95:DU95"/>
    <mergeCell ref="A96:T96"/>
    <mergeCell ref="V96:AN96"/>
    <mergeCell ref="AP96:BE96"/>
    <mergeCell ref="BZ96:CH96"/>
    <mergeCell ref="CL96:DJ96"/>
    <mergeCell ref="A97:T97"/>
    <mergeCell ref="DR70:DU72"/>
    <mergeCell ref="DR73:DU75"/>
    <mergeCell ref="BS112:DU112"/>
    <mergeCell ref="BS116:DU116"/>
    <mergeCell ref="BS115:DU115"/>
    <mergeCell ref="BS114:DU114"/>
    <mergeCell ref="BS113:DU113"/>
    <mergeCell ref="AV99:BG99"/>
    <mergeCell ref="AV100:BG100"/>
    <mergeCell ref="AV101:BG101"/>
    <mergeCell ref="AV102:BG102"/>
    <mergeCell ref="AV103:BG103"/>
    <mergeCell ref="AV104:BG104"/>
    <mergeCell ref="AV105:BG105"/>
    <mergeCell ref="AV112:BG112"/>
    <mergeCell ref="AV113:BG113"/>
    <mergeCell ref="AV114:BG114"/>
    <mergeCell ref="BH106:BR106"/>
    <mergeCell ref="BH107:BR107"/>
    <mergeCell ref="BH108:BR108"/>
    <mergeCell ref="BH109:BR109"/>
    <mergeCell ref="BH110:BR110"/>
    <mergeCell ref="BH111:BR111"/>
    <mergeCell ref="BH112:BR112"/>
    <mergeCell ref="BH113:BR113"/>
    <mergeCell ref="BH114:BR114"/>
    <mergeCell ref="AV108:BG108"/>
    <mergeCell ref="AV109:BG109"/>
    <mergeCell ref="AV110:BG110"/>
    <mergeCell ref="AV111:BG111"/>
    <mergeCell ref="A98:DU98"/>
    <mergeCell ref="A108:AU108"/>
    <mergeCell ref="A109:AU109"/>
    <mergeCell ref="A110:AU110"/>
    <mergeCell ref="A111:AU111"/>
    <mergeCell ref="BS106:DU106"/>
    <mergeCell ref="BS107:DU107"/>
    <mergeCell ref="BS108:DU108"/>
    <mergeCell ref="BS109:DU109"/>
    <mergeCell ref="BS110:DU110"/>
    <mergeCell ref="BS111:DU111"/>
    <mergeCell ref="BS105:DU105"/>
    <mergeCell ref="BH105:BR105"/>
    <mergeCell ref="A105:AU105"/>
    <mergeCell ref="A99:AU99"/>
    <mergeCell ref="A100:AU100"/>
    <mergeCell ref="A101:AU101"/>
    <mergeCell ref="A102:AU102"/>
    <mergeCell ref="A103:AU103"/>
    <mergeCell ref="A104:AU104"/>
    <mergeCell ref="A106:AU106"/>
    <mergeCell ref="A107:AU107"/>
    <mergeCell ref="AV106:BG106"/>
    <mergeCell ref="AV107:BG107"/>
    <mergeCell ref="AK138:BB139"/>
    <mergeCell ref="AK140:BB140"/>
    <mergeCell ref="AK141:BB141"/>
    <mergeCell ref="AK142:BB142"/>
    <mergeCell ref="A112:AU112"/>
    <mergeCell ref="A113:AU113"/>
    <mergeCell ref="A114:AU114"/>
    <mergeCell ref="A115:AU115"/>
    <mergeCell ref="A116:AU116"/>
    <mergeCell ref="S131:AG131"/>
    <mergeCell ref="BB128:DV128"/>
    <mergeCell ref="BB129:DV129"/>
    <mergeCell ref="BB130:DV130"/>
    <mergeCell ref="S130:AG130"/>
    <mergeCell ref="BB125:BN125"/>
    <mergeCell ref="A125:N125"/>
    <mergeCell ref="AR128:AW128"/>
    <mergeCell ref="AH130:AM130"/>
    <mergeCell ref="AN130:AQ130"/>
    <mergeCell ref="AS130:BA130"/>
    <mergeCell ref="O130:R130"/>
    <mergeCell ref="A129:N129"/>
    <mergeCell ref="O129:R129"/>
    <mergeCell ref="BU140:CL140"/>
    <mergeCell ref="BU141:CL141"/>
    <mergeCell ref="AK152:BB153"/>
    <mergeCell ref="BU142:CL142"/>
    <mergeCell ref="BU143:CL143"/>
    <mergeCell ref="BC142:BT142"/>
    <mergeCell ref="AK144:BB145"/>
    <mergeCell ref="AK146:BB146"/>
    <mergeCell ref="AK147:BB147"/>
    <mergeCell ref="AK148:BB148"/>
    <mergeCell ref="AK149:BB149"/>
    <mergeCell ref="AK150:BB150"/>
    <mergeCell ref="AK151:BB151"/>
    <mergeCell ref="BC146:BT146"/>
    <mergeCell ref="BC147:BT147"/>
    <mergeCell ref="BC148:BT148"/>
    <mergeCell ref="BC149:BT149"/>
    <mergeCell ref="BC150:BT150"/>
    <mergeCell ref="A148:E149"/>
    <mergeCell ref="S148:AJ149"/>
    <mergeCell ref="F146:R147"/>
    <mergeCell ref="DE154:DV155"/>
    <mergeCell ref="CM152:DD153"/>
    <mergeCell ref="DE136:DV137"/>
    <mergeCell ref="CM154:DD154"/>
    <mergeCell ref="CM155:DD155"/>
    <mergeCell ref="AK156:BB156"/>
    <mergeCell ref="AK157:BB157"/>
    <mergeCell ref="AK136:BB136"/>
    <mergeCell ref="AK137:BB137"/>
    <mergeCell ref="AK143:BB143"/>
    <mergeCell ref="BC144:BT145"/>
    <mergeCell ref="BU144:CL145"/>
    <mergeCell ref="DE152:DV153"/>
    <mergeCell ref="BC140:BT141"/>
    <mergeCell ref="CM140:DD141"/>
    <mergeCell ref="DE140:DV141"/>
    <mergeCell ref="DE138:DV139"/>
    <mergeCell ref="CM138:DD139"/>
    <mergeCell ref="BU138:CL139"/>
    <mergeCell ref="BC138:BT139"/>
    <mergeCell ref="BC152:BT153"/>
    <mergeCell ref="BU146:CL146"/>
    <mergeCell ref="CM142:DD142"/>
    <mergeCell ref="CM143:DD143"/>
    <mergeCell ref="S142:AJ142"/>
    <mergeCell ref="S143:AJ143"/>
    <mergeCell ref="S144:AJ145"/>
    <mergeCell ref="S146:AJ146"/>
    <mergeCell ref="S147:AJ147"/>
    <mergeCell ref="S150:AJ150"/>
    <mergeCell ref="S151:AJ151"/>
    <mergeCell ref="S154:AJ154"/>
    <mergeCell ref="S155:AJ155"/>
    <mergeCell ref="S152:AJ153"/>
    <mergeCell ref="BU147:CL147"/>
    <mergeCell ref="BU148:CL148"/>
    <mergeCell ref="BU149:CL149"/>
    <mergeCell ref="BU150:CL150"/>
    <mergeCell ref="BU151:CL151"/>
    <mergeCell ref="BU152:CL153"/>
    <mergeCell ref="BC143:BT143"/>
    <mergeCell ref="BC151:BT151"/>
    <mergeCell ref="DE142:DV142"/>
    <mergeCell ref="CM148:DD149"/>
    <mergeCell ref="CM150:DD151"/>
    <mergeCell ref="DE148:DV149"/>
    <mergeCell ref="DE150:DV151"/>
    <mergeCell ref="CM144:DD144"/>
    <mergeCell ref="CM145:DD145"/>
    <mergeCell ref="CM146:DD146"/>
    <mergeCell ref="CM147:DD147"/>
    <mergeCell ref="DE143:DV143"/>
    <mergeCell ref="DE144:DV144"/>
    <mergeCell ref="DE145:DV145"/>
    <mergeCell ref="DE146:DV146"/>
    <mergeCell ref="DE147:DV147"/>
  </mergeCells>
  <pageMargins left="0.25" right="0.25" top="0.25" bottom="0.25" header="0" footer="0"/>
  <pageSetup fitToWidth="0" fitToHeight="0" orientation="landscape" r:id="rId1"/>
  <extLst>
    <ext xmlns:x14="http://schemas.microsoft.com/office/spreadsheetml/2009/9/main" uri="{78C0D931-6437-407d-A8EE-F0AAD7539E65}">
      <x14:conditionalFormattings>
        <x14:conditionalFormatting xmlns:xm="http://schemas.microsoft.com/office/excel/2006/main">
          <x14:cfRule type="cellIs" priority="2667" operator="equal" id="{6D3667FB-784B-42C5-8A5E-9CC9E5E47AA1}">
            <xm:f>'1-Hull'!$AA$68</xm:f>
            <x14:dxf>
              <fill>
                <patternFill patternType="lightUp"/>
              </fill>
            </x14:dxf>
          </x14:cfRule>
          <x14:cfRule type="cellIs" priority="2668" operator="equal" id="{65F37A9F-D13A-40AB-B450-651FEEF16633}">
            <xm:f>'1-Hull'!$Z$68</xm:f>
            <x14:dxf>
              <fill>
                <patternFill patternType="lightUp"/>
              </fill>
            </x14:dxf>
          </x14:cfRule>
          <x14:cfRule type="cellIs" priority="2669" operator="equal" id="{768B9977-3B03-40E4-8877-E3D23EE8423A}">
            <xm:f>'1-Hull'!$Y$68</xm:f>
            <x14:dxf>
              <fill>
                <patternFill patternType="lightUp"/>
              </fill>
            </x14:dxf>
          </x14:cfRule>
          <x14:cfRule type="cellIs" priority="2670" operator="equal" id="{A5F8C6A0-A5AE-4E7D-913C-C0639707013C}">
            <xm:f>'1-Hull'!$X$68</xm:f>
            <x14:dxf>
              <fill>
                <patternFill patternType="lightUp"/>
              </fill>
            </x14:dxf>
          </x14:cfRule>
          <x14:cfRule type="cellIs" priority="2671" operator="equal" id="{8981CA36-A823-4345-8AA6-1E4A710B89A9}">
            <xm:f>'1-Hull'!$W$68</xm:f>
            <x14:dxf>
              <fill>
                <patternFill patternType="lightUp"/>
              </fill>
            </x14:dxf>
          </x14:cfRule>
          <x14:cfRule type="cellIs" priority="2672" operator="equal" id="{5A98C6E5-54F0-4184-B4AE-63F523039092}">
            <xm:f>'1-Hull'!$V$68</xm:f>
            <x14:dxf>
              <fill>
                <patternFill patternType="lightUp"/>
              </fill>
            </x14:dxf>
          </x14:cfRule>
          <x14:cfRule type="cellIs" priority="2673" operator="equal" id="{DAE38F10-2E9D-43A6-B6F6-5562508C21A8}">
            <xm:f>'1-Hull'!$U$68</xm:f>
            <x14:dxf>
              <fill>
                <patternFill patternType="lightUp"/>
              </fill>
            </x14:dxf>
          </x14:cfRule>
          <x14:cfRule type="cellIs" priority="2674" operator="equal" id="{E6ECE402-A8FA-465C-88FD-1EE8110AA93A}">
            <xm:f>'1-Hull'!$T$68</xm:f>
            <x14:dxf>
              <fill>
                <patternFill patternType="lightUp"/>
              </fill>
            </x14:dxf>
          </x14:cfRule>
          <x14:cfRule type="cellIs" priority="2675" operator="equal" id="{00C86352-9DF6-4305-AEA9-A6C7A2B59B26}">
            <xm:f>'1-Hull'!$S$68</xm:f>
            <x14:dxf>
              <fill>
                <patternFill patternType="lightUp"/>
              </fill>
            </x14:dxf>
          </x14:cfRule>
          <x14:cfRule type="cellIs" priority="2676" operator="greaterThan" id="{7C44EE9A-6B97-47A7-9CBA-5C678E59D534}">
            <xm:f>'1-Hull'!$S$66</xm:f>
            <x14:dxf>
              <font>
                <color theme="0" tint="-0.24994659260841701"/>
              </font>
              <fill>
                <patternFill>
                  <bgColor theme="0" tint="-0.24994659260841701"/>
                </patternFill>
              </fill>
            </x14:dxf>
          </x14:cfRule>
          <xm:sqref>A4:DP93</xm:sqref>
        </x14:conditionalFormatting>
        <x14:conditionalFormatting xmlns:xm="http://schemas.microsoft.com/office/excel/2006/main">
          <x14:cfRule type="expression" priority="1" id="{2D42C38A-F811-43CE-A360-25B708C918C1}">
            <xm:f>'7-Sensors'!$B$33="Installed"</xm:f>
            <x14:dxf>
              <font>
                <u val="double"/>
              </font>
            </x14:dxf>
          </x14:cfRule>
          <xm:sqref>F136:R137</xm:sqref>
        </x14:conditionalFormatting>
        <x14:conditionalFormatting xmlns:xm="http://schemas.microsoft.com/office/excel/2006/main">
          <x14:cfRule type="expression" priority="2449" id="{CFFCDACC-EAD9-482D-ACB2-76CA828E588C}">
            <xm:f>'3-Pwr Plant'!$C$16='3-Pwr Plant'!$S$17</xm:f>
            <x14:dxf>
              <font>
                <u val="double"/>
              </font>
            </x14:dxf>
          </x14:cfRule>
          <xm:sqref>F138:R139</xm:sqref>
        </x14:conditionalFormatting>
        <x14:conditionalFormatting xmlns:xm="http://schemas.microsoft.com/office/excel/2006/main">
          <x14:cfRule type="expression" priority="3012" id="{EEF691E2-0533-4FF3-89AC-7FD214C404D3}">
            <xm:f>'4-Fuel'!$C$12='4-Fuel'!$T$10</xm:f>
            <x14:dxf>
              <font>
                <u val="double"/>
              </font>
            </x14:dxf>
          </x14:cfRule>
          <xm:sqref>F140:R141</xm:sqref>
        </x14:conditionalFormatting>
        <x14:conditionalFormatting xmlns:xm="http://schemas.microsoft.com/office/excel/2006/main">
          <x14:cfRule type="expression" priority="2105" id="{8D5E357F-3E43-4C72-81FF-F830CA522D7A}">
            <xm:f>'2-Drives'!$C$16="Yes"</xm:f>
            <x14:dxf>
              <font>
                <u val="double"/>
              </font>
              <border>
                <vertical/>
                <horizontal/>
              </border>
            </x14:dxf>
          </x14:cfRule>
          <xm:sqref>F148:R149</xm:sqref>
        </x14:conditionalFormatting>
        <x14:conditionalFormatting xmlns:xm="http://schemas.microsoft.com/office/excel/2006/main">
          <x14:cfRule type="expression" priority="2106" id="{0494F6DA-7369-4D8A-AC00-0395C27ABD59}">
            <xm:f>'2-Drives'!$C$31='2-Drives'!$S$13</xm:f>
            <x14:dxf>
              <font>
                <u val="double"/>
              </font>
            </x14:dxf>
          </x14:cfRule>
          <xm:sqref>F152:R153</xm:sqref>
        </x14:conditionalFormatting>
        <x14:conditionalFormatting xmlns:xm="http://schemas.microsoft.com/office/excel/2006/main">
          <x14:cfRule type="expression" priority="3247" id="{47C0E422-33D9-48A6-9C80-B15877D119CB}">
            <xm:f>'11-Staterooms'!$C$58="Yes"</xm:f>
            <x14:dxf>
              <font>
                <u val="double"/>
              </font>
            </x14:dxf>
          </x14:cfRule>
          <xm:sqref>F154:R155</xm:sqref>
        </x14:conditionalFormatting>
        <x14:conditionalFormatting xmlns:xm="http://schemas.microsoft.com/office/excel/2006/main">
          <x14:cfRule type="expression" priority="3342" id="{5A149DE3-9C77-4EED-871C-8A3087AEEE62}">
            <xm:f>'5-Bridge'!$C$22='5-Bridge'!$S$29</xm:f>
            <x14:dxf>
              <font>
                <u val="double"/>
              </font>
            </x14:dxf>
          </x14:cfRule>
          <xm:sqref>F156:R157</xm:sqref>
        </x14:conditionalFormatting>
        <x14:conditionalFormatting xmlns:xm="http://schemas.microsoft.com/office/excel/2006/main">
          <x14:cfRule type="expression" priority="20" id="{3050FC44-90E4-449B-91A4-587D472BC40C}">
            <xm:f>'1-Hull'!$D$7&lt;10560</xm:f>
            <x14:dxf>
              <fill>
                <patternFill>
                  <bgColor theme="0" tint="-0.499984740745262"/>
                </patternFill>
              </fill>
            </x14:dxf>
          </x14:cfRule>
          <xm:sqref>DR5 DR8 DR11 DR14 DR17 DR20 DR23 DR26 DR29 DR32</xm:sqref>
        </x14:conditionalFormatting>
        <x14:conditionalFormatting xmlns:xm="http://schemas.microsoft.com/office/excel/2006/main">
          <x14:cfRule type="expression" priority="19" id="{F03B09BE-19AB-473C-9FF3-76415E1BEE3F}">
            <xm:f>'1-Hull'!$D$7&lt;105600</xm:f>
            <x14:dxf>
              <fill>
                <patternFill>
                  <bgColor theme="0" tint="-0.499984740745262"/>
                </patternFill>
              </fill>
            </x14:dxf>
          </x14:cfRule>
          <xm:sqref>DR36 DR39 DR42 DR45 DR48 DR51 DR54 DR57 DR60 DR63</xm:sqref>
        </x14:conditionalFormatting>
        <x14:conditionalFormatting xmlns:xm="http://schemas.microsoft.com/office/excel/2006/main">
          <x14:cfRule type="expression" priority="8" id="{C7D00373-B88D-4577-8E54-6CA65095259C}">
            <xm:f>'1-Hull'!$D$7&lt;1056000</xm:f>
            <x14:dxf>
              <fill>
                <patternFill>
                  <bgColor theme="0" tint="-0.499984740745262"/>
                </patternFill>
              </fill>
            </x14:dxf>
          </x14:cfRule>
          <xm:sqref>DR67:DU94</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3881-FAAC-4A45-8B36-420D803D8610}">
  <dimension ref="A18:B126"/>
  <sheetViews>
    <sheetView topLeftCell="A7" workbookViewId="0">
      <selection activeCell="B11" sqref="B11"/>
    </sheetView>
  </sheetViews>
  <sheetFormatPr defaultRowHeight="14.4" x14ac:dyDescent="0.3"/>
  <cols>
    <col min="1" max="1" width="19.109375" style="25" customWidth="1"/>
    <col min="2" max="2" width="173.6640625" style="12" customWidth="1"/>
  </cols>
  <sheetData>
    <row r="18" spans="2:2" ht="43.2" x14ac:dyDescent="0.3">
      <c r="B18" s="12" t="s">
        <v>2757</v>
      </c>
    </row>
    <row r="19" spans="2:2" x14ac:dyDescent="0.3">
      <c r="B19" s="12" t="s">
        <v>2734</v>
      </c>
    </row>
    <row r="20" spans="2:2" x14ac:dyDescent="0.3">
      <c r="B20" s="12" t="s">
        <v>2733</v>
      </c>
    </row>
    <row r="21" spans="2:2" x14ac:dyDescent="0.3">
      <c r="B21" s="12" t="s">
        <v>2729</v>
      </c>
    </row>
    <row r="22" spans="2:2" ht="43.2" x14ac:dyDescent="0.3">
      <c r="B22" s="12" t="s">
        <v>2698</v>
      </c>
    </row>
    <row r="23" spans="2:2" ht="43.2" x14ac:dyDescent="0.3">
      <c r="B23" s="12" t="s">
        <v>2679</v>
      </c>
    </row>
    <row r="24" spans="2:2" ht="144" x14ac:dyDescent="0.3">
      <c r="B24" s="12" t="s">
        <v>2678</v>
      </c>
    </row>
    <row r="25" spans="2:2" ht="28.8" x14ac:dyDescent="0.3">
      <c r="B25" s="12" t="s">
        <v>2677</v>
      </c>
    </row>
    <row r="26" spans="2:2" x14ac:dyDescent="0.3">
      <c r="B26" s="12" t="s">
        <v>2676</v>
      </c>
    </row>
    <row r="27" spans="2:2" x14ac:dyDescent="0.3">
      <c r="B27" s="12" t="s">
        <v>2675</v>
      </c>
    </row>
    <row r="28" spans="2:2" ht="28.8" x14ac:dyDescent="0.3">
      <c r="B28" s="12" t="s">
        <v>2674</v>
      </c>
    </row>
    <row r="29" spans="2:2" ht="16.8" x14ac:dyDescent="0.4">
      <c r="B29" s="656" t="s">
        <v>2673</v>
      </c>
    </row>
    <row r="30" spans="2:2" ht="43.2" x14ac:dyDescent="0.3">
      <c r="B30" s="12" t="s">
        <v>2672</v>
      </c>
    </row>
    <row r="31" spans="2:2" ht="16.8" x14ac:dyDescent="0.4">
      <c r="B31" s="656" t="s">
        <v>2671</v>
      </c>
    </row>
    <row r="32" spans="2:2" ht="72" x14ac:dyDescent="0.3">
      <c r="B32" s="12" t="s">
        <v>2670</v>
      </c>
    </row>
    <row r="33" spans="2:2" ht="57.6" x14ac:dyDescent="0.3">
      <c r="B33" s="12" t="s">
        <v>2669</v>
      </c>
    </row>
    <row r="34" spans="2:2" ht="216" x14ac:dyDescent="0.3">
      <c r="B34" s="12" t="s">
        <v>2668</v>
      </c>
    </row>
    <row r="35" spans="2:2" ht="16.8" x14ac:dyDescent="0.4">
      <c r="B35" s="656" t="s">
        <v>2667</v>
      </c>
    </row>
    <row r="36" spans="2:2" ht="43.2" x14ac:dyDescent="0.3">
      <c r="B36" s="12" t="s">
        <v>2666</v>
      </c>
    </row>
    <row r="37" spans="2:2" x14ac:dyDescent="0.3">
      <c r="B37" s="12" t="s">
        <v>2665</v>
      </c>
    </row>
    <row r="38" spans="2:2" ht="43.2" x14ac:dyDescent="0.3">
      <c r="B38" s="12" t="s">
        <v>2664</v>
      </c>
    </row>
    <row r="39" spans="2:2" ht="28.8" x14ac:dyDescent="0.3">
      <c r="B39" s="12" t="s">
        <v>2663</v>
      </c>
    </row>
    <row r="40" spans="2:2" ht="129.6" x14ac:dyDescent="0.3">
      <c r="B40" s="12" t="s">
        <v>2662</v>
      </c>
    </row>
    <row r="41" spans="2:2" ht="172.8" x14ac:dyDescent="0.3">
      <c r="B41" s="12" t="s">
        <v>2661</v>
      </c>
    </row>
    <row r="42" spans="2:2" ht="72" x14ac:dyDescent="0.3">
      <c r="B42" s="12" t="s">
        <v>2660</v>
      </c>
    </row>
    <row r="43" spans="2:2" ht="16.8" x14ac:dyDescent="0.4">
      <c r="B43" s="656" t="s">
        <v>2659</v>
      </c>
    </row>
    <row r="44" spans="2:2" ht="43.2" x14ac:dyDescent="0.3">
      <c r="B44" s="12" t="s">
        <v>2658</v>
      </c>
    </row>
    <row r="45" spans="2:2" ht="28.8" x14ac:dyDescent="0.3">
      <c r="B45" s="12" t="s">
        <v>2657</v>
      </c>
    </row>
    <row r="46" spans="2:2" ht="28.8" x14ac:dyDescent="0.3">
      <c r="B46" s="12" t="s">
        <v>2656</v>
      </c>
    </row>
    <row r="47" spans="2:2" x14ac:dyDescent="0.3">
      <c r="B47" s="12" t="s">
        <v>2655</v>
      </c>
    </row>
    <row r="48" spans="2:2" ht="16.8" x14ac:dyDescent="0.4">
      <c r="B48" s="656" t="s">
        <v>2654</v>
      </c>
    </row>
    <row r="49" spans="2:2" ht="28.8" x14ac:dyDescent="0.3">
      <c r="B49" s="12" t="s">
        <v>2653</v>
      </c>
    </row>
    <row r="50" spans="2:2" ht="28.8" x14ac:dyDescent="0.3">
      <c r="B50" s="12" t="s">
        <v>2652</v>
      </c>
    </row>
    <row r="51" spans="2:2" ht="16.8" x14ac:dyDescent="0.4">
      <c r="B51" s="656" t="s">
        <v>2651</v>
      </c>
    </row>
    <row r="52" spans="2:2" ht="28.8" x14ac:dyDescent="0.3">
      <c r="B52" s="12" t="s">
        <v>2650</v>
      </c>
    </row>
    <row r="53" spans="2:2" ht="28.8" x14ac:dyDescent="0.3">
      <c r="B53" s="12" t="s">
        <v>2649</v>
      </c>
    </row>
    <row r="54" spans="2:2" ht="33.6" x14ac:dyDescent="0.4">
      <c r="B54" s="657" t="s">
        <v>2648</v>
      </c>
    </row>
    <row r="55" spans="2:2" ht="16.8" x14ac:dyDescent="0.4">
      <c r="B55" s="656" t="s">
        <v>2647</v>
      </c>
    </row>
    <row r="56" spans="2:2" ht="72" x14ac:dyDescent="0.3">
      <c r="B56" s="12" t="s">
        <v>2646</v>
      </c>
    </row>
    <row r="57" spans="2:2" ht="43.2" x14ac:dyDescent="0.3">
      <c r="B57" s="12" t="s">
        <v>2645</v>
      </c>
    </row>
    <row r="58" spans="2:2" ht="28.8" x14ac:dyDescent="0.3">
      <c r="B58" s="12" t="s">
        <v>2644</v>
      </c>
    </row>
    <row r="59" spans="2:2" ht="16.8" x14ac:dyDescent="0.4">
      <c r="B59" s="656" t="s">
        <v>2643</v>
      </c>
    </row>
    <row r="60" spans="2:2" ht="57.6" x14ac:dyDescent="0.3">
      <c r="B60" s="12" t="s">
        <v>2642</v>
      </c>
    </row>
    <row r="61" spans="2:2" ht="115.2" x14ac:dyDescent="0.3">
      <c r="B61" s="12" t="s">
        <v>2641</v>
      </c>
    </row>
    <row r="62" spans="2:2" ht="16.8" x14ac:dyDescent="0.4">
      <c r="B62" s="656" t="s">
        <v>2640</v>
      </c>
    </row>
    <row r="63" spans="2:2" ht="72" x14ac:dyDescent="0.3">
      <c r="B63" s="12" t="s">
        <v>2639</v>
      </c>
    </row>
    <row r="64" spans="2:2" ht="86.4" x14ac:dyDescent="0.3">
      <c r="B64" s="12" t="s">
        <v>2638</v>
      </c>
    </row>
    <row r="65" spans="1:2" ht="86.4" x14ac:dyDescent="0.3">
      <c r="A65" s="25" t="s">
        <v>2636</v>
      </c>
      <c r="B65" s="12" t="s">
        <v>2637</v>
      </c>
    </row>
    <row r="66" spans="1:2" ht="100.8" x14ac:dyDescent="0.3">
      <c r="B66" s="12" t="s">
        <v>2635</v>
      </c>
    </row>
    <row r="67" spans="1:2" ht="115.2" x14ac:dyDescent="0.3">
      <c r="B67" s="12" t="s">
        <v>2634</v>
      </c>
    </row>
    <row r="68" spans="1:2" ht="57.6" x14ac:dyDescent="0.3">
      <c r="B68" s="12" t="s">
        <v>2633</v>
      </c>
    </row>
    <row r="69" spans="1:2" ht="72" x14ac:dyDescent="0.3">
      <c r="B69" s="12" t="s">
        <v>2632</v>
      </c>
    </row>
    <row r="70" spans="1:2" ht="86.4" x14ac:dyDescent="0.3">
      <c r="B70" s="12" t="s">
        <v>2631</v>
      </c>
    </row>
    <row r="71" spans="1:2" ht="43.2" x14ac:dyDescent="0.3">
      <c r="B71" s="12" t="s">
        <v>2630</v>
      </c>
    </row>
    <row r="72" spans="1:2" ht="86.4" x14ac:dyDescent="0.3">
      <c r="B72" s="12" t="s">
        <v>2629</v>
      </c>
    </row>
    <row r="73" spans="1:2" ht="86.4" x14ac:dyDescent="0.3">
      <c r="B73" s="12" t="s">
        <v>2628</v>
      </c>
    </row>
    <row r="74" spans="1:2" ht="72" x14ac:dyDescent="0.3">
      <c r="B74" s="12" t="s">
        <v>2627</v>
      </c>
    </row>
    <row r="75" spans="1:2" x14ac:dyDescent="0.3">
      <c r="B75" s="12" t="s">
        <v>2626</v>
      </c>
    </row>
    <row r="76" spans="1:2" ht="100.8" x14ac:dyDescent="0.3">
      <c r="B76" s="12" t="s">
        <v>2625</v>
      </c>
    </row>
    <row r="77" spans="1:2" ht="57.6" x14ac:dyDescent="0.3">
      <c r="B77" s="12" t="s">
        <v>2624</v>
      </c>
    </row>
    <row r="78" spans="1:2" ht="57.6" x14ac:dyDescent="0.3">
      <c r="B78" s="12" t="s">
        <v>2623</v>
      </c>
    </row>
    <row r="79" spans="1:2" ht="16.8" x14ac:dyDescent="0.4">
      <c r="B79" s="657" t="s">
        <v>2622</v>
      </c>
    </row>
    <row r="80" spans="1:2" ht="16.8" x14ac:dyDescent="0.4">
      <c r="B80" s="657" t="s">
        <v>2621</v>
      </c>
    </row>
    <row r="81" spans="1:2" ht="16.8" x14ac:dyDescent="0.4">
      <c r="B81" s="657" t="s">
        <v>2620</v>
      </c>
    </row>
    <row r="82" spans="1:2" ht="16.8" x14ac:dyDescent="0.4">
      <c r="B82" s="657" t="s">
        <v>2619</v>
      </c>
    </row>
    <row r="83" spans="1:2" ht="16.8" x14ac:dyDescent="0.4">
      <c r="B83" s="657" t="s">
        <v>2618</v>
      </c>
    </row>
    <row r="84" spans="1:2" ht="16.8" x14ac:dyDescent="0.4">
      <c r="A84" s="25" t="s">
        <v>2616</v>
      </c>
      <c r="B84" s="657" t="s">
        <v>2617</v>
      </c>
    </row>
    <row r="85" spans="1:2" ht="16.8" x14ac:dyDescent="0.4">
      <c r="B85" s="657" t="s">
        <v>2615</v>
      </c>
    </row>
    <row r="86" spans="1:2" ht="16.8" x14ac:dyDescent="0.4">
      <c r="B86" s="657" t="s">
        <v>2614</v>
      </c>
    </row>
    <row r="87" spans="1:2" ht="16.8" x14ac:dyDescent="0.4">
      <c r="B87" s="658" t="s">
        <v>2613</v>
      </c>
    </row>
    <row r="88" spans="1:2" ht="33.6" x14ac:dyDescent="0.4">
      <c r="B88" s="658" t="s">
        <v>2612</v>
      </c>
    </row>
    <row r="89" spans="1:2" ht="16.8" x14ac:dyDescent="0.4">
      <c r="B89" s="658" t="s">
        <v>2611</v>
      </c>
    </row>
    <row r="90" spans="1:2" ht="16.8" x14ac:dyDescent="0.4">
      <c r="B90" s="658" t="s">
        <v>2610</v>
      </c>
    </row>
    <row r="91" spans="1:2" ht="16.8" x14ac:dyDescent="0.4">
      <c r="B91" s="657" t="s">
        <v>2609</v>
      </c>
    </row>
    <row r="92" spans="1:2" ht="16.8" x14ac:dyDescent="0.4">
      <c r="B92" s="657" t="s">
        <v>2608</v>
      </c>
    </row>
    <row r="93" spans="1:2" ht="16.8" x14ac:dyDescent="0.4">
      <c r="B93" s="657" t="s">
        <v>2603</v>
      </c>
    </row>
    <row r="94" spans="1:2" ht="16.8" x14ac:dyDescent="0.4">
      <c r="B94" s="658" t="s">
        <v>2602</v>
      </c>
    </row>
    <row r="95" spans="1:2" ht="16.8" x14ac:dyDescent="0.4">
      <c r="B95" s="657" t="s">
        <v>2601</v>
      </c>
    </row>
    <row r="96" spans="1:2" ht="16.8" x14ac:dyDescent="0.4">
      <c r="A96" s="25" t="s">
        <v>2607</v>
      </c>
      <c r="B96" s="657" t="s">
        <v>2604</v>
      </c>
    </row>
    <row r="97" spans="2:2" ht="16.8" x14ac:dyDescent="0.4">
      <c r="B97" s="658" t="s">
        <v>2600</v>
      </c>
    </row>
    <row r="98" spans="2:2" ht="16.8" x14ac:dyDescent="0.4">
      <c r="B98" s="657" t="s">
        <v>2599</v>
      </c>
    </row>
    <row r="99" spans="2:2" ht="16.8" x14ac:dyDescent="0.4">
      <c r="B99" s="657" t="s">
        <v>2598</v>
      </c>
    </row>
    <row r="100" spans="2:2" ht="16.8" x14ac:dyDescent="0.4">
      <c r="B100" s="657" t="s">
        <v>2597</v>
      </c>
    </row>
    <row r="101" spans="2:2" ht="16.8" x14ac:dyDescent="0.4">
      <c r="B101" s="657" t="s">
        <v>2596</v>
      </c>
    </row>
    <row r="102" spans="2:2" ht="16.8" x14ac:dyDescent="0.4">
      <c r="B102" s="657" t="s">
        <v>2594</v>
      </c>
    </row>
    <row r="103" spans="2:2" ht="16.8" x14ac:dyDescent="0.4">
      <c r="B103" s="658" t="s">
        <v>2593</v>
      </c>
    </row>
    <row r="104" spans="2:2" ht="16.8" x14ac:dyDescent="0.4">
      <c r="B104" s="658" t="s">
        <v>2592</v>
      </c>
    </row>
    <row r="105" spans="2:2" ht="16.8" x14ac:dyDescent="0.4">
      <c r="B105" s="657" t="s">
        <v>2591</v>
      </c>
    </row>
    <row r="106" spans="2:2" ht="16.8" x14ac:dyDescent="0.4">
      <c r="B106" s="658" t="s">
        <v>2590</v>
      </c>
    </row>
    <row r="107" spans="2:2" ht="16.8" x14ac:dyDescent="0.4">
      <c r="B107" s="657" t="s">
        <v>2589</v>
      </c>
    </row>
    <row r="108" spans="2:2" ht="16.8" x14ac:dyDescent="0.4">
      <c r="B108" s="657" t="s">
        <v>2588</v>
      </c>
    </row>
    <row r="109" spans="2:2" ht="50.4" x14ac:dyDescent="0.4">
      <c r="B109" s="657" t="s">
        <v>2587</v>
      </c>
    </row>
    <row r="110" spans="2:2" ht="33.6" x14ac:dyDescent="0.4">
      <c r="B110" s="657" t="s">
        <v>2586</v>
      </c>
    </row>
    <row r="111" spans="2:2" ht="16.8" x14ac:dyDescent="0.4">
      <c r="B111" s="657" t="s">
        <v>2585</v>
      </c>
    </row>
    <row r="112" spans="2:2" ht="16.8" x14ac:dyDescent="0.4">
      <c r="B112" s="657" t="s">
        <v>2584</v>
      </c>
    </row>
    <row r="113" spans="1:2" ht="16.8" x14ac:dyDescent="0.4">
      <c r="B113" s="657" t="s">
        <v>2583</v>
      </c>
    </row>
    <row r="114" spans="1:2" ht="16.8" x14ac:dyDescent="0.4">
      <c r="B114" s="657" t="s">
        <v>2582</v>
      </c>
    </row>
    <row r="115" spans="1:2" ht="16.8" x14ac:dyDescent="0.4">
      <c r="B115" s="657" t="s">
        <v>2581</v>
      </c>
    </row>
    <row r="116" spans="1:2" ht="16.8" x14ac:dyDescent="0.4">
      <c r="B116" s="657" t="s">
        <v>2580</v>
      </c>
    </row>
    <row r="117" spans="1:2" ht="16.8" x14ac:dyDescent="0.4">
      <c r="B117" s="657" t="s">
        <v>2579</v>
      </c>
    </row>
    <row r="118" spans="1:2" ht="16.8" x14ac:dyDescent="0.4">
      <c r="A118" s="25" t="s">
        <v>2606</v>
      </c>
      <c r="B118" s="657" t="s">
        <v>2578</v>
      </c>
    </row>
    <row r="119" spans="1:2" ht="16.8" x14ac:dyDescent="0.4">
      <c r="B119" s="657" t="s">
        <v>2577</v>
      </c>
    </row>
    <row r="120" spans="1:2" ht="16.8" x14ac:dyDescent="0.4">
      <c r="B120" s="657" t="s">
        <v>2576</v>
      </c>
    </row>
    <row r="121" spans="1:2" ht="16.8" x14ac:dyDescent="0.4">
      <c r="B121" s="657" t="s">
        <v>2575</v>
      </c>
    </row>
    <row r="122" spans="1:2" x14ac:dyDescent="0.3">
      <c r="B122" s="12" t="s">
        <v>2574</v>
      </c>
    </row>
    <row r="123" spans="1:2" ht="16.8" x14ac:dyDescent="0.4">
      <c r="B123" s="657" t="s">
        <v>2573</v>
      </c>
    </row>
    <row r="124" spans="1:2" ht="16.8" x14ac:dyDescent="0.4">
      <c r="B124" s="657" t="s">
        <v>2572</v>
      </c>
    </row>
    <row r="125" spans="1:2" ht="16.8" x14ac:dyDescent="0.4">
      <c r="B125" s="657" t="s">
        <v>2571</v>
      </c>
    </row>
    <row r="126" spans="1:2" ht="16.8" x14ac:dyDescent="0.4">
      <c r="A126" s="25" t="s">
        <v>2605</v>
      </c>
      <c r="B126" s="657" t="s">
        <v>2595</v>
      </c>
    </row>
  </sheetData>
  <sheetProtection algorithmName="SHA-512" hashValue="6kiVcOZ3shnHxgNgSj6kKSEQ/hamm5GWP4iHl80NAblOryOXP+F7jXpS08vGBSWhB3oJualWA8UDuizL3xmrPw==" saltValue="pTORXM2f0jZFPtiE8X0Rg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DEAA91-4E55-4E9F-832B-98711777DF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Instructions</vt:lpstr>
      <vt:lpstr>Jank Build Info</vt:lpstr>
      <vt:lpstr>Cluster Truck Builder</vt:lpstr>
      <vt:lpstr>Summary</vt:lpstr>
      <vt:lpstr>Profitability</vt:lpstr>
      <vt:lpstr>Ship Info</vt:lpstr>
      <vt:lpstr>1-Hull</vt:lpstr>
      <vt:lpstr>2-Drives</vt:lpstr>
      <vt:lpstr>3-Pwr Plant</vt:lpstr>
      <vt:lpstr>4-Fuel</vt:lpstr>
      <vt:lpstr>5-Bridge</vt:lpstr>
      <vt:lpstr>6-Comp</vt:lpstr>
      <vt:lpstr>7-Sensors</vt:lpstr>
      <vt:lpstr>8a-Weapons</vt:lpstr>
      <vt:lpstr>8b-Screens</vt:lpstr>
      <vt:lpstr>9a-Optional</vt:lpstr>
      <vt:lpstr>9b-Optional</vt:lpstr>
      <vt:lpstr>10-Crew</vt:lpstr>
      <vt:lpstr>11-Staterooms</vt:lpstr>
      <vt:lpstr>12-Cargo</vt:lpstr>
      <vt:lpstr>SSD</vt:lpstr>
      <vt:lpstr>Capital SSD</vt:lpstr>
      <vt:lpstr>Changelog</vt:lpstr>
      <vt:lpstr>FtrArmr</vt:lpstr>
      <vt:lpstr>Tech_Level</vt:lpstr>
      <vt:lpstr>TL</vt:lpstr>
      <vt:lpstr>Tonnage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Nabors</dc:creator>
  <cp:lastModifiedBy>Mark Anderson</cp:lastModifiedBy>
  <cp:lastPrinted>2025-07-29T22:19:28Z</cp:lastPrinted>
  <dcterms:created xsi:type="dcterms:W3CDTF">2021-03-17T18:55:02Z</dcterms:created>
  <dcterms:modified xsi:type="dcterms:W3CDTF">2026-02-26T00:09:16Z</dcterms:modified>
</cp:coreProperties>
</file>